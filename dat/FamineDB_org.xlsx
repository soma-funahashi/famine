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23"/>
  <workbookPr/>
  <mc:AlternateContent xmlns:mc="http://schemas.openxmlformats.org/markup-compatibility/2006">
    <mc:Choice Requires="x15">
      <x15ac:absPath xmlns:x15ac="http://schemas.microsoft.com/office/spreadsheetml/2010/11/ac" url="/Users/SomaFunahashi/Documents/Oki_lab/2019/Master_thesis/famineDB/"/>
    </mc:Choice>
  </mc:AlternateContent>
  <xr:revisionPtr revIDLastSave="0" documentId="13_ncr:1_{D5D6BA84-A72C-744B-AA7C-5B26322592EA}" xr6:coauthVersionLast="40" xr6:coauthVersionMax="40" xr10:uidLastSave="{00000000-0000-0000-0000-000000000000}"/>
  <bookViews>
    <workbookView xWindow="0" yWindow="0" windowWidth="38400" windowHeight="21600" firstSheet="2" activeTab="3" xr2:uid="{00000000-000D-0000-FFFF-FFFF00000000}"/>
  </bookViews>
  <sheets>
    <sheet name="Sheet3" sheetId="3" r:id="rId1"/>
    <sheet name="DB20c_chronology" sheetId="1" r:id="rId2"/>
    <sheet name="DB20c" sheetId="4" r:id="rId3"/>
    <sheet name="DB1960s-_dummy" sheetId="8" r:id="rId4"/>
    <sheet name="DB1960s-" sheetId="6" r:id="rId5"/>
    <sheet name="DB1960s-_all" sheetId="13" r:id="rId6"/>
    <sheet name="DB1960s-_factors" sheetId="10" r:id="rId7"/>
    <sheet name="Factors_Keywords" sheetId="11" r:id="rId8"/>
    <sheet name="Notes" sheetId="7" r:id="rId9"/>
    <sheet name="Ethiopia" sheetId="9" r:id="rId10"/>
  </sheets>
  <externalReferences>
    <externalReference r:id="rId11"/>
  </externalReferences>
  <definedNames>
    <definedName name="_xlnm._FilterDatabase" localSheetId="1" hidden="1">DB20c_chronology!$F$1:$F$129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I124" i="13" l="1"/>
  <c r="O177" i="10"/>
  <c r="Y178" i="10" s="1"/>
  <c r="P177" i="10"/>
  <c r="X178" i="10" s="1"/>
  <c r="Q177" i="10"/>
  <c r="W178" i="10"/>
  <c r="R177" i="10"/>
  <c r="V178" i="10" s="1"/>
  <c r="S177" i="10"/>
  <c r="U178" i="10" s="1"/>
  <c r="T177" i="10"/>
  <c r="T178" i="10"/>
  <c r="U177" i="10"/>
  <c r="S178" i="10"/>
  <c r="V177" i="10"/>
  <c r="R178" i="10" s="1"/>
  <c r="W177" i="10"/>
  <c r="Q178" i="10" s="1"/>
  <c r="X177" i="10"/>
  <c r="P178" i="10"/>
  <c r="Y177" i="10"/>
  <c r="O178" i="10"/>
  <c r="Y177" i="13"/>
  <c r="X177" i="13"/>
  <c r="W177" i="13"/>
  <c r="V177" i="13"/>
  <c r="U177" i="13"/>
  <c r="T177" i="13"/>
  <c r="S177" i="13"/>
  <c r="R177" i="13"/>
  <c r="Q177" i="13"/>
  <c r="P177" i="13"/>
  <c r="O177" i="13"/>
  <c r="H148" i="13"/>
  <c r="H145" i="13"/>
  <c r="I145" i="13"/>
  <c r="I142" i="13"/>
  <c r="H139" i="13"/>
  <c r="I139" i="13"/>
  <c r="I136" i="13"/>
  <c r="I133" i="13"/>
  <c r="I130" i="13"/>
  <c r="I127" i="13"/>
  <c r="H121" i="13"/>
  <c r="I121" i="13" s="1"/>
  <c r="H118" i="13"/>
  <c r="I118" i="13"/>
  <c r="I115" i="13"/>
  <c r="I112" i="13"/>
  <c r="H109" i="13"/>
  <c r="I109" i="13"/>
  <c r="I106" i="13"/>
  <c r="AA177" i="13"/>
  <c r="I97" i="13"/>
  <c r="H94" i="13"/>
  <c r="I94" i="13" s="1"/>
  <c r="Z177" i="10"/>
  <c r="I101" i="13"/>
  <c r="I148" i="13"/>
  <c r="AA148" i="10"/>
  <c r="H148" i="10"/>
  <c r="H145" i="10"/>
  <c r="I145" i="10"/>
  <c r="I142" i="10"/>
  <c r="H139" i="10"/>
  <c r="I139" i="10" s="1"/>
  <c r="I136" i="10"/>
  <c r="I133" i="10"/>
  <c r="I130" i="10"/>
  <c r="I127" i="10"/>
  <c r="I124" i="10"/>
  <c r="H121" i="10"/>
  <c r="I121" i="10"/>
  <c r="H118" i="10"/>
  <c r="I118" i="10"/>
  <c r="I115" i="10"/>
  <c r="I112" i="10"/>
  <c r="H109" i="10"/>
  <c r="I109" i="10"/>
  <c r="I106" i="10"/>
  <c r="AA101" i="10"/>
  <c r="I97" i="10"/>
  <c r="H94" i="10"/>
  <c r="I94" i="10"/>
  <c r="AE127" i="8"/>
  <c r="H127" i="8"/>
  <c r="I127" i="8"/>
  <c r="H124" i="8"/>
  <c r="I124" i="8"/>
  <c r="I121" i="8"/>
  <c r="H118" i="8"/>
  <c r="I118" i="8"/>
  <c r="I115" i="8"/>
  <c r="I112" i="8"/>
  <c r="I109" i="8"/>
  <c r="I106" i="8"/>
  <c r="I103" i="8"/>
  <c r="H100" i="8"/>
  <c r="I100" i="8"/>
  <c r="H97" i="8"/>
  <c r="I97" i="8" s="1"/>
  <c r="I94" i="8"/>
  <c r="I91" i="8"/>
  <c r="H88" i="8"/>
  <c r="I88" i="8"/>
  <c r="I85" i="8"/>
  <c r="AE80" i="8"/>
  <c r="I80" i="8"/>
  <c r="I76" i="8"/>
  <c r="H73" i="8"/>
  <c r="I73" i="8"/>
  <c r="AD127" i="6"/>
  <c r="H127" i="6"/>
  <c r="I127" i="6" s="1"/>
  <c r="H124" i="6"/>
  <c r="I124" i="6"/>
  <c r="I121" i="6"/>
  <c r="H118" i="6"/>
  <c r="I118" i="6"/>
  <c r="I115" i="6"/>
  <c r="I112" i="6"/>
  <c r="I109" i="6"/>
  <c r="I106" i="6"/>
  <c r="I103" i="6"/>
  <c r="H100" i="6"/>
  <c r="I100" i="6"/>
  <c r="H97" i="6"/>
  <c r="I97" i="6" s="1"/>
  <c r="I94" i="6"/>
  <c r="I91" i="6"/>
  <c r="H88" i="6"/>
  <c r="I88" i="6"/>
  <c r="I85" i="6"/>
  <c r="AD80" i="6"/>
  <c r="I80" i="6"/>
  <c r="I76" i="6"/>
  <c r="H73" i="6"/>
  <c r="I73" i="6" s="1"/>
  <c r="H90" i="4"/>
  <c r="H89" i="4"/>
  <c r="H88" i="4"/>
  <c r="H87" i="4"/>
  <c r="H86" i="4"/>
  <c r="H85" i="4"/>
  <c r="H84" i="4"/>
  <c r="H83" i="4"/>
  <c r="H82" i="4"/>
  <c r="H81" i="4"/>
  <c r="H80" i="4"/>
  <c r="H79" i="4"/>
  <c r="H78" i="4"/>
  <c r="H77" i="4"/>
  <c r="AE4" i="4"/>
  <c r="AE5" i="4"/>
  <c r="AE6" i="4"/>
  <c r="AE7" i="4"/>
  <c r="AE8" i="4"/>
  <c r="AE9" i="4"/>
  <c r="AE60" i="4" s="1"/>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D4" i="4"/>
  <c r="AD60" i="4" s="1"/>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C4" i="4"/>
  <c r="AC60" i="4" s="1"/>
  <c r="AC5" i="4"/>
  <c r="AC6" i="4"/>
  <c r="AC7" i="4"/>
  <c r="AC8" i="4"/>
  <c r="AC9" i="4"/>
  <c r="AC10" i="4"/>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B4" i="4"/>
  <c r="AB60" i="4" s="1"/>
  <c r="AB5" i="4"/>
  <c r="AB6" i="4"/>
  <c r="AB7" i="4"/>
  <c r="AB8" i="4"/>
  <c r="AB9" i="4"/>
  <c r="AF9" i="4" s="1"/>
  <c r="AB10" i="4"/>
  <c r="AB11" i="4"/>
  <c r="AB12" i="4"/>
  <c r="AB13" i="4"/>
  <c r="AB14" i="4"/>
  <c r="AB15" i="4"/>
  <c r="AB16" i="4"/>
  <c r="AB17" i="4"/>
  <c r="AF17" i="4" s="1"/>
  <c r="AB18" i="4"/>
  <c r="AB19" i="4"/>
  <c r="AB20" i="4"/>
  <c r="AB21" i="4"/>
  <c r="AB22" i="4"/>
  <c r="AB23" i="4"/>
  <c r="AB24" i="4"/>
  <c r="AB25" i="4"/>
  <c r="AF25" i="4" s="1"/>
  <c r="AB26" i="4"/>
  <c r="AB27" i="4"/>
  <c r="AB28" i="4"/>
  <c r="AB29" i="4"/>
  <c r="AB30" i="4"/>
  <c r="AB31" i="4"/>
  <c r="AB32" i="4"/>
  <c r="AB33" i="4"/>
  <c r="AF33" i="4" s="1"/>
  <c r="AB34" i="4"/>
  <c r="AB35" i="4"/>
  <c r="AB36" i="4"/>
  <c r="AB37" i="4"/>
  <c r="AB38" i="4"/>
  <c r="AB39" i="4"/>
  <c r="AB40" i="4"/>
  <c r="AB41" i="4"/>
  <c r="AB42" i="4"/>
  <c r="AF42" i="4" s="1"/>
  <c r="AB43" i="4"/>
  <c r="AB44" i="4"/>
  <c r="AB45" i="4"/>
  <c r="AB46" i="4"/>
  <c r="AB47" i="4"/>
  <c r="AB48" i="4"/>
  <c r="AB49" i="4"/>
  <c r="AB50" i="4"/>
  <c r="AB51" i="4"/>
  <c r="AF51" i="4" s="1"/>
  <c r="AB52" i="4"/>
  <c r="AB53" i="4"/>
  <c r="AB54" i="4"/>
  <c r="AB55" i="4"/>
  <c r="AB56" i="4"/>
  <c r="AB57" i="4"/>
  <c r="AA4" i="4"/>
  <c r="AA60" i="4" s="1"/>
  <c r="AA5" i="4"/>
  <c r="AA6" i="4"/>
  <c r="AF6" i="4" s="1"/>
  <c r="AA7" i="4"/>
  <c r="AF7" i="4" s="1"/>
  <c r="AA8" i="4"/>
  <c r="AA9" i="4"/>
  <c r="AA10" i="4"/>
  <c r="AF10" i="4" s="1"/>
  <c r="AA11" i="4"/>
  <c r="AA12" i="4"/>
  <c r="AA13" i="4"/>
  <c r="AA14" i="4"/>
  <c r="AF14" i="4" s="1"/>
  <c r="AA15" i="4"/>
  <c r="AF15" i="4" s="1"/>
  <c r="AA16" i="4"/>
  <c r="AA17" i="4"/>
  <c r="AA18" i="4"/>
  <c r="AF18" i="4" s="1"/>
  <c r="AA19" i="4"/>
  <c r="AA20" i="4"/>
  <c r="AA21" i="4"/>
  <c r="AA22" i="4"/>
  <c r="AF22" i="4" s="1"/>
  <c r="AA23" i="4"/>
  <c r="AF23" i="4" s="1"/>
  <c r="AA24" i="4"/>
  <c r="AA25" i="4"/>
  <c r="AA26" i="4"/>
  <c r="AF26" i="4" s="1"/>
  <c r="AA27" i="4"/>
  <c r="AA28" i="4"/>
  <c r="AA29" i="4"/>
  <c r="AA30" i="4"/>
  <c r="AF30" i="4" s="1"/>
  <c r="AA31" i="4"/>
  <c r="AF31" i="4" s="1"/>
  <c r="AA32" i="4"/>
  <c r="AA33" i="4"/>
  <c r="AA34" i="4"/>
  <c r="AF34" i="4" s="1"/>
  <c r="AA35" i="4"/>
  <c r="AA36" i="4"/>
  <c r="AA37" i="4"/>
  <c r="AF37" i="4" s="1"/>
  <c r="AA38" i="4"/>
  <c r="AF38" i="4" s="1"/>
  <c r="AA39" i="4"/>
  <c r="AA40" i="4"/>
  <c r="AA41" i="4"/>
  <c r="AA42" i="4"/>
  <c r="AA43" i="4"/>
  <c r="AF43" i="4" s="1"/>
  <c r="AA44" i="4"/>
  <c r="AA45" i="4"/>
  <c r="AA46" i="4"/>
  <c r="AF46" i="4" s="1"/>
  <c r="AA47" i="4"/>
  <c r="AF47" i="4" s="1"/>
  <c r="AA48" i="4"/>
  <c r="AA49" i="4"/>
  <c r="AA50" i="4"/>
  <c r="AA51" i="4"/>
  <c r="AA52" i="4"/>
  <c r="AF52" i="4" s="1"/>
  <c r="AA53" i="4"/>
  <c r="AF53" i="4" s="1"/>
  <c r="AA54" i="4"/>
  <c r="AA55" i="4"/>
  <c r="AF55" i="4" s="1"/>
  <c r="AA56" i="4"/>
  <c r="AA57" i="4"/>
  <c r="Z60" i="4"/>
  <c r="X60" i="4"/>
  <c r="W60" i="4"/>
  <c r="V60" i="4"/>
  <c r="U60" i="4"/>
  <c r="T60" i="4"/>
  <c r="S60" i="4"/>
  <c r="R60" i="4"/>
  <c r="Q60" i="4"/>
  <c r="P60" i="4"/>
  <c r="O60" i="4"/>
  <c r="N60" i="4"/>
  <c r="M60" i="4"/>
  <c r="L60" i="4"/>
  <c r="K60" i="4"/>
  <c r="AF57" i="4"/>
  <c r="Y57" i="4"/>
  <c r="AF56" i="4"/>
  <c r="Y55" i="4"/>
  <c r="AF54" i="4"/>
  <c r="Y54" i="4"/>
  <c r="Y51" i="4"/>
  <c r="AF50" i="4"/>
  <c r="Y50" i="4"/>
  <c r="AF49" i="4"/>
  <c r="Y49" i="4"/>
  <c r="AF48" i="4"/>
  <c r="Y46" i="4"/>
  <c r="AF45" i="4"/>
  <c r="AF44" i="4"/>
  <c r="Y44" i="4"/>
  <c r="Y43" i="4"/>
  <c r="Y42" i="4"/>
  <c r="AF41" i="4"/>
  <c r="Y41" i="4"/>
  <c r="Y60" i="4" s="1"/>
  <c r="AF40" i="4"/>
  <c r="AF39" i="4"/>
  <c r="Y38" i="4"/>
  <c r="Y37" i="4"/>
  <c r="Y35" i="4"/>
  <c r="AF36" i="4"/>
  <c r="AF35" i="4"/>
  <c r="AF32" i="4"/>
  <c r="AF29" i="4"/>
  <c r="AF28" i="4"/>
  <c r="AF27" i="4"/>
  <c r="AF24" i="4"/>
  <c r="AF21" i="4"/>
  <c r="AF20" i="4"/>
  <c r="AF19" i="4"/>
  <c r="AF16" i="4"/>
  <c r="AF13" i="4"/>
  <c r="AF12" i="4"/>
  <c r="AF11" i="4"/>
  <c r="AF8" i="4"/>
  <c r="AF5" i="4"/>
  <c r="AF4" i="4"/>
  <c r="O114" i="1"/>
  <c r="H114" i="1"/>
  <c r="I114" i="1" s="1"/>
  <c r="H113" i="1"/>
  <c r="I113" i="1"/>
  <c r="I112" i="1"/>
  <c r="H110" i="1"/>
  <c r="I110" i="1"/>
  <c r="I105" i="1"/>
  <c r="I102" i="1"/>
  <c r="I98" i="1"/>
  <c r="I97" i="1"/>
  <c r="I95" i="1"/>
  <c r="H93" i="1"/>
  <c r="I93" i="1"/>
  <c r="H88" i="1"/>
  <c r="I88" i="1"/>
  <c r="I87" i="1"/>
  <c r="I86" i="1"/>
  <c r="H84" i="1"/>
  <c r="I84" i="1"/>
  <c r="I83" i="1"/>
  <c r="O79" i="1"/>
  <c r="I79" i="1"/>
  <c r="I78" i="1"/>
  <c r="H77" i="1"/>
  <c r="I77" i="1" s="1"/>
  <c r="O125" i="3"/>
  <c r="H125" i="3"/>
  <c r="I125" i="3"/>
  <c r="H122" i="3"/>
  <c r="I122" i="3"/>
  <c r="I119" i="3"/>
  <c r="H116" i="3"/>
  <c r="I116" i="3" s="1"/>
  <c r="I113" i="3"/>
  <c r="I110" i="3"/>
  <c r="I107" i="3"/>
  <c r="I104" i="3"/>
  <c r="I101" i="3"/>
  <c r="H98" i="3"/>
  <c r="I98" i="3" s="1"/>
  <c r="H95" i="3"/>
  <c r="I95" i="3"/>
  <c r="I92" i="3"/>
  <c r="I89" i="3"/>
  <c r="H86" i="3"/>
  <c r="I86" i="3"/>
  <c r="I83" i="3"/>
  <c r="O79" i="3"/>
  <c r="I79" i="3" s="1"/>
  <c r="I75" i="3"/>
  <c r="H72" i="3"/>
  <c r="I72" i="3"/>
  <c r="I101" i="10"/>
  <c r="AA177" i="10"/>
  <c r="I148"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misato</author>
  </authors>
  <commentList>
    <comment ref="R5" authorId="0" shapeId="0" xr:uid="{00000000-0006-0000-0100-000001000000}">
      <text>
        <r>
          <rPr>
            <b/>
            <sz val="9"/>
            <color indexed="81"/>
            <rFont val="ＭＳ Ｐゴシック"/>
            <family val="3"/>
            <charset val="128"/>
          </rPr>
          <t>misato:</t>
        </r>
        <r>
          <rPr>
            <sz val="9"/>
            <color indexed="81"/>
            <rFont val="ＭＳ Ｐゴシック"/>
            <family val="3"/>
            <charset val="128"/>
          </rPr>
          <t xml:space="preserve">
massive storm</t>
        </r>
      </text>
    </comment>
    <comment ref="R8" authorId="0" shapeId="0" xr:uid="{00000000-0006-0000-0100-000002000000}">
      <text>
        <r>
          <rPr>
            <b/>
            <sz val="9"/>
            <color indexed="81"/>
            <rFont val="ＭＳ Ｐゴシック"/>
            <family val="3"/>
            <charset val="128"/>
          </rPr>
          <t>misato:</t>
        </r>
        <r>
          <rPr>
            <sz val="9"/>
            <color indexed="81"/>
            <rFont val="ＭＳ Ｐゴシック"/>
            <family val="3"/>
            <charset val="128"/>
          </rPr>
          <t xml:space="preserve">
potato blight fungus</t>
        </r>
      </text>
    </comment>
    <comment ref="O9" authorId="0" shapeId="0" xr:uid="{00000000-0006-0000-0100-000003000000}">
      <text>
        <r>
          <rPr>
            <b/>
            <sz val="9"/>
            <color indexed="81"/>
            <rFont val="ＭＳ Ｐゴシック"/>
            <family val="3"/>
            <charset val="128"/>
          </rPr>
          <t>misato:</t>
        </r>
        <r>
          <rPr>
            <sz val="9"/>
            <color indexed="81"/>
            <rFont val="ＭＳ Ｐゴシック"/>
            <family val="3"/>
            <charset val="128"/>
          </rPr>
          <t xml:space="preserve">
pre-condition:WW1</t>
        </r>
      </text>
    </comment>
    <comment ref="O10" authorId="0" shapeId="0" xr:uid="{00000000-0006-0000-0100-000004000000}">
      <text>
        <r>
          <rPr>
            <b/>
            <sz val="9"/>
            <color indexed="81"/>
            <rFont val="ＭＳ Ｐゴシック"/>
            <family val="3"/>
            <charset val="128"/>
          </rPr>
          <t>misato:</t>
        </r>
        <r>
          <rPr>
            <sz val="9"/>
            <color indexed="81"/>
            <rFont val="ＭＳ Ｐゴシック"/>
            <family val="3"/>
            <charset val="128"/>
          </rPr>
          <t xml:space="preserve">
pre-condition:WW1</t>
        </r>
      </text>
    </comment>
    <comment ref="W10" authorId="0" shapeId="0" xr:uid="{00000000-0006-0000-0100-000005000000}">
      <text>
        <r>
          <rPr>
            <b/>
            <sz val="9"/>
            <color indexed="81"/>
            <rFont val="ＭＳ Ｐゴシック"/>
            <family val="3"/>
            <charset val="128"/>
          </rPr>
          <t>misato:</t>
        </r>
        <r>
          <rPr>
            <sz val="9"/>
            <color indexed="81"/>
            <rFont val="ＭＳ Ｐゴシック"/>
            <family val="3"/>
            <charset val="128"/>
          </rPr>
          <t xml:space="preserve">
confiscating local foods and cereals, preventing food import, adopting financial policies such as refusing paying oil revenues to Iran</t>
        </r>
      </text>
    </comment>
    <comment ref="S13" authorId="0" shapeId="0" xr:uid="{00000000-0006-0000-0100-000006000000}">
      <text>
        <r>
          <rPr>
            <b/>
            <sz val="9"/>
            <color indexed="81"/>
            <rFont val="ＭＳ Ｐゴシック"/>
            <family val="3"/>
            <charset val="128"/>
          </rPr>
          <t>misato:</t>
        </r>
        <r>
          <rPr>
            <sz val="9"/>
            <color indexed="81"/>
            <rFont val="ＭＳ Ｐゴシック"/>
            <family val="3"/>
            <charset val="128"/>
          </rPr>
          <t xml:space="preserve">
by the government</t>
        </r>
      </text>
    </comment>
    <comment ref="O14" authorId="0" shapeId="0" xr:uid="{00000000-0006-0000-0100-000007000000}">
      <text>
        <r>
          <rPr>
            <b/>
            <sz val="9"/>
            <color indexed="81"/>
            <rFont val="ＭＳ Ｐゴシック"/>
            <family val="3"/>
            <charset val="128"/>
          </rPr>
          <t>misato:</t>
        </r>
        <r>
          <rPr>
            <sz val="9"/>
            <color indexed="81"/>
            <rFont val="ＭＳ Ｐゴシック"/>
            <family val="3"/>
            <charset val="128"/>
          </rPr>
          <t xml:space="preserve">
pre-condition:WW1</t>
        </r>
      </text>
    </comment>
    <comment ref="T14" authorId="0" shapeId="0" xr:uid="{00000000-0006-0000-0100-000008000000}">
      <text>
        <r>
          <rPr>
            <b/>
            <sz val="9"/>
            <color indexed="81"/>
            <rFont val="ＭＳ Ｐゴシック"/>
            <family val="3"/>
            <charset val="128"/>
          </rPr>
          <t>misato:</t>
        </r>
        <r>
          <rPr>
            <sz val="9"/>
            <color indexed="81"/>
            <rFont val="ＭＳ Ｐゴシック"/>
            <family val="3"/>
            <charset val="128"/>
          </rPr>
          <t xml:space="preserve">
hoarders by the rich farmers</t>
        </r>
      </text>
    </comment>
    <comment ref="O15" authorId="0" shapeId="0" xr:uid="{00000000-0006-0000-0100-000009000000}">
      <text>
        <r>
          <rPr>
            <b/>
            <sz val="9"/>
            <color indexed="81"/>
            <rFont val="ＭＳ Ｐゴシック"/>
            <family val="3"/>
            <charset val="128"/>
          </rPr>
          <t>misato:</t>
        </r>
        <r>
          <rPr>
            <sz val="9"/>
            <color indexed="81"/>
            <rFont val="ＭＳ Ｐゴシック"/>
            <family val="3"/>
            <charset val="128"/>
          </rPr>
          <t xml:space="preserve">
The civil strife took place on some of the most productive land in the Volga and Ukraine regions, not only destroying crops but also preventing the planting of new ones.</t>
        </r>
      </text>
    </comment>
    <comment ref="W17" authorId="0" shapeId="0" xr:uid="{00000000-0006-0000-0100-00000A000000}">
      <text>
        <r>
          <rPr>
            <b/>
            <sz val="9"/>
            <color indexed="81"/>
            <rFont val="ＭＳ Ｐゴシック"/>
            <family val="3"/>
            <charset val="128"/>
          </rPr>
          <t>misato:</t>
        </r>
        <r>
          <rPr>
            <sz val="9"/>
            <color indexed="81"/>
            <rFont val="ＭＳ Ｐゴシック"/>
            <family val="3"/>
            <charset val="128"/>
          </rPr>
          <t xml:space="preserve">
"search-and-seizure" from peasants. No more seeds for the next season as well as food.</t>
        </r>
      </text>
    </comment>
    <comment ref="R20" authorId="0" shapeId="0" xr:uid="{00000000-0006-0000-0100-00000B000000}">
      <text>
        <r>
          <rPr>
            <b/>
            <sz val="9"/>
            <color indexed="81"/>
            <rFont val="ＭＳ Ｐゴシック"/>
            <family val="3"/>
            <charset val="128"/>
          </rPr>
          <t>misato:</t>
        </r>
        <r>
          <rPr>
            <sz val="9"/>
            <color indexed="81"/>
            <rFont val="ＭＳ Ｐゴシック"/>
            <family val="3"/>
            <charset val="128"/>
          </rPr>
          <t xml:space="preserve">
collective agriculture</t>
        </r>
      </text>
    </comment>
    <comment ref="R23" authorId="0" shapeId="0" xr:uid="{00000000-0006-0000-0100-00000C000000}">
      <text>
        <r>
          <rPr>
            <b/>
            <sz val="9"/>
            <color indexed="81"/>
            <rFont val="ＭＳ Ｐゴシック"/>
            <family val="3"/>
            <charset val="128"/>
          </rPr>
          <t>misato:</t>
        </r>
        <r>
          <rPr>
            <sz val="9"/>
            <color indexed="81"/>
            <rFont val="ＭＳ Ｐゴシック"/>
            <family val="3"/>
            <charset val="128"/>
          </rPr>
          <t xml:space="preserve">
warehouses containing the citiy's food supplies were bombed by German aircraft. Confiscated food was used o feed German army</t>
        </r>
      </text>
    </comment>
    <comment ref="P24" authorId="0" shapeId="0" xr:uid="{00000000-0006-0000-0100-00000D000000}">
      <text>
        <r>
          <rPr>
            <b/>
            <sz val="9"/>
            <color indexed="81"/>
            <rFont val="ＭＳ Ｐゴシック"/>
            <family val="3"/>
            <charset val="128"/>
          </rPr>
          <t>misato:</t>
        </r>
        <r>
          <rPr>
            <sz val="9"/>
            <color indexed="81"/>
            <rFont val="ＭＳ Ｐゴシック"/>
            <family val="3"/>
            <charset val="128"/>
          </rPr>
          <t xml:space="preserve">
hyper inflation</t>
        </r>
      </text>
    </comment>
    <comment ref="T24" authorId="0" shapeId="0" xr:uid="{00000000-0006-0000-0100-00000E000000}">
      <text>
        <r>
          <rPr>
            <b/>
            <sz val="9"/>
            <color indexed="81"/>
            <rFont val="ＭＳ Ｐゴシック"/>
            <family val="3"/>
            <charset val="128"/>
          </rPr>
          <t>misato:</t>
        </r>
        <r>
          <rPr>
            <sz val="9"/>
            <color indexed="81"/>
            <rFont val="ＭＳ Ｐゴシック"/>
            <family val="3"/>
            <charset val="128"/>
          </rPr>
          <t xml:space="preserve">
government-supported group along with the German forces prevented any distribution of food in areas not in their control</t>
        </r>
      </text>
    </comment>
    <comment ref="R25" authorId="0" shapeId="0" xr:uid="{00000000-0006-0000-0100-00000F000000}">
      <text>
        <r>
          <rPr>
            <b/>
            <sz val="9"/>
            <color indexed="81"/>
            <rFont val="ＭＳ Ｐゴシック"/>
            <family val="3"/>
            <charset val="128"/>
          </rPr>
          <t>misato:</t>
        </r>
        <r>
          <rPr>
            <sz val="9"/>
            <color indexed="81"/>
            <rFont val="ＭＳ Ｐゴシック"/>
            <family val="3"/>
            <charset val="128"/>
          </rPr>
          <t xml:space="preserve">
loss of cultivation asset</t>
        </r>
      </text>
    </comment>
    <comment ref="R26" authorId="0" shapeId="0" xr:uid="{00000000-0006-0000-0100-000010000000}">
      <text>
        <r>
          <rPr>
            <b/>
            <sz val="9"/>
            <color indexed="81"/>
            <rFont val="ＭＳ Ｐゴシック"/>
            <family val="3"/>
            <charset val="128"/>
          </rPr>
          <t>misato:</t>
        </r>
        <r>
          <rPr>
            <sz val="9"/>
            <color indexed="81"/>
            <rFont val="ＭＳ Ｐゴシック"/>
            <family val="3"/>
            <charset val="128"/>
          </rPr>
          <t xml:space="preserve">
fungal disease epidemic</t>
        </r>
      </text>
    </comment>
    <comment ref="T29" authorId="0" shapeId="0" xr:uid="{00000000-0006-0000-0100-000011000000}">
      <text>
        <r>
          <rPr>
            <b/>
            <sz val="9"/>
            <color indexed="81"/>
            <rFont val="ＭＳ Ｐゴシック"/>
            <family val="3"/>
            <charset val="128"/>
          </rPr>
          <t>misato:</t>
        </r>
        <r>
          <rPr>
            <sz val="9"/>
            <color indexed="81"/>
            <rFont val="ＭＳ Ｐゴシック"/>
            <family val="3"/>
            <charset val="128"/>
          </rPr>
          <t xml:space="preserve">
hoader</t>
        </r>
      </text>
    </comment>
    <comment ref="W29" authorId="0" shapeId="0" xr:uid="{00000000-0006-0000-0100-000012000000}">
      <text>
        <r>
          <rPr>
            <b/>
            <sz val="9"/>
            <color indexed="81"/>
            <rFont val="ＭＳ Ｐゴシック"/>
            <family val="3"/>
            <charset val="128"/>
          </rPr>
          <t>misato:</t>
        </r>
        <r>
          <rPr>
            <sz val="9"/>
            <color indexed="81"/>
            <rFont val="ＭＳ Ｐゴシック"/>
            <family val="3"/>
            <charset val="128"/>
          </rPr>
          <t xml:space="preserve">
Japan and France forced peasants to grow jute and cotton instead of rice, maize and wheat.</t>
        </r>
      </text>
    </comment>
    <comment ref="R31" authorId="0" shapeId="0" xr:uid="{00000000-0006-0000-0100-000013000000}">
      <text>
        <r>
          <rPr>
            <b/>
            <sz val="9"/>
            <color indexed="81"/>
            <rFont val="ＭＳ Ｐゴシック"/>
            <family val="3"/>
            <charset val="128"/>
          </rPr>
          <t>misato:</t>
        </r>
        <r>
          <rPr>
            <sz val="9"/>
            <color indexed="81"/>
            <rFont val="ＭＳ Ｐゴシック"/>
            <family val="3"/>
            <charset val="128"/>
          </rPr>
          <t xml:space="preserve">
locusts and epidemic</t>
        </r>
      </text>
    </comment>
    <comment ref="T32" authorId="0" shapeId="0" xr:uid="{00000000-0006-0000-0100-000014000000}">
      <text>
        <r>
          <rPr>
            <b/>
            <sz val="9"/>
            <color indexed="81"/>
            <rFont val="ＭＳ Ｐゴシック"/>
            <family val="3"/>
            <charset val="128"/>
          </rPr>
          <t>misato:</t>
        </r>
        <r>
          <rPr>
            <sz val="9"/>
            <color indexed="81"/>
            <rFont val="ＭＳ Ｐゴシック"/>
            <family val="3"/>
            <charset val="128"/>
          </rPr>
          <t xml:space="preserve">
inflexible procurement policy</t>
        </r>
      </text>
    </comment>
    <comment ref="V32" authorId="0" shapeId="0" xr:uid="{00000000-0006-0000-0100-000015000000}">
      <text>
        <r>
          <rPr>
            <b/>
            <sz val="9"/>
            <color indexed="81"/>
            <rFont val="ＭＳ Ｐゴシック"/>
            <family val="3"/>
            <charset val="128"/>
          </rPr>
          <t>misato:</t>
        </r>
        <r>
          <rPr>
            <sz val="9"/>
            <color indexed="81"/>
            <rFont val="ＭＳ Ｐゴシック"/>
            <family val="3"/>
            <charset val="128"/>
          </rPr>
          <t xml:space="preserve">
the production, distribution and consumption of food in China were
entirely controlled by the central government (collective agriculture)</t>
        </r>
      </text>
    </comment>
    <comment ref="T34" authorId="0" shapeId="0" xr:uid="{00000000-0006-0000-0100-000016000000}">
      <text>
        <r>
          <rPr>
            <b/>
            <sz val="9"/>
            <color indexed="81"/>
            <rFont val="ＭＳ Ｐゴシック"/>
            <family val="3"/>
            <charset val="128"/>
          </rPr>
          <t>misato:</t>
        </r>
        <r>
          <rPr>
            <sz val="9"/>
            <color indexed="81"/>
            <rFont val="ＭＳ Ｐゴシック"/>
            <family val="3"/>
            <charset val="128"/>
          </rPr>
          <t xml:space="preserve">
government blocked import, and diverted international aids to military</t>
        </r>
      </text>
    </comment>
    <comment ref="S35" authorId="0" shapeId="0" xr:uid="{00000000-0006-0000-0100-000017000000}">
      <text>
        <r>
          <rPr>
            <b/>
            <sz val="9"/>
            <color indexed="81"/>
            <rFont val="ＭＳ Ｐゴシック"/>
            <family val="3"/>
            <charset val="128"/>
          </rPr>
          <t>misato:</t>
        </r>
        <r>
          <rPr>
            <sz val="9"/>
            <color indexed="81"/>
            <rFont val="ＭＳ Ｐゴシック"/>
            <family val="3"/>
            <charset val="128"/>
          </rPr>
          <t xml:space="preserve">
植民地化により、既存の社会・経済・政治・土地利用システム喪失</t>
        </r>
      </text>
    </comment>
    <comment ref="P39" authorId="0" shapeId="0" xr:uid="{00000000-0006-0000-0100-000018000000}">
      <text>
        <r>
          <rPr>
            <b/>
            <sz val="9"/>
            <color indexed="81"/>
            <rFont val="ＭＳ Ｐゴシック"/>
            <family val="3"/>
            <charset val="128"/>
          </rPr>
          <t>misato:</t>
        </r>
        <r>
          <rPr>
            <sz val="9"/>
            <color indexed="81"/>
            <rFont val="ＭＳ Ｐゴシック"/>
            <family val="3"/>
            <charset val="128"/>
          </rPr>
          <t xml:space="preserve">
inflation caused by speculation and hoarders? Not global market!</t>
        </r>
      </text>
    </comment>
    <comment ref="T40" authorId="0" shapeId="0" xr:uid="{00000000-0006-0000-0100-000019000000}">
      <text>
        <r>
          <rPr>
            <b/>
            <sz val="9"/>
            <color indexed="81"/>
            <rFont val="ＭＳ Ｐゴシック"/>
            <family val="3"/>
            <charset val="128"/>
          </rPr>
          <t>misato:</t>
        </r>
        <r>
          <rPr>
            <sz val="9"/>
            <color indexed="81"/>
            <rFont val="ＭＳ Ｐゴシック"/>
            <family val="3"/>
            <charset val="128"/>
          </rPr>
          <t xml:space="preserve">
the government stockpiled rice to trade with China (anticipating war)</t>
        </r>
      </text>
    </comment>
    <comment ref="U40" authorId="0" shapeId="0" xr:uid="{00000000-0006-0000-0100-00001A000000}">
      <text>
        <r>
          <rPr>
            <b/>
            <sz val="9"/>
            <color indexed="81"/>
            <rFont val="ＭＳ Ｐゴシック"/>
            <family val="3"/>
            <charset val="128"/>
          </rPr>
          <t>misato:</t>
        </r>
        <r>
          <rPr>
            <sz val="9"/>
            <color indexed="81"/>
            <rFont val="ＭＳ Ｐゴシック"/>
            <family val="3"/>
            <charset val="128"/>
          </rPr>
          <t xml:space="preserve">
to the countryside for self sufficiency</t>
        </r>
      </text>
    </comment>
    <comment ref="S45" authorId="0" shapeId="0" xr:uid="{00000000-0006-0000-0100-00001B000000}">
      <text>
        <r>
          <rPr>
            <b/>
            <sz val="9"/>
            <color indexed="81"/>
            <rFont val="ＭＳ Ｐゴシック"/>
            <family val="3"/>
            <charset val="128"/>
          </rPr>
          <t>misato:</t>
        </r>
        <r>
          <rPr>
            <sz val="9"/>
            <color indexed="81"/>
            <rFont val="ＭＳ Ｐゴシック"/>
            <family val="3"/>
            <charset val="128"/>
          </rPr>
          <t xml:space="preserve">
 the rebels sabotaged international aids by EC</t>
        </r>
      </text>
    </comment>
    <comment ref="S47" authorId="0" shapeId="0" xr:uid="{00000000-0006-0000-0100-00001C000000}">
      <text>
        <r>
          <rPr>
            <b/>
            <sz val="9"/>
            <color indexed="81"/>
            <rFont val="ＭＳ Ｐゴシック"/>
            <family val="3"/>
            <charset val="128"/>
          </rPr>
          <t>misato:</t>
        </r>
        <r>
          <rPr>
            <sz val="9"/>
            <color indexed="81"/>
            <rFont val="ＭＳ Ｐゴシック"/>
            <family val="3"/>
            <charset val="128"/>
          </rPr>
          <t xml:space="preserve">
lack of foreign exchange or the policy willingness to import grain</t>
        </r>
      </text>
    </comment>
    <comment ref="S48" authorId="0" shapeId="0" xr:uid="{00000000-0006-0000-0100-00001D000000}">
      <text>
        <r>
          <rPr>
            <b/>
            <sz val="9"/>
            <color indexed="81"/>
            <rFont val="ＭＳ Ｐゴシック"/>
            <family val="3"/>
            <charset val="128"/>
          </rPr>
          <t>misato:</t>
        </r>
        <r>
          <rPr>
            <sz val="9"/>
            <color indexed="81"/>
            <rFont val="ＭＳ Ｐゴシック"/>
            <family val="3"/>
            <charset val="128"/>
          </rPr>
          <t xml:space="preserve">
fragile infrastructure &lt;- civil conflict</t>
        </r>
      </text>
    </comment>
    <comment ref="R53" authorId="0" shapeId="0" xr:uid="{00000000-0006-0000-0100-00001E000000}">
      <text>
        <r>
          <rPr>
            <b/>
            <sz val="9"/>
            <color indexed="81"/>
            <rFont val="ＭＳ Ｐゴシック"/>
            <family val="3"/>
            <charset val="128"/>
          </rPr>
          <t>misato:</t>
        </r>
        <r>
          <rPr>
            <sz val="9"/>
            <color indexed="81"/>
            <rFont val="ＭＳ Ｐゴシック"/>
            <family val="3"/>
            <charset val="128"/>
          </rPr>
          <t xml:space="preserve">
HIV/AIDs,</t>
        </r>
      </text>
    </comment>
    <comment ref="R54" authorId="0" shapeId="0" xr:uid="{00000000-0006-0000-0100-00001F000000}">
      <text>
        <r>
          <rPr>
            <b/>
            <sz val="9"/>
            <color indexed="81"/>
            <rFont val="ＭＳ Ｐゴシック"/>
            <family val="3"/>
            <charset val="128"/>
          </rPr>
          <t>misato:</t>
        </r>
        <r>
          <rPr>
            <sz val="9"/>
            <color indexed="81"/>
            <rFont val="ＭＳ Ｐゴシック"/>
            <family val="3"/>
            <charset val="128"/>
          </rPr>
          <t xml:space="preserve">
Locusts</t>
        </r>
      </text>
    </comment>
    <comment ref="R56" authorId="0" shapeId="0" xr:uid="{00000000-0006-0000-0100-000020000000}">
      <text>
        <r>
          <rPr>
            <b/>
            <sz val="9"/>
            <color indexed="81"/>
            <rFont val="ＭＳ Ｐゴシック"/>
            <family val="3"/>
            <charset val="128"/>
          </rPr>
          <t>pest infestation, short interval from the last crisis</t>
        </r>
      </text>
    </comment>
    <comment ref="V56" authorId="0" shapeId="0" xr:uid="{00000000-0006-0000-0100-000021000000}">
      <text>
        <r>
          <rPr>
            <b/>
            <sz val="9"/>
            <color indexed="81"/>
            <rFont val="ＭＳ Ｐゴシック"/>
            <family val="3"/>
            <charset val="128"/>
          </rPr>
          <t>misato:</t>
        </r>
        <r>
          <rPr>
            <sz val="9"/>
            <color indexed="81"/>
            <rFont val="ＭＳ Ｐゴシック"/>
            <family val="3"/>
            <charset val="128"/>
          </rPr>
          <t xml:space="preserve">
late response</t>
        </r>
      </text>
    </comment>
    <comment ref="R57" authorId="0" shapeId="0" xr:uid="{00000000-0006-0000-0100-000022000000}">
      <text>
        <r>
          <rPr>
            <b/>
            <sz val="9"/>
            <color indexed="81"/>
            <rFont val="ＭＳ Ｐゴシック"/>
            <family val="3"/>
            <charset val="128"/>
          </rPr>
          <t>misato:</t>
        </r>
        <r>
          <rPr>
            <sz val="9"/>
            <color indexed="81"/>
            <rFont val="ＭＳ Ｐゴシック"/>
            <family val="3"/>
            <charset val="128"/>
          </rPr>
          <t xml:space="preserve">
short interval from the last crisis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misato</author>
  </authors>
  <commentList>
    <comment ref="Q10" authorId="0" shapeId="0" xr:uid="{00000000-0006-0000-0500-000001000000}">
      <text>
        <r>
          <rPr>
            <b/>
            <sz val="9"/>
            <color indexed="81"/>
            <rFont val="ＭＳ Ｐゴシック"/>
            <family val="3"/>
            <charset val="128"/>
          </rPr>
          <t>misato:</t>
        </r>
        <r>
          <rPr>
            <sz val="9"/>
            <color indexed="81"/>
            <rFont val="ＭＳ Ｐゴシック"/>
            <family val="3"/>
            <charset val="128"/>
          </rPr>
          <t xml:space="preserve">
storm</t>
        </r>
      </text>
    </comment>
    <comment ref="Q19" authorId="0" shapeId="0" xr:uid="{00000000-0006-0000-0500-000002000000}">
      <text>
        <r>
          <rPr>
            <b/>
            <sz val="9"/>
            <color indexed="81"/>
            <rFont val="ＭＳ Ｐゴシック"/>
            <family val="3"/>
            <charset val="128"/>
          </rPr>
          <t>misato:</t>
        </r>
        <r>
          <rPr>
            <sz val="9"/>
            <color indexed="81"/>
            <rFont val="ＭＳ Ｐゴシック"/>
            <family val="3"/>
            <charset val="128"/>
          </rPr>
          <t xml:space="preserve">
potato fungus</t>
        </r>
      </text>
    </comment>
    <comment ref="Q73" authorId="0" shapeId="0" xr:uid="{00000000-0006-0000-0500-000003000000}">
      <text>
        <r>
          <rPr>
            <b/>
            <sz val="9"/>
            <color indexed="81"/>
            <rFont val="ＭＳ Ｐゴシック"/>
            <family val="3"/>
            <charset val="128"/>
          </rPr>
          <t>misato:</t>
        </r>
        <r>
          <rPr>
            <sz val="9"/>
            <color indexed="81"/>
            <rFont val="ＭＳ Ｐゴシック"/>
            <family val="3"/>
            <charset val="128"/>
          </rPr>
          <t xml:space="preserve">
Fungai</t>
        </r>
      </text>
    </comment>
    <comment ref="Q88" authorId="0" shapeId="0" xr:uid="{00000000-0006-0000-0500-000004000000}">
      <text>
        <r>
          <rPr>
            <b/>
            <sz val="9"/>
            <color indexed="81"/>
            <rFont val="ＭＳ Ｐゴシック"/>
            <family val="3"/>
            <charset val="128"/>
          </rPr>
          <t>misato:</t>
        </r>
        <r>
          <rPr>
            <sz val="9"/>
            <color indexed="81"/>
            <rFont val="ＭＳ Ｐゴシック"/>
            <family val="3"/>
            <charset val="128"/>
          </rPr>
          <t xml:space="preserve">
Locusts, diseases</t>
        </r>
      </text>
    </comment>
    <comment ref="Q109" authorId="0" shapeId="0" xr:uid="{00000000-0006-0000-0500-000005000000}">
      <text>
        <r>
          <rPr>
            <b/>
            <sz val="9"/>
            <color indexed="81"/>
            <rFont val="ＭＳ Ｐゴシック"/>
            <family val="2"/>
            <charset val="128"/>
          </rPr>
          <t>misato:</t>
        </r>
        <r>
          <rPr>
            <sz val="9"/>
            <color indexed="81"/>
            <rFont val="ＭＳ Ｐゴシック"/>
            <family val="2"/>
            <charset val="128"/>
          </rPr>
          <t xml:space="preserve">
loss of  livestock</t>
        </r>
      </text>
    </comment>
    <comment ref="Q112" authorId="0" shapeId="0" xr:uid="{00000000-0006-0000-0500-000006000000}">
      <text>
        <r>
          <rPr>
            <b/>
            <sz val="9"/>
            <color indexed="81"/>
            <rFont val="ＭＳ Ｐゴシック"/>
            <family val="2"/>
            <charset val="128"/>
          </rPr>
          <t>misato:</t>
        </r>
        <r>
          <rPr>
            <sz val="9"/>
            <color indexed="81"/>
            <rFont val="ＭＳ Ｐゴシック"/>
            <family val="2"/>
            <charset val="128"/>
          </rPr>
          <t xml:space="preserve">
loss of livestock</t>
        </r>
      </text>
    </comment>
    <comment ref="S112" authorId="0" shapeId="0" xr:uid="{00000000-0006-0000-0500-000007000000}">
      <text>
        <r>
          <rPr>
            <b/>
            <sz val="9"/>
            <color indexed="81"/>
            <rFont val="ＭＳ Ｐゴシック"/>
            <family val="2"/>
            <charset val="128"/>
          </rPr>
          <t>misato:</t>
        </r>
        <r>
          <rPr>
            <sz val="9"/>
            <color indexed="81"/>
            <rFont val="ＭＳ Ｐゴシック"/>
            <family val="2"/>
            <charset val="128"/>
          </rPr>
          <t xml:space="preserve">
by mining o n transport rout</t>
        </r>
      </text>
    </comment>
    <comment ref="U112" authorId="0" shapeId="0" xr:uid="{00000000-0006-0000-0500-000008000000}">
      <text>
        <r>
          <rPr>
            <b/>
            <sz val="9"/>
            <color indexed="81"/>
            <rFont val="ＭＳ Ｐゴシック"/>
            <family val="2"/>
            <charset val="128"/>
          </rPr>
          <t>misato:</t>
        </r>
        <r>
          <rPr>
            <sz val="9"/>
            <color indexed="81"/>
            <rFont val="ＭＳ Ｐゴシック"/>
            <family val="2"/>
            <charset val="128"/>
          </rPr>
          <t xml:space="preserve">
dictatorship</t>
        </r>
      </text>
    </comment>
    <comment ref="X115" authorId="0" shapeId="0" xr:uid="{00000000-0006-0000-0500-000009000000}">
      <text>
        <r>
          <rPr>
            <b/>
            <sz val="9"/>
            <color indexed="81"/>
            <rFont val="ＭＳ Ｐゴシック"/>
            <family val="2"/>
            <charset val="128"/>
          </rPr>
          <t>misato:</t>
        </r>
        <r>
          <rPr>
            <sz val="9"/>
            <color indexed="81"/>
            <rFont val="ＭＳ Ｐゴシック"/>
            <family val="2"/>
            <charset val="128"/>
          </rPr>
          <t xml:space="preserve">
US blockade</t>
        </r>
      </text>
    </comment>
    <comment ref="Q118" authorId="0" shapeId="0" xr:uid="{00000000-0006-0000-0500-00000A000000}">
      <text>
        <r>
          <rPr>
            <b/>
            <sz val="9"/>
            <color indexed="81"/>
            <rFont val="ＭＳ Ｐゴシック"/>
            <family val="3"/>
            <charset val="128"/>
          </rPr>
          <t>misato:</t>
        </r>
        <r>
          <rPr>
            <sz val="9"/>
            <color indexed="81"/>
            <rFont val="ＭＳ Ｐゴシック"/>
            <family val="3"/>
            <charset val="128"/>
          </rPr>
          <t xml:space="preserve">
Loss of pasture --&gt; cattle raiding --&gt;no cattle --&gt; market system colappse</t>
        </r>
      </text>
    </comment>
    <comment ref="S118" authorId="0" shapeId="0" xr:uid="{00000000-0006-0000-0500-00000B000000}">
      <text>
        <r>
          <rPr>
            <b/>
            <sz val="9"/>
            <color indexed="81"/>
            <rFont val="ＭＳ Ｐゴシック"/>
            <family val="2"/>
            <charset val="128"/>
          </rPr>
          <t>misato:</t>
        </r>
        <r>
          <rPr>
            <sz val="9"/>
            <color indexed="81"/>
            <rFont val="ＭＳ Ｐゴシック"/>
            <family val="2"/>
            <charset val="128"/>
          </rPr>
          <t xml:space="preserve">
The government stockpiled rice</t>
        </r>
      </text>
    </comment>
    <comment ref="U118" authorId="0" shapeId="0" xr:uid="{00000000-0006-0000-0500-00000C000000}">
      <text>
        <r>
          <rPr>
            <b/>
            <sz val="9"/>
            <color indexed="81"/>
            <rFont val="ＭＳ Ｐゴシック"/>
            <family val="2"/>
            <charset val="128"/>
          </rPr>
          <t>misato:</t>
        </r>
        <r>
          <rPr>
            <sz val="9"/>
            <color indexed="81"/>
            <rFont val="ＭＳ Ｐゴシック"/>
            <family val="2"/>
            <charset val="128"/>
          </rPr>
          <t xml:space="preserve">
Pol Pot'S authoritarian regimes</t>
        </r>
      </text>
    </comment>
    <comment ref="U124" authorId="0" shapeId="0" xr:uid="{00000000-0006-0000-0500-00000D000000}">
      <text>
        <r>
          <rPr>
            <b/>
            <sz val="9"/>
            <color indexed="81"/>
            <rFont val="ＭＳ Ｐゴシック"/>
            <family val="3"/>
            <charset val="128"/>
          </rPr>
          <t>misato:</t>
        </r>
        <r>
          <rPr>
            <sz val="9"/>
            <color indexed="81"/>
            <rFont val="ＭＳ Ｐゴシック"/>
            <family val="3"/>
            <charset val="128"/>
          </rPr>
          <t xml:space="preserve">
Colonial government was rluctant to admit the fact.</t>
        </r>
      </text>
    </comment>
    <comment ref="Q142" authorId="0" shapeId="0" xr:uid="{00000000-0006-0000-0500-00000E000000}">
      <text>
        <r>
          <rPr>
            <b/>
            <sz val="9"/>
            <color indexed="81"/>
            <rFont val="ＭＳ Ｐゴシック"/>
            <family val="2"/>
            <charset val="128"/>
          </rPr>
          <t>misato:</t>
        </r>
        <r>
          <rPr>
            <sz val="9"/>
            <color indexed="81"/>
            <rFont val="ＭＳ Ｐゴシック"/>
            <family val="2"/>
            <charset val="128"/>
          </rPr>
          <t xml:space="preserve">
Pests and diseases</t>
        </r>
      </text>
    </comment>
    <comment ref="Q145" authorId="0" shapeId="0" xr:uid="{00000000-0006-0000-0500-00000F000000}">
      <text>
        <r>
          <rPr>
            <b/>
            <sz val="9"/>
            <color indexed="81"/>
            <rFont val="ＭＳ Ｐゴシック"/>
            <family val="2"/>
            <charset val="128"/>
          </rPr>
          <t>misato:</t>
        </r>
        <r>
          <rPr>
            <sz val="9"/>
            <color indexed="81"/>
            <rFont val="ＭＳ Ｐゴシック"/>
            <family val="2"/>
            <charset val="128"/>
          </rPr>
          <t xml:space="preserve">
loss of livestock</t>
        </r>
      </text>
    </comment>
    <comment ref="Y151" authorId="0" shapeId="0" xr:uid="{00000000-0006-0000-0500-000010000000}">
      <text>
        <r>
          <rPr>
            <b/>
            <sz val="9"/>
            <color indexed="81"/>
            <rFont val="ＭＳ Ｐゴシック"/>
            <family val="2"/>
            <charset val="128"/>
          </rPr>
          <t>misato:</t>
        </r>
        <r>
          <rPr>
            <sz val="9"/>
            <color indexed="81"/>
            <rFont val="ＭＳ Ｐゴシック"/>
            <family val="2"/>
            <charset val="128"/>
          </rPr>
          <t xml:space="preserve">
Income loss</t>
        </r>
      </text>
    </comment>
    <comment ref="Y154" authorId="0" shapeId="0" xr:uid="{00000000-0006-0000-0500-000011000000}">
      <text>
        <r>
          <rPr>
            <b/>
            <sz val="9"/>
            <color indexed="81"/>
            <rFont val="ＭＳ Ｐゴシック"/>
            <family val="3"/>
            <charset val="128"/>
          </rPr>
          <t>misato:</t>
        </r>
        <r>
          <rPr>
            <sz val="9"/>
            <color indexed="81"/>
            <rFont val="ＭＳ Ｐゴシック"/>
            <family val="3"/>
            <charset val="128"/>
          </rPr>
          <t xml:space="preserve">
The rapid expansion of emergency food aid provision to meet increased requirements in Southern Sudan has decreased resources in other regions of the country, including Darfur. </t>
        </r>
      </text>
    </comment>
    <comment ref="Y157" authorId="0" shapeId="0" xr:uid="{00000000-0006-0000-0500-000012000000}">
      <text>
        <r>
          <rPr>
            <b/>
            <sz val="9"/>
            <color indexed="81"/>
            <rFont val="ＭＳ Ｐゴシック"/>
            <family val="3"/>
            <charset val="128"/>
          </rPr>
          <t>misato:</t>
        </r>
        <r>
          <rPr>
            <sz val="9"/>
            <color indexed="81"/>
            <rFont val="ＭＳ Ｐゴシック"/>
            <family val="3"/>
            <charset val="128"/>
          </rPr>
          <t xml:space="preserve">
HIV/AIDS</t>
        </r>
      </text>
    </comment>
    <comment ref="Q160" authorId="0" shapeId="0" xr:uid="{00000000-0006-0000-0500-000013000000}">
      <text>
        <r>
          <rPr>
            <b/>
            <sz val="9"/>
            <color indexed="81"/>
            <rFont val="ＭＳ Ｐゴシック"/>
            <family val="3"/>
            <charset val="128"/>
          </rPr>
          <t>misato:</t>
        </r>
        <r>
          <rPr>
            <sz val="9"/>
            <color indexed="81"/>
            <rFont val="ＭＳ Ｐゴシック"/>
            <family val="3"/>
            <charset val="128"/>
          </rPr>
          <t xml:space="preserve">
locusts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misato</author>
  </authors>
  <commentList>
    <comment ref="Q10" authorId="0" shapeId="0" xr:uid="{00000000-0006-0000-0600-000001000000}">
      <text>
        <r>
          <rPr>
            <b/>
            <sz val="9"/>
            <color indexed="81"/>
            <rFont val="ＭＳ Ｐゴシック"/>
            <family val="3"/>
            <charset val="128"/>
          </rPr>
          <t>misato:</t>
        </r>
        <r>
          <rPr>
            <sz val="9"/>
            <color indexed="81"/>
            <rFont val="ＭＳ Ｐゴシック"/>
            <family val="3"/>
            <charset val="128"/>
          </rPr>
          <t xml:space="preserve">
storm</t>
        </r>
      </text>
    </comment>
    <comment ref="Q19" authorId="0" shapeId="0" xr:uid="{00000000-0006-0000-0600-000002000000}">
      <text>
        <r>
          <rPr>
            <b/>
            <sz val="9"/>
            <color indexed="81"/>
            <rFont val="ＭＳ Ｐゴシック"/>
            <family val="3"/>
            <charset val="128"/>
          </rPr>
          <t>misato:</t>
        </r>
        <r>
          <rPr>
            <sz val="9"/>
            <color indexed="81"/>
            <rFont val="ＭＳ Ｐゴシック"/>
            <family val="3"/>
            <charset val="128"/>
          </rPr>
          <t xml:space="preserve">
potato fungus</t>
        </r>
      </text>
    </comment>
    <comment ref="Q73" authorId="0" shapeId="0" xr:uid="{00000000-0006-0000-0600-000003000000}">
      <text>
        <r>
          <rPr>
            <b/>
            <sz val="9"/>
            <color indexed="81"/>
            <rFont val="ＭＳ Ｐゴシック"/>
            <family val="3"/>
            <charset val="128"/>
          </rPr>
          <t>misato:</t>
        </r>
        <r>
          <rPr>
            <sz val="9"/>
            <color indexed="81"/>
            <rFont val="ＭＳ Ｐゴシック"/>
            <family val="3"/>
            <charset val="128"/>
          </rPr>
          <t xml:space="preserve">
Fungai</t>
        </r>
      </text>
    </comment>
    <comment ref="Q88" authorId="0" shapeId="0" xr:uid="{00000000-0006-0000-0600-000004000000}">
      <text>
        <r>
          <rPr>
            <b/>
            <sz val="9"/>
            <color indexed="81"/>
            <rFont val="ＭＳ Ｐゴシック"/>
            <family val="3"/>
            <charset val="128"/>
          </rPr>
          <t>misato:</t>
        </r>
        <r>
          <rPr>
            <sz val="9"/>
            <color indexed="81"/>
            <rFont val="ＭＳ Ｐゴシック"/>
            <family val="3"/>
            <charset val="128"/>
          </rPr>
          <t xml:space="preserve">
Locusts, diseases</t>
        </r>
      </text>
    </comment>
    <comment ref="Q109" authorId="0" shapeId="0" xr:uid="{00000000-0006-0000-0600-000005000000}">
      <text>
        <r>
          <rPr>
            <b/>
            <sz val="9"/>
            <color indexed="81"/>
            <rFont val="ＭＳ Ｐゴシック"/>
            <family val="2"/>
            <charset val="128"/>
          </rPr>
          <t>misato:</t>
        </r>
        <r>
          <rPr>
            <sz val="9"/>
            <color indexed="81"/>
            <rFont val="ＭＳ Ｐゴシック"/>
            <family val="2"/>
            <charset val="128"/>
          </rPr>
          <t xml:space="preserve">
loss of  livestock</t>
        </r>
      </text>
    </comment>
    <comment ref="Q112" authorId="0" shapeId="0" xr:uid="{00000000-0006-0000-0600-000006000000}">
      <text>
        <r>
          <rPr>
            <b/>
            <sz val="9"/>
            <color indexed="81"/>
            <rFont val="ＭＳ Ｐゴシック"/>
            <family val="2"/>
            <charset val="128"/>
          </rPr>
          <t>misato:</t>
        </r>
        <r>
          <rPr>
            <sz val="9"/>
            <color indexed="81"/>
            <rFont val="ＭＳ Ｐゴシック"/>
            <family val="2"/>
            <charset val="128"/>
          </rPr>
          <t xml:space="preserve">
loss of livestock</t>
        </r>
      </text>
    </comment>
    <comment ref="S112" authorId="0" shapeId="0" xr:uid="{00000000-0006-0000-0600-000007000000}">
      <text>
        <r>
          <rPr>
            <b/>
            <sz val="9"/>
            <color indexed="81"/>
            <rFont val="ＭＳ Ｐゴシック"/>
            <family val="2"/>
            <charset val="128"/>
          </rPr>
          <t>misato:</t>
        </r>
        <r>
          <rPr>
            <sz val="9"/>
            <color indexed="81"/>
            <rFont val="ＭＳ Ｐゴシック"/>
            <family val="2"/>
            <charset val="128"/>
          </rPr>
          <t xml:space="preserve">
by mining o n transport rout</t>
        </r>
      </text>
    </comment>
    <comment ref="U112" authorId="0" shapeId="0" xr:uid="{00000000-0006-0000-0600-000008000000}">
      <text>
        <r>
          <rPr>
            <b/>
            <sz val="9"/>
            <color indexed="81"/>
            <rFont val="ＭＳ Ｐゴシック"/>
            <family val="2"/>
            <charset val="128"/>
          </rPr>
          <t>misato:</t>
        </r>
        <r>
          <rPr>
            <sz val="9"/>
            <color indexed="81"/>
            <rFont val="ＭＳ Ｐゴシック"/>
            <family val="2"/>
            <charset val="128"/>
          </rPr>
          <t xml:space="preserve">
dictatorship</t>
        </r>
      </text>
    </comment>
    <comment ref="X115" authorId="0" shapeId="0" xr:uid="{00000000-0006-0000-0600-000009000000}">
      <text>
        <r>
          <rPr>
            <b/>
            <sz val="9"/>
            <color indexed="81"/>
            <rFont val="ＭＳ Ｐゴシック"/>
            <family val="2"/>
            <charset val="128"/>
          </rPr>
          <t>misato:</t>
        </r>
        <r>
          <rPr>
            <sz val="9"/>
            <color indexed="81"/>
            <rFont val="ＭＳ Ｐゴシック"/>
            <family val="2"/>
            <charset val="128"/>
          </rPr>
          <t xml:space="preserve">
US blockade</t>
        </r>
      </text>
    </comment>
    <comment ref="Q118" authorId="0" shapeId="0" xr:uid="{00000000-0006-0000-0600-00000A000000}">
      <text>
        <r>
          <rPr>
            <b/>
            <sz val="9"/>
            <color indexed="81"/>
            <rFont val="ＭＳ Ｐゴシック"/>
            <family val="3"/>
            <charset val="128"/>
          </rPr>
          <t>misato:</t>
        </r>
        <r>
          <rPr>
            <sz val="9"/>
            <color indexed="81"/>
            <rFont val="ＭＳ Ｐゴシック"/>
            <family val="3"/>
            <charset val="128"/>
          </rPr>
          <t xml:space="preserve">
Loss of pasture --&gt; cattle raiding --&gt;no cattle --&gt; market system colappse</t>
        </r>
      </text>
    </comment>
    <comment ref="S118" authorId="0" shapeId="0" xr:uid="{00000000-0006-0000-0600-00000B000000}">
      <text>
        <r>
          <rPr>
            <b/>
            <sz val="9"/>
            <color indexed="81"/>
            <rFont val="ＭＳ Ｐゴシック"/>
            <family val="2"/>
            <charset val="128"/>
          </rPr>
          <t>misato:</t>
        </r>
        <r>
          <rPr>
            <sz val="9"/>
            <color indexed="81"/>
            <rFont val="ＭＳ Ｐゴシック"/>
            <family val="2"/>
            <charset val="128"/>
          </rPr>
          <t xml:space="preserve">
The government stockpiled rice</t>
        </r>
      </text>
    </comment>
    <comment ref="U118" authorId="0" shapeId="0" xr:uid="{00000000-0006-0000-0600-00000C000000}">
      <text>
        <r>
          <rPr>
            <b/>
            <sz val="9"/>
            <color indexed="81"/>
            <rFont val="ＭＳ Ｐゴシック"/>
            <family val="2"/>
            <charset val="128"/>
          </rPr>
          <t>misato:</t>
        </r>
        <r>
          <rPr>
            <sz val="9"/>
            <color indexed="81"/>
            <rFont val="ＭＳ Ｐゴシック"/>
            <family val="2"/>
            <charset val="128"/>
          </rPr>
          <t xml:space="preserve">
Pol Pot'S authoritarian regimes</t>
        </r>
      </text>
    </comment>
    <comment ref="U124" authorId="0" shapeId="0" xr:uid="{00000000-0006-0000-0600-00000D000000}">
      <text>
        <r>
          <rPr>
            <b/>
            <sz val="9"/>
            <color indexed="81"/>
            <rFont val="ＭＳ Ｐゴシック"/>
            <family val="3"/>
            <charset val="128"/>
          </rPr>
          <t>misato:</t>
        </r>
        <r>
          <rPr>
            <sz val="9"/>
            <color indexed="81"/>
            <rFont val="ＭＳ Ｐゴシック"/>
            <family val="3"/>
            <charset val="128"/>
          </rPr>
          <t xml:space="preserve">
Colonial government was rluctant to admit the fact.</t>
        </r>
      </text>
    </comment>
    <comment ref="Q142" authorId="0" shapeId="0" xr:uid="{00000000-0006-0000-0600-00000E000000}">
      <text>
        <r>
          <rPr>
            <b/>
            <sz val="9"/>
            <color indexed="81"/>
            <rFont val="ＭＳ Ｐゴシック"/>
            <family val="2"/>
            <charset val="128"/>
          </rPr>
          <t>misato:</t>
        </r>
        <r>
          <rPr>
            <sz val="9"/>
            <color indexed="81"/>
            <rFont val="ＭＳ Ｐゴシック"/>
            <family val="2"/>
            <charset val="128"/>
          </rPr>
          <t xml:space="preserve">
Pests and diseases</t>
        </r>
      </text>
    </comment>
    <comment ref="Q145" authorId="0" shapeId="0" xr:uid="{00000000-0006-0000-0600-00000F000000}">
      <text>
        <r>
          <rPr>
            <b/>
            <sz val="9"/>
            <color indexed="81"/>
            <rFont val="ＭＳ Ｐゴシック"/>
            <family val="2"/>
            <charset val="128"/>
          </rPr>
          <t>misato:</t>
        </r>
        <r>
          <rPr>
            <sz val="9"/>
            <color indexed="81"/>
            <rFont val="ＭＳ Ｐゴシック"/>
            <family val="2"/>
            <charset val="128"/>
          </rPr>
          <t xml:space="preserve">
loss of livestock</t>
        </r>
      </text>
    </comment>
    <comment ref="Y151" authorId="0" shapeId="0" xr:uid="{00000000-0006-0000-0600-000010000000}">
      <text>
        <r>
          <rPr>
            <b/>
            <sz val="9"/>
            <color indexed="81"/>
            <rFont val="ＭＳ Ｐゴシック"/>
            <family val="2"/>
            <charset val="128"/>
          </rPr>
          <t>misato:</t>
        </r>
        <r>
          <rPr>
            <sz val="9"/>
            <color indexed="81"/>
            <rFont val="ＭＳ Ｐゴシック"/>
            <family val="2"/>
            <charset val="128"/>
          </rPr>
          <t xml:space="preserve">
Income loss</t>
        </r>
      </text>
    </comment>
    <comment ref="Y154" authorId="0" shapeId="0" xr:uid="{00000000-0006-0000-0600-000011000000}">
      <text>
        <r>
          <rPr>
            <b/>
            <sz val="9"/>
            <color indexed="81"/>
            <rFont val="ＭＳ Ｐゴシック"/>
            <family val="3"/>
            <charset val="128"/>
          </rPr>
          <t>misato:</t>
        </r>
        <r>
          <rPr>
            <sz val="9"/>
            <color indexed="81"/>
            <rFont val="ＭＳ Ｐゴシック"/>
            <family val="3"/>
            <charset val="128"/>
          </rPr>
          <t xml:space="preserve">
The rapid expansion of emergency food aid provision to meet increased requirements in Southern Sudan has decreased resources in other regions of the country, including Darfur. </t>
        </r>
      </text>
    </comment>
    <comment ref="Y157" authorId="0" shapeId="0" xr:uid="{00000000-0006-0000-0600-000012000000}">
      <text>
        <r>
          <rPr>
            <b/>
            <sz val="9"/>
            <color indexed="81"/>
            <rFont val="ＭＳ Ｐゴシック"/>
            <family val="3"/>
            <charset val="128"/>
          </rPr>
          <t>misato:</t>
        </r>
        <r>
          <rPr>
            <sz val="9"/>
            <color indexed="81"/>
            <rFont val="ＭＳ Ｐゴシック"/>
            <family val="3"/>
            <charset val="128"/>
          </rPr>
          <t xml:space="preserve">
HIV/AIDS</t>
        </r>
      </text>
    </comment>
    <comment ref="Q160" authorId="0" shapeId="0" xr:uid="{00000000-0006-0000-0600-000013000000}">
      <text>
        <r>
          <rPr>
            <b/>
            <sz val="9"/>
            <color indexed="81"/>
            <rFont val="ＭＳ Ｐゴシック"/>
            <family val="3"/>
            <charset val="128"/>
          </rPr>
          <t>misato:</t>
        </r>
        <r>
          <rPr>
            <sz val="9"/>
            <color indexed="81"/>
            <rFont val="ＭＳ Ｐゴシック"/>
            <family val="3"/>
            <charset val="128"/>
          </rPr>
          <t xml:space="preserve">
locusts</t>
        </r>
      </text>
    </comment>
  </commentList>
</comments>
</file>

<file path=xl/sharedStrings.xml><?xml version="1.0" encoding="utf-8"?>
<sst xmlns="http://schemas.openxmlformats.org/spreadsheetml/2006/main" count="2965" uniqueCount="579">
  <si>
    <t>Year</t>
  </si>
  <si>
    <t>Name</t>
  </si>
  <si>
    <t>Region</t>
  </si>
  <si>
    <t>Death (range)</t>
  </si>
  <si>
    <t>Death</t>
  </si>
  <si>
    <t>Death/Population (%)</t>
  </si>
  <si>
    <t>Pre-famine</t>
  </si>
  <si>
    <t>Shock</t>
  </si>
  <si>
    <t>Response</t>
  </si>
  <si>
    <t>Affected region</t>
  </si>
  <si>
    <t>Population</t>
  </si>
  <si>
    <t>References</t>
  </si>
  <si>
    <t>1903-1906</t>
  </si>
  <si>
    <t>Nigeria</t>
  </si>
  <si>
    <t>Tanzania (south)</t>
  </si>
  <si>
    <t>Tanzania</t>
  </si>
  <si>
    <t>1907, 1911</t>
  </si>
  <si>
    <t>Famines in east-central China</t>
  </si>
  <si>
    <t>China</t>
  </si>
  <si>
    <t>1913-14</t>
  </si>
  <si>
    <t>West Africa (Sahel)</t>
  </si>
  <si>
    <t>Nigeria, Ghana etc</t>
  </si>
  <si>
    <t>1914–1918</t>
  </si>
  <si>
    <t>Mount Lebanon famine during World War I</t>
  </si>
  <si>
    <t>Lebanon</t>
  </si>
  <si>
    <t>Killed about a third of the population</t>
  </si>
  <si>
    <t>1916–1917</t>
  </si>
  <si>
    <t>Famine in Germany in WWI</t>
  </si>
  <si>
    <t>Germany</t>
  </si>
  <si>
    <t>Winter famine in Russia</t>
  </si>
  <si>
    <t>Russia</t>
  </si>
  <si>
    <t>1917–1919</t>
  </si>
  <si>
    <t>Famine in Persia</t>
  </si>
  <si>
    <t>Iran (present day)</t>
  </si>
  <si>
    <t>8,000,000-10,000,000</t>
  </si>
  <si>
    <t>1917-1919</t>
  </si>
  <si>
    <t>Tanzania (central)</t>
  </si>
  <si>
    <t>1917–1921</t>
  </si>
  <si>
    <t>A series of famines in Turkestan at the time of the Bolshevik revolution (October Revolution)</t>
  </si>
  <si>
    <t>Turkestan (Kazakstan today)</t>
  </si>
  <si>
    <t xml:space="preserve"> killed about a sixth of the population</t>
  </si>
  <si>
    <t>1920-21</t>
  </si>
  <si>
    <t>China (Gansu, Shaanxi)</t>
  </si>
  <si>
    <t>Russian famine of 1921</t>
  </si>
  <si>
    <t>1921–1922</t>
  </si>
  <si>
    <t>Famine in Volga German colonies in Russia (=Tatarstan)</t>
  </si>
  <si>
    <t>5,000,000-9,000,000</t>
  </si>
  <si>
    <t>south African drought</t>
  </si>
  <si>
    <t>Mozambique</t>
  </si>
  <si>
    <t>one-third of the population</t>
  </si>
  <si>
    <t>North-west China</t>
  </si>
  <si>
    <t>drought famine in northern nigeria</t>
  </si>
  <si>
    <t>*Death rates increased markedly but no attempt was made by the colonial administration to estimate either human losses or social costs</t>
  </si>
  <si>
    <t>Watts 1983</t>
  </si>
  <si>
    <t>1928–1929</t>
  </si>
  <si>
    <t>Famine in Ruanda-Urundi</t>
  </si>
  <si>
    <t>Rwanda and Burundi (present day)</t>
  </si>
  <si>
    <t>1928–1930</t>
  </si>
  <si>
    <t>Famine in northern China</t>
  </si>
  <si>
    <t>China, Hunan</t>
  </si>
  <si>
    <t>1932–1933</t>
  </si>
  <si>
    <t>Soviet famine (Atarlin's Forced Famine) of Ukraine and North Caucasus area.</t>
  </si>
  <si>
    <t>Ukraine</t>
  </si>
  <si>
    <t>7,000,000-10,000,000</t>
  </si>
  <si>
    <t>1940–1943</t>
  </si>
  <si>
    <t>Famine in Warsaw Ghetto</t>
  </si>
  <si>
    <t>Occupied Poland</t>
  </si>
  <si>
    <t>1941–44</t>
  </si>
  <si>
    <t xml:space="preserve">Leningrad famine </t>
  </si>
  <si>
    <t>1941–1944</t>
  </si>
  <si>
    <t>Famine in Greece</t>
  </si>
  <si>
    <t>Greece</t>
  </si>
  <si>
    <t>1942-1943</t>
  </si>
  <si>
    <t>*Drought
*Wartime policy</t>
  </si>
  <si>
    <t>China (Henan)</t>
  </si>
  <si>
    <t>Bengal famine of 1943</t>
  </si>
  <si>
    <t>Bengal, India</t>
  </si>
  <si>
    <t>2,100,000-3,000,000</t>
  </si>
  <si>
    <t>Famine in Ruanda-Urundi</t>
  </si>
  <si>
    <t>Dutch famine of 1944</t>
  </si>
  <si>
    <t>Netherlands</t>
  </si>
  <si>
    <t>Vietnamese Famine of 1945</t>
  </si>
  <si>
    <t>Vietnam</t>
  </si>
  <si>
    <t>400,000–2,000,000</t>
  </si>
  <si>
    <t>Soviet Famine of 1947</t>
  </si>
  <si>
    <t>Soviet Union</t>
  </si>
  <si>
    <t>1,000,000-1,500,000</t>
  </si>
  <si>
    <t>Famine in Tigray</t>
  </si>
  <si>
    <t>Ethiopia</t>
  </si>
  <si>
    <t>100,000-397,000</t>
  </si>
  <si>
    <t>1959–1961</t>
  </si>
  <si>
    <t>The Great Chinese Famine</t>
  </si>
  <si>
    <t>15,000,000–43,000,000</t>
  </si>
  <si>
    <t>Congo crisis?</t>
  </si>
  <si>
    <t>Wag-Lasta (Wollo) famine</t>
  </si>
  <si>
    <t>45,000-60,000</t>
  </si>
  <si>
    <t>*Government continued to collet taxes when people are already dying.
*Government's leisured reaction
*Food which was brought in for sale was rot while the poor starved.
*Resettlement</t>
  </si>
  <si>
    <t>Awsa district and nine other districts. Tigray, Gonder, and northern Shoa were also affected.</t>
  </si>
  <si>
    <t>Preventing Famine: Policies and prospects for Africa (Curtis)</t>
  </si>
  <si>
    <t>r2</t>
  </si>
  <si>
    <t>1967–1970</t>
  </si>
  <si>
    <t xml:space="preserve">Biafran famine </t>
  </si>
  <si>
    <t>*Independence. Its boundaries had been defined quite arbitrarily.
*Ethnic tensions broke out when the military took over.</t>
  </si>
  <si>
    <t>*Civil war
*The oil-rich eastern region of Biafra was surrounded by government troops, cut off and starving.</t>
  </si>
  <si>
    <t>*The main cause of mortality was kwashiorkor (malnutrition). (cf. infectious diseases)
*The first massive relief operation of Oxfam - Save the Children Fund alone was responsible for feeding nearly 1,5000,000 people in Nigeria.</t>
  </si>
  <si>
    <t>Biafra</t>
  </si>
  <si>
    <t>r0</t>
  </si>
  <si>
    <t>r3</t>
  </si>
  <si>
    <t>http://news.bbc.co.uk/2/hi/africa/596712.stm</t>
  </si>
  <si>
    <t>1968–1972</t>
  </si>
  <si>
    <t>Sahel drought</t>
  </si>
  <si>
    <t>Mauritania, Mali, Chad, Niger and Burkina Faso</t>
  </si>
  <si>
    <t>*Specific policies, initiated during the colonial period and continued by independent governments, can be identified as reducing the ability of West African famers and herders to exploit their environment with an adequate safety margin.</t>
  </si>
  <si>
    <t>*West African Sahel drought</t>
  </si>
  <si>
    <t>*UN Sahelian Office was created to address the problems of drought in the region (1973).
*Extensive damage to livestocks. 15-45% losses of cattle, sheep and goats.
*Economic development was hindered by the losses of lovestocks
*Citizens were unable to take effective measures to protect themselves from 6year-long drough. Approximately half the individuals in the Sahelian region took flight from theirs rural communities to more developed urban centers. Overcrowding became an immense problem (eg. malaria).
*Government response was limited for financial reason and others.</t>
  </si>
  <si>
    <t>http://library.thinkquest.org/05aug/01412/lite/naturaldisasters/drought/casestudy.html</t>
  </si>
  <si>
    <t>http://www.ncbi.nlm.nih.gov/pubmed/640767</t>
  </si>
  <si>
    <t>Maharashtra drought</t>
  </si>
  <si>
    <t>India</t>
  </si>
  <si>
    <t>*Widespread drought all over Maharashtra, even in the traditionally heavy rainfall talukas.</t>
  </si>
  <si>
    <t>*Large scale Maharashtra-wide movement
*The first “employment guarantee scheme” began in the country by worker's movement, but not enough work was created under this scheme to allow people to live.
*Grain was not produced.Fodder was also not produced.</t>
  </si>
  <si>
    <t>Maharashtra</t>
  </si>
  <si>
    <t>http://seekingbegumpura.wordpress.com/2012/08/12/the-1972-3-drought-in-maharashtra/</t>
  </si>
  <si>
    <r>
      <t xml:space="preserve">1972–1973
</t>
    </r>
    <r>
      <rPr>
        <sz val="11"/>
        <color rgb="FFFF0000"/>
        <rFont val="ＭＳ Ｐゴシック"/>
        <family val="2"/>
        <scheme val="minor"/>
      </rPr>
      <t>1973-1975 another phase (preventing famine)</t>
    </r>
  </si>
  <si>
    <t>Famine in Ethiopia (Wollo &amp;Tigray)</t>
  </si>
  <si>
    <t>200,000-500,000</t>
  </si>
  <si>
    <t>*South Wollo is heavily populated and cultivated.
*The land has been divided and subdivided due to population growth.</t>
  </si>
  <si>
    <t>*Drought (but not FAD)
*Harvest failure of 1973 was attributed to the loss of oxen and the shortage of seeds</t>
  </si>
  <si>
    <t>*Insufficient capacity and facility of relief camps.
*Foreign aid arrived after the peak of the starvation was over.
*Mismatch of aid with real distress
*Inability to move food sufficiently quickly into the affected areas, due to inadequate roads and bad transport.
*Food was carried out of Wollo
*Drastically reduced available workforce, which in turn affects the land.
*Grain Deficit Study Committee had been set up and requested for supplementary food, though it was late and insufficient.
*Government played down the severity of the situation and neglected the suffering</t>
  </si>
  <si>
    <t>Wollo, Tigray</t>
  </si>
  <si>
    <t>1974-75</t>
  </si>
  <si>
    <t>Somalia</t>
  </si>
  <si>
    <t>*Tension between Northern and Southern Somalis</t>
  </si>
  <si>
    <t>*Drought
*Serious food shortage and sudden collapse of entitlements
*The widespread crop failure and the subsequent food shortages in neighbouring Ethiopia contributed.</t>
  </si>
  <si>
    <t>*Governmental policy. The nationalisation process and the introduction of price controls seriously disrupted food markets.
*Shutting down of the major historic trade axis.
*Failure of the food rationing system introduced by the government
*Government forced over 100,000 nomads to be transfered from relief camps in the north to more arable lands of southern Somalia, pursuing its objective of settling and convecting pastoralists to farmers.</t>
  </si>
  <si>
    <t>Northern region
*10-15% of entire pastoral population was forced to register in relief camps</t>
  </si>
  <si>
    <t>http://www.somali-jna.org/downloads/Heritage%20of%20war%20%26%20state%20collapse.pdf</t>
  </si>
  <si>
    <t>Bangladesh famine of 1974</t>
  </si>
  <si>
    <t>Bangladesh</t>
  </si>
  <si>
    <t>*Independence war ravaged the economy
*Seriously affected by the oil shock
*Weak economy</t>
  </si>
  <si>
    <t>*Price inflation, which started before the flooding, sky-rocketed rice prices (black money from India, global food price rise).
*Series of devastating floods. However floods and droughts are part of its agriculture. The problem was more on distribution than on production.</t>
  </si>
  <si>
    <t>*Wealthy people hoarded rice
*The new government's inablity to import food from abroad. US placed a food embargo.
*Hardly any flow of petro-dollar from Middle East while those countries did not recognize Bangladesh's application for UN membership.
*The poor internal distribution system of aids. Government prefered to feed the urban middle classes and failed to reach the cery poor.</t>
  </si>
  <si>
    <t>2% of the population</t>
  </si>
  <si>
    <t>http://www.londoni.co/index.php/history-of-bangladesh?id=23</t>
  </si>
  <si>
    <t>http://opinion.bdnews24.com/2013/06/18/1974-famine-in-bangladesh-economic-context-and-myths/</t>
  </si>
  <si>
    <t>1975–1979</t>
  </si>
  <si>
    <t>Khmer Rouge</t>
  </si>
  <si>
    <t>Cambodia</t>
  </si>
  <si>
    <r>
      <rPr>
        <sz val="11"/>
        <color rgb="FFFF0000"/>
        <rFont val="ＭＳ Ｐゴシック"/>
        <family val="2"/>
        <scheme val="minor"/>
      </rPr>
      <t>1,500,000</t>
    </r>
    <r>
      <rPr>
        <sz val="11"/>
        <rFont val="ＭＳ Ｐゴシック"/>
        <family val="2"/>
        <scheme val="minor"/>
      </rPr>
      <t>-2,000,000</t>
    </r>
  </si>
  <si>
    <t>*Severe damage of the Vietnam war. 75% of its draft animals destroyed.
*Khmer Rouge Regime. City dwellers war displaced to villages.</t>
  </si>
  <si>
    <t>*Huge flood destroyed rice planting.</t>
  </si>
  <si>
    <t>*The government stockpiled rice to trade with China, anticipating war with Vietnam. This escalated the food deficit.
*Austere rationing
*Strong reaction from diverse NGOs, not only food aids but also medical aids and supports for human rights.</t>
  </si>
  <si>
    <t>http://worldinfo.org/2012/01/famine-in-cambodia/</t>
  </si>
  <si>
    <t>1980–1981</t>
  </si>
  <si>
    <t>Karamoja</t>
  </si>
  <si>
    <t>Uganda</t>
  </si>
  <si>
    <r>
      <t>30,000</t>
    </r>
    <r>
      <rPr>
        <sz val="11"/>
        <color rgb="FFFF0000"/>
        <rFont val="ＭＳ Ｐゴシック"/>
        <family val="2"/>
        <scheme val="minor"/>
      </rPr>
      <t>-50,000</t>
    </r>
  </si>
  <si>
    <t>*The poorest region of the country. Persistent poor harvest
*Cattle rustling and insecurity
*Poor governance and landlessness
*Due to un-reliable rainfall pattern, drought and hunger are a recurrent feature of life in Karamoja.
*The widespread insecurity in Karamoja resulted in many family groups planting far less than in normal year
*Competition over scarce resources, particularly water and pasture.
*Insecurity resulted in complete breakdown of trade and commerce, which is highly dependent on catlle. No grain from outside the region was brought in and people who still had money could not find little grain to buy at any price.</t>
  </si>
  <si>
    <t>*Recurrent food shortages due to localized drought
*Increased raiding between groups
*General political turmoil</t>
  </si>
  <si>
    <t>*Massive food relief were delivered by international organizations, but not before the enormous death.
*Young men who began to go to school often did not finish and have become unemployed school leavers. These alientated youth are easily recruited into raiding and banditry. The raiding and banditry have taken their toll in human lives as well</t>
  </si>
  <si>
    <t>Karamoja (21 percent of the population died in the twelve months up to December 1980)</t>
  </si>
  <si>
    <t>r1</t>
  </si>
  <si>
    <t>http://www.africa.ufl.edu/asq/v1/1/3.htm</t>
  </si>
  <si>
    <t>1982-85</t>
  </si>
  <si>
    <t xml:space="preserve">*The infrastructure and agricultural profile of the country remain profoundly influened by its colonial heritage. 
*Destroyed infrastructure due to wars
*Widespread use of monocultural crops (particularly cotton) reduced food security of the country and encouraged labor migration </t>
  </si>
  <si>
    <t>*Very serious drought, possibly the most serious one of the century until then.
*The drought was prolonged and intensified by El Nino
*Famine was exacerbated by the conflict between the Frelimo government and the South African-backed Renamo.</t>
  </si>
  <si>
    <t>*Because of the war, food aid could not be delivered to the affected populations.
*South Africa and Renamo's disruption of famine relief.</t>
  </si>
  <si>
    <t>Mozanbique -case study- (Coelho 2000)</t>
  </si>
  <si>
    <t>1984–1985</t>
  </si>
  <si>
    <t>Sudan (Darfur, Kordofan)</t>
  </si>
  <si>
    <t>Sudan</t>
  </si>
  <si>
    <t>*Most of the people rely on farming and off-farm income including livestocks.</t>
  </si>
  <si>
    <t>*Drought caused the failure of harvest in Darfur and loss of pasture.</t>
  </si>
  <si>
    <t>*Many national and international aid agencies shipped food.
*"Problem of distribution  which reflects the purchasing power of different social groups in the struggle over aveilable resources (Tony Barnett)"</t>
  </si>
  <si>
    <t>Darfur, Kordofan</t>
  </si>
  <si>
    <t>Famine Analysis: A Study of Entitlements in Sudan, 1984-1985 (Locke 1993)</t>
  </si>
  <si>
    <t>1984–1985 famine in Ethiopia</t>
  </si>
  <si>
    <t>*More than two decades of insurgency and civil war.
*46% of GDP was allocated to military spending to quell insurgencies.</t>
  </si>
  <si>
    <t>*Drought
*Governmental policies, specifically the set of counter-insurgency strategies
*'Social-transformation' in non-insurgent areas</t>
  </si>
  <si>
    <t>*Inability and unwillingness of the government to deal with the famine provoked universal condemnation by the international community.
*The great majority of the aid was channelled throught the government, which had only a limitted access to the affected population.
*Forced resettlement of peasants caused additional deaths.</t>
  </si>
  <si>
    <t>Sudan (South)</t>
  </si>
  <si>
    <t>*Displacement by the war. People in refugee camps depend on infrequent food distribution.</t>
  </si>
  <si>
    <t>*Drought
*Fighting has disrucpted agricultural cycles</t>
  </si>
  <si>
    <t>*Rebels mine roads and prevent food aid to reach the affected region (southern provinces).</t>
  </si>
  <si>
    <t>900,000 people, nearly three quarters of Equatoria's population, face imminent starvation</t>
  </si>
  <si>
    <t>http://www.nytimes.com/1988/01/03/world/war-and-drought-inflicting-famine-in-sudan.html</t>
  </si>
  <si>
    <t>http://www.columbiauniversity.org/itc/hs/pubhealth/p8473/misc/boss_lec_5.pdf</t>
  </si>
  <si>
    <t>1991–1992</t>
  </si>
  <si>
    <t>Famine in Somalia</t>
  </si>
  <si>
    <t>*Collapse of the central government
*In state of civil war for several years.
*Several years of drought
*Destructed infrastructure
*crowding, lack of clinical sevices, inadequate immunization status of the population, limited access to porable water and poor sanitation.</t>
  </si>
  <si>
    <t>*Conflict and drought</t>
  </si>
  <si>
    <t>*Displacement and disruption of livelihood
*Vicious cycle of political instability, breakdown of public services and conflict over the remaining resources and services.
*The synergistic effect of malnutrition (particularly vitamin A deficiency) and disease. 
*US forces andUN coalition forces sent food aid.
*Public health measure. A mass immunization campaign was implemented</t>
  </si>
  <si>
    <t>25% crude mortality rate for the emergency period in the southwest Bay region
18% in Bur Hakaba in the same period (1992.4-1993.2)
39% in displaced camps around Baidoa</t>
  </si>
  <si>
    <t>http://www.fao.org/docrep/013/i1683e/i1683e.pdf</t>
  </si>
  <si>
    <t>http://www.fews.net/docs/Publications/Lives%20Lost,%20Lives%20Saved.pdf</t>
  </si>
  <si>
    <t>North Korean famine</t>
  </si>
  <si>
    <t>North Korea</t>
  </si>
  <si>
    <t>200,000 -3,500,000</t>
  </si>
  <si>
    <t>*China and former Soviet Union implemented market price. Hard currency payment systems sharply reduced North Korea's ability to import goods.
*Poor international relationship. Labeled a terorist state.
*Aid-dependent</t>
  </si>
  <si>
    <t>*Began with economic crisis and became severe after a flood.</t>
  </si>
  <si>
    <t xml:space="preserve">*Several UN agencies sent survey groups and aids. 
*US maintained a policy to economically isolate NK. </t>
  </si>
  <si>
    <t>12-15% of North Korea's 23 million population may have died</t>
  </si>
  <si>
    <t>http://www1.american.edu/TED/hpages/human/NKorea41.htm</t>
  </si>
  <si>
    <t>Assessing the Food Situation in North Korea (Kim 1998)</t>
  </si>
  <si>
    <t>1998 Sudan famine</t>
  </si>
  <si>
    <t xml:space="preserve">*Decades of civil wars between southern and northern Sudan created a vulnerable condition. </t>
  </si>
  <si>
    <t>*Internal and border insecurity, drought and huge influx of returnees from the north made up a famine condition.</t>
  </si>
  <si>
    <t>http://worldinfo.org/2012/01/famine-in-south-sudan/</t>
  </si>
  <si>
    <t>http://www.fao.org/docrep/004/x0388e/x0388e00.HTM</t>
  </si>
  <si>
    <t>1998–2000</t>
  </si>
  <si>
    <t>Famine in Ethiopia</t>
  </si>
  <si>
    <t>19900 (Gode zone alone)
-100,000</t>
  </si>
  <si>
    <t xml:space="preserve">*Eritrean–Ethiopian War over their mutual border worsen the food shortage caused by a drought. </t>
  </si>
  <si>
    <t>*Aid agencies had responded late in drawing people into relief camps
*Communicable diseases such as measles spread rapidly in relief camps</t>
  </si>
  <si>
    <t>Somali and others</t>
  </si>
  <si>
    <t>http://www.irinnews.org/report/89121/analysis-what-is-a-famine</t>
  </si>
  <si>
    <r>
      <rPr>
        <sz val="11"/>
        <rFont val="ＭＳ Ｐゴシック"/>
        <family val="2"/>
        <scheme val="minor"/>
      </rPr>
      <t xml:space="preserve">White2005, </t>
    </r>
    <r>
      <rPr>
        <u/>
        <sz val="11"/>
        <rFont val="ＭＳ Ｐゴシック"/>
        <family val="2"/>
        <scheme val="minor"/>
      </rPr>
      <t>http://onlinelibrary.wiley.com/doi/10.1111/j.0361-3666.2005.00286.x/pdf</t>
    </r>
  </si>
  <si>
    <t>1998–2004</t>
  </si>
  <si>
    <t>Second Congo War</t>
  </si>
  <si>
    <t>DRC, Rwanda</t>
  </si>
  <si>
    <r>
      <t>3800000</t>
    </r>
    <r>
      <rPr>
        <sz val="11"/>
        <color rgb="FFFF0000"/>
        <rFont val="ＭＳ Ｐゴシック"/>
        <family val="2"/>
        <scheme val="minor"/>
      </rPr>
      <t>-5,400,000</t>
    </r>
  </si>
  <si>
    <r>
      <t xml:space="preserve">*Political unrest between DRC/Rwanda caused by Hutu refugee at genocide in Rwanda in 1994
*International demand for </t>
    </r>
    <r>
      <rPr>
        <sz val="11"/>
        <color rgb="FFFF0000"/>
        <rFont val="ＭＳ Ｐゴシック"/>
        <family val="2"/>
        <scheme val="minor"/>
      </rPr>
      <t>natural resources</t>
    </r>
    <r>
      <rPr>
        <sz val="11"/>
        <rFont val="ＭＳ Ｐゴシック"/>
        <family val="2"/>
        <scheme val="minor"/>
      </rPr>
      <t xml:space="preserve">
*Economic mismanagement and patrimonial rule failed to adequately deal with natural resources
*Low national income, limited access to health and education, and the total disintegration of economic and transport infrastructure
*Land tenue policies</t>
    </r>
  </si>
  <si>
    <r>
      <t xml:space="preserve">*The Second Congo </t>
    </r>
    <r>
      <rPr>
        <sz val="11"/>
        <color rgb="FFFF0000"/>
        <rFont val="ＭＳ Ｐゴシック"/>
        <family val="2"/>
        <scheme val="minor"/>
      </rPr>
      <t>War</t>
    </r>
    <r>
      <rPr>
        <sz val="11"/>
        <rFont val="ＭＳ Ｐゴシック"/>
        <family val="2"/>
        <scheme val="minor"/>
      </rPr>
      <t xml:space="preserve"> (1998-2003) --&gt; production decrease, limited access to markets, reduction of financial means
*Eastern Congo, which is rich in natural resources, continued to be unstable even after the war</t>
    </r>
  </si>
  <si>
    <r>
      <t>*</t>
    </r>
    <r>
      <rPr>
        <sz val="11"/>
        <color rgb="FF0070C0"/>
        <rFont val="ＭＳ Ｐゴシック"/>
        <family val="2"/>
        <scheme val="minor"/>
      </rPr>
      <t>UN's mission</t>
    </r>
    <r>
      <rPr>
        <sz val="11"/>
        <rFont val="ＭＳ Ｐゴシック"/>
        <family val="2"/>
        <scheme val="minor"/>
      </rPr>
      <t xml:space="preserve"> called MONUC is mandated to protect civilians and help in the reconstruction of the country.
*Despite international community's support for political and diplomatic efforts, no effective steps have been taken.
*IMF, WB and other international bodies increased their development</t>
    </r>
    <r>
      <rPr>
        <sz val="11"/>
        <color rgb="FF0070C0"/>
        <rFont val="ＭＳ Ｐゴシック"/>
        <family val="2"/>
        <scheme val="minor"/>
      </rPr>
      <t xml:space="preserve"> aid</t>
    </r>
    <r>
      <rPr>
        <sz val="11"/>
        <rFont val="ＭＳ Ｐゴシック"/>
        <family val="2"/>
        <scheme val="minor"/>
      </rPr>
      <t xml:space="preserve"> and </t>
    </r>
    <r>
      <rPr>
        <sz val="11"/>
        <color rgb="FF0070C0"/>
        <rFont val="ＭＳ Ｐゴシック"/>
        <family val="2"/>
        <scheme val="minor"/>
      </rPr>
      <t>financially supported</t>
    </r>
    <r>
      <rPr>
        <sz val="11"/>
        <rFont val="ＭＳ Ｐゴシック"/>
        <family val="2"/>
        <scheme val="minor"/>
      </rPr>
      <t xml:space="preserve"> the government's transitional reform
*Presence of </t>
    </r>
    <r>
      <rPr>
        <sz val="11"/>
        <color rgb="FFFF0000"/>
        <rFont val="ＭＳ Ｐゴシック"/>
        <family val="2"/>
        <scheme val="minor"/>
      </rPr>
      <t>foreign militias</t>
    </r>
    <r>
      <rPr>
        <sz val="11"/>
        <rFont val="ＭＳ Ｐゴシック"/>
        <family val="2"/>
        <scheme val="minor"/>
      </rPr>
      <t xml:space="preserve"> is a major source of insecurity
*The war has resulted in considerable regional disparities.
*Coping strategies (eg. development of peri-urban and urban agriculture)</t>
    </r>
  </si>
  <si>
    <t>http://worldwithoutgenocide.org/genocides-and-conflicts/congo</t>
  </si>
  <si>
    <t>ftp://ftp.fao.org/docrep/fao/009/ag307e/ag307e00.pdf</t>
  </si>
  <si>
    <t>2000-2007</t>
  </si>
  <si>
    <t>Zimbabwe food crisis</t>
  </si>
  <si>
    <t>Zimbabwe</t>
  </si>
  <si>
    <r>
      <t xml:space="preserve">*Unstable </t>
    </r>
    <r>
      <rPr>
        <sz val="11"/>
        <color rgb="FFFF0000"/>
        <rFont val="ＭＳ Ｐゴシック"/>
        <family val="2"/>
        <scheme val="minor"/>
      </rPr>
      <t>political</t>
    </r>
    <r>
      <rPr>
        <sz val="11"/>
        <rFont val="ＭＳ Ｐゴシック"/>
        <family val="2"/>
        <scheme val="minor"/>
      </rPr>
      <t xml:space="preserve"> environment due to the flawed process of the Presidential election
*The deteriorating </t>
    </r>
    <r>
      <rPr>
        <sz val="11"/>
        <color rgb="FFFF0000"/>
        <rFont val="ＭＳ Ｐゴシック"/>
        <family val="2"/>
        <scheme val="minor"/>
      </rPr>
      <t>economic situation</t>
    </r>
    <r>
      <rPr>
        <sz val="11"/>
        <rFont val="ＭＳ Ｐゴシック"/>
        <family val="2"/>
        <scheme val="minor"/>
      </rPr>
      <t xml:space="preserve"> with high inflation, high unemployment and closure of factories and businesses due to dwindling confidence in the investment environment.
*Extreme decline of foreign currency due to withdrawal of aid by the donor community and a severe reduction in </t>
    </r>
    <r>
      <rPr>
        <sz val="11"/>
        <color rgb="FFFF0000"/>
        <rFont val="ＭＳ Ｐゴシック"/>
        <family val="2"/>
        <scheme val="minor"/>
      </rPr>
      <t xml:space="preserve">foreign exchange earnings </t>
    </r>
    <r>
      <rPr>
        <sz val="11"/>
        <rFont val="ＭＳ Ｐゴシック"/>
        <family val="2"/>
        <scheme val="minor"/>
      </rPr>
      <t xml:space="preserve">from sales of tabacco, gold, and cotton.
*Over 30% of he population were affected by </t>
    </r>
    <r>
      <rPr>
        <sz val="11"/>
        <color rgb="FFFF0000"/>
        <rFont val="ＭＳ Ｐゴシック"/>
        <family val="2"/>
        <scheme val="minor"/>
      </rPr>
      <t>HIV/AIDS</t>
    </r>
    <r>
      <rPr>
        <sz val="11"/>
        <rFont val="ＭＳ Ｐゴシック"/>
        <family val="2"/>
        <scheme val="minor"/>
      </rPr>
      <t>, which has had a detrimental effect on the economy and caused increased pressure on health services.</t>
    </r>
  </si>
  <si>
    <r>
      <t xml:space="preserve">*The </t>
    </r>
    <r>
      <rPr>
        <sz val="11"/>
        <color rgb="FFFF0000"/>
        <rFont val="ＭＳ Ｐゴシック"/>
        <family val="2"/>
        <scheme val="minor"/>
      </rPr>
      <t xml:space="preserve">land reform programme </t>
    </r>
    <r>
      <rPr>
        <sz val="11"/>
        <rFont val="ＭＳ Ｐゴシック"/>
        <family val="2"/>
        <scheme val="minor"/>
      </rPr>
      <t>that made commercial farmers homeless and jobless by compulsory acquisition.
*Erractic rainfall (</t>
    </r>
    <r>
      <rPr>
        <sz val="11"/>
        <color rgb="FFFF0000"/>
        <rFont val="ＭＳ Ｐゴシック"/>
        <family val="2"/>
        <scheme val="minor"/>
      </rPr>
      <t>floods</t>
    </r>
    <r>
      <rPr>
        <sz val="11"/>
        <rFont val="ＭＳ Ｐゴシック"/>
        <family val="2"/>
        <scheme val="minor"/>
      </rPr>
      <t xml:space="preserve"> followed by </t>
    </r>
    <r>
      <rPr>
        <sz val="11"/>
        <color rgb="FFFF0000"/>
        <rFont val="ＭＳ Ｐゴシック"/>
        <family val="2"/>
        <scheme val="minor"/>
      </rPr>
      <t>drought</t>
    </r>
    <r>
      <rPr>
        <sz val="11"/>
        <rFont val="ＭＳ Ｐゴシック"/>
        <family val="2"/>
        <scheme val="minor"/>
      </rPr>
      <t xml:space="preserve"> in the 2001/02 crop season)</t>
    </r>
  </si>
  <si>
    <t>*Import have been insufficient to meet the production deficit
*Prices on the black market have soared due to an absolute shortage of maize etc.
*'Politicisation of data'
Food was being used as a political weapon.Families that supported the opposition were denied the right to buy food from the government's Grain Marketing Board warehouse
*Save the Children and Oxfam were banned by the government from distributing WFP food aid as they were viewed as loyal to the opposition party.
*The crisis received a certain amount of media attention and has been included in various aid agency appeals, with food aid viewed as a priority.
*Moost of the appeals were food and there are less on health or others</t>
  </si>
  <si>
    <t>6.7 million people (49% of the population) would require emergency food aid up to March 2003</t>
  </si>
  <si>
    <t>http://fex.ennonline.net/18/understanding</t>
  </si>
  <si>
    <t>2003-</t>
  </si>
  <si>
    <t>Darfur Conflict</t>
  </si>
  <si>
    <t>*2 million people have been displaced by war
*The conflict caused problems with trade and markets
*Ethnic tensions amoung tribes</t>
  </si>
  <si>
    <t>*The rapid expansion of emergency food aid provision in Southern Sudan did decrease resources in other regions of the country, including Darfur.
*USAID/OFDA provided five grantees implementing agriculture and food security interventions, including seed and tool voucher programs (FY2010)</t>
  </si>
  <si>
    <t>Still 45% of households were in food insecure at 2008 (1.7million)</t>
  </si>
  <si>
    <t>http://worldinfo.org/2012/01/famine-in-darfur/</t>
  </si>
  <si>
    <t>2005(2001-02?)</t>
  </si>
  <si>
    <t>Malawi food crisis</t>
  </si>
  <si>
    <t>Malawi</t>
  </si>
  <si>
    <t>*Aroung 15% of the population is estimated to be HIV/AIDS. Loss of labour due to death, illness or the diversion of labour to care for the sick affecting agricultural production
*Agricultrue-driven economy
*Increaseing natural disasters</t>
  </si>
  <si>
    <t>*Drought
*Flood</t>
  </si>
  <si>
    <t>*FAO promoted crop diversification to reduce reliance on maize,small livestock production, small-scale irrigation and income generating activities.</t>
  </si>
  <si>
    <t>More than 4.2 million people, or over 34 percent of the population, are unable to meet their food needs.</t>
  </si>
  <si>
    <t>http://www.fao.org/newsroom/en/news/2005/107298/</t>
  </si>
  <si>
    <t>2005-2006</t>
  </si>
  <si>
    <t>Niger food crisis</t>
  </si>
  <si>
    <t>Niger</t>
  </si>
  <si>
    <t>*Several years of economic hardship have lowered people's capability to deal with shocks.
*Agricultrue-driven economy</t>
  </si>
  <si>
    <t>*Drought
*Locusts
*With limited food supplies, increasingly high prices for local food staples, and falling livestock prices, many vulnerable households (particularly pastoralists) have had difficulty accessing food</t>
  </si>
  <si>
    <t>*Lack of seeds in hard-striken regions dispite adequare rainfall.
*EWS including GIEWS forcasted a food crisis in late 2004. The extent of natural damage was known, but not the extent of economic depression and the impact of crop failure on rural populations.
*FAO made an appeal for funding, but the donor responses were slow.</t>
  </si>
  <si>
    <t>2.5 million people in around 3000 villages are a t risk of food shortage</t>
  </si>
  <si>
    <t>http://www.fao.org/newsroom/en/news/2005/105443/index.html</t>
  </si>
  <si>
    <t>http://www.fao.org/newsroom/en/news/2005/107057/article_107066en.html</t>
  </si>
  <si>
    <t>http://tng.brixtonhealth.com/sites/default/files/NigerNEJM190106MSF.pdf</t>
  </si>
  <si>
    <t>Horn of Africa food crisis</t>
  </si>
  <si>
    <t>Djibouti, Eritrea, Ethiopia, Kenya, Somalia</t>
  </si>
  <si>
    <t>2011-2012</t>
  </si>
  <si>
    <t>Somalia, Ethiopia and Kenya</t>
  </si>
  <si>
    <t>4.6% of the population</t>
  </si>
  <si>
    <t>http://globalbhasin.blogspot.jp/2013/05/world-hunger-update.html</t>
  </si>
  <si>
    <t>Famine in West Africa</t>
  </si>
  <si>
    <t>Senegal, Gambia, Niger, Mauritania, Mali, Burkina Faso</t>
  </si>
  <si>
    <t>ID</t>
  </si>
  <si>
    <t>Page</t>
  </si>
  <si>
    <t>Memo</t>
  </si>
  <si>
    <t>Drought</t>
  </si>
  <si>
    <t>Flood</t>
  </si>
  <si>
    <t>Natural resources management</t>
  </si>
  <si>
    <t>Population growth</t>
  </si>
  <si>
    <t>Wars &amp; conflicts</t>
  </si>
  <si>
    <t>Market price</t>
  </si>
  <si>
    <t>Rationing system</t>
  </si>
  <si>
    <t>Others (shift to cash crops etc.)</t>
  </si>
  <si>
    <t>Transport system</t>
  </si>
  <si>
    <t>Food distribution</t>
  </si>
  <si>
    <t>Displacement</t>
  </si>
  <si>
    <t>Governance</t>
  </si>
  <si>
    <t>Political system</t>
  </si>
  <si>
    <t>資本主義経済</t>
  </si>
  <si>
    <t>Natural</t>
  </si>
  <si>
    <t>Socio</t>
  </si>
  <si>
    <t>war x drought</t>
  </si>
  <si>
    <t>exploit x war</t>
  </si>
  <si>
    <t>number</t>
  </si>
  <si>
    <t>socio only</t>
  </si>
  <si>
    <t>AF</t>
  </si>
  <si>
    <t>EAF</t>
  </si>
  <si>
    <t>AS</t>
  </si>
  <si>
    <t>EAS</t>
  </si>
  <si>
    <t>25 million</t>
  </si>
  <si>
    <t>?</t>
  </si>
  <si>
    <t>http://knowledge.sagepub.com/view/disasterrelief/n31.xml</t>
  </si>
  <si>
    <t>WAF</t>
  </si>
  <si>
    <t>1(Out?)</t>
  </si>
  <si>
    <t>Famine that Kills : Darfur, Sudan: Darfur, Sudan (DeWaal)</t>
  </si>
  <si>
    <t>WAS</t>
  </si>
  <si>
    <t>blockade initiated by Turky</t>
  </si>
  <si>
    <t>http://www.mongabay.com/history/lebanon/lebanon-world_war_i_world_war_i_and_the_french_mandate,_1914-41.html</t>
  </si>
  <si>
    <t>EU</t>
  </si>
  <si>
    <t>WEU</t>
  </si>
  <si>
    <t>caused by the British blockade</t>
  </si>
  <si>
    <t>The Social and Political Consequences of the Allied Food Blockade of Germany, 1918-19 (Howard, 1993)</t>
  </si>
  <si>
    <t>EEU</t>
  </si>
  <si>
    <t>http://www.johndclare.net/Basics_Russia.htm</t>
  </si>
  <si>
    <t>SCAS</t>
  </si>
  <si>
    <t>8-10 million</t>
  </si>
  <si>
    <t>Financial and commercial policies of Great Britain</t>
  </si>
  <si>
    <t>Exploring Great Britain's Role in Great Famine in Iran during WWpart1 (Delshad)</t>
  </si>
  <si>
    <t>Triggered by drought but preceded by three years of requisitioning by British and German soldiers of local grain reserves and livestock</t>
  </si>
  <si>
    <t>Mtunya: Famine in Central Tanzania, 1917-20 (Maddox 1990)</t>
  </si>
  <si>
    <t>Famine in the 20th century (Devereux)</t>
  </si>
  <si>
    <t>FAD</t>
  </si>
  <si>
    <t>A Short History of the World (Wells 1922?) http://www.bartleby.com/86/66.html</t>
  </si>
  <si>
    <t>5 million</t>
  </si>
  <si>
    <t>Insufficient food aid (&lt;30%), Repressive policy (high food levy despite low yield)</t>
  </si>
  <si>
    <t>Climate Dependence and Food Problems in Russia, 1900-1990</t>
  </si>
  <si>
    <t>5-9 million</t>
  </si>
  <si>
    <t>Political, social, and economic upheavals in the aftermath of the revolution laid the foundation for the terrible human suffering.</t>
  </si>
  <si>
    <t>The Goodriches: An American Family (Starbuck 2001)</t>
  </si>
  <si>
    <t>http://www.volgagermans.net/norka/famine_1920s.html</t>
  </si>
  <si>
    <t>Triggered by drought, worsened by local warlords and harsh taxes.</t>
  </si>
  <si>
    <t>http://www.smh.com.au/world/ten-worst-famines-of-the-20th-century-20110815-1iu2w.html</t>
  </si>
  <si>
    <t>CAF</t>
  </si>
  <si>
    <r>
      <t xml:space="preserve">causing large migrations to the Congo. Union Miniere used the famine as a means to draw more labour out of the area where they skimmed high taxes
</t>
    </r>
    <r>
      <rPr>
        <sz val="11"/>
        <color rgb="FFFF0000"/>
        <rFont val="ＭＳ Ｐゴシック"/>
        <family val="2"/>
        <scheme val="minor"/>
      </rPr>
      <t>1943-44の陰に隠れて…</t>
    </r>
  </si>
  <si>
    <t>http://www.cotf.edu/ete/modules/mgorilla/mgfamine.html</t>
  </si>
  <si>
    <t>A Working class in the making (Higgingson 1989)</t>
  </si>
  <si>
    <t>3 million</t>
  </si>
  <si>
    <t>embargo, railway cutoff</t>
  </si>
  <si>
    <t>Food, Famine, and the Chinese State: The Jourbnal of Asian Studies (M.Li, 1982)</t>
  </si>
  <si>
    <t>7–10 million</t>
  </si>
  <si>
    <t>Soviet Union blocked outside support, collective agriculture</t>
  </si>
  <si>
    <t>http://www.historyplace.com/worldhistory/genocide/stalin.htm</t>
  </si>
  <si>
    <t>大飢饉なのにレポートがない…</t>
  </si>
  <si>
    <t>"Hunger Strategy" of Nazi</t>
  </si>
  <si>
    <t>1?</t>
  </si>
  <si>
    <t>“The Annihilation of Superfluous Eaters”: Nazi Plans for and Uses of Famine in Eastern Europe (Welch)</t>
  </si>
  <si>
    <t>1 million</t>
  </si>
  <si>
    <t>caused by a 900-day blockade by German troops. supply routes to the city were cut off and temperatures dropped to −40º C.</t>
  </si>
  <si>
    <t>Food and Famine in the 21st century vol.1 (Dando2012)</t>
  </si>
  <si>
    <t>caused by the Axis occupation by Nazi. Import blocked, exported to Germany</t>
  </si>
  <si>
    <t>http://histclo.com/country/gre/chron/1940/gc40-occ.html</t>
  </si>
  <si>
    <t>Combination of invasion by Japan and grain seizures by the Chinese army. Heavy taxes. Peasants were forced to sell oxes that are necessarry for cultivation.</t>
  </si>
  <si>
    <t>http://www.sjsu.edu/faculty/watkins/henanfamine.htm</t>
  </si>
  <si>
    <t>2.1-3 million</t>
  </si>
  <si>
    <t>Manmade disaster: the tragedy in Bengal were made greater by hand of man under British rule. Hoarding of the rich &amp; poor governance</t>
  </si>
  <si>
    <t>http://www.ibtimes.com/bengal-famine-1943-man-made-holocaust-1100525</t>
  </si>
  <si>
    <t>Belgian governor attempted to make the economy self-sufficient. Caused migrations to the Congo</t>
  </si>
  <si>
    <t>Famine Crimes: Politics &amp; the Disaster Relief Industry in Africa (De Waal 1997)</t>
  </si>
  <si>
    <t>SEAS</t>
  </si>
  <si>
    <t>400,000–2 million</t>
  </si>
  <si>
    <t>http://www.amchamvietnam.com/3121/1945-famine-in-vietnam-n-n-i-t-d-u/</t>
  </si>
  <si>
    <t>1–1.5 million</t>
  </si>
  <si>
    <t>High taxes, exports, stockpile. The poors were excluded from public distribution system.</t>
  </si>
  <si>
    <t>The 1947 Soviet famine and the
entitlement approach to famines (M Ellman 2000)</t>
  </si>
  <si>
    <t>Famine in Ethiopia: Of Coping Failure at National and Household Levels
 (P. Webb, IFPRI1992)</t>
  </si>
  <si>
    <t>15–43 million</t>
  </si>
  <si>
    <t>The Institutional Causes of China’s Great Famine, 1959-1961 (Meng 2013)</t>
  </si>
  <si>
    <t>Weg-Lasta (Wollo) famine</t>
  </si>
  <si>
    <t>The government continued to collect taxes while people are already dying</t>
  </si>
  <si>
    <t>Conflict,  Nigerian blockade, government blocked international aids</t>
  </si>
  <si>
    <t>Some says this is a "prevented famine". The first “employment guarantee scheme” began in the country by worker's movement</t>
  </si>
  <si>
    <t>1972–1973</t>
  </si>
  <si>
    <t>caused by drought and poor governance; failure of the government to handle this crisis led to the fall of Haile Selassie and to Derg rule</t>
  </si>
  <si>
    <t>War, floods, harvest shortfall, money inflow from India--&gt; inflation</t>
  </si>
  <si>
    <t>500,000-2,000,000</t>
  </si>
  <si>
    <t>Human agency</t>
  </si>
  <si>
    <t>Caused by drought and conflict</t>
  </si>
  <si>
    <t>Mozanbique</t>
  </si>
  <si>
    <t>People fully dependent on external assisstance</t>
  </si>
  <si>
    <t>NAF</t>
  </si>
  <si>
    <t xml:space="preserve">War, human agency, </t>
  </si>
  <si>
    <t>drought</t>
  </si>
  <si>
    <t>200,000 to 3.5 million</t>
  </si>
  <si>
    <t>Caused by heavy rain and economical crisis. Limited international aids</t>
  </si>
  <si>
    <t>Assessing the Food Situation in North Korea (Woon 1998)</t>
  </si>
  <si>
    <t>caused by war and drought</t>
  </si>
  <si>
    <t>The situation worsened by Eritrean–Ethiopian War</t>
  </si>
  <si>
    <r>
      <rPr>
        <sz val="11"/>
        <rFont val="ＭＳ Ｐゴシック"/>
        <family val="2"/>
        <scheme val="minor"/>
      </rPr>
      <t xml:space="preserve">White2005, </t>
    </r>
    <r>
      <rPr>
        <u/>
        <sz val="11"/>
        <color theme="10"/>
        <rFont val="ＭＳ Ｐゴシック"/>
        <family val="2"/>
        <scheme val="minor"/>
      </rPr>
      <t>http://onlinelibrary.wiley.com/doi/10.1111/j.0361-3666.2005.00286.x/pdf</t>
    </r>
  </si>
  <si>
    <t xml:space="preserve">Second Congo War. </t>
  </si>
  <si>
    <t>DRC</t>
  </si>
  <si>
    <t>mostly from starvation and disease</t>
  </si>
  <si>
    <t>SAF</t>
  </si>
  <si>
    <t>Agricultural production has been reduced by Mugabe's land reform policies and weather conditions. HIV/AIDs had an effect on the economy and caused incereased pressure on health services.</t>
  </si>
  <si>
    <t>The rapid expansion of emergency food aid provision to meet increased requirements in Southern Sudan has decreased resources in other regions of the country, including Darfur.</t>
  </si>
  <si>
    <t>Too much farm subsidize --&gt;autocratic--&gt;lost donor</t>
  </si>
  <si>
    <t>several years of economic hardship or decline have also lowered people's capacity to deal with shocks. Lack of seed</t>
  </si>
  <si>
    <t>Pastoralists are especially at risk</t>
  </si>
  <si>
    <t>http://www.fao.org/newsroom/en/news/2006/1000206/index.html</t>
  </si>
  <si>
    <t>http://www.fao.org/newsroom/en/news/2006/1000284/index.html</t>
  </si>
  <si>
    <t>2011-</t>
  </si>
  <si>
    <t>brought on by the 2011 East Africa drought</t>
  </si>
  <si>
    <t>http://www.theguardian.com/world/2012/jan/18/east-africa-drought-disaster-report</t>
  </si>
  <si>
    <t>http://www.fao.org/news/story/en/item/152914/icode/</t>
  </si>
  <si>
    <t>brought on by the 2012 Sahel drought.  A combination of failed crops, insect plague, high food prices, conflict and drought. 食糧価格高騰(アメリカ大干ばつ)</t>
  </si>
  <si>
    <t>Theories of Famine</t>
  </si>
  <si>
    <t>Famine: A Short History (O Grada 1009)</t>
  </si>
  <si>
    <t>http://books.google.co.jp/books/p/princeton?id=LoN2XkjJio4C&amp;printsec=frontcover&amp;hl=en&amp;source=gbs_ViewAPI&amp;redir_esc=y#v=onepage&amp;q&amp;f=false</t>
  </si>
  <si>
    <t>Famine in the Twentieth Century (Devereux)</t>
  </si>
  <si>
    <t>http://www.ieham.org/html/docs/Famine%20in%20the%20Twentieth%20Century%20Devereaux.pdf</t>
  </si>
  <si>
    <t>The New Famine (2007 De Waal)</t>
  </si>
  <si>
    <t>ayasiiindakedo</t>
  </si>
  <si>
    <t>http://www.armageddononline.org/disaster/Casualty-by-Natural/</t>
  </si>
  <si>
    <t>cash for work programme (FAO)</t>
  </si>
  <si>
    <t>http://www.who.int/bulletin/volumes/88/11/10-080994/en/</t>
  </si>
  <si>
    <t xml:space="preserve">state of </t>
  </si>
  <si>
    <t>GIEWS, FAO</t>
  </si>
  <si>
    <t>http://www.fao.org/giews/english/index.htm</t>
  </si>
  <si>
    <t>“The Annihilation of Superfluous Eaters”: Nazi Plans for and Uses of Famine in Eastern Europe</t>
  </si>
  <si>
    <t>FindTheData</t>
  </si>
  <si>
    <t>http://natural-disaster.findthedata.org/</t>
  </si>
  <si>
    <t>Hunger, Famine and the Space of Vulnerability (1993 Watts)</t>
  </si>
  <si>
    <t>http://download.springer.com/static/pdf/151/art%253A10.1007%252FBF00808128.pdf?auth66=1379689009_601b78bb0cc0e4bc005bf0f562615c2c&amp;ext=.pdf</t>
  </si>
  <si>
    <t>飢饉に備えて貯蓄はあった。</t>
  </si>
  <si>
    <t>103-106</t>
  </si>
  <si>
    <t>WW1後に各地で飢饉起きた。The war took men from the farms and food to the front, and I clogged up the railway system. Price rose.</t>
  </si>
  <si>
    <t>Conflict</t>
  </si>
  <si>
    <t>Drought (EMDAT)</t>
  </si>
  <si>
    <t>Drought (literature)</t>
  </si>
  <si>
    <r>
      <t xml:space="preserve">Drought </t>
    </r>
    <r>
      <rPr>
        <sz val="10.5"/>
        <rFont val="ＭＳ Ｐゴシック"/>
        <family val="2"/>
        <scheme val="minor"/>
      </rPr>
      <t>(precipitation)</t>
    </r>
  </si>
  <si>
    <t>Conflict (literature)</t>
  </si>
  <si>
    <t>Armed Conflict</t>
  </si>
  <si>
    <t>Non-State Conflict</t>
  </si>
  <si>
    <t>One-side Conflict</t>
  </si>
  <si>
    <t>ln(GDP per capita)</t>
  </si>
  <si>
    <t>Disruption</t>
  </si>
  <si>
    <t>Democracy (-2.5 ~ 2.5)</t>
  </si>
  <si>
    <t>Governance (-2.5 ~ 2.5)</t>
  </si>
  <si>
    <t>Market dependency</t>
  </si>
  <si>
    <t>GDP per capita</t>
  </si>
  <si>
    <t>Gini Coefficient</t>
  </si>
  <si>
    <t>-</t>
  </si>
  <si>
    <t>Mauritania</t>
  </si>
  <si>
    <t>Mali</t>
  </si>
  <si>
    <t>Chad</t>
  </si>
  <si>
    <t>Burkina Faso</t>
  </si>
  <si>
    <t>Rwanda</t>
  </si>
  <si>
    <t>Djibouti</t>
  </si>
  <si>
    <t>Eritrea</t>
  </si>
  <si>
    <t>Kenya</t>
  </si>
  <si>
    <t>Senegal</t>
  </si>
  <si>
    <t>Gambia</t>
  </si>
  <si>
    <t>Drought(low precipitation)</t>
  </si>
  <si>
    <t>1966-1967</t>
  </si>
  <si>
    <t>1965, 1969</t>
  </si>
  <si>
    <t>1966, 1969</t>
  </si>
  <si>
    <t>1966-1972</t>
  </si>
  <si>
    <t>??</t>
  </si>
  <si>
    <t>1969, 1973</t>
  </si>
  <si>
    <t>1975-1991</t>
  </si>
  <si>
    <t>1967-1998</t>
  </si>
  <si>
    <t>1979-1992</t>
  </si>
  <si>
    <t>1978-1992</t>
  </si>
  <si>
    <t>1983-2012</t>
  </si>
  <si>
    <t>1983, 1987</t>
  </si>
  <si>
    <t>1964-1996</t>
  </si>
  <si>
    <t>1987, 1990</t>
  </si>
  <si>
    <t>1986-1996</t>
  </si>
  <si>
    <t>1990-2006</t>
  </si>
  <si>
    <t>1989, 1991, 1992</t>
  </si>
  <si>
    <t>1996, 1999</t>
  </si>
  <si>
    <t>1989-2003</t>
  </si>
  <si>
    <t>1989-2012</t>
  </si>
  <si>
    <t>1997, 1998, 1999</t>
  </si>
  <si>
    <t>1998-2012</t>
  </si>
  <si>
    <t>1998-2009</t>
  </si>
  <si>
    <t>1989-1991</t>
  </si>
  <si>
    <t>1998-2001</t>
  </si>
  <si>
    <t>1993-2004</t>
  </si>
  <si>
    <t>1996-2002</t>
  </si>
  <si>
    <t>1990-1999</t>
  </si>
  <si>
    <t>1998, 2001</t>
  </si>
  <si>
    <t>2002, 2005, 2007</t>
  </si>
  <si>
    <t>2005, 2007</t>
  </si>
  <si>
    <t>2003, 2005, 2008, 2009</t>
  </si>
  <si>
    <t>2004, 2006-2008</t>
  </si>
  <si>
    <t>2004, 2005, 2008</t>
  </si>
  <si>
    <t>2004-2012</t>
  </si>
  <si>
    <t>2006-2012</t>
  </si>
  <si>
    <t>2008, 2010, 2012</t>
  </si>
  <si>
    <t>2008-2012</t>
  </si>
  <si>
    <t>2010-2012</t>
  </si>
  <si>
    <t>2008, 2009, 2010,2012</t>
  </si>
  <si>
    <t>2009, 2012</t>
  </si>
  <si>
    <t>2009, 2011</t>
  </si>
  <si>
    <t>2010, 2011</t>
  </si>
  <si>
    <t>Climate</t>
  </si>
  <si>
    <t>Food Market</t>
  </si>
  <si>
    <t>War</t>
  </si>
  <si>
    <t>Government</t>
  </si>
  <si>
    <t>International Responses</t>
  </si>
  <si>
    <t>International Politics</t>
  </si>
  <si>
    <t>Statistical Data</t>
  </si>
  <si>
    <t>Other climatological factors</t>
  </si>
  <si>
    <t>Price rise</t>
  </si>
  <si>
    <t>Imperfect or fragmented market</t>
  </si>
  <si>
    <t>War, Conflict and Civil conflict</t>
  </si>
  <si>
    <t>Political regime</t>
  </si>
  <si>
    <t>Government Reaction, Food Policy</t>
  </si>
  <si>
    <t>Insufficient or delayed aid, lack of non-food aid</t>
  </si>
  <si>
    <t>Embargo on food aid, Blockade</t>
  </si>
  <si>
    <t>Others</t>
  </si>
  <si>
    <t>Armed Conflict (UCDP)</t>
  </si>
  <si>
    <t>1921-1922</t>
  </si>
  <si>
    <t>Famine in Volga German colonies in Russia (=Tatarstan)</t>
  </si>
  <si>
    <t>*Drought and insects reduced the spring 1944 rice crop by 19 percent compared to the previous year.</t>
  </si>
  <si>
    <t>*The government denied to accept relief.</t>
  </si>
  <si>
    <t>*Production, distribution and consumption of food were entirely controlled by the central government.</t>
  </si>
  <si>
    <t xml:space="preserve">*Fall in aggregate food production
*High government procurement from rural areas
*Government diverted resources from agriculture to industrialization. </t>
  </si>
  <si>
    <t>*Government returned workers who had been recently moved to urban areas
*Government abandonedmany of the more extreme policies of collectivization.</t>
  </si>
  <si>
    <t>*Chronic poverty
*Those who died were those at the bottomof the social scale</t>
  </si>
  <si>
    <t>*Wealthy people hoarded rice
*The new government's inablity to import food from abroad. US placed a food embargo.
*Hardly any flow of petro-dollar from Middle East while those countries did not recognize Bangladesh's application for UN membership.
*The poor internal distribution system of aids. Government prefered to feed the urban middle classes and failed to reach the cery poor.
*"Market failure" famine</t>
  </si>
  <si>
    <t>*More than two decades of insurgency and civil war.
*46% of GDP was allocated to military spending to quell insurgencies.
*People in south Shoa had less experiences of famine compared with people in Wollo.</t>
  </si>
  <si>
    <t>*Inability and unwillingness of the government to deal with the famine provoked universal condemnation by the international community.
*The great majority of the aid was channelled throught the government, which had only a limitted access to the affected population.
*Forced resettlement of peasants caused additional deaths.
*Food Relief food was used as an "incentive" for the resettlement</t>
  </si>
  <si>
    <t>Braun et al. (1998)</t>
  </si>
  <si>
    <t>r2, r3</t>
  </si>
  <si>
    <r>
      <t xml:space="preserve">White2005, </t>
    </r>
    <r>
      <rPr>
        <u/>
        <sz val="11"/>
        <rFont val="ＭＳ Ｐゴシック"/>
        <family val="2"/>
        <scheme val="minor"/>
      </rPr>
      <t>http://onlinelibrary.wiley.com/doi/10.1111/j.0361-3666.2005.00286.x/pdf</t>
    </r>
  </si>
  <si>
    <t>Environment</t>
  </si>
  <si>
    <t>Category</t>
  </si>
  <si>
    <t>Sub-category</t>
  </si>
  <si>
    <t>Key words</t>
  </si>
  <si>
    <t>Explanations</t>
  </si>
  <si>
    <t>Environmental</t>
  </si>
  <si>
    <t>Insect, Locusts, Plant diseases, Loss of cattle, shortage of seeds</t>
  </si>
  <si>
    <t>Failure of food rationing system, inflation</t>
  </si>
  <si>
    <t>Imperfect or fragmented markets</t>
  </si>
  <si>
    <t>Transportation, Limited Access to Markets, Expectation, Speculation and Hoarding</t>
  </si>
  <si>
    <t>War, Conflict, Civil conflict</t>
  </si>
  <si>
    <t>Colonization, Socialism, Communism</t>
  </si>
  <si>
    <t>Dictatorship, Indifferent colonial government</t>
  </si>
  <si>
    <t>Governemt Reaction, Food Policy</t>
  </si>
  <si>
    <t>No food reserves,failure of relief disribution, failure of administer relief, Land reform, continued to collect heavy taxes, Resettlement, Relocation, Displacement</t>
  </si>
  <si>
    <t>International Response</t>
  </si>
  <si>
    <t>Insufficient or delayed aid, Lack of non-food aid</t>
  </si>
  <si>
    <t>Late request, insufficient shipment</t>
  </si>
  <si>
    <t>Western hostility, indifference, weapon</t>
  </si>
  <si>
    <t>Excessive cash crop growing</t>
  </si>
  <si>
    <t>Index</t>
  </si>
  <si>
    <t>Data Source</t>
  </si>
  <si>
    <t>Time Period</t>
  </si>
  <si>
    <t>Content</t>
  </si>
  <si>
    <t>URL</t>
  </si>
  <si>
    <t>Data Location</t>
  </si>
  <si>
    <t>EMDAT</t>
  </si>
  <si>
    <t>1961-2012</t>
  </si>
  <si>
    <t>Drought in EMDAT database fulfills at least one of the following criteria. It can be understood as natural disaster that caused impact(s) on human life, rather than a hydrological or meteorological event. 
• Ten (10) or more people reported killed.
• Hundred (100) or more people reported affected.
• Declaration of a state of emergency.
• Call for international assistance.</t>
  </si>
  <si>
    <t>http://www.emdat.be/database</t>
  </si>
  <si>
    <t>Master_thesis &gt; Data &gt; Drought_EMDAT</t>
  </si>
  <si>
    <t>UCDP/PRIO Armed Conflict Dataset</t>
  </si>
  <si>
    <t>1946-2012</t>
  </si>
  <si>
    <t>a conflict-year dataset with information on armed conflict where at least one party is the government of a state in the time period 1946-2012. The most recent is version 4-2013.</t>
  </si>
  <si>
    <t>http://www.pcr.uu.se/research/ucdp/datasets/ucdp_prio_armed_conflict_dataset/</t>
  </si>
  <si>
    <t>Master_thesis &gt; Data &gt; UCDP…</t>
  </si>
  <si>
    <t>UCDP Non-State Conclict Dataset</t>
  </si>
  <si>
    <t>a conflict-year dataset with information of communal and organized armed conflict where none of the parties is the government of a state. The dataset has a temporal scope covering 1989-2012, and includes information on start and end dates, fatality estimates, and locations. The most recent version is version 2.5.</t>
  </si>
  <si>
    <t>http://www.pcr.uu.se/research/ucdp/datasets/ucdp_non-state_conflict_dataset_/</t>
  </si>
  <si>
    <t>One-sided Violence</t>
  </si>
  <si>
    <t>UCDP One-sided Violence Dataset</t>
  </si>
  <si>
    <t>an actor-year dataset with information of intentional attacks on civilians by governments and formally organized armed groups. The most recent is version 1.4-2013.</t>
  </si>
  <si>
    <t>http://www.pcr.uu.se/research/ucdp/datasets/ucdp_one-sided_violence_dataset/</t>
  </si>
  <si>
    <t>Democracy</t>
  </si>
  <si>
    <t xml:space="preserve">The World Bank </t>
  </si>
  <si>
    <t>1996-2012</t>
  </si>
  <si>
    <r>
      <t xml:space="preserve">Worldwide Governance Indicator has six dimensions to describe different aspects of "governance". The survey uses perceptions-based data collected from interview.  </t>
    </r>
    <r>
      <rPr>
        <b/>
        <sz val="11"/>
        <color theme="1"/>
        <rFont val="ＭＳ Ｐゴシック"/>
        <family val="2"/>
        <scheme val="minor"/>
      </rPr>
      <t xml:space="preserve">Voice and Accountability (VA) </t>
    </r>
    <r>
      <rPr>
        <sz val="11"/>
        <color theme="1"/>
        <rFont val="ＭＳ Ｐゴシック"/>
        <family val="2"/>
        <scheme val="minor"/>
      </rPr>
      <t>is one of the six indices.
Deffinition: capturing perceptions of the extent to which a country's citizens are able to participate in selecting their government, as well as freedom of expression, freedom of association, and a free media.
The value ranges from -2.5(weak) to 2.5(strong)</t>
    </r>
  </si>
  <si>
    <t>http://info.worldbank.org/governance/wgi/index.aspx#home</t>
  </si>
  <si>
    <r>
      <t xml:space="preserve">Worldwide Governance Indicator has six dimensions to describe different aspects of "governance". The survey uses perceptions-based data collected from interview.  </t>
    </r>
    <r>
      <rPr>
        <b/>
        <sz val="11"/>
        <color theme="1"/>
        <rFont val="ＭＳ Ｐゴシック"/>
        <family val="2"/>
        <scheme val="minor"/>
      </rPr>
      <t xml:space="preserve">Government Effectiveness (GE) </t>
    </r>
    <r>
      <rPr>
        <sz val="11"/>
        <color theme="1"/>
        <rFont val="ＭＳ Ｐゴシック"/>
        <family val="2"/>
        <scheme val="minor"/>
      </rPr>
      <t>is one of the six indices.
Deffinition: capturing perceptions of the quality of public services, the quality of the civil service and the degree of its independence from political pressures, the quality of policy formulation and implementation, and the credibility of the government's commitment to such policies.</t>
    </r>
  </si>
  <si>
    <t>Population Growth</t>
  </si>
  <si>
    <t>Average of three years (from year x-2 to x)</t>
  </si>
  <si>
    <t>http://data.worldbank.org/indicator/SP.POP.GROW</t>
  </si>
  <si>
    <t>ln(GDP)</t>
  </si>
  <si>
    <t>The World Bank</t>
  </si>
  <si>
    <t>1961-2011</t>
  </si>
  <si>
    <r>
      <t xml:space="preserve">Vulnerability to food price change comes from </t>
    </r>
    <r>
      <rPr>
        <i/>
        <sz val="11"/>
        <color theme="1"/>
        <rFont val="ＭＳ Ｐゴシック"/>
        <family val="2"/>
        <scheme val="minor"/>
      </rPr>
      <t>food share of household expenditure(a)</t>
    </r>
    <r>
      <rPr>
        <sz val="11"/>
        <color theme="1"/>
        <rFont val="ＭＳ Ｐゴシック"/>
        <family val="2"/>
        <scheme val="minor"/>
      </rPr>
      <t xml:space="preserve">. Since </t>
    </r>
    <r>
      <rPr>
        <i/>
        <sz val="11"/>
        <color theme="1"/>
        <rFont val="ＭＳ Ｐゴシック"/>
        <family val="2"/>
        <scheme val="minor"/>
      </rPr>
      <t>(a)</t>
    </r>
    <r>
      <rPr>
        <sz val="11"/>
        <color theme="1"/>
        <rFont val="ＭＳ Ｐゴシック"/>
        <family val="2"/>
        <scheme val="minor"/>
      </rPr>
      <t xml:space="preserve"> is available only since 1990, and it is in inverse proportion to GDP (</t>
    </r>
    <r>
      <rPr>
        <sz val="11"/>
        <color theme="8"/>
        <rFont val="ＭＳ Ｐゴシック"/>
        <family val="2"/>
        <scheme val="minor"/>
      </rPr>
      <t>http://www.peri.umass.edu/fileadmin/pdf/working_papers/working_papers_201-250/WP247.pdf</t>
    </r>
    <r>
      <rPr>
        <sz val="11"/>
        <color theme="1"/>
        <rFont val="ＭＳ Ｐゴシック"/>
        <family val="2"/>
        <scheme val="minor"/>
      </rPr>
      <t xml:space="preserve">), we used ln(GDP) as an indicator for vulnerability to food price change. 3years-average (year0, -1, -2)
ref. Fig3 </t>
    </r>
    <r>
      <rPr>
        <sz val="11"/>
        <color theme="8"/>
        <rFont val="ＭＳ Ｐゴシック"/>
        <family val="2"/>
        <scheme val="minor"/>
      </rPr>
      <t>http://siteresources.worldbank.org/EXTPOVERTY/Resources/336991-1311966520397/Food-Price-Watch-August-2012.htm</t>
    </r>
  </si>
  <si>
    <t>Master_thesis &gt; Data &gt; Price_vulnerability</t>
  </si>
  <si>
    <t>1: event between year x-2 and x
0: no event between year x-2 and x</t>
  </si>
  <si>
    <t>Famine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</si>
</sst>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21">
    <font>
      <sz val="11"/>
      <color theme="1"/>
      <name val="ＭＳ Ｐゴシック"/>
      <family val="2"/>
      <scheme val="minor"/>
    </font>
    <font>
      <sz val="11"/>
      <color theme="1"/>
      <name val="ＭＳ Ｐゴシック"/>
      <family val="2"/>
      <scheme val="minor"/>
    </font>
    <font>
      <sz val="11"/>
      <color rgb="FFFF0000"/>
      <name val="ＭＳ Ｐゴシック"/>
      <family val="2"/>
      <scheme val="minor"/>
    </font>
    <font>
      <sz val="11"/>
      <name val="ＭＳ Ｐゴシック"/>
      <family val="2"/>
      <scheme val="minor"/>
    </font>
    <font>
      <u/>
      <sz val="11"/>
      <color theme="10"/>
      <name val="ＭＳ Ｐゴシック"/>
      <family val="2"/>
      <scheme val="minor"/>
    </font>
    <font>
      <u/>
      <sz val="11"/>
      <color rgb="FFFF0000"/>
      <name val="ＭＳ Ｐゴシック"/>
      <family val="2"/>
      <scheme val="minor"/>
    </font>
    <font>
      <u/>
      <sz val="11"/>
      <name val="ＭＳ Ｐゴシック"/>
      <family val="2"/>
      <scheme val="minor"/>
    </font>
    <font>
      <sz val="11"/>
      <color rgb="FF0070C0"/>
      <name val="ＭＳ Ｐゴシック"/>
      <family val="2"/>
      <scheme val="minor"/>
    </font>
    <font>
      <b/>
      <sz val="11"/>
      <color theme="0"/>
      <name val="ＭＳ Ｐゴシック"/>
      <family val="2"/>
      <scheme val="minor"/>
    </font>
    <font>
      <b/>
      <sz val="9"/>
      <color indexed="81"/>
      <name val="ＭＳ Ｐゴシック"/>
      <family val="3"/>
      <charset val="128"/>
    </font>
    <font>
      <sz val="9"/>
      <color indexed="81"/>
      <name val="ＭＳ Ｐゴシック"/>
      <family val="3"/>
      <charset val="128"/>
    </font>
    <font>
      <b/>
      <sz val="11"/>
      <color theme="1"/>
      <name val="ＭＳ Ｐゴシック"/>
      <family val="2"/>
      <scheme val="minor"/>
    </font>
    <font>
      <sz val="11"/>
      <color theme="0"/>
      <name val="ＭＳ Ｐゴシック"/>
      <family val="2"/>
      <scheme val="minor"/>
    </font>
    <font>
      <i/>
      <sz val="11"/>
      <color theme="1"/>
      <name val="ＭＳ Ｐゴシック"/>
      <family val="2"/>
      <scheme val="minor"/>
    </font>
    <font>
      <sz val="11"/>
      <color theme="8"/>
      <name val="ＭＳ Ｐゴシック"/>
      <family val="2"/>
      <scheme val="minor"/>
    </font>
    <font>
      <sz val="10.5"/>
      <name val="ＭＳ Ｐゴシック"/>
      <family val="2"/>
      <scheme val="minor"/>
    </font>
    <font>
      <b/>
      <sz val="11"/>
      <color theme="7" tint="-0.499984740745262"/>
      <name val="ＭＳ Ｐゴシック"/>
      <family val="2"/>
      <scheme val="minor"/>
    </font>
    <font>
      <sz val="9"/>
      <color indexed="81"/>
      <name val="ＭＳ Ｐゴシック"/>
      <family val="2"/>
      <charset val="128"/>
    </font>
    <font>
      <b/>
      <sz val="9"/>
      <color indexed="81"/>
      <name val="ＭＳ Ｐゴシック"/>
      <family val="2"/>
      <charset val="128"/>
    </font>
    <font>
      <sz val="11"/>
      <color theme="7"/>
      <name val="ＭＳ Ｐゴシック"/>
      <family val="2"/>
      <scheme val="minor"/>
    </font>
    <font>
      <sz val="6"/>
      <name val="ＭＳ Ｐゴシック"/>
      <family val="3"/>
      <charset val="128"/>
      <scheme val="minor"/>
    </font>
  </fonts>
  <fills count="16">
    <fill>
      <patternFill patternType="none"/>
    </fill>
    <fill>
      <patternFill patternType="gray125"/>
    </fill>
    <fill>
      <patternFill patternType="solid">
        <fgColor theme="5" tint="0.59999389629810485"/>
        <bgColor indexed="64"/>
      </patternFill>
    </fill>
    <fill>
      <patternFill patternType="solid">
        <fgColor theme="5"/>
        <bgColor indexed="64"/>
      </patternFill>
    </fill>
    <fill>
      <patternFill patternType="solid">
        <fgColor rgb="FFF9F9F9"/>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rgb="FF00B0F0"/>
        <bgColor indexed="64"/>
      </patternFill>
    </fill>
    <fill>
      <patternFill patternType="solid">
        <fgColor theme="2" tint="-9.9978637043366805E-2"/>
        <bgColor indexed="64"/>
      </patternFill>
    </fill>
  </fills>
  <borders count="15">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xf numFmtId="0" fontId="4" fillId="0" borderId="0" applyNumberFormat="0" applyFill="0" applyBorder="0" applyAlignment="0" applyProtection="0"/>
  </cellStyleXfs>
  <cellXfs count="211">
    <xf numFmtId="0" fontId="0" fillId="0" borderId="0" xfId="0"/>
    <xf numFmtId="0" fontId="3" fillId="0" borderId="0" xfId="0" applyFont="1" applyFill="1" applyAlignment="1">
      <alignment vertical="top" wrapText="1"/>
    </xf>
    <xf numFmtId="0" fontId="3" fillId="0" borderId="1" xfId="0" applyFont="1" applyFill="1" applyBorder="1" applyAlignment="1">
      <alignment vertical="top" wrapText="1"/>
    </xf>
    <xf numFmtId="0" fontId="3" fillId="0" borderId="2" xfId="0" applyFont="1" applyFill="1" applyBorder="1" applyAlignment="1">
      <alignment vertical="top" wrapText="1"/>
    </xf>
    <xf numFmtId="0" fontId="3" fillId="0" borderId="0" xfId="0" applyFont="1" applyFill="1" applyBorder="1" applyAlignment="1">
      <alignment vertical="top" wrapText="1"/>
    </xf>
    <xf numFmtId="3" fontId="3" fillId="0" borderId="4" xfId="0" applyNumberFormat="1" applyFont="1" applyFill="1" applyBorder="1" applyAlignment="1">
      <alignment vertical="top" wrapText="1"/>
    </xf>
    <xf numFmtId="3" fontId="0" fillId="0" borderId="4" xfId="0" applyNumberFormat="1" applyFont="1" applyFill="1" applyBorder="1" applyAlignment="1">
      <alignment vertical="top" wrapText="1"/>
    </xf>
    <xf numFmtId="0" fontId="0" fillId="0" borderId="4" xfId="0" applyFont="1" applyFill="1" applyBorder="1" applyAlignment="1">
      <alignment vertical="top" wrapText="1"/>
    </xf>
    <xf numFmtId="0" fontId="2" fillId="0" borderId="4" xfId="0" applyFont="1" applyFill="1" applyBorder="1" applyAlignment="1">
      <alignment vertical="top" wrapText="1"/>
    </xf>
    <xf numFmtId="0" fontId="2" fillId="0" borderId="0" xfId="0" applyFont="1" applyFill="1" applyAlignment="1">
      <alignment vertical="top" wrapText="1"/>
    </xf>
    <xf numFmtId="0" fontId="2" fillId="0" borderId="5" xfId="0" applyFont="1" applyFill="1" applyBorder="1" applyAlignment="1">
      <alignment vertical="top" wrapText="1"/>
    </xf>
    <xf numFmtId="3" fontId="2" fillId="0" borderId="4" xfId="0" applyNumberFormat="1" applyFont="1" applyFill="1" applyBorder="1" applyAlignment="1">
      <alignment vertical="top" wrapText="1"/>
    </xf>
    <xf numFmtId="0" fontId="3" fillId="2" borderId="5" xfId="0" applyFont="1" applyFill="1" applyBorder="1" applyAlignment="1">
      <alignment vertical="top" wrapText="1"/>
    </xf>
    <xf numFmtId="176" fontId="0" fillId="0" borderId="4" xfId="0" applyNumberFormat="1" applyFont="1" applyFill="1" applyBorder="1" applyAlignment="1">
      <alignment vertical="top" wrapText="1"/>
    </xf>
    <xf numFmtId="0" fontId="3" fillId="0" borderId="0" xfId="0" applyFont="1" applyAlignment="1">
      <alignment vertical="top"/>
    </xf>
    <xf numFmtId="0" fontId="1" fillId="0" borderId="0" xfId="1"/>
    <xf numFmtId="0" fontId="4" fillId="0" borderId="0" xfId="2" applyAlignment="1">
      <alignment vertical="top"/>
    </xf>
    <xf numFmtId="0" fontId="4" fillId="0" borderId="0" xfId="2"/>
    <xf numFmtId="0" fontId="3" fillId="0" borderId="0" xfId="0" applyFont="1" applyAlignment="1"/>
    <xf numFmtId="0" fontId="4" fillId="0" borderId="0" xfId="2" applyAlignment="1"/>
    <xf numFmtId="0" fontId="5" fillId="0" borderId="0" xfId="2" applyFont="1" applyAlignment="1">
      <alignment vertical="top"/>
    </xf>
    <xf numFmtId="0" fontId="6" fillId="0" borderId="0" xfId="2" applyFont="1"/>
    <xf numFmtId="0" fontId="3" fillId="0" borderId="4" xfId="0" applyFont="1" applyBorder="1" applyAlignment="1">
      <alignment vertical="top" wrapText="1"/>
    </xf>
    <xf numFmtId="0" fontId="4" fillId="0" borderId="0" xfId="2" applyAlignment="1">
      <alignment vertical="top" wrapText="1"/>
    </xf>
    <xf numFmtId="0" fontId="3" fillId="0" borderId="0" xfId="0" applyFont="1" applyAlignment="1">
      <alignment vertical="top" wrapText="1"/>
    </xf>
    <xf numFmtId="0" fontId="0" fillId="0" borderId="0" xfId="0" applyAlignment="1">
      <alignment wrapText="1"/>
    </xf>
    <xf numFmtId="0" fontId="3" fillId="0" borderId="8" xfId="0" applyFont="1" applyBorder="1" applyAlignment="1"/>
    <xf numFmtId="0" fontId="3" fillId="0" borderId="9" xfId="0" applyFont="1" applyBorder="1" applyAlignment="1"/>
    <xf numFmtId="0" fontId="3" fillId="0" borderId="10" xfId="0" applyFont="1" applyBorder="1" applyAlignment="1"/>
    <xf numFmtId="0" fontId="3" fillId="0" borderId="8" xfId="0" applyFont="1" applyBorder="1" applyAlignment="1">
      <alignment vertical="center" wrapText="1"/>
    </xf>
    <xf numFmtId="0" fontId="3" fillId="0" borderId="0" xfId="0" applyFont="1" applyBorder="1" applyAlignment="1"/>
    <xf numFmtId="0" fontId="3" fillId="0" borderId="4" xfId="0" applyFont="1" applyBorder="1" applyAlignment="1">
      <alignment wrapText="1"/>
    </xf>
    <xf numFmtId="0" fontId="3" fillId="0" borderId="4" xfId="0" applyFont="1" applyBorder="1" applyAlignment="1">
      <alignment vertical="center" wrapText="1"/>
    </xf>
    <xf numFmtId="0" fontId="3" fillId="0" borderId="9" xfId="0" applyFont="1" applyBorder="1" applyAlignment="1">
      <alignment wrapText="1"/>
    </xf>
    <xf numFmtId="0" fontId="7" fillId="0" borderId="4" xfId="0" applyFont="1" applyBorder="1" applyAlignment="1">
      <alignment wrapText="1"/>
    </xf>
    <xf numFmtId="0" fontId="3" fillId="0" borderId="0" xfId="0" applyFont="1" applyBorder="1" applyAlignment="1">
      <alignment wrapText="1"/>
    </xf>
    <xf numFmtId="0" fontId="3" fillId="0" borderId="0" xfId="0" applyFont="1" applyAlignment="1">
      <alignment wrapText="1"/>
    </xf>
    <xf numFmtId="0" fontId="3" fillId="3" borderId="4" xfId="0" applyFont="1" applyFill="1" applyBorder="1" applyAlignment="1">
      <alignment wrapText="1"/>
    </xf>
    <xf numFmtId="3" fontId="3" fillId="0" borderId="4" xfId="0" applyNumberFormat="1" applyFont="1" applyBorder="1" applyAlignment="1">
      <alignment wrapText="1"/>
    </xf>
    <xf numFmtId="0" fontId="7" fillId="0" borderId="0" xfId="0" applyFont="1" applyBorder="1" applyAlignment="1">
      <alignment wrapText="1"/>
    </xf>
    <xf numFmtId="0" fontId="3" fillId="0" borderId="4" xfId="0" applyFont="1" applyBorder="1" applyAlignment="1"/>
    <xf numFmtId="0" fontId="3" fillId="4" borderId="4" xfId="0" applyFont="1" applyFill="1" applyBorder="1" applyAlignment="1">
      <alignment vertical="top" wrapText="1"/>
    </xf>
    <xf numFmtId="3" fontId="0" fillId="0" borderId="4" xfId="0" applyNumberFormat="1" applyFont="1" applyBorder="1" applyAlignment="1">
      <alignment vertical="top" wrapText="1"/>
    </xf>
    <xf numFmtId="0" fontId="3" fillId="3" borderId="4" xfId="0" applyFont="1" applyFill="1" applyBorder="1" applyAlignment="1">
      <alignment vertical="top" wrapText="1"/>
    </xf>
    <xf numFmtId="0" fontId="0" fillId="0" borderId="4" xfId="0" applyFont="1" applyBorder="1" applyAlignment="1">
      <alignment vertical="top" wrapText="1"/>
    </xf>
    <xf numFmtId="3" fontId="3" fillId="4" borderId="4" xfId="0" applyNumberFormat="1" applyFont="1" applyFill="1" applyBorder="1" applyAlignment="1">
      <alignment vertical="top" wrapText="1"/>
    </xf>
    <xf numFmtId="0" fontId="3" fillId="0" borderId="0" xfId="2" applyFont="1"/>
    <xf numFmtId="0" fontId="2" fillId="0" borderId="4" xfId="0" applyFont="1" applyBorder="1" applyAlignment="1">
      <alignment wrapText="1"/>
    </xf>
    <xf numFmtId="3" fontId="3" fillId="0" borderId="4" xfId="0" applyNumberFormat="1" applyFont="1" applyBorder="1" applyAlignment="1"/>
    <xf numFmtId="0" fontId="3" fillId="4" borderId="5" xfId="0" applyFont="1" applyFill="1" applyBorder="1" applyAlignment="1">
      <alignment vertical="top" wrapText="1"/>
    </xf>
    <xf numFmtId="0" fontId="2" fillId="0" borderId="0" xfId="0" applyFont="1" applyAlignment="1"/>
    <xf numFmtId="0" fontId="3" fillId="0" borderId="0" xfId="0" applyFont="1" applyAlignment="1">
      <alignment vertical="center" wrapText="1"/>
    </xf>
    <xf numFmtId="0" fontId="3" fillId="4" borderId="3" xfId="0" applyFont="1" applyFill="1" applyBorder="1" applyAlignment="1">
      <alignment vertical="top" wrapText="1"/>
    </xf>
    <xf numFmtId="0" fontId="3" fillId="0" borderId="9" xfId="0" applyFont="1" applyBorder="1" applyAlignment="1">
      <alignment vertical="center" wrapText="1"/>
    </xf>
    <xf numFmtId="0" fontId="3" fillId="0" borderId="0" xfId="2" applyFont="1" applyAlignment="1"/>
    <xf numFmtId="0" fontId="3" fillId="0" borderId="4" xfId="0" applyFont="1" applyFill="1" applyBorder="1" applyAlignment="1">
      <alignment vertical="top"/>
    </xf>
    <xf numFmtId="0" fontId="3" fillId="0" borderId="0" xfId="0" applyFont="1" applyFill="1" applyAlignment="1">
      <alignment vertical="top"/>
    </xf>
    <xf numFmtId="0" fontId="2" fillId="0" borderId="0" xfId="0" applyFont="1" applyFill="1" applyAlignment="1">
      <alignment vertical="top"/>
    </xf>
    <xf numFmtId="0" fontId="2" fillId="0" borderId="4" xfId="0" applyFont="1" applyFill="1" applyBorder="1" applyAlignment="1">
      <alignment vertical="top"/>
    </xf>
    <xf numFmtId="0" fontId="3" fillId="0" borderId="4" xfId="0" applyFont="1" applyBorder="1" applyAlignment="1">
      <alignment vertical="top"/>
    </xf>
    <xf numFmtId="3" fontId="0" fillId="5" borderId="4" xfId="0" applyNumberFormat="1" applyFont="1" applyFill="1" applyBorder="1" applyAlignment="1">
      <alignment vertical="top" wrapText="1"/>
    </xf>
    <xf numFmtId="0" fontId="0" fillId="5" borderId="4" xfId="0" applyFont="1" applyFill="1" applyBorder="1" applyAlignment="1">
      <alignment vertical="top" wrapText="1"/>
    </xf>
    <xf numFmtId="0" fontId="2" fillId="5" borderId="4" xfId="0" applyFont="1" applyFill="1" applyBorder="1" applyAlignment="1">
      <alignment vertical="top" wrapText="1"/>
    </xf>
    <xf numFmtId="0" fontId="3" fillId="5" borderId="4" xfId="0" applyFont="1" applyFill="1" applyBorder="1" applyAlignment="1">
      <alignment vertical="top"/>
    </xf>
    <xf numFmtId="0" fontId="2" fillId="5" borderId="4" xfId="0" applyFont="1" applyFill="1" applyBorder="1" applyAlignment="1">
      <alignment vertical="top"/>
    </xf>
    <xf numFmtId="0" fontId="3" fillId="0" borderId="11" xfId="0" applyFont="1" applyFill="1" applyBorder="1" applyAlignment="1">
      <alignment vertical="top" wrapText="1"/>
    </xf>
    <xf numFmtId="0" fontId="0" fillId="0" borderId="0" xfId="0" applyAlignment="1">
      <alignment vertical="center" wrapText="1"/>
    </xf>
    <xf numFmtId="0" fontId="0" fillId="0" borderId="4" xfId="0" applyBorder="1" applyAlignment="1">
      <alignment vertical="center" wrapText="1"/>
    </xf>
    <xf numFmtId="0" fontId="0" fillId="8" borderId="4" xfId="0" applyFill="1" applyBorder="1" applyAlignment="1">
      <alignment vertical="center" wrapText="1"/>
    </xf>
    <xf numFmtId="0" fontId="4" fillId="0" borderId="4" xfId="2" applyBorder="1" applyAlignment="1">
      <alignment vertical="center" wrapText="1"/>
    </xf>
    <xf numFmtId="2" fontId="3" fillId="0" borderId="0" xfId="0" applyNumberFormat="1" applyFont="1" applyFill="1" applyAlignment="1">
      <alignment vertical="top" wrapText="1"/>
    </xf>
    <xf numFmtId="2" fontId="0" fillId="0" borderId="4" xfId="0" applyNumberFormat="1" applyBorder="1" applyAlignment="1">
      <alignment horizontal="right"/>
    </xf>
    <xf numFmtId="0" fontId="2" fillId="0" borderId="4" xfId="0" applyFont="1" applyFill="1" applyBorder="1" applyAlignment="1">
      <alignment horizontal="right" vertical="top"/>
    </xf>
    <xf numFmtId="0" fontId="3" fillId="0" borderId="4" xfId="0" applyFont="1" applyFill="1" applyBorder="1" applyAlignment="1">
      <alignment horizontal="right" vertical="top" wrapText="1"/>
    </xf>
    <xf numFmtId="2" fontId="3" fillId="0" borderId="4" xfId="0" applyNumberFormat="1" applyFont="1" applyFill="1" applyBorder="1" applyAlignment="1">
      <alignment horizontal="right" vertical="top" wrapText="1"/>
    </xf>
    <xf numFmtId="0" fontId="3" fillId="7" borderId="4" xfId="0" applyFont="1" applyFill="1" applyBorder="1" applyAlignment="1">
      <alignment horizontal="right" vertical="top"/>
    </xf>
    <xf numFmtId="0" fontId="3" fillId="11" borderId="4" xfId="0" applyFont="1" applyFill="1" applyBorder="1" applyAlignment="1">
      <alignment vertical="top" wrapText="1"/>
    </xf>
    <xf numFmtId="0" fontId="0" fillId="13" borderId="1" xfId="0" applyFill="1" applyBorder="1" applyAlignment="1">
      <alignment wrapText="1"/>
    </xf>
    <xf numFmtId="0" fontId="0" fillId="13" borderId="2" xfId="0" applyFill="1" applyBorder="1" applyAlignment="1">
      <alignment wrapText="1"/>
    </xf>
    <xf numFmtId="0" fontId="3" fillId="9" borderId="4" xfId="0" applyFont="1" applyFill="1" applyBorder="1" applyAlignment="1">
      <alignment vertical="top" wrapText="1"/>
    </xf>
    <xf numFmtId="0" fontId="0" fillId="0" borderId="4" xfId="0" applyBorder="1" applyAlignment="1">
      <alignment wrapText="1"/>
    </xf>
    <xf numFmtId="0" fontId="0" fillId="0" borderId="4" xfId="0" applyFill="1" applyBorder="1" applyAlignment="1">
      <alignment vertical="center" wrapText="1"/>
    </xf>
    <xf numFmtId="0" fontId="0" fillId="8" borderId="4" xfId="0" applyFill="1" applyBorder="1" applyAlignment="1">
      <alignment wrapText="1"/>
    </xf>
    <xf numFmtId="0" fontId="0" fillId="0" borderId="0" xfId="0" applyBorder="1"/>
    <xf numFmtId="0" fontId="0" fillId="0" borderId="14" xfId="0" applyBorder="1"/>
    <xf numFmtId="0" fontId="0" fillId="0" borderId="11" xfId="0" applyBorder="1"/>
    <xf numFmtId="0" fontId="0" fillId="0" borderId="9" xfId="0" applyBorder="1"/>
    <xf numFmtId="0" fontId="0" fillId="0" borderId="8" xfId="0" applyBorder="1"/>
    <xf numFmtId="0" fontId="0" fillId="0" borderId="4" xfId="0" applyBorder="1"/>
    <xf numFmtId="0" fontId="0" fillId="0" borderId="10" xfId="0" applyBorder="1"/>
    <xf numFmtId="0" fontId="0" fillId="12" borderId="12" xfId="0" applyNumberFormat="1" applyFill="1" applyBorder="1"/>
    <xf numFmtId="0" fontId="0" fillId="12" borderId="2" xfId="0" applyNumberFormat="1" applyFill="1" applyBorder="1"/>
    <xf numFmtId="0" fontId="0" fillId="0" borderId="1" xfId="0" applyBorder="1"/>
    <xf numFmtId="0" fontId="0" fillId="12" borderId="1" xfId="0" applyFill="1" applyBorder="1"/>
    <xf numFmtId="0" fontId="0" fillId="0" borderId="2" xfId="0" applyBorder="1"/>
    <xf numFmtId="0" fontId="0" fillId="6" borderId="11" xfId="0" applyFill="1" applyBorder="1"/>
    <xf numFmtId="0" fontId="0" fillId="2" borderId="11" xfId="0" applyFill="1" applyBorder="1"/>
    <xf numFmtId="0" fontId="0" fillId="2" borderId="13" xfId="0" applyNumberFormat="1" applyFill="1" applyBorder="1"/>
    <xf numFmtId="0" fontId="0" fillId="2" borderId="14" xfId="0" applyNumberFormat="1" applyFill="1" applyBorder="1"/>
    <xf numFmtId="0" fontId="12" fillId="6" borderId="14" xfId="0" applyFont="1" applyFill="1" applyBorder="1"/>
    <xf numFmtId="0" fontId="8" fillId="10" borderId="10" xfId="0" applyFont="1" applyFill="1" applyBorder="1" applyAlignment="1">
      <alignment wrapText="1"/>
    </xf>
    <xf numFmtId="0" fontId="8" fillId="10" borderId="8" xfId="0" applyFont="1" applyFill="1" applyBorder="1" applyAlignment="1">
      <alignment wrapText="1"/>
    </xf>
    <xf numFmtId="0" fontId="0" fillId="10" borderId="8" xfId="0" applyFill="1" applyBorder="1" applyAlignment="1">
      <alignment wrapText="1"/>
    </xf>
    <xf numFmtId="0" fontId="3" fillId="14" borderId="4" xfId="0" applyFont="1" applyFill="1" applyBorder="1" applyAlignment="1">
      <alignment vertical="top"/>
    </xf>
    <xf numFmtId="0" fontId="4" fillId="0" borderId="4" xfId="2" applyBorder="1" applyAlignment="1">
      <alignment vertical="top"/>
    </xf>
    <xf numFmtId="0" fontId="3" fillId="8" borderId="5" xfId="0" applyFont="1" applyFill="1" applyBorder="1" applyAlignment="1">
      <alignment vertical="top" wrapText="1"/>
    </xf>
    <xf numFmtId="0" fontId="4" fillId="0" borderId="4" xfId="2" applyBorder="1"/>
    <xf numFmtId="0" fontId="3" fillId="0" borderId="4" xfId="2" applyFont="1" applyBorder="1"/>
    <xf numFmtId="0" fontId="3" fillId="14" borderId="4" xfId="0" applyFont="1" applyFill="1" applyBorder="1" applyAlignment="1"/>
    <xf numFmtId="0" fontId="0" fillId="14" borderId="0" xfId="0" applyFill="1"/>
    <xf numFmtId="0" fontId="4" fillId="15" borderId="4" xfId="2" applyFill="1" applyBorder="1"/>
    <xf numFmtId="0" fontId="0" fillId="0" borderId="0" xfId="0" applyAlignment="1">
      <alignment vertical="center"/>
    </xf>
    <xf numFmtId="0" fontId="3" fillId="2" borderId="4" xfId="0" applyFont="1" applyFill="1" applyBorder="1" applyAlignment="1">
      <alignment vertical="top" wrapText="1"/>
    </xf>
    <xf numFmtId="0" fontId="3" fillId="15" borderId="4" xfId="0" applyFont="1" applyFill="1" applyBorder="1" applyAlignment="1">
      <alignment horizontal="right" vertical="top"/>
    </xf>
    <xf numFmtId="0" fontId="19" fillId="6" borderId="5" xfId="0" applyFont="1" applyFill="1" applyBorder="1" applyAlignment="1">
      <alignment vertical="top" wrapText="1"/>
    </xf>
    <xf numFmtId="0" fontId="4" fillId="0" borderId="4" xfId="2" applyFill="1" applyBorder="1"/>
    <xf numFmtId="0" fontId="3" fillId="0" borderId="4" xfId="2" applyFont="1" applyFill="1" applyBorder="1"/>
    <xf numFmtId="0" fontId="3" fillId="0" borderId="4" xfId="0" applyFont="1" applyFill="1" applyBorder="1" applyAlignment="1"/>
    <xf numFmtId="0" fontId="0" fillId="0" borderId="0" xfId="0" applyFill="1"/>
    <xf numFmtId="0" fontId="4" fillId="0" borderId="4" xfId="2" applyFill="1" applyBorder="1" applyAlignment="1">
      <alignment vertical="top"/>
    </xf>
    <xf numFmtId="0" fontId="3" fillId="0" borderId="3" xfId="0" applyFont="1" applyFill="1" applyBorder="1" applyAlignment="1">
      <alignment vertical="top" wrapText="1"/>
    </xf>
    <xf numFmtId="0" fontId="3" fillId="0" borderId="5" xfId="0" applyFont="1" applyFill="1" applyBorder="1" applyAlignment="1">
      <alignment vertical="top" wrapText="1"/>
    </xf>
    <xf numFmtId="0" fontId="3" fillId="0" borderId="6" xfId="0" applyFont="1" applyFill="1" applyBorder="1" applyAlignment="1">
      <alignment vertical="top" wrapText="1"/>
    </xf>
    <xf numFmtId="0" fontId="3" fillId="0" borderId="7" xfId="0" applyFont="1" applyFill="1" applyBorder="1" applyAlignment="1">
      <alignment vertical="top" wrapText="1"/>
    </xf>
    <xf numFmtId="0" fontId="3" fillId="0" borderId="4" xfId="0" applyFont="1" applyFill="1" applyBorder="1" applyAlignment="1">
      <alignment vertical="top" wrapText="1"/>
    </xf>
    <xf numFmtId="0" fontId="3" fillId="0" borderId="3" xfId="0" applyFont="1" applyFill="1" applyBorder="1" applyAlignment="1">
      <alignment horizontal="right" vertical="top"/>
    </xf>
    <xf numFmtId="0" fontId="3" fillId="5" borderId="4" xfId="0" applyFont="1" applyFill="1" applyBorder="1" applyAlignment="1">
      <alignment vertical="top" wrapText="1"/>
    </xf>
    <xf numFmtId="0" fontId="0" fillId="5" borderId="3" xfId="0" applyFont="1" applyFill="1" applyBorder="1" applyAlignment="1">
      <alignment vertical="top" wrapText="1"/>
    </xf>
    <xf numFmtId="0" fontId="0" fillId="5" borderId="5" xfId="0" applyFont="1" applyFill="1" applyBorder="1" applyAlignment="1">
      <alignment vertical="top" wrapText="1"/>
    </xf>
    <xf numFmtId="0" fontId="0" fillId="5" borderId="6" xfId="0" applyFont="1" applyFill="1" applyBorder="1" applyAlignment="1">
      <alignment vertical="top" wrapText="1"/>
    </xf>
    <xf numFmtId="2" fontId="3" fillId="0" borderId="4" xfId="0" applyNumberFormat="1" applyFont="1" applyFill="1" applyBorder="1" applyAlignment="1">
      <alignment horizontal="right" vertical="top"/>
    </xf>
    <xf numFmtId="0" fontId="3" fillId="0" borderId="4" xfId="0" applyFont="1" applyFill="1" applyBorder="1" applyAlignment="1">
      <alignment horizontal="right" vertical="top"/>
    </xf>
    <xf numFmtId="0" fontId="8" fillId="10" borderId="8" xfId="0" applyFont="1" applyFill="1" applyBorder="1" applyAlignment="1">
      <alignment horizontal="center" wrapText="1"/>
    </xf>
    <xf numFmtId="0" fontId="3" fillId="15" borderId="3" xfId="0" applyFont="1" applyFill="1" applyBorder="1" applyAlignment="1">
      <alignment horizontal="right" vertical="top"/>
    </xf>
    <xf numFmtId="0" fontId="3" fillId="15" borderId="5" xfId="0" applyFont="1" applyFill="1" applyBorder="1" applyAlignment="1">
      <alignment horizontal="right" vertical="top"/>
    </xf>
    <xf numFmtId="0" fontId="3" fillId="15" borderId="6" xfId="0" applyFont="1" applyFill="1" applyBorder="1" applyAlignment="1">
      <alignment horizontal="right" vertical="top"/>
    </xf>
    <xf numFmtId="0" fontId="16" fillId="0" borderId="4" xfId="0" applyFont="1" applyFill="1" applyBorder="1" applyAlignment="1">
      <alignment horizontal="center" vertical="top"/>
    </xf>
    <xf numFmtId="0" fontId="16" fillId="0" borderId="10" xfId="0" applyFont="1" applyFill="1" applyBorder="1" applyAlignment="1">
      <alignment horizontal="center" vertical="top"/>
    </xf>
    <xf numFmtId="0" fontId="12" fillId="6" borderId="5" xfId="0" applyFont="1" applyFill="1" applyBorder="1" applyAlignment="1">
      <alignment vertical="top" wrapText="1"/>
    </xf>
    <xf numFmtId="0" fontId="0" fillId="11" borderId="4" xfId="0" applyFill="1" applyBorder="1" applyAlignment="1">
      <alignment vertical="center" wrapText="1"/>
    </xf>
    <xf numFmtId="0" fontId="3" fillId="0" borderId="3" xfId="0" applyFont="1" applyFill="1" applyBorder="1" applyAlignment="1">
      <alignment vertical="top" wrapText="1"/>
    </xf>
    <xf numFmtId="0" fontId="3" fillId="0" borderId="5" xfId="0" applyFont="1" applyFill="1" applyBorder="1" applyAlignment="1">
      <alignment vertical="top" wrapText="1"/>
    </xf>
    <xf numFmtId="0" fontId="3" fillId="0" borderId="6" xfId="0" applyFont="1" applyFill="1" applyBorder="1" applyAlignment="1">
      <alignment vertical="top" wrapText="1"/>
    </xf>
    <xf numFmtId="176" fontId="0" fillId="0" borderId="3" xfId="0" applyNumberFormat="1" applyFont="1" applyFill="1" applyBorder="1" applyAlignment="1">
      <alignment vertical="top" wrapText="1"/>
    </xf>
    <xf numFmtId="176" fontId="0" fillId="0" borderId="5" xfId="0" applyNumberFormat="1" applyFont="1" applyFill="1" applyBorder="1" applyAlignment="1">
      <alignment vertical="top" wrapText="1"/>
    </xf>
    <xf numFmtId="176" fontId="0" fillId="0" borderId="6" xfId="0" applyNumberFormat="1" applyFont="1" applyFill="1" applyBorder="1" applyAlignment="1">
      <alignment vertical="top" wrapText="1"/>
    </xf>
    <xf numFmtId="0" fontId="0" fillId="0" borderId="3" xfId="0" applyFont="1" applyFill="1" applyBorder="1" applyAlignment="1">
      <alignment vertical="top" wrapText="1"/>
    </xf>
    <xf numFmtId="0" fontId="0" fillId="0" borderId="5" xfId="0" applyFont="1" applyFill="1" applyBorder="1" applyAlignment="1">
      <alignment vertical="top" wrapText="1"/>
    </xf>
    <xf numFmtId="0" fontId="0" fillId="0" borderId="6" xfId="0" applyFont="1" applyFill="1" applyBorder="1" applyAlignment="1">
      <alignment vertical="top" wrapText="1"/>
    </xf>
    <xf numFmtId="0" fontId="3" fillId="0" borderId="7" xfId="0" applyFont="1" applyFill="1" applyBorder="1" applyAlignment="1">
      <alignment vertical="top" wrapText="1"/>
    </xf>
    <xf numFmtId="0" fontId="3" fillId="0" borderId="4" xfId="0" applyFont="1" applyFill="1" applyBorder="1" applyAlignment="1">
      <alignment vertical="top" wrapText="1"/>
    </xf>
    <xf numFmtId="0" fontId="3" fillId="0" borderId="3" xfId="0" applyFont="1" applyFill="1" applyBorder="1" applyAlignment="1">
      <alignment horizontal="right" vertical="top"/>
    </xf>
    <xf numFmtId="0" fontId="3" fillId="0" borderId="5" xfId="0" applyFont="1" applyFill="1" applyBorder="1" applyAlignment="1">
      <alignment horizontal="right" vertical="top"/>
    </xf>
    <xf numFmtId="0" fontId="3" fillId="0" borderId="6" xfId="0" applyFont="1" applyFill="1" applyBorder="1" applyAlignment="1">
      <alignment horizontal="right" vertical="top"/>
    </xf>
    <xf numFmtId="0" fontId="3" fillId="5" borderId="3" xfId="0" applyFont="1" applyFill="1" applyBorder="1" applyAlignment="1">
      <alignment vertical="top"/>
    </xf>
    <xf numFmtId="0" fontId="3" fillId="5" borderId="5" xfId="0" applyFont="1" applyFill="1" applyBorder="1" applyAlignment="1">
      <alignment vertical="top"/>
    </xf>
    <xf numFmtId="0" fontId="3" fillId="5" borderId="6" xfId="0" applyFont="1" applyFill="1" applyBorder="1" applyAlignment="1">
      <alignment vertical="top"/>
    </xf>
    <xf numFmtId="0" fontId="3" fillId="0" borderId="3" xfId="0" applyFont="1" applyFill="1" applyBorder="1" applyAlignment="1">
      <alignment horizontal="center" vertical="top" wrapText="1"/>
    </xf>
    <xf numFmtId="0" fontId="3" fillId="0" borderId="5"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5" borderId="4" xfId="0" applyFont="1" applyFill="1" applyBorder="1" applyAlignment="1">
      <alignment vertical="top" wrapText="1"/>
    </xf>
    <xf numFmtId="0" fontId="3" fillId="5" borderId="3" xfId="0" applyFont="1" applyFill="1" applyBorder="1" applyAlignment="1">
      <alignment vertical="top" wrapText="1"/>
    </xf>
    <xf numFmtId="0" fontId="3" fillId="5" borderId="5" xfId="0" applyFont="1" applyFill="1" applyBorder="1" applyAlignment="1">
      <alignment vertical="top" wrapText="1"/>
    </xf>
    <xf numFmtId="0" fontId="3" fillId="5" borderId="6" xfId="0" applyFont="1" applyFill="1" applyBorder="1" applyAlignment="1">
      <alignment vertical="top" wrapText="1"/>
    </xf>
    <xf numFmtId="0" fontId="0" fillId="5" borderId="3" xfId="0" applyFont="1" applyFill="1" applyBorder="1" applyAlignment="1">
      <alignment vertical="top" wrapText="1"/>
    </xf>
    <xf numFmtId="0" fontId="0" fillId="5" borderId="5" xfId="0" applyFont="1" applyFill="1" applyBorder="1" applyAlignment="1">
      <alignment vertical="top" wrapText="1"/>
    </xf>
    <xf numFmtId="0" fontId="0" fillId="5" borderId="6" xfId="0" applyFont="1" applyFill="1" applyBorder="1" applyAlignment="1">
      <alignment vertical="top" wrapText="1"/>
    </xf>
    <xf numFmtId="2" fontId="3" fillId="0" borderId="4" xfId="0" applyNumberFormat="1" applyFont="1" applyFill="1" applyBorder="1" applyAlignment="1">
      <alignment horizontal="right" vertical="top"/>
    </xf>
    <xf numFmtId="2" fontId="3" fillId="0" borderId="3" xfId="0" applyNumberFormat="1" applyFont="1" applyFill="1" applyBorder="1" applyAlignment="1">
      <alignment horizontal="right" vertical="top"/>
    </xf>
    <xf numFmtId="2" fontId="3" fillId="0" borderId="5" xfId="0" applyNumberFormat="1" applyFont="1" applyFill="1" applyBorder="1" applyAlignment="1">
      <alignment horizontal="right" vertical="top"/>
    </xf>
    <xf numFmtId="2" fontId="3" fillId="0" borderId="6" xfId="0" applyNumberFormat="1" applyFont="1" applyFill="1" applyBorder="1" applyAlignment="1">
      <alignment horizontal="right" vertical="top"/>
    </xf>
    <xf numFmtId="0" fontId="2" fillId="0" borderId="3" xfId="0" applyFont="1" applyFill="1" applyBorder="1" applyAlignment="1">
      <alignment horizontal="right" vertical="top"/>
    </xf>
    <xf numFmtId="0" fontId="2" fillId="0" borderId="5" xfId="0" applyFont="1" applyFill="1" applyBorder="1" applyAlignment="1">
      <alignment horizontal="right" vertical="top"/>
    </xf>
    <xf numFmtId="0" fontId="2" fillId="0" borderId="6" xfId="0" applyFont="1" applyFill="1" applyBorder="1" applyAlignment="1">
      <alignment horizontal="right" vertical="top"/>
    </xf>
    <xf numFmtId="0" fontId="3" fillId="7" borderId="3" xfId="0" applyFont="1" applyFill="1" applyBorder="1" applyAlignment="1">
      <alignment horizontal="right" vertical="top"/>
    </xf>
    <xf numFmtId="0" fontId="3" fillId="7" borderId="5" xfId="0" applyFont="1" applyFill="1" applyBorder="1" applyAlignment="1">
      <alignment horizontal="right" vertical="top"/>
    </xf>
    <xf numFmtId="0" fontId="3" fillId="7" borderId="6" xfId="0" applyFont="1" applyFill="1" applyBorder="1" applyAlignment="1">
      <alignment horizontal="right" vertical="top"/>
    </xf>
    <xf numFmtId="0" fontId="3" fillId="0" borderId="4" xfId="0" applyFont="1" applyFill="1" applyBorder="1" applyAlignment="1">
      <alignment horizontal="right" vertical="top"/>
    </xf>
    <xf numFmtId="0" fontId="3" fillId="6" borderId="3" xfId="0" applyFont="1" applyFill="1" applyBorder="1" applyAlignment="1">
      <alignment vertical="top" wrapText="1"/>
    </xf>
    <xf numFmtId="0" fontId="3" fillId="6" borderId="5" xfId="0" applyFont="1" applyFill="1" applyBorder="1" applyAlignment="1">
      <alignment vertical="top" wrapText="1"/>
    </xf>
    <xf numFmtId="0" fontId="8" fillId="6" borderId="3" xfId="0" applyFont="1" applyFill="1" applyBorder="1" applyAlignment="1">
      <alignment vertical="top" wrapText="1"/>
    </xf>
    <xf numFmtId="0" fontId="8" fillId="6" borderId="6" xfId="0" applyFont="1" applyFill="1" applyBorder="1" applyAlignment="1">
      <alignment vertical="top" wrapText="1"/>
    </xf>
    <xf numFmtId="0" fontId="0" fillId="10" borderId="10" xfId="0" applyFill="1" applyBorder="1" applyAlignment="1">
      <alignment horizontal="center" wrapText="1"/>
    </xf>
    <xf numFmtId="0" fontId="0" fillId="10" borderId="8" xfId="0" applyFill="1" applyBorder="1" applyAlignment="1">
      <alignment horizontal="center" wrapText="1"/>
    </xf>
    <xf numFmtId="0" fontId="0" fillId="10" borderId="9" xfId="0" applyFill="1" applyBorder="1" applyAlignment="1">
      <alignment horizontal="center" wrapText="1"/>
    </xf>
    <xf numFmtId="0" fontId="8" fillId="6" borderId="3" xfId="0" applyFont="1" applyFill="1" applyBorder="1" applyAlignment="1">
      <alignment vertical="top"/>
    </xf>
    <xf numFmtId="0" fontId="8" fillId="6" borderId="6" xfId="0" applyFont="1" applyFill="1" applyBorder="1" applyAlignment="1">
      <alignment vertical="top"/>
    </xf>
    <xf numFmtId="0" fontId="8" fillId="10" borderId="10" xfId="0" applyFont="1" applyFill="1" applyBorder="1" applyAlignment="1">
      <alignment horizontal="center" wrapText="1"/>
    </xf>
    <xf numFmtId="0" fontId="8" fillId="10" borderId="8" xfId="0" applyFont="1" applyFill="1" applyBorder="1" applyAlignment="1">
      <alignment horizontal="center" wrapText="1"/>
    </xf>
    <xf numFmtId="0" fontId="8" fillId="10" borderId="9" xfId="0" applyFont="1" applyFill="1" applyBorder="1" applyAlignment="1">
      <alignment horizontal="center" wrapText="1"/>
    </xf>
    <xf numFmtId="0" fontId="8" fillId="13" borderId="13" xfId="0" applyFont="1" applyFill="1" applyBorder="1" applyAlignment="1">
      <alignment horizontal="center" wrapText="1"/>
    </xf>
    <xf numFmtId="0" fontId="8" fillId="13" borderId="11" xfId="0" applyFont="1" applyFill="1" applyBorder="1" applyAlignment="1">
      <alignment horizontal="center" wrapText="1"/>
    </xf>
    <xf numFmtId="0" fontId="8" fillId="13" borderId="14" xfId="0" applyFont="1" applyFill="1" applyBorder="1" applyAlignment="1">
      <alignment horizontal="center" wrapText="1"/>
    </xf>
    <xf numFmtId="0" fontId="3" fillId="15" borderId="3" xfId="0" applyFont="1" applyFill="1" applyBorder="1" applyAlignment="1">
      <alignment horizontal="right" vertical="top"/>
    </xf>
    <xf numFmtId="0" fontId="3" fillId="15" borderId="5" xfId="0" applyFont="1" applyFill="1" applyBorder="1" applyAlignment="1">
      <alignment horizontal="right" vertical="top"/>
    </xf>
    <xf numFmtId="0" fontId="3" fillId="15" borderId="6" xfId="0" applyFont="1" applyFill="1" applyBorder="1" applyAlignment="1">
      <alignment horizontal="right" vertical="top"/>
    </xf>
    <xf numFmtId="0" fontId="3" fillId="0" borderId="3" xfId="0" applyFont="1" applyFill="1" applyBorder="1" applyAlignment="1">
      <alignment horizontal="right" vertical="center"/>
    </xf>
    <xf numFmtId="0" fontId="3" fillId="0" borderId="5" xfId="0" applyFont="1" applyFill="1" applyBorder="1" applyAlignment="1">
      <alignment horizontal="right" vertical="center"/>
    </xf>
    <xf numFmtId="0" fontId="3" fillId="0" borderId="6" xfId="0" applyFont="1" applyFill="1" applyBorder="1" applyAlignment="1">
      <alignment horizontal="right" vertical="center"/>
    </xf>
    <xf numFmtId="0" fontId="2" fillId="0" borderId="3" xfId="0" applyFont="1" applyFill="1" applyBorder="1" applyAlignment="1">
      <alignment horizontal="right" vertical="center"/>
    </xf>
    <xf numFmtId="0" fontId="2" fillId="0" borderId="5" xfId="0" applyFont="1" applyFill="1" applyBorder="1" applyAlignment="1">
      <alignment horizontal="right" vertical="center"/>
    </xf>
    <xf numFmtId="0" fontId="2" fillId="0" borderId="6" xfId="0" applyFont="1" applyFill="1" applyBorder="1" applyAlignment="1">
      <alignment horizontal="right" vertical="center"/>
    </xf>
    <xf numFmtId="0" fontId="3" fillId="0" borderId="4" xfId="0" applyFont="1" applyFill="1" applyBorder="1" applyAlignment="1">
      <alignment horizontal="right" vertical="center"/>
    </xf>
    <xf numFmtId="0" fontId="16" fillId="0" borderId="4" xfId="0" applyFont="1" applyFill="1" applyBorder="1" applyAlignment="1">
      <alignment horizontal="center" vertical="top"/>
    </xf>
    <xf numFmtId="0" fontId="16" fillId="0" borderId="10" xfId="0" applyFont="1" applyFill="1" applyBorder="1" applyAlignment="1">
      <alignment horizontal="center" vertical="top"/>
    </xf>
    <xf numFmtId="0" fontId="16" fillId="0" borderId="9" xfId="0" applyFont="1" applyFill="1" applyBorder="1" applyAlignment="1">
      <alignment horizontal="center" vertical="top"/>
    </xf>
    <xf numFmtId="0" fontId="12" fillId="6" borderId="3" xfId="0" applyFont="1" applyFill="1" applyBorder="1" applyAlignment="1">
      <alignment vertical="top" wrapText="1"/>
    </xf>
    <xf numFmtId="0" fontId="12" fillId="6" borderId="5" xfId="0" applyFont="1" applyFill="1" applyBorder="1" applyAlignment="1">
      <alignment vertical="top" wrapText="1"/>
    </xf>
    <xf numFmtId="0" fontId="0" fillId="11" borderId="4" xfId="0" applyFill="1" applyBorder="1" applyAlignment="1">
      <alignment vertical="center" wrapText="1"/>
    </xf>
    <xf numFmtId="0" fontId="0" fillId="0" borderId="7" xfId="0" applyBorder="1" applyAlignment="1">
      <alignment horizontal="left" vertical="center" wrapText="1"/>
    </xf>
    <xf numFmtId="0" fontId="0" fillId="0" borderId="0" xfId="0" applyBorder="1" applyAlignment="1">
      <alignment horizontal="left" vertical="center" wrapText="1"/>
    </xf>
  </cellXfs>
  <cellStyles count="3">
    <cellStyle name="ハイパーリンク" xfId="2" builtinId="8"/>
    <cellStyle name="標準" xfId="0" builtinId="0"/>
    <cellStyle name="標準 3" xfId="1" xr:uid="{00000000-0005-0000-0000-000002000000}"/>
  </cellStyles>
  <dxfs count="0"/>
  <tableStyles count="0" defaultTableStyle="TableStyleMedium2" defaultPivotStyle="PivotStyleLight16"/>
  <colors>
    <mruColors>
      <color rgb="FF9148C8"/>
      <color rgb="FFFFC3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lang="ja-JP" sz="1600" b="1" i="0" u="none" strike="noStrike" kern="1200" baseline="0">
                <a:solidFill>
                  <a:schemeClr val="tx2"/>
                </a:solidFill>
                <a:latin typeface="+mn-lt"/>
                <a:ea typeface="+mn-ea"/>
                <a:cs typeface="+mn-cs"/>
              </a:defRPr>
            </a:pPr>
            <a:r>
              <a:rPr lang="en-US"/>
              <a:t>Spatial distribution of famine</a:t>
            </a:r>
            <a:endParaRPr lang="ja-JP"/>
          </a:p>
        </c:rich>
      </c:tx>
      <c:overlay val="0"/>
      <c:spPr>
        <a:noFill/>
        <a:ln>
          <a:noFill/>
        </a:ln>
        <a:effectLst/>
      </c:spPr>
      <c:txPr>
        <a:bodyPr rot="0" spcFirstLastPara="1" vertOverflow="ellipsis" vert="horz" wrap="square" anchor="ctr" anchorCtr="1"/>
        <a:lstStyle/>
        <a:p>
          <a:pPr>
            <a:defRPr lang="ja-JP" sz="1600" b="1" i="0" u="none" strike="noStrike" kern="1200" baseline="0">
              <a:solidFill>
                <a:schemeClr val="tx2"/>
              </a:solidFill>
              <a:latin typeface="+mn-lt"/>
              <a:ea typeface="+mn-ea"/>
              <a:cs typeface="+mn-cs"/>
            </a:defRPr>
          </a:pPr>
          <a:endParaRPr lang="ja-JP"/>
        </a:p>
      </c:txPr>
    </c:title>
    <c:autoTitleDeleted val="0"/>
    <c:plotArea>
      <c:layout/>
      <c:pieChart>
        <c:varyColors val="1"/>
        <c:ser>
          <c:idx val="0"/>
          <c:order val="0"/>
          <c:dPt>
            <c:idx val="0"/>
            <c:bubble3D val="0"/>
            <c:spPr>
              <a:gradFill rotWithShape="1">
                <a:gsLst>
                  <a:gs pos="0">
                    <a:schemeClr val="accent2">
                      <a:shade val="41000"/>
                      <a:satMod val="103000"/>
                      <a:lumMod val="102000"/>
                      <a:tint val="94000"/>
                    </a:schemeClr>
                  </a:gs>
                  <a:gs pos="50000">
                    <a:schemeClr val="accent2">
                      <a:shade val="41000"/>
                      <a:satMod val="110000"/>
                      <a:lumMod val="100000"/>
                      <a:shade val="100000"/>
                    </a:schemeClr>
                  </a:gs>
                  <a:gs pos="100000">
                    <a:schemeClr val="accent2">
                      <a:shade val="41000"/>
                      <a:lumMod val="99000"/>
                      <a:satMod val="120000"/>
                      <a:shade val="78000"/>
                    </a:schemeClr>
                  </a:gs>
                </a:gsLst>
                <a:lin ang="5400000" scaled="0"/>
              </a:gradFill>
              <a:ln>
                <a:noFill/>
              </a:ln>
              <a:effectLst/>
            </c:spPr>
            <c:extLst>
              <c:ext xmlns:c16="http://schemas.microsoft.com/office/drawing/2014/chart" uri="{C3380CC4-5D6E-409C-BE32-E72D297353CC}">
                <c16:uniqueId val="{00000001-3895-43A3-8FBD-A9D30000A0CD}"/>
              </c:ext>
            </c:extLst>
          </c:dPt>
          <c:dPt>
            <c:idx val="1"/>
            <c:bubble3D val="0"/>
            <c:spPr>
              <a:gradFill rotWithShape="1">
                <a:gsLst>
                  <a:gs pos="0">
                    <a:schemeClr val="accent2">
                      <a:shade val="53000"/>
                      <a:satMod val="103000"/>
                      <a:lumMod val="102000"/>
                      <a:tint val="94000"/>
                    </a:schemeClr>
                  </a:gs>
                  <a:gs pos="50000">
                    <a:schemeClr val="accent2">
                      <a:shade val="53000"/>
                      <a:satMod val="110000"/>
                      <a:lumMod val="100000"/>
                      <a:shade val="100000"/>
                    </a:schemeClr>
                  </a:gs>
                  <a:gs pos="100000">
                    <a:schemeClr val="accent2">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3-3895-43A3-8FBD-A9D30000A0CD}"/>
              </c:ext>
            </c:extLst>
          </c:dPt>
          <c:dPt>
            <c:idx val="2"/>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5-3895-43A3-8FBD-A9D30000A0CD}"/>
              </c:ext>
            </c:extLst>
          </c:dPt>
          <c:dPt>
            <c:idx val="3"/>
            <c:bubble3D val="0"/>
            <c:spPr>
              <a:solidFill>
                <a:schemeClr val="accent2">
                  <a:lumMod val="40000"/>
                  <a:lumOff val="60000"/>
                </a:schemeClr>
              </a:solidFill>
              <a:ln>
                <a:noFill/>
              </a:ln>
              <a:effectLst/>
            </c:spPr>
            <c:extLst>
              <c:ext xmlns:c16="http://schemas.microsoft.com/office/drawing/2014/chart" uri="{C3380CC4-5D6E-409C-BE32-E72D297353CC}">
                <c16:uniqueId val="{00000007-3895-43A3-8FBD-A9D30000A0CD}"/>
              </c:ext>
            </c:extLst>
          </c:dPt>
          <c:dPt>
            <c:idx val="4"/>
            <c:bubble3D val="0"/>
            <c:spPr>
              <a:solidFill>
                <a:schemeClr val="accent2">
                  <a:lumMod val="75000"/>
                </a:schemeClr>
              </a:solidFill>
              <a:ln>
                <a:noFill/>
              </a:ln>
              <a:effectLst/>
            </c:spPr>
            <c:extLst>
              <c:ext xmlns:c16="http://schemas.microsoft.com/office/drawing/2014/chart" uri="{C3380CC4-5D6E-409C-BE32-E72D297353CC}">
                <c16:uniqueId val="{00000009-3895-43A3-8FBD-A9D30000A0CD}"/>
              </c:ext>
            </c:extLst>
          </c:dPt>
          <c:dPt>
            <c:idx val="5"/>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B-3895-43A3-8FBD-A9D30000A0CD}"/>
              </c:ext>
            </c:extLst>
          </c:dPt>
          <c:dPt>
            <c:idx val="6"/>
            <c:bubble3D val="0"/>
            <c:spPr>
              <a:gradFill rotWithShape="1">
                <a:gsLst>
                  <a:gs pos="0">
                    <a:schemeClr val="accent2">
                      <a:tint val="89000"/>
                      <a:satMod val="103000"/>
                      <a:lumMod val="102000"/>
                      <a:tint val="94000"/>
                    </a:schemeClr>
                  </a:gs>
                  <a:gs pos="50000">
                    <a:schemeClr val="accent2">
                      <a:tint val="89000"/>
                      <a:satMod val="110000"/>
                      <a:lumMod val="100000"/>
                      <a:shade val="100000"/>
                    </a:schemeClr>
                  </a:gs>
                  <a:gs pos="100000">
                    <a:schemeClr val="accent2">
                      <a:tint val="89000"/>
                      <a:lumMod val="99000"/>
                      <a:satMod val="120000"/>
                      <a:shade val="78000"/>
                    </a:schemeClr>
                  </a:gs>
                </a:gsLst>
                <a:lin ang="5400000" scaled="0"/>
              </a:gradFill>
              <a:ln>
                <a:noFill/>
              </a:ln>
              <a:effectLst/>
            </c:spPr>
            <c:extLst>
              <c:ext xmlns:c16="http://schemas.microsoft.com/office/drawing/2014/chart" uri="{C3380CC4-5D6E-409C-BE32-E72D297353CC}">
                <c16:uniqueId val="{0000000D-3895-43A3-8FBD-A9D30000A0CD}"/>
              </c:ext>
            </c:extLst>
          </c:dPt>
          <c:dPt>
            <c:idx val="7"/>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F-3895-43A3-8FBD-A9D30000A0CD}"/>
              </c:ext>
            </c:extLst>
          </c:dPt>
          <c:dPt>
            <c:idx val="8"/>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11-3895-43A3-8FBD-A9D30000A0CD}"/>
              </c:ext>
            </c:extLst>
          </c:dPt>
          <c:dPt>
            <c:idx val="9"/>
            <c:bubble3D val="0"/>
            <c:spPr>
              <a:gradFill rotWithShape="1">
                <a:gsLst>
                  <a:gs pos="0">
                    <a:schemeClr val="accent2">
                      <a:tint val="54000"/>
                      <a:satMod val="103000"/>
                      <a:lumMod val="102000"/>
                      <a:tint val="94000"/>
                    </a:schemeClr>
                  </a:gs>
                  <a:gs pos="50000">
                    <a:schemeClr val="accent2">
                      <a:tint val="54000"/>
                      <a:satMod val="110000"/>
                      <a:lumMod val="100000"/>
                      <a:shade val="100000"/>
                    </a:schemeClr>
                  </a:gs>
                  <a:gs pos="100000">
                    <a:schemeClr val="accent2">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13-3895-43A3-8FBD-A9D30000A0CD}"/>
              </c:ext>
            </c:extLst>
          </c:dPt>
          <c:dPt>
            <c:idx val="10"/>
            <c:bubble3D val="0"/>
            <c:spPr>
              <a:gradFill rotWithShape="1">
                <a:gsLst>
                  <a:gs pos="0">
                    <a:schemeClr val="accent2">
                      <a:tint val="42000"/>
                      <a:satMod val="103000"/>
                      <a:lumMod val="102000"/>
                      <a:tint val="94000"/>
                    </a:schemeClr>
                  </a:gs>
                  <a:gs pos="50000">
                    <a:schemeClr val="accent2">
                      <a:tint val="42000"/>
                      <a:satMod val="110000"/>
                      <a:lumMod val="100000"/>
                      <a:shade val="100000"/>
                    </a:schemeClr>
                  </a:gs>
                  <a:gs pos="100000">
                    <a:schemeClr val="accent2">
                      <a:tint val="42000"/>
                      <a:lumMod val="99000"/>
                      <a:satMod val="120000"/>
                      <a:shade val="78000"/>
                    </a:schemeClr>
                  </a:gs>
                </a:gsLst>
                <a:lin ang="5400000" scaled="0"/>
              </a:gradFill>
              <a:ln>
                <a:noFill/>
              </a:ln>
              <a:effectLst/>
            </c:spPr>
            <c:extLst>
              <c:ext xmlns:c16="http://schemas.microsoft.com/office/drawing/2014/chart" uri="{C3380CC4-5D6E-409C-BE32-E72D297353CC}">
                <c16:uniqueId val="{00000015-3895-43A3-8FBD-A9D30000A0CD}"/>
              </c:ext>
            </c:extLst>
          </c:dPt>
          <c:cat>
            <c:strRef>
              <c:f>DB20c!$G$77:$G$87</c:f>
              <c:strCache>
                <c:ptCount val="11"/>
                <c:pt idx="0">
                  <c:v>EAS</c:v>
                </c:pt>
                <c:pt idx="1">
                  <c:v>WAS</c:v>
                </c:pt>
                <c:pt idx="2">
                  <c:v>SEAS</c:v>
                </c:pt>
                <c:pt idx="3">
                  <c:v>SCAS</c:v>
                </c:pt>
                <c:pt idx="4">
                  <c:v>EAF</c:v>
                </c:pt>
                <c:pt idx="5">
                  <c:v>WAF</c:v>
                </c:pt>
                <c:pt idx="6">
                  <c:v>SAF</c:v>
                </c:pt>
                <c:pt idx="7">
                  <c:v>CAF</c:v>
                </c:pt>
                <c:pt idx="8">
                  <c:v>NAF</c:v>
                </c:pt>
                <c:pt idx="9">
                  <c:v>WEU</c:v>
                </c:pt>
                <c:pt idx="10">
                  <c:v>EEU</c:v>
                </c:pt>
              </c:strCache>
            </c:strRef>
          </c:cat>
          <c:val>
            <c:numRef>
              <c:f>DB20c!$H$77:$H$87</c:f>
              <c:numCache>
                <c:formatCode>General</c:formatCode>
                <c:ptCount val="11"/>
                <c:pt idx="0">
                  <c:v>9</c:v>
                </c:pt>
                <c:pt idx="1">
                  <c:v>1</c:v>
                </c:pt>
                <c:pt idx="2">
                  <c:v>2</c:v>
                </c:pt>
                <c:pt idx="3">
                  <c:v>4</c:v>
                </c:pt>
                <c:pt idx="4">
                  <c:v>14</c:v>
                </c:pt>
                <c:pt idx="5">
                  <c:v>5</c:v>
                </c:pt>
                <c:pt idx="6">
                  <c:v>1</c:v>
                </c:pt>
                <c:pt idx="7">
                  <c:v>3</c:v>
                </c:pt>
                <c:pt idx="8">
                  <c:v>4</c:v>
                </c:pt>
                <c:pt idx="9">
                  <c:v>3</c:v>
                </c:pt>
                <c:pt idx="10">
                  <c:v>7</c:v>
                </c:pt>
              </c:numCache>
            </c:numRef>
          </c:val>
          <c:extLst>
            <c:ext xmlns:c16="http://schemas.microsoft.com/office/drawing/2014/chart" uri="{C3380CC4-5D6E-409C-BE32-E72D297353CC}">
              <c16:uniqueId val="{00000016-3895-43A3-8FBD-A9D30000A0C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2"/>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400" b="0" i="0" u="none" strike="noStrike" kern="1200" spc="0" baseline="0">
                <a:solidFill>
                  <a:sysClr val="windowText" lastClr="000000"/>
                </a:solidFill>
                <a:latin typeface="+mn-lt"/>
                <a:ea typeface="+mn-ea"/>
                <a:cs typeface="+mn-cs"/>
              </a:defRPr>
            </a:pPr>
            <a:r>
              <a:rPr lang="en-US" altLang="ja-JP"/>
              <a:t>Factors of famine (1901-2012)</a:t>
            </a:r>
          </a:p>
        </c:rich>
      </c:tx>
      <c:overlay val="0"/>
      <c:spPr>
        <a:noFill/>
        <a:ln>
          <a:noFill/>
        </a:ln>
        <a:effectLst/>
      </c:spPr>
      <c:txPr>
        <a:bodyPr rot="0" spcFirstLastPara="1" vertOverflow="ellipsis" vert="horz" wrap="square" anchor="ctr" anchorCtr="1"/>
        <a:lstStyle/>
        <a:p>
          <a:pPr>
            <a:defRPr lang="ja-JP" sz="1400" b="0" i="0" u="none" strike="noStrike" kern="1200" spc="0" baseline="0">
              <a:solidFill>
                <a:sysClr val="windowText" lastClr="000000"/>
              </a:solidFill>
              <a:latin typeface="+mn-lt"/>
              <a:ea typeface="+mn-ea"/>
              <a:cs typeface="+mn-cs"/>
            </a:defRPr>
          </a:pPr>
          <a:endParaRPr lang="ja-JP"/>
        </a:p>
      </c:txPr>
    </c:title>
    <c:autoTitleDeleted val="0"/>
    <c:plotArea>
      <c:layout/>
      <c:barChart>
        <c:barDir val="col"/>
        <c:grouping val="clustered"/>
        <c:varyColors val="0"/>
        <c:ser>
          <c:idx val="0"/>
          <c:order val="0"/>
          <c:spPr>
            <a:solidFill>
              <a:schemeClr val="accent6">
                <a:lumMod val="75000"/>
              </a:schemeClr>
            </a:solidFill>
            <a:ln>
              <a:solidFill>
                <a:schemeClr val="accent6">
                  <a:lumMod val="50000"/>
                </a:schemeClr>
              </a:solidFill>
            </a:ln>
            <a:effectLst/>
          </c:spPr>
          <c:invertIfNegative val="0"/>
          <c:cat>
            <c:strRef>
              <c:f>DB20c!$K$2:$W$2</c:f>
              <c:strCache>
                <c:ptCount val="13"/>
                <c:pt idx="0">
                  <c:v>Drought</c:v>
                </c:pt>
                <c:pt idx="1">
                  <c:v>Flood</c:v>
                </c:pt>
                <c:pt idx="2">
                  <c:v>Natural resources management</c:v>
                </c:pt>
                <c:pt idx="3">
                  <c:v>Population growth</c:v>
                </c:pt>
                <c:pt idx="4">
                  <c:v>Wars &amp; conflicts</c:v>
                </c:pt>
                <c:pt idx="5">
                  <c:v>Market price</c:v>
                </c:pt>
                <c:pt idx="6">
                  <c:v>Rationing system</c:v>
                </c:pt>
                <c:pt idx="7">
                  <c:v>Others (shift to cash crops etc.)</c:v>
                </c:pt>
                <c:pt idx="8">
                  <c:v>Transport system</c:v>
                </c:pt>
                <c:pt idx="9">
                  <c:v>Food distribution</c:v>
                </c:pt>
                <c:pt idx="10">
                  <c:v>Displacement</c:v>
                </c:pt>
                <c:pt idx="11">
                  <c:v>Governance</c:v>
                </c:pt>
                <c:pt idx="12">
                  <c:v>Political system</c:v>
                </c:pt>
              </c:strCache>
            </c:strRef>
          </c:cat>
          <c:val>
            <c:numRef>
              <c:f>DB20c!$K$60:$W$60</c:f>
              <c:numCache>
                <c:formatCode>General</c:formatCode>
                <c:ptCount val="13"/>
                <c:pt idx="0">
                  <c:v>35</c:v>
                </c:pt>
                <c:pt idx="1">
                  <c:v>6</c:v>
                </c:pt>
                <c:pt idx="2">
                  <c:v>2</c:v>
                </c:pt>
                <c:pt idx="3">
                  <c:v>2</c:v>
                </c:pt>
                <c:pt idx="4">
                  <c:v>36</c:v>
                </c:pt>
                <c:pt idx="5">
                  <c:v>16</c:v>
                </c:pt>
                <c:pt idx="6">
                  <c:v>6</c:v>
                </c:pt>
                <c:pt idx="7">
                  <c:v>15</c:v>
                </c:pt>
                <c:pt idx="8">
                  <c:v>9</c:v>
                </c:pt>
                <c:pt idx="9">
                  <c:v>20</c:v>
                </c:pt>
                <c:pt idx="10">
                  <c:v>9</c:v>
                </c:pt>
                <c:pt idx="11">
                  <c:v>30</c:v>
                </c:pt>
                <c:pt idx="12">
                  <c:v>22</c:v>
                </c:pt>
              </c:numCache>
            </c:numRef>
          </c:val>
          <c:extLst>
            <c:ext xmlns:c16="http://schemas.microsoft.com/office/drawing/2014/chart" uri="{C3380CC4-5D6E-409C-BE32-E72D297353CC}">
              <c16:uniqueId val="{00000000-E0DF-4C9E-AA4A-3759A7328E84}"/>
            </c:ext>
          </c:extLst>
        </c:ser>
        <c:dLbls>
          <c:showLegendKey val="0"/>
          <c:showVal val="0"/>
          <c:showCatName val="0"/>
          <c:showSerName val="0"/>
          <c:showPercent val="0"/>
          <c:showBubbleSize val="0"/>
        </c:dLbls>
        <c:gapWidth val="219"/>
        <c:overlap val="-27"/>
        <c:axId val="465958472"/>
        <c:axId val="465958864"/>
      </c:barChart>
      <c:catAx>
        <c:axId val="46595847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5400000" spcFirstLastPara="1" vertOverflow="ellipsis" wrap="square" anchor="ctr" anchorCtr="1"/>
          <a:lstStyle/>
          <a:p>
            <a:pPr>
              <a:defRPr lang="ja-JP" sz="900" b="0" i="0" u="none" strike="noStrike" kern="1200" baseline="0">
                <a:solidFill>
                  <a:sysClr val="windowText" lastClr="000000"/>
                </a:solidFill>
                <a:latin typeface="+mn-lt"/>
                <a:ea typeface="+mn-ea"/>
                <a:cs typeface="+mn-cs"/>
              </a:defRPr>
            </a:pPr>
            <a:endParaRPr lang="ja-JP"/>
          </a:p>
        </c:txPr>
        <c:crossAx val="465958864"/>
        <c:crosses val="autoZero"/>
        <c:auto val="1"/>
        <c:lblAlgn val="ctr"/>
        <c:lblOffset val="100"/>
        <c:noMultiLvlLbl val="0"/>
      </c:catAx>
      <c:valAx>
        <c:axId val="46595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ysClr val="windowText" lastClr="000000"/>
            </a:solidFill>
          </a:ln>
          <a:effectLst/>
        </c:spPr>
        <c:txPr>
          <a:bodyPr rot="-60000000" spcFirstLastPara="1" vertOverflow="ellipsis" vert="horz" wrap="square" anchor="ctr" anchorCtr="1"/>
          <a:lstStyle/>
          <a:p>
            <a:pPr>
              <a:defRPr lang="ja-JP" sz="900" b="0" i="0" u="none" strike="noStrike" kern="1200" baseline="0">
                <a:solidFill>
                  <a:sysClr val="windowText" lastClr="000000"/>
                </a:solidFill>
                <a:latin typeface="+mn-lt"/>
                <a:ea typeface="+mn-ea"/>
                <a:cs typeface="+mn-cs"/>
              </a:defRPr>
            </a:pPr>
            <a:endParaRPr lang="ja-JP"/>
          </a:p>
        </c:txPr>
        <c:crossAx val="4659584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ysClr val="windowText" lastClr="000000"/>
          </a:solidFill>
        </a:defRPr>
      </a:pPr>
      <a:endParaRPr lang="ja-JP"/>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lang="ja-JP" sz="1440" b="0" i="0" u="none" strike="noStrike" kern="1200" spc="0" baseline="0">
              <a:solidFill>
                <a:schemeClr val="tx1"/>
              </a:solidFill>
              <a:latin typeface="+mn-lt"/>
              <a:ea typeface="+mn-ea"/>
              <a:cs typeface="+mn-cs"/>
            </a:defRPr>
          </a:pPr>
          <a:endParaRPr lang="ja-JP"/>
        </a:p>
      </c:txPr>
    </c:title>
    <c:autoTitleDeleted val="0"/>
    <c:plotArea>
      <c:layout>
        <c:manualLayout>
          <c:layoutTarget val="inner"/>
          <c:xMode val="edge"/>
          <c:yMode val="edge"/>
          <c:x val="4.7163690127961025E-2"/>
          <c:y val="0.11265526980622829"/>
          <c:w val="0.93353806692387531"/>
          <c:h val="0.42316594887760167"/>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1-B0A0-47C5-90C4-0AED2654862E}"/>
              </c:ext>
            </c:extLst>
          </c:dPt>
          <c:dPt>
            <c:idx val="1"/>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3-B0A0-47C5-90C4-0AED2654862E}"/>
              </c:ext>
            </c:extLst>
          </c:dPt>
          <c:dPt>
            <c:idx val="2"/>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5-B0A0-47C5-90C4-0AED2654862E}"/>
              </c:ext>
            </c:extLst>
          </c:dPt>
          <c:dPt>
            <c:idx val="3"/>
            <c:invertIfNegative val="0"/>
            <c:bubble3D val="0"/>
            <c:spPr>
              <a:solidFill>
                <a:schemeClr val="accent6">
                  <a:lumMod val="60000"/>
                  <a:lumOff val="40000"/>
                </a:schemeClr>
              </a:solidFill>
              <a:ln>
                <a:solidFill>
                  <a:schemeClr val="accent6">
                    <a:lumMod val="50000"/>
                  </a:schemeClr>
                </a:solidFill>
              </a:ln>
              <a:effectLst/>
            </c:spPr>
            <c:extLst>
              <c:ext xmlns:c16="http://schemas.microsoft.com/office/drawing/2014/chart" uri="{C3380CC4-5D6E-409C-BE32-E72D297353CC}">
                <c16:uniqueId val="{00000007-B0A0-47C5-90C4-0AED2654862E}"/>
              </c:ext>
            </c:extLst>
          </c:dPt>
          <c:dPt>
            <c:idx val="4"/>
            <c:invertIfNegative val="0"/>
            <c:bubble3D val="0"/>
            <c:spPr>
              <a:solidFill>
                <a:schemeClr val="accent6">
                  <a:lumMod val="60000"/>
                  <a:lumOff val="40000"/>
                </a:schemeClr>
              </a:solidFill>
              <a:ln>
                <a:solidFill>
                  <a:schemeClr val="accent6">
                    <a:lumMod val="50000"/>
                  </a:schemeClr>
                </a:solidFill>
              </a:ln>
              <a:effectLst/>
            </c:spPr>
            <c:extLst>
              <c:ext xmlns:c16="http://schemas.microsoft.com/office/drawing/2014/chart" uri="{C3380CC4-5D6E-409C-BE32-E72D297353CC}">
                <c16:uniqueId val="{00000009-B0A0-47C5-90C4-0AED2654862E}"/>
              </c:ext>
            </c:extLst>
          </c:dPt>
          <c:dPt>
            <c:idx val="5"/>
            <c:invertIfNegative val="0"/>
            <c:bubble3D val="0"/>
            <c:spPr>
              <a:solidFill>
                <a:schemeClr val="accent6">
                  <a:lumMod val="60000"/>
                  <a:lumOff val="40000"/>
                </a:schemeClr>
              </a:solidFill>
              <a:ln>
                <a:solidFill>
                  <a:schemeClr val="accent6">
                    <a:lumMod val="50000"/>
                  </a:schemeClr>
                </a:solidFill>
              </a:ln>
              <a:effectLst/>
            </c:spPr>
            <c:extLst>
              <c:ext xmlns:c16="http://schemas.microsoft.com/office/drawing/2014/chart" uri="{C3380CC4-5D6E-409C-BE32-E72D297353CC}">
                <c16:uniqueId val="{0000000B-B0A0-47C5-90C4-0AED2654862E}"/>
              </c:ext>
            </c:extLst>
          </c:dPt>
          <c:dPt>
            <c:idx val="6"/>
            <c:invertIfNegative val="0"/>
            <c:bubble3D val="0"/>
            <c:spPr>
              <a:solidFill>
                <a:schemeClr val="accent4">
                  <a:lumMod val="60000"/>
                  <a:lumOff val="40000"/>
                </a:schemeClr>
              </a:solidFill>
              <a:ln>
                <a:solidFill>
                  <a:schemeClr val="accent6">
                    <a:lumMod val="50000"/>
                  </a:schemeClr>
                </a:solidFill>
              </a:ln>
              <a:effectLst/>
            </c:spPr>
            <c:extLst>
              <c:ext xmlns:c16="http://schemas.microsoft.com/office/drawing/2014/chart" uri="{C3380CC4-5D6E-409C-BE32-E72D297353CC}">
                <c16:uniqueId val="{0000000D-B0A0-47C5-90C4-0AED2654862E}"/>
              </c:ext>
            </c:extLst>
          </c:dPt>
          <c:dPt>
            <c:idx val="7"/>
            <c:invertIfNegative val="0"/>
            <c:bubble3D val="0"/>
            <c:spPr>
              <a:solidFill>
                <a:schemeClr val="accent4">
                  <a:lumMod val="60000"/>
                  <a:lumOff val="40000"/>
                </a:schemeClr>
              </a:solidFill>
              <a:ln>
                <a:solidFill>
                  <a:schemeClr val="accent6">
                    <a:lumMod val="50000"/>
                  </a:schemeClr>
                </a:solidFill>
              </a:ln>
              <a:effectLst/>
            </c:spPr>
            <c:extLst>
              <c:ext xmlns:c16="http://schemas.microsoft.com/office/drawing/2014/chart" uri="{C3380CC4-5D6E-409C-BE32-E72D297353CC}">
                <c16:uniqueId val="{0000000F-B0A0-47C5-90C4-0AED2654862E}"/>
              </c:ext>
            </c:extLst>
          </c:dPt>
          <c:dPt>
            <c:idx val="8"/>
            <c:invertIfNegative val="0"/>
            <c:bubble3D val="0"/>
            <c:spPr>
              <a:solidFill>
                <a:schemeClr val="accent4">
                  <a:lumMod val="20000"/>
                  <a:lumOff val="80000"/>
                </a:schemeClr>
              </a:solidFill>
              <a:ln>
                <a:solidFill>
                  <a:schemeClr val="accent6">
                    <a:lumMod val="50000"/>
                  </a:schemeClr>
                </a:solidFill>
              </a:ln>
              <a:effectLst/>
            </c:spPr>
            <c:extLst>
              <c:ext xmlns:c16="http://schemas.microsoft.com/office/drawing/2014/chart" uri="{C3380CC4-5D6E-409C-BE32-E72D297353CC}">
                <c16:uniqueId val="{00000011-B0A0-47C5-90C4-0AED2654862E}"/>
              </c:ext>
            </c:extLst>
          </c:dPt>
          <c:dPt>
            <c:idx val="9"/>
            <c:invertIfNegative val="0"/>
            <c:bubble3D val="0"/>
            <c:spPr>
              <a:solidFill>
                <a:schemeClr val="accent4">
                  <a:lumMod val="20000"/>
                  <a:lumOff val="80000"/>
                </a:schemeClr>
              </a:solidFill>
              <a:ln>
                <a:solidFill>
                  <a:schemeClr val="accent6">
                    <a:lumMod val="50000"/>
                  </a:schemeClr>
                </a:solidFill>
              </a:ln>
              <a:effectLst/>
            </c:spPr>
            <c:extLst>
              <c:ext xmlns:c16="http://schemas.microsoft.com/office/drawing/2014/chart" uri="{C3380CC4-5D6E-409C-BE32-E72D297353CC}">
                <c16:uniqueId val="{00000013-B0A0-47C5-90C4-0AED2654862E}"/>
              </c:ext>
            </c:extLst>
          </c:dPt>
          <c:dPt>
            <c:idx val="10"/>
            <c:invertIfNegative val="0"/>
            <c:bubble3D val="0"/>
            <c:spPr>
              <a:solidFill>
                <a:schemeClr val="tx1">
                  <a:lumMod val="65000"/>
                  <a:lumOff val="35000"/>
                </a:schemeClr>
              </a:solidFill>
              <a:ln>
                <a:solidFill>
                  <a:schemeClr val="accent6">
                    <a:lumMod val="50000"/>
                  </a:schemeClr>
                </a:solidFill>
              </a:ln>
              <a:effectLst/>
            </c:spPr>
            <c:extLst>
              <c:ext xmlns:c16="http://schemas.microsoft.com/office/drawing/2014/chart" uri="{C3380CC4-5D6E-409C-BE32-E72D297353CC}">
                <c16:uniqueId val="{00000015-B0A0-47C5-90C4-0AED2654862E}"/>
              </c:ext>
            </c:extLst>
          </c:dPt>
          <c:cat>
            <c:strRef>
              <c:f>'DB1960s-_all'!$O$3:$AA$3</c:f>
              <c:strCache>
                <c:ptCount val="13"/>
                <c:pt idx="0">
                  <c:v>Drought (literature)</c:v>
                </c:pt>
                <c:pt idx="1">
                  <c:v>Flood</c:v>
                </c:pt>
                <c:pt idx="2">
                  <c:v>Other climatological factors</c:v>
                </c:pt>
                <c:pt idx="3">
                  <c:v>Price rise</c:v>
                </c:pt>
                <c:pt idx="4">
                  <c:v>Imperfect or fragmented market</c:v>
                </c:pt>
                <c:pt idx="5">
                  <c:v>War, Conflict and Civil conflict</c:v>
                </c:pt>
                <c:pt idx="6">
                  <c:v>Political regime</c:v>
                </c:pt>
                <c:pt idx="7">
                  <c:v>Government Reaction, Food Policy</c:v>
                </c:pt>
                <c:pt idx="8">
                  <c:v>Insufficient or delayed aid, lack of non-food aid</c:v>
                </c:pt>
                <c:pt idx="9">
                  <c:v>Embargo on food aid, Blockade</c:v>
                </c:pt>
                <c:pt idx="10">
                  <c:v>Others</c:v>
                </c:pt>
                <c:pt idx="11">
                  <c:v>Drought (EMDAT)</c:v>
                </c:pt>
                <c:pt idx="12">
                  <c:v>Armed Conflict (UCDP)</c:v>
                </c:pt>
              </c:strCache>
            </c:strRef>
          </c:cat>
          <c:val>
            <c:numRef>
              <c:f>'DB1960s-_all'!$O$177:$Y$177</c:f>
              <c:numCache>
                <c:formatCode>General</c:formatCode>
                <c:ptCount val="11"/>
                <c:pt idx="0">
                  <c:v>33</c:v>
                </c:pt>
                <c:pt idx="1">
                  <c:v>4</c:v>
                </c:pt>
                <c:pt idx="2">
                  <c:v>14</c:v>
                </c:pt>
                <c:pt idx="3">
                  <c:v>21</c:v>
                </c:pt>
                <c:pt idx="4">
                  <c:v>29</c:v>
                </c:pt>
                <c:pt idx="5">
                  <c:v>35</c:v>
                </c:pt>
                <c:pt idx="6">
                  <c:v>22</c:v>
                </c:pt>
                <c:pt idx="7">
                  <c:v>38</c:v>
                </c:pt>
                <c:pt idx="8">
                  <c:v>12</c:v>
                </c:pt>
                <c:pt idx="9">
                  <c:v>6</c:v>
                </c:pt>
                <c:pt idx="10">
                  <c:v>5</c:v>
                </c:pt>
              </c:numCache>
            </c:numRef>
          </c:val>
          <c:extLst>
            <c:ext xmlns:c16="http://schemas.microsoft.com/office/drawing/2014/chart" uri="{C3380CC4-5D6E-409C-BE32-E72D297353CC}">
              <c16:uniqueId val="{00000016-B0A0-47C5-90C4-0AED2654862E}"/>
            </c:ext>
          </c:extLst>
        </c:ser>
        <c:dLbls>
          <c:showLegendKey val="0"/>
          <c:showVal val="0"/>
          <c:showCatName val="0"/>
          <c:showSerName val="0"/>
          <c:showPercent val="0"/>
          <c:showBubbleSize val="0"/>
        </c:dLbls>
        <c:gapWidth val="219"/>
        <c:overlap val="-27"/>
        <c:axId val="465959648"/>
        <c:axId val="465960040"/>
      </c:barChart>
      <c:catAx>
        <c:axId val="46595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lang="ja-JP" sz="1200" b="0" i="0" u="none" strike="noStrike" kern="1200" baseline="0">
                <a:solidFill>
                  <a:schemeClr val="tx1"/>
                </a:solidFill>
                <a:latin typeface="+mn-lt"/>
                <a:ea typeface="+mn-ea"/>
                <a:cs typeface="+mn-cs"/>
              </a:defRPr>
            </a:pPr>
            <a:endParaRPr lang="ja-JP"/>
          </a:p>
        </c:txPr>
        <c:crossAx val="465960040"/>
        <c:crosses val="autoZero"/>
        <c:auto val="1"/>
        <c:lblAlgn val="ctr"/>
        <c:lblOffset val="100"/>
        <c:noMultiLvlLbl val="0"/>
      </c:catAx>
      <c:valAx>
        <c:axId val="465960040"/>
        <c:scaling>
          <c:orientation val="minMax"/>
        </c:scaling>
        <c:delete val="0"/>
        <c:axPos val="l"/>
        <c:majorGridlines>
          <c:spPr>
            <a:ln w="9525" cap="flat" cmpd="sng" algn="ctr">
              <a:solidFill>
                <a:schemeClr val="tx1">
                  <a:lumMod val="85000"/>
                  <a:lumOff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200" b="0" i="0" u="none" strike="noStrike" kern="1200" baseline="0">
                <a:solidFill>
                  <a:schemeClr val="tx1"/>
                </a:solidFill>
                <a:latin typeface="+mn-lt"/>
                <a:ea typeface="+mn-ea"/>
                <a:cs typeface="+mn-cs"/>
              </a:defRPr>
            </a:pPr>
            <a:endParaRPr lang="ja-JP"/>
          </a:p>
        </c:txPr>
        <c:crossAx val="46595964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ja-JP"/>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163690127961025E-2"/>
          <c:y val="0.11265526980622829"/>
          <c:w val="0.93353806692387531"/>
          <c:h val="0.42316594887760167"/>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1-EB20-4CBA-BBF1-37A197D06224}"/>
              </c:ext>
            </c:extLst>
          </c:dPt>
          <c:dPt>
            <c:idx val="1"/>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3-EB20-4CBA-BBF1-37A197D06224}"/>
              </c:ext>
            </c:extLst>
          </c:dPt>
          <c:dPt>
            <c:idx val="2"/>
            <c:invertIfNegative val="0"/>
            <c:bubble3D val="0"/>
            <c:spPr>
              <a:solidFill>
                <a:schemeClr val="accent6">
                  <a:lumMod val="50000"/>
                </a:schemeClr>
              </a:solidFill>
              <a:ln>
                <a:solidFill>
                  <a:schemeClr val="accent6">
                    <a:lumMod val="50000"/>
                  </a:schemeClr>
                </a:solidFill>
              </a:ln>
              <a:effectLst/>
            </c:spPr>
            <c:extLst>
              <c:ext xmlns:c16="http://schemas.microsoft.com/office/drawing/2014/chart" uri="{C3380CC4-5D6E-409C-BE32-E72D297353CC}">
                <c16:uniqueId val="{00000005-EB20-4CBA-BBF1-37A197D06224}"/>
              </c:ext>
            </c:extLst>
          </c:dPt>
          <c:dPt>
            <c:idx val="3"/>
            <c:invertIfNegative val="0"/>
            <c:bubble3D val="0"/>
            <c:spPr>
              <a:solidFill>
                <a:schemeClr val="accent6">
                  <a:lumMod val="60000"/>
                  <a:lumOff val="40000"/>
                </a:schemeClr>
              </a:solidFill>
              <a:ln>
                <a:solidFill>
                  <a:schemeClr val="accent6">
                    <a:lumMod val="50000"/>
                  </a:schemeClr>
                </a:solidFill>
              </a:ln>
              <a:effectLst/>
            </c:spPr>
            <c:extLst>
              <c:ext xmlns:c16="http://schemas.microsoft.com/office/drawing/2014/chart" uri="{C3380CC4-5D6E-409C-BE32-E72D297353CC}">
                <c16:uniqueId val="{00000007-EB20-4CBA-BBF1-37A197D06224}"/>
              </c:ext>
            </c:extLst>
          </c:dPt>
          <c:dPt>
            <c:idx val="4"/>
            <c:invertIfNegative val="0"/>
            <c:bubble3D val="0"/>
            <c:spPr>
              <a:solidFill>
                <a:schemeClr val="accent6">
                  <a:lumMod val="60000"/>
                  <a:lumOff val="40000"/>
                </a:schemeClr>
              </a:solidFill>
              <a:ln>
                <a:solidFill>
                  <a:schemeClr val="accent6">
                    <a:lumMod val="50000"/>
                  </a:schemeClr>
                </a:solidFill>
              </a:ln>
              <a:effectLst/>
            </c:spPr>
            <c:extLst>
              <c:ext xmlns:c16="http://schemas.microsoft.com/office/drawing/2014/chart" uri="{C3380CC4-5D6E-409C-BE32-E72D297353CC}">
                <c16:uniqueId val="{00000009-EB20-4CBA-BBF1-37A197D06224}"/>
              </c:ext>
            </c:extLst>
          </c:dPt>
          <c:dPt>
            <c:idx val="5"/>
            <c:invertIfNegative val="0"/>
            <c:bubble3D val="0"/>
            <c:spPr>
              <a:solidFill>
                <a:schemeClr val="accent2">
                  <a:lumMod val="60000"/>
                  <a:lumOff val="40000"/>
                </a:schemeClr>
              </a:solidFill>
              <a:ln>
                <a:solidFill>
                  <a:schemeClr val="accent6">
                    <a:lumMod val="50000"/>
                  </a:schemeClr>
                </a:solidFill>
              </a:ln>
              <a:effectLst/>
            </c:spPr>
            <c:extLst>
              <c:ext xmlns:c16="http://schemas.microsoft.com/office/drawing/2014/chart" uri="{C3380CC4-5D6E-409C-BE32-E72D297353CC}">
                <c16:uniqueId val="{0000000B-EB20-4CBA-BBF1-37A197D06224}"/>
              </c:ext>
            </c:extLst>
          </c:dPt>
          <c:dPt>
            <c:idx val="6"/>
            <c:invertIfNegative val="0"/>
            <c:bubble3D val="0"/>
            <c:spPr>
              <a:solidFill>
                <a:schemeClr val="accent4">
                  <a:lumMod val="60000"/>
                  <a:lumOff val="40000"/>
                </a:schemeClr>
              </a:solidFill>
              <a:ln>
                <a:solidFill>
                  <a:schemeClr val="accent6">
                    <a:lumMod val="50000"/>
                  </a:schemeClr>
                </a:solidFill>
              </a:ln>
              <a:effectLst/>
            </c:spPr>
            <c:extLst>
              <c:ext xmlns:c16="http://schemas.microsoft.com/office/drawing/2014/chart" uri="{C3380CC4-5D6E-409C-BE32-E72D297353CC}">
                <c16:uniqueId val="{0000000D-EB20-4CBA-BBF1-37A197D06224}"/>
              </c:ext>
            </c:extLst>
          </c:dPt>
          <c:dPt>
            <c:idx val="7"/>
            <c:invertIfNegative val="0"/>
            <c:bubble3D val="0"/>
            <c:spPr>
              <a:solidFill>
                <a:schemeClr val="accent4">
                  <a:lumMod val="60000"/>
                  <a:lumOff val="40000"/>
                </a:schemeClr>
              </a:solidFill>
              <a:ln>
                <a:solidFill>
                  <a:schemeClr val="accent6">
                    <a:lumMod val="50000"/>
                  </a:schemeClr>
                </a:solidFill>
              </a:ln>
              <a:effectLst/>
            </c:spPr>
            <c:extLst>
              <c:ext xmlns:c16="http://schemas.microsoft.com/office/drawing/2014/chart" uri="{C3380CC4-5D6E-409C-BE32-E72D297353CC}">
                <c16:uniqueId val="{0000000F-EB20-4CBA-BBF1-37A197D06224}"/>
              </c:ext>
            </c:extLst>
          </c:dPt>
          <c:dPt>
            <c:idx val="8"/>
            <c:invertIfNegative val="0"/>
            <c:bubble3D val="0"/>
            <c:spPr>
              <a:solidFill>
                <a:schemeClr val="accent4">
                  <a:lumMod val="20000"/>
                  <a:lumOff val="80000"/>
                </a:schemeClr>
              </a:solidFill>
              <a:ln>
                <a:solidFill>
                  <a:schemeClr val="accent6">
                    <a:lumMod val="50000"/>
                  </a:schemeClr>
                </a:solidFill>
              </a:ln>
              <a:effectLst/>
            </c:spPr>
            <c:extLst>
              <c:ext xmlns:c16="http://schemas.microsoft.com/office/drawing/2014/chart" uri="{C3380CC4-5D6E-409C-BE32-E72D297353CC}">
                <c16:uniqueId val="{00000011-EB20-4CBA-BBF1-37A197D06224}"/>
              </c:ext>
            </c:extLst>
          </c:dPt>
          <c:dPt>
            <c:idx val="9"/>
            <c:invertIfNegative val="0"/>
            <c:bubble3D val="0"/>
            <c:spPr>
              <a:solidFill>
                <a:schemeClr val="accent4">
                  <a:lumMod val="20000"/>
                  <a:lumOff val="80000"/>
                </a:schemeClr>
              </a:solidFill>
              <a:ln>
                <a:solidFill>
                  <a:schemeClr val="accent6">
                    <a:lumMod val="50000"/>
                  </a:schemeClr>
                </a:solidFill>
              </a:ln>
              <a:effectLst/>
            </c:spPr>
            <c:extLst>
              <c:ext xmlns:c16="http://schemas.microsoft.com/office/drawing/2014/chart" uri="{C3380CC4-5D6E-409C-BE32-E72D297353CC}">
                <c16:uniqueId val="{00000013-EB20-4CBA-BBF1-37A197D06224}"/>
              </c:ext>
            </c:extLst>
          </c:dPt>
          <c:dPt>
            <c:idx val="10"/>
            <c:invertIfNegative val="0"/>
            <c:bubble3D val="0"/>
            <c:spPr>
              <a:solidFill>
                <a:schemeClr val="tx1">
                  <a:lumMod val="65000"/>
                  <a:lumOff val="35000"/>
                </a:schemeClr>
              </a:solidFill>
              <a:ln>
                <a:solidFill>
                  <a:schemeClr val="accent6">
                    <a:lumMod val="50000"/>
                  </a:schemeClr>
                </a:solidFill>
              </a:ln>
              <a:effectLst/>
            </c:spPr>
            <c:extLst>
              <c:ext xmlns:c16="http://schemas.microsoft.com/office/drawing/2014/chart" uri="{C3380CC4-5D6E-409C-BE32-E72D297353CC}">
                <c16:uniqueId val="{00000015-EB20-4CBA-BBF1-37A197D06224}"/>
              </c:ext>
            </c:extLst>
          </c:dPt>
          <c:cat>
            <c:strRef>
              <c:f>'DB1960s-_factors'!$O$3:$AA$3</c:f>
              <c:strCache>
                <c:ptCount val="11"/>
                <c:pt idx="0">
                  <c:v>Drought</c:v>
                </c:pt>
                <c:pt idx="1">
                  <c:v>Flood</c:v>
                </c:pt>
                <c:pt idx="2">
                  <c:v>Other climatological factors</c:v>
                </c:pt>
                <c:pt idx="3">
                  <c:v>Price rise</c:v>
                </c:pt>
                <c:pt idx="4">
                  <c:v>Imperfect or fragmented market</c:v>
                </c:pt>
                <c:pt idx="5">
                  <c:v>War, Conflict and Civil conflict</c:v>
                </c:pt>
                <c:pt idx="6">
                  <c:v>Political regime</c:v>
                </c:pt>
                <c:pt idx="7">
                  <c:v>Government Reaction, Food Policy</c:v>
                </c:pt>
                <c:pt idx="8">
                  <c:v>Insufficient or delayed aid, lack of non-food aid</c:v>
                </c:pt>
                <c:pt idx="9">
                  <c:v>Embargo on food aid, Blockade</c:v>
                </c:pt>
                <c:pt idx="10">
                  <c:v>Others</c:v>
                </c:pt>
              </c:strCache>
            </c:strRef>
          </c:cat>
          <c:val>
            <c:numRef>
              <c:f>'DB1960s-_factors'!$O$177:$Y$177</c:f>
              <c:numCache>
                <c:formatCode>General</c:formatCode>
                <c:ptCount val="11"/>
                <c:pt idx="0">
                  <c:v>33</c:v>
                </c:pt>
                <c:pt idx="1">
                  <c:v>4</c:v>
                </c:pt>
                <c:pt idx="2">
                  <c:v>14</c:v>
                </c:pt>
                <c:pt idx="3">
                  <c:v>21</c:v>
                </c:pt>
                <c:pt idx="4">
                  <c:v>29</c:v>
                </c:pt>
                <c:pt idx="5">
                  <c:v>34</c:v>
                </c:pt>
                <c:pt idx="6">
                  <c:v>22</c:v>
                </c:pt>
                <c:pt idx="7">
                  <c:v>38</c:v>
                </c:pt>
                <c:pt idx="8">
                  <c:v>12</c:v>
                </c:pt>
                <c:pt idx="9">
                  <c:v>6</c:v>
                </c:pt>
                <c:pt idx="10">
                  <c:v>5</c:v>
                </c:pt>
              </c:numCache>
            </c:numRef>
          </c:val>
          <c:extLst>
            <c:ext xmlns:c16="http://schemas.microsoft.com/office/drawing/2014/chart" uri="{C3380CC4-5D6E-409C-BE32-E72D297353CC}">
              <c16:uniqueId val="{00000016-EB20-4CBA-BBF1-37A197D06224}"/>
            </c:ext>
          </c:extLst>
        </c:ser>
        <c:dLbls>
          <c:showLegendKey val="0"/>
          <c:showVal val="0"/>
          <c:showCatName val="0"/>
          <c:showSerName val="0"/>
          <c:showPercent val="0"/>
          <c:showBubbleSize val="0"/>
        </c:dLbls>
        <c:gapWidth val="219"/>
        <c:overlap val="-27"/>
        <c:axId val="469342176"/>
        <c:axId val="469342568"/>
      </c:barChart>
      <c:catAx>
        <c:axId val="46934217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lang="ja-JP" sz="1200" b="0" i="0" u="none" strike="noStrike" kern="1200" baseline="0">
                <a:solidFill>
                  <a:sysClr val="windowText" lastClr="000000"/>
                </a:solidFill>
                <a:latin typeface="+mn-lt"/>
                <a:ea typeface="+mn-ea"/>
                <a:cs typeface="+mn-cs"/>
              </a:defRPr>
            </a:pPr>
            <a:endParaRPr lang="ja-JP"/>
          </a:p>
        </c:txPr>
        <c:crossAx val="469342568"/>
        <c:crosses val="autoZero"/>
        <c:auto val="1"/>
        <c:lblAlgn val="ctr"/>
        <c:lblOffset val="100"/>
        <c:noMultiLvlLbl val="0"/>
      </c:catAx>
      <c:valAx>
        <c:axId val="469342568"/>
        <c:scaling>
          <c:orientation val="minMax"/>
        </c:scaling>
        <c:delete val="0"/>
        <c:axPos val="l"/>
        <c:majorGridlines>
          <c:spPr>
            <a:ln w="9525" cap="flat" cmpd="sng" algn="ctr">
              <a:solidFill>
                <a:schemeClr val="tx1">
                  <a:lumMod val="85000"/>
                  <a:lumOff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200" b="0" i="0" u="none" strike="noStrike" kern="1200" baseline="0">
                <a:solidFill>
                  <a:schemeClr val="tx1"/>
                </a:solidFill>
                <a:latin typeface="+mn-lt"/>
                <a:ea typeface="+mn-ea"/>
                <a:cs typeface="+mn-cs"/>
              </a:defRPr>
            </a:pPr>
            <a:endParaRPr lang="ja-JP"/>
          </a:p>
        </c:txPr>
        <c:crossAx val="4693421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2564855037897442"/>
          <c:y val="3.4771959390315015E-2"/>
          <c:w val="0.55310855413694093"/>
          <c:h val="0.8737073726717548"/>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tx1"/>
              </a:solidFill>
              <a:ln>
                <a:solidFill>
                  <a:schemeClr val="accent6">
                    <a:lumMod val="50000"/>
                  </a:schemeClr>
                </a:solidFill>
              </a:ln>
              <a:effectLst/>
            </c:spPr>
            <c:extLst>
              <c:ext xmlns:c16="http://schemas.microsoft.com/office/drawing/2014/chart" uri="{C3380CC4-5D6E-409C-BE32-E72D297353CC}">
                <c16:uniqueId val="{00000001-BE0A-497D-BF4F-72DEA7DBF101}"/>
              </c:ext>
            </c:extLst>
          </c:dPt>
          <c:dPt>
            <c:idx val="1"/>
            <c:invertIfNegative val="0"/>
            <c:bubble3D val="0"/>
            <c:spPr>
              <a:solidFill>
                <a:schemeClr val="tx1"/>
              </a:solidFill>
              <a:ln>
                <a:solidFill>
                  <a:schemeClr val="accent6">
                    <a:lumMod val="50000"/>
                  </a:schemeClr>
                </a:solidFill>
              </a:ln>
              <a:effectLst/>
            </c:spPr>
            <c:extLst>
              <c:ext xmlns:c16="http://schemas.microsoft.com/office/drawing/2014/chart" uri="{C3380CC4-5D6E-409C-BE32-E72D297353CC}">
                <c16:uniqueId val="{00000003-BE0A-497D-BF4F-72DEA7DBF101}"/>
              </c:ext>
            </c:extLst>
          </c:dPt>
          <c:dPt>
            <c:idx val="2"/>
            <c:invertIfNegative val="0"/>
            <c:bubble3D val="0"/>
            <c:spPr>
              <a:solidFill>
                <a:schemeClr val="tx1"/>
              </a:solidFill>
              <a:ln>
                <a:solidFill>
                  <a:schemeClr val="accent6">
                    <a:lumMod val="50000"/>
                  </a:schemeClr>
                </a:solidFill>
              </a:ln>
              <a:effectLst/>
            </c:spPr>
            <c:extLst>
              <c:ext xmlns:c16="http://schemas.microsoft.com/office/drawing/2014/chart" uri="{C3380CC4-5D6E-409C-BE32-E72D297353CC}">
                <c16:uniqueId val="{00000005-BE0A-497D-BF4F-72DEA7DBF101}"/>
              </c:ext>
            </c:extLst>
          </c:dPt>
          <c:dPt>
            <c:idx val="3"/>
            <c:invertIfNegative val="0"/>
            <c:bubble3D val="0"/>
            <c:spPr>
              <a:solidFill>
                <a:schemeClr val="bg1">
                  <a:lumMod val="50000"/>
                </a:schemeClr>
              </a:solidFill>
              <a:ln>
                <a:solidFill>
                  <a:schemeClr val="accent6">
                    <a:lumMod val="50000"/>
                  </a:schemeClr>
                </a:solidFill>
              </a:ln>
              <a:effectLst/>
            </c:spPr>
            <c:extLst>
              <c:ext xmlns:c16="http://schemas.microsoft.com/office/drawing/2014/chart" uri="{C3380CC4-5D6E-409C-BE32-E72D297353CC}">
                <c16:uniqueId val="{00000007-BE0A-497D-BF4F-72DEA7DBF101}"/>
              </c:ext>
            </c:extLst>
          </c:dPt>
          <c:dPt>
            <c:idx val="4"/>
            <c:invertIfNegative val="0"/>
            <c:bubble3D val="0"/>
            <c:spPr>
              <a:solidFill>
                <a:schemeClr val="bg1">
                  <a:lumMod val="50000"/>
                </a:schemeClr>
              </a:solidFill>
              <a:ln>
                <a:solidFill>
                  <a:schemeClr val="accent6">
                    <a:lumMod val="50000"/>
                  </a:schemeClr>
                </a:solidFill>
              </a:ln>
              <a:effectLst/>
            </c:spPr>
            <c:extLst>
              <c:ext xmlns:c16="http://schemas.microsoft.com/office/drawing/2014/chart" uri="{C3380CC4-5D6E-409C-BE32-E72D297353CC}">
                <c16:uniqueId val="{00000009-BE0A-497D-BF4F-72DEA7DBF101}"/>
              </c:ext>
            </c:extLst>
          </c:dPt>
          <c:dPt>
            <c:idx val="5"/>
            <c:invertIfNegative val="0"/>
            <c:bubble3D val="0"/>
            <c:spPr>
              <a:solidFill>
                <a:schemeClr val="bg2"/>
              </a:solidFill>
              <a:ln>
                <a:solidFill>
                  <a:schemeClr val="accent6">
                    <a:lumMod val="50000"/>
                  </a:schemeClr>
                </a:solidFill>
              </a:ln>
              <a:effectLst/>
            </c:spPr>
            <c:extLst>
              <c:ext xmlns:c16="http://schemas.microsoft.com/office/drawing/2014/chart" uri="{C3380CC4-5D6E-409C-BE32-E72D297353CC}">
                <c16:uniqueId val="{0000000B-BE0A-497D-BF4F-72DEA7DBF101}"/>
              </c:ext>
            </c:extLst>
          </c:dPt>
          <c:dPt>
            <c:idx val="6"/>
            <c:invertIfNegative val="0"/>
            <c:bubble3D val="0"/>
            <c:spPr>
              <a:pattFill prst="pct50">
                <a:fgClr>
                  <a:schemeClr val="tx1"/>
                </a:fgClr>
                <a:bgClr>
                  <a:schemeClr val="bg1"/>
                </a:bgClr>
              </a:pattFill>
              <a:ln>
                <a:solidFill>
                  <a:schemeClr val="accent6">
                    <a:lumMod val="50000"/>
                  </a:schemeClr>
                </a:solidFill>
              </a:ln>
              <a:effectLst/>
            </c:spPr>
            <c:extLst>
              <c:ext xmlns:c16="http://schemas.microsoft.com/office/drawing/2014/chart" uri="{C3380CC4-5D6E-409C-BE32-E72D297353CC}">
                <c16:uniqueId val="{0000000D-BE0A-497D-BF4F-72DEA7DBF101}"/>
              </c:ext>
            </c:extLst>
          </c:dPt>
          <c:dPt>
            <c:idx val="7"/>
            <c:invertIfNegative val="0"/>
            <c:bubble3D val="0"/>
            <c:spPr>
              <a:pattFill prst="pct50">
                <a:fgClr>
                  <a:schemeClr val="tx1"/>
                </a:fgClr>
                <a:bgClr>
                  <a:schemeClr val="bg1"/>
                </a:bgClr>
              </a:pattFill>
              <a:ln>
                <a:solidFill>
                  <a:schemeClr val="accent6">
                    <a:lumMod val="50000"/>
                  </a:schemeClr>
                </a:solidFill>
              </a:ln>
              <a:effectLst/>
            </c:spPr>
            <c:extLst>
              <c:ext xmlns:c16="http://schemas.microsoft.com/office/drawing/2014/chart" uri="{C3380CC4-5D6E-409C-BE32-E72D297353CC}">
                <c16:uniqueId val="{0000000F-BE0A-497D-BF4F-72DEA7DBF101}"/>
              </c:ext>
            </c:extLst>
          </c:dPt>
          <c:dPt>
            <c:idx val="8"/>
            <c:invertIfNegative val="0"/>
            <c:bubble3D val="0"/>
            <c:spPr>
              <a:pattFill prst="pct20">
                <a:fgClr>
                  <a:schemeClr val="tx1"/>
                </a:fgClr>
                <a:bgClr>
                  <a:schemeClr val="bg1"/>
                </a:bgClr>
              </a:pattFill>
              <a:ln>
                <a:solidFill>
                  <a:schemeClr val="accent6">
                    <a:lumMod val="50000"/>
                  </a:schemeClr>
                </a:solidFill>
              </a:ln>
              <a:effectLst/>
            </c:spPr>
            <c:extLst>
              <c:ext xmlns:c16="http://schemas.microsoft.com/office/drawing/2014/chart" uri="{C3380CC4-5D6E-409C-BE32-E72D297353CC}">
                <c16:uniqueId val="{00000011-BE0A-497D-BF4F-72DEA7DBF101}"/>
              </c:ext>
            </c:extLst>
          </c:dPt>
          <c:dPt>
            <c:idx val="9"/>
            <c:invertIfNegative val="0"/>
            <c:bubble3D val="0"/>
            <c:spPr>
              <a:pattFill prst="pct20">
                <a:fgClr>
                  <a:schemeClr val="tx1"/>
                </a:fgClr>
                <a:bgClr>
                  <a:schemeClr val="bg1"/>
                </a:bgClr>
              </a:pattFill>
              <a:ln>
                <a:solidFill>
                  <a:schemeClr val="accent6">
                    <a:lumMod val="50000"/>
                  </a:schemeClr>
                </a:solidFill>
              </a:ln>
              <a:effectLst/>
            </c:spPr>
            <c:extLst>
              <c:ext xmlns:c16="http://schemas.microsoft.com/office/drawing/2014/chart" uri="{C3380CC4-5D6E-409C-BE32-E72D297353CC}">
                <c16:uniqueId val="{00000013-BE0A-497D-BF4F-72DEA7DBF101}"/>
              </c:ext>
            </c:extLst>
          </c:dPt>
          <c:dPt>
            <c:idx val="10"/>
            <c:invertIfNegative val="0"/>
            <c:bubble3D val="0"/>
            <c:spPr>
              <a:solidFill>
                <a:schemeClr val="bg1"/>
              </a:solidFill>
              <a:ln>
                <a:solidFill>
                  <a:schemeClr val="accent6">
                    <a:lumMod val="50000"/>
                  </a:schemeClr>
                </a:solidFill>
              </a:ln>
              <a:effectLst/>
            </c:spPr>
            <c:extLst>
              <c:ext xmlns:c16="http://schemas.microsoft.com/office/drawing/2014/chart" uri="{C3380CC4-5D6E-409C-BE32-E72D297353CC}">
                <c16:uniqueId val="{00000015-BE0A-497D-BF4F-72DEA7DBF101}"/>
              </c:ext>
            </c:extLst>
          </c:dPt>
          <c:cat>
            <c:strRef>
              <c:f>'DB1960s-_factors'!$O$3:$AA$3</c:f>
              <c:strCache>
                <c:ptCount val="11"/>
                <c:pt idx="0">
                  <c:v>Drought</c:v>
                </c:pt>
                <c:pt idx="1">
                  <c:v>Flood</c:v>
                </c:pt>
                <c:pt idx="2">
                  <c:v>Other climatological factors</c:v>
                </c:pt>
                <c:pt idx="3">
                  <c:v>Price rise</c:v>
                </c:pt>
                <c:pt idx="4">
                  <c:v>Imperfect or fragmented market</c:v>
                </c:pt>
                <c:pt idx="5">
                  <c:v>War, Conflict and Civil conflict</c:v>
                </c:pt>
                <c:pt idx="6">
                  <c:v>Political regime</c:v>
                </c:pt>
                <c:pt idx="7">
                  <c:v>Government Reaction, Food Policy</c:v>
                </c:pt>
                <c:pt idx="8">
                  <c:v>Insufficient or delayed aid, lack of non-food aid</c:v>
                </c:pt>
                <c:pt idx="9">
                  <c:v>Embargo on food aid, Blockade</c:v>
                </c:pt>
                <c:pt idx="10">
                  <c:v>Others</c:v>
                </c:pt>
              </c:strCache>
            </c:strRef>
          </c:cat>
          <c:val>
            <c:numRef>
              <c:f>'DB1960s-_factors'!$O$177:$Y$177</c:f>
              <c:numCache>
                <c:formatCode>General</c:formatCode>
                <c:ptCount val="11"/>
                <c:pt idx="0">
                  <c:v>33</c:v>
                </c:pt>
                <c:pt idx="1">
                  <c:v>4</c:v>
                </c:pt>
                <c:pt idx="2">
                  <c:v>14</c:v>
                </c:pt>
                <c:pt idx="3">
                  <c:v>21</c:v>
                </c:pt>
                <c:pt idx="4">
                  <c:v>29</c:v>
                </c:pt>
                <c:pt idx="5">
                  <c:v>34</c:v>
                </c:pt>
                <c:pt idx="6">
                  <c:v>22</c:v>
                </c:pt>
                <c:pt idx="7">
                  <c:v>38</c:v>
                </c:pt>
                <c:pt idx="8">
                  <c:v>12</c:v>
                </c:pt>
                <c:pt idx="9">
                  <c:v>6</c:v>
                </c:pt>
                <c:pt idx="10">
                  <c:v>5</c:v>
                </c:pt>
              </c:numCache>
            </c:numRef>
          </c:val>
          <c:extLst>
            <c:ext xmlns:c16="http://schemas.microsoft.com/office/drawing/2014/chart" uri="{C3380CC4-5D6E-409C-BE32-E72D297353CC}">
              <c16:uniqueId val="{00000016-BE0A-497D-BF4F-72DEA7DBF101}"/>
            </c:ext>
          </c:extLst>
        </c:ser>
        <c:dLbls>
          <c:showLegendKey val="0"/>
          <c:showVal val="0"/>
          <c:showCatName val="0"/>
          <c:showSerName val="0"/>
          <c:showPercent val="0"/>
          <c:showBubbleSize val="0"/>
        </c:dLbls>
        <c:gapWidth val="100"/>
        <c:axId val="508661192"/>
        <c:axId val="508661584"/>
      </c:barChart>
      <c:catAx>
        <c:axId val="508661192"/>
        <c:scaling>
          <c:orientation val="maxMin"/>
        </c:scaling>
        <c:delete val="0"/>
        <c:axPos val="l"/>
        <c:numFmt formatCode="General" sourceLinked="1"/>
        <c:majorTickMark val="none"/>
        <c:minorTickMark val="none"/>
        <c:tickLblPos val="nextTo"/>
        <c:spPr>
          <a:noFill/>
          <a:ln w="9525" cap="flat" cmpd="sng" algn="ctr">
            <a:solidFill>
              <a:schemeClr val="tx1"/>
            </a:solidFill>
            <a:round/>
          </a:ln>
          <a:effectLst/>
        </c:spPr>
        <c:txPr>
          <a:bodyPr rot="0" spcFirstLastPara="1" vertOverflow="ellipsis" wrap="square" anchor="ctr" anchorCtr="1"/>
          <a:lstStyle/>
          <a:p>
            <a:pPr>
              <a:defRPr lang="ja-JP" sz="1200" b="0" i="0" u="none" strike="noStrike" kern="1200" baseline="0">
                <a:solidFill>
                  <a:sysClr val="windowText" lastClr="000000"/>
                </a:solidFill>
                <a:latin typeface="+mn-lt"/>
                <a:ea typeface="+mn-ea"/>
                <a:cs typeface="+mn-cs"/>
              </a:defRPr>
            </a:pPr>
            <a:endParaRPr lang="ja-JP"/>
          </a:p>
        </c:txPr>
        <c:crossAx val="508661584"/>
        <c:crosses val="autoZero"/>
        <c:auto val="1"/>
        <c:lblAlgn val="ctr"/>
        <c:lblOffset val="100"/>
        <c:noMultiLvlLbl val="0"/>
      </c:catAx>
      <c:valAx>
        <c:axId val="508661584"/>
        <c:scaling>
          <c:orientation val="minMax"/>
        </c:scaling>
        <c:delete val="0"/>
        <c:axPos val="t"/>
        <c:majorGridlines>
          <c:spPr>
            <a:ln w="9525" cap="flat" cmpd="sng" algn="ctr">
              <a:solidFill>
                <a:schemeClr val="tx1">
                  <a:lumMod val="85000"/>
                  <a:lumOff val="15000"/>
                </a:schemeClr>
              </a:solidFill>
              <a:round/>
            </a:ln>
            <a:effectLst/>
          </c:spPr>
        </c:majorGridlines>
        <c:numFmt formatCode="General" sourceLinked="1"/>
        <c:majorTickMark val="none"/>
        <c:minorTickMark val="none"/>
        <c:tickLblPos val="high"/>
        <c:spPr>
          <a:noFill/>
          <a:ln>
            <a:noFill/>
          </a:ln>
          <a:effectLst/>
        </c:spPr>
        <c:txPr>
          <a:bodyPr rot="-60000000" spcFirstLastPara="1" vertOverflow="ellipsis" vert="horz" wrap="square" anchor="ctr" anchorCtr="1"/>
          <a:lstStyle/>
          <a:p>
            <a:pPr>
              <a:defRPr lang="ja-JP" sz="1200" b="0" i="0" u="none" strike="noStrike" kern="1200" baseline="0">
                <a:solidFill>
                  <a:schemeClr val="tx1"/>
                </a:solidFill>
                <a:latin typeface="+mn-lt"/>
                <a:ea typeface="+mn-ea"/>
                <a:cs typeface="+mn-cs"/>
              </a:defRPr>
            </a:pPr>
            <a:endParaRPr lang="ja-JP"/>
          </a:p>
        </c:txPr>
        <c:crossAx val="5086611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tx1"/>
          </a:solidFill>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542748</xdr:colOff>
      <xdr:row>78</xdr:row>
      <xdr:rowOff>80962</xdr:rowOff>
    </xdr:from>
    <xdr:to>
      <xdr:col>14</xdr:col>
      <xdr:colOff>118886</xdr:colOff>
      <xdr:row>92</xdr:row>
      <xdr:rowOff>157162</xdr:rowOff>
    </xdr:to>
    <xdr:graphicFrame macro="">
      <xdr:nvGraphicFramePr>
        <xdr:cNvPr id="2" name="グラフ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603250</xdr:colOff>
      <xdr:row>56</xdr:row>
      <xdr:rowOff>464609</xdr:rowOff>
    </xdr:from>
    <xdr:to>
      <xdr:col>20</xdr:col>
      <xdr:colOff>264583</xdr:colOff>
      <xdr:row>66</xdr:row>
      <xdr:rowOff>159809</xdr:rowOff>
    </xdr:to>
    <xdr:graphicFrame macro="">
      <xdr:nvGraphicFramePr>
        <xdr:cNvPr id="3" name="グラフ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449036</xdr:colOff>
      <xdr:row>179</xdr:row>
      <xdr:rowOff>152399</xdr:rowOff>
    </xdr:from>
    <xdr:to>
      <xdr:col>20</xdr:col>
      <xdr:colOff>598715</xdr:colOff>
      <xdr:row>208</xdr:row>
      <xdr:rowOff>136071</xdr:rowOff>
    </xdr:to>
    <xdr:graphicFrame macro="">
      <xdr:nvGraphicFramePr>
        <xdr:cNvPr id="2" name="グラフ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449036</xdr:colOff>
      <xdr:row>179</xdr:row>
      <xdr:rowOff>152399</xdr:rowOff>
    </xdr:from>
    <xdr:to>
      <xdr:col>20</xdr:col>
      <xdr:colOff>598715</xdr:colOff>
      <xdr:row>208</xdr:row>
      <xdr:rowOff>136071</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535781</xdr:colOff>
      <xdr:row>183</xdr:row>
      <xdr:rowOff>83344</xdr:rowOff>
    </xdr:from>
    <xdr:to>
      <xdr:col>11</xdr:col>
      <xdr:colOff>999785</xdr:colOff>
      <xdr:row>200</xdr:row>
      <xdr:rowOff>142875</xdr:rowOff>
    </xdr:to>
    <xdr:graphicFrame macro="">
      <xdr:nvGraphicFramePr>
        <xdr:cNvPr id="3" name="グラフ 2">
          <a:extLst>
            <a:ext uri="{FF2B5EF4-FFF2-40B4-BE49-F238E27FC236}">
              <a16:creationId xmlns:a16="http://schemas.microsoft.com/office/drawing/2014/main" id="{00000000-0008-0000-0600-000003000000}"/>
            </a:ext>
            <a:ext uri="{147F2762-F138-4A5C-976F-8EAC2B608ADB}">
              <a16:predDERef xmlns:a16="http://schemas.microsoft.com/office/drawing/2014/main" pre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9</xdr:row>
      <xdr:rowOff>0</xdr:rowOff>
    </xdr:from>
    <xdr:to>
      <xdr:col>11</xdr:col>
      <xdr:colOff>209550</xdr:colOff>
      <xdr:row>10</xdr:row>
      <xdr:rowOff>19051</xdr:rowOff>
    </xdr:to>
    <xdr:pic>
      <xdr:nvPicPr>
        <xdr:cNvPr id="4" name="図 3">
          <a:extLst>
            <a:ext uri="{FF2B5EF4-FFF2-40B4-BE49-F238E27FC236}">
              <a16:creationId xmlns:a16="http://schemas.microsoft.com/office/drawing/2014/main" id="{00000000-0008-0000-08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a:ext>
          </a:extLst>
        </a:blip>
        <a:srcRect/>
        <a:stretch/>
      </xdr:blipFill>
      <xdr:spPr>
        <a:xfrm>
          <a:off x="12344400" y="7239000"/>
          <a:ext cx="2647950" cy="173355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3a6f41aa9027a686/Master_thesis/External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pGrowth"/>
      <sheetName val="GDPGrowth"/>
      <sheetName val="Gini"/>
      <sheetName val="Note"/>
    </sheetNames>
    <sheetDataSet>
      <sheetData sheetId="0">
        <row r="69">
          <cell r="K69">
            <v>1.6891835853005599</v>
          </cell>
        </row>
        <row r="77">
          <cell r="K77">
            <v>1.8610876725130301</v>
          </cell>
        </row>
        <row r="83">
          <cell r="AO83">
            <v>1.9824336597033201</v>
          </cell>
        </row>
        <row r="93">
          <cell r="AW93">
            <v>1.40131400064494</v>
          </cell>
        </row>
        <row r="100">
          <cell r="AW100">
            <v>3.6603971849967101</v>
          </cell>
        </row>
        <row r="102">
          <cell r="O102">
            <v>2.9948794421119098</v>
          </cell>
          <cell r="AA102">
            <v>3.1751434571508299</v>
          </cell>
          <cell r="AO102">
            <v>2.8791555922873902</v>
          </cell>
          <cell r="AW102">
            <v>2.7496721587516602</v>
          </cell>
        </row>
        <row r="138">
          <cell r="AW138">
            <v>2.67933567969932</v>
          </cell>
        </row>
        <row r="160">
          <cell r="K160">
            <v>1.2131496763932901</v>
          </cell>
        </row>
        <row r="163">
          <cell r="K163">
            <v>2.92960203169189</v>
          </cell>
        </row>
        <row r="172">
          <cell r="Y172">
            <v>2.3096731659167098</v>
          </cell>
        </row>
        <row r="180">
          <cell r="K180">
            <v>2.7996999937982898</v>
          </cell>
          <cell r="AV180">
            <v>3.6686352073584398</v>
          </cell>
        </row>
        <row r="212">
          <cell r="Q212">
            <v>3.2925403488144598</v>
          </cell>
          <cell r="AG212">
            <v>0.57363203795801498</v>
          </cell>
          <cell r="AW212">
            <v>2.5735962063457598</v>
          </cell>
        </row>
        <row r="221">
          <cell r="AA221">
            <v>3.3432992464440598</v>
          </cell>
        </row>
        <row r="239">
          <cell r="W239">
            <v>3.0029968529978901</v>
          </cell>
        </row>
        <row r="253">
          <cell r="AQ253">
            <v>0.95567417331586901</v>
          </cell>
        </row>
      </sheetData>
      <sheetData sheetId="1"/>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opinion.bdnews24.com/2013/06/18/1974-famine-in-bangladesh-economic-context-and-myths/" TargetMode="External"/><Relationship Id="rId13" Type="http://schemas.openxmlformats.org/officeDocument/2006/relationships/hyperlink" Target="http://www.fews.net/docs/Publications/Lives%20Lost,%20Lives%20Saved.pdf" TargetMode="External"/><Relationship Id="rId18" Type="http://schemas.openxmlformats.org/officeDocument/2006/relationships/hyperlink" Target="http://worldwithoutgenocide.org/genocides-and-conflicts/congo" TargetMode="External"/><Relationship Id="rId26" Type="http://schemas.openxmlformats.org/officeDocument/2006/relationships/hyperlink" Target="http://tng.brixtonhealth.com/sites/default/files/NigerNEJM190106MSF.pdf" TargetMode="External"/><Relationship Id="rId3" Type="http://schemas.openxmlformats.org/officeDocument/2006/relationships/hyperlink" Target="http://library.thinkquest.org/05aug/01412/lite/naturaldisasters/drought/casestudy.html" TargetMode="External"/><Relationship Id="rId21" Type="http://schemas.openxmlformats.org/officeDocument/2006/relationships/hyperlink" Target="http://www.fao.org/newsroom/en/news/2005/107298/" TargetMode="External"/><Relationship Id="rId7" Type="http://schemas.openxmlformats.org/officeDocument/2006/relationships/hyperlink" Target="http://www.londoni.co/index.php/history-of-bangladesh?id=23" TargetMode="External"/><Relationship Id="rId12" Type="http://schemas.openxmlformats.org/officeDocument/2006/relationships/hyperlink" Target="http://www.fao.org/docrep/013/i1683e/i1683e.pdf" TargetMode="External"/><Relationship Id="rId17" Type="http://schemas.openxmlformats.org/officeDocument/2006/relationships/hyperlink" Target="http://onlinelibrary.wiley.com/doi/10.1111/j.0361-3666.2005.00286.x/pdf" TargetMode="External"/><Relationship Id="rId25" Type="http://schemas.openxmlformats.org/officeDocument/2006/relationships/hyperlink" Target="http://www.fao.org/newsroom/en/news/2005/107057/article_107066en.html" TargetMode="External"/><Relationship Id="rId2" Type="http://schemas.openxmlformats.org/officeDocument/2006/relationships/hyperlink" Target="http://news.bbc.co.uk/2/hi/africa/596712.stm" TargetMode="External"/><Relationship Id="rId16" Type="http://schemas.openxmlformats.org/officeDocument/2006/relationships/hyperlink" Target="http://www.fao.org/docrep/004/x0388e/x0388e00.HTM" TargetMode="External"/><Relationship Id="rId20" Type="http://schemas.openxmlformats.org/officeDocument/2006/relationships/hyperlink" Target="http://fex.ennonline.net/18/understanding" TargetMode="External"/><Relationship Id="rId1" Type="http://schemas.openxmlformats.org/officeDocument/2006/relationships/hyperlink" Target="http://www.irinnews.org/report/89121/analysis-what-is-a-famine" TargetMode="External"/><Relationship Id="rId6" Type="http://schemas.openxmlformats.org/officeDocument/2006/relationships/hyperlink" Target="http://www.somali-jna.org/downloads/Heritage%20of%20war%20%26%20state%20collapse.pdf" TargetMode="External"/><Relationship Id="rId11" Type="http://schemas.openxmlformats.org/officeDocument/2006/relationships/hyperlink" Target="http://www.nytimes.com/1988/01/03/world/war-and-drought-inflicting-famine-in-sudan.html" TargetMode="External"/><Relationship Id="rId24" Type="http://schemas.openxmlformats.org/officeDocument/2006/relationships/hyperlink" Target="http://www.fao.org/newsroom/en/news/2005/105443/index.html" TargetMode="External"/><Relationship Id="rId5" Type="http://schemas.openxmlformats.org/officeDocument/2006/relationships/hyperlink" Target="http://seekingbegumpura.wordpress.com/2012/08/12/the-1972-3-drought-in-maharashtra/" TargetMode="External"/><Relationship Id="rId15" Type="http://schemas.openxmlformats.org/officeDocument/2006/relationships/hyperlink" Target="http://worldinfo.org/2012/01/famine-in-south-sudan/" TargetMode="External"/><Relationship Id="rId23" Type="http://schemas.openxmlformats.org/officeDocument/2006/relationships/hyperlink" Target="http://worldinfo.org/2012/01/famine-in-darfur/" TargetMode="External"/><Relationship Id="rId10" Type="http://schemas.openxmlformats.org/officeDocument/2006/relationships/hyperlink" Target="http://www.africa.ufl.edu/asq/v1/1/3.htm" TargetMode="External"/><Relationship Id="rId19" Type="http://schemas.openxmlformats.org/officeDocument/2006/relationships/hyperlink" Target="ftp://ftp.fao.org/docrep/fao/009/ag307e/ag307e00.pdf" TargetMode="External"/><Relationship Id="rId4" Type="http://schemas.openxmlformats.org/officeDocument/2006/relationships/hyperlink" Target="http://www.ncbi.nlm.nih.gov/pubmed/640767" TargetMode="External"/><Relationship Id="rId9" Type="http://schemas.openxmlformats.org/officeDocument/2006/relationships/hyperlink" Target="http://worldinfo.org/2012/01/famine-in-cambodia/" TargetMode="External"/><Relationship Id="rId14" Type="http://schemas.openxmlformats.org/officeDocument/2006/relationships/hyperlink" Target="http://www1.american.edu/TED/hpages/human/NKorea41.htm" TargetMode="External"/><Relationship Id="rId22" Type="http://schemas.openxmlformats.org/officeDocument/2006/relationships/hyperlink" Target="http://globalbhasin.blogspot.jp/2013/05/world-hunger-update.htm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opinion.bdnews24.com/2013/06/18/1974-famine-in-bangladesh-economic-context-and-myths/" TargetMode="External"/><Relationship Id="rId13" Type="http://schemas.openxmlformats.org/officeDocument/2006/relationships/hyperlink" Target="http://www.fews.net/docs/Publications/Lives%20Lost,%20Lives%20Saved.pdf" TargetMode="External"/><Relationship Id="rId18" Type="http://schemas.openxmlformats.org/officeDocument/2006/relationships/hyperlink" Target="http://worldwithoutgenocide.org/genocides-and-conflicts/congo" TargetMode="External"/><Relationship Id="rId26" Type="http://schemas.openxmlformats.org/officeDocument/2006/relationships/hyperlink" Target="http://tng.brixtonhealth.com/sites/default/files/NigerNEJM190106MSF.pdf" TargetMode="External"/><Relationship Id="rId3" Type="http://schemas.openxmlformats.org/officeDocument/2006/relationships/hyperlink" Target="http://library.thinkquest.org/05aug/01412/lite/naturaldisasters/drought/casestudy.html" TargetMode="External"/><Relationship Id="rId21" Type="http://schemas.openxmlformats.org/officeDocument/2006/relationships/hyperlink" Target="http://www.fao.org/newsroom/en/news/2005/107298/" TargetMode="External"/><Relationship Id="rId7" Type="http://schemas.openxmlformats.org/officeDocument/2006/relationships/hyperlink" Target="http://www.londoni.co/index.php/history-of-bangladesh?id=23" TargetMode="External"/><Relationship Id="rId12" Type="http://schemas.openxmlformats.org/officeDocument/2006/relationships/hyperlink" Target="http://www.fao.org/docrep/013/i1683e/i1683e.pdf" TargetMode="External"/><Relationship Id="rId17" Type="http://schemas.openxmlformats.org/officeDocument/2006/relationships/hyperlink" Target="http://onlinelibrary.wiley.com/doi/10.1111/j.0361-3666.2005.00286.x/pdf" TargetMode="External"/><Relationship Id="rId25" Type="http://schemas.openxmlformats.org/officeDocument/2006/relationships/hyperlink" Target="http://www.fao.org/newsroom/en/news/2005/107057/article_107066en.html" TargetMode="External"/><Relationship Id="rId2" Type="http://schemas.openxmlformats.org/officeDocument/2006/relationships/hyperlink" Target="http://news.bbc.co.uk/2/hi/africa/596712.stm" TargetMode="External"/><Relationship Id="rId16" Type="http://schemas.openxmlformats.org/officeDocument/2006/relationships/hyperlink" Target="http://www.fao.org/docrep/004/x0388e/x0388e00.HTM" TargetMode="External"/><Relationship Id="rId20" Type="http://schemas.openxmlformats.org/officeDocument/2006/relationships/hyperlink" Target="http://fex.ennonline.net/18/understanding" TargetMode="External"/><Relationship Id="rId1" Type="http://schemas.openxmlformats.org/officeDocument/2006/relationships/hyperlink" Target="http://www.irinnews.org/report/89121/analysis-what-is-a-famine" TargetMode="External"/><Relationship Id="rId6" Type="http://schemas.openxmlformats.org/officeDocument/2006/relationships/hyperlink" Target="http://www.somali-jna.org/downloads/Heritage%20of%20war%20%26%20state%20collapse.pdf" TargetMode="External"/><Relationship Id="rId11" Type="http://schemas.openxmlformats.org/officeDocument/2006/relationships/hyperlink" Target="http://www.nytimes.com/1988/01/03/world/war-and-drought-inflicting-famine-in-sudan.html" TargetMode="External"/><Relationship Id="rId24" Type="http://schemas.openxmlformats.org/officeDocument/2006/relationships/hyperlink" Target="http://www.fao.org/newsroom/en/news/2005/105443/index.html" TargetMode="External"/><Relationship Id="rId5" Type="http://schemas.openxmlformats.org/officeDocument/2006/relationships/hyperlink" Target="http://seekingbegumpura.wordpress.com/2012/08/12/the-1972-3-drought-in-maharashtra/" TargetMode="External"/><Relationship Id="rId15" Type="http://schemas.openxmlformats.org/officeDocument/2006/relationships/hyperlink" Target="http://worldinfo.org/2012/01/famine-in-south-sudan/" TargetMode="External"/><Relationship Id="rId23" Type="http://schemas.openxmlformats.org/officeDocument/2006/relationships/hyperlink" Target="http://worldinfo.org/2012/01/famine-in-darfur/" TargetMode="External"/><Relationship Id="rId10" Type="http://schemas.openxmlformats.org/officeDocument/2006/relationships/hyperlink" Target="http://www.africa.ufl.edu/asq/v1/1/3.htm" TargetMode="External"/><Relationship Id="rId19" Type="http://schemas.openxmlformats.org/officeDocument/2006/relationships/hyperlink" Target="ftp://ftp.fao.org/docrep/fao/009/ag307e/ag307e00.pdf" TargetMode="External"/><Relationship Id="rId4" Type="http://schemas.openxmlformats.org/officeDocument/2006/relationships/hyperlink" Target="http://www.ncbi.nlm.nih.gov/pubmed/640767" TargetMode="External"/><Relationship Id="rId9" Type="http://schemas.openxmlformats.org/officeDocument/2006/relationships/hyperlink" Target="http://worldinfo.org/2012/01/famine-in-cambodia/" TargetMode="External"/><Relationship Id="rId14" Type="http://schemas.openxmlformats.org/officeDocument/2006/relationships/hyperlink" Target="http://www1.american.edu/TED/hpages/human/NKorea41.htm" TargetMode="External"/><Relationship Id="rId22" Type="http://schemas.openxmlformats.org/officeDocument/2006/relationships/hyperlink" Target="http://globalbhasin.blogspot.jp/2013/05/world-hunger-update.html" TargetMode="External"/><Relationship Id="rId27"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www.fao.org/docrep/004/x0388e/x0388e00.HTM" TargetMode="External"/><Relationship Id="rId18" Type="http://schemas.openxmlformats.org/officeDocument/2006/relationships/hyperlink" Target="http://www.londoni.co/index.php/history-of-bangladesh?id=23" TargetMode="External"/><Relationship Id="rId26" Type="http://schemas.openxmlformats.org/officeDocument/2006/relationships/hyperlink" Target="http://www.johndclare.net/Basics_Russia.htm" TargetMode="External"/><Relationship Id="rId39" Type="http://schemas.openxmlformats.org/officeDocument/2006/relationships/hyperlink" Target="http://seekingbegumpura.wordpress.com/2012/08/12/the-1972-3-drought-in-maharashtra/" TargetMode="External"/><Relationship Id="rId21" Type="http://schemas.openxmlformats.org/officeDocument/2006/relationships/hyperlink" Target="http://histclo.com/country/gre/chron/1940/gc40-occ.html" TargetMode="External"/><Relationship Id="rId34" Type="http://schemas.openxmlformats.org/officeDocument/2006/relationships/hyperlink" Target="http://www.fao.org/newsroom/en/news/2005/107298/" TargetMode="External"/><Relationship Id="rId42" Type="http://schemas.openxmlformats.org/officeDocument/2006/relationships/printerSettings" Target="../printerSettings/printerSettings2.bin"/><Relationship Id="rId7" Type="http://schemas.openxmlformats.org/officeDocument/2006/relationships/hyperlink" Target="http://www.fao.org/docrep/013/i1683e/i1683e.pdf" TargetMode="External"/><Relationship Id="rId2" Type="http://schemas.openxmlformats.org/officeDocument/2006/relationships/hyperlink" Target="http://www.fao.org/news/story/en/item/152914/icode/" TargetMode="External"/><Relationship Id="rId16" Type="http://schemas.openxmlformats.org/officeDocument/2006/relationships/hyperlink" Target="http://www.ieham.org/html/docs/Famine%20in%20the%20Twentieth%20Century%20Devereaux.pdf" TargetMode="External"/><Relationship Id="rId29" Type="http://schemas.openxmlformats.org/officeDocument/2006/relationships/hyperlink" Target="http://www.smh.com.au/world/ten-worst-famines-of-the-20th-century-20110815-1iu2w.html" TargetMode="External"/><Relationship Id="rId1" Type="http://schemas.openxmlformats.org/officeDocument/2006/relationships/hyperlink" Target="http://www.theguardian.com/world/2012/jan/18/east-africa-drought-disaster-report" TargetMode="External"/><Relationship Id="rId6" Type="http://schemas.openxmlformats.org/officeDocument/2006/relationships/hyperlink" Target="http://www.fao.org/giews/english/index.htm" TargetMode="External"/><Relationship Id="rId11" Type="http://schemas.openxmlformats.org/officeDocument/2006/relationships/hyperlink" Target="http://onlinelibrary.wiley.com/doi/10.1111/j.0361-3666.2005.00286.x/pdf" TargetMode="External"/><Relationship Id="rId24" Type="http://schemas.openxmlformats.org/officeDocument/2006/relationships/hyperlink" Target="http://www.cotf.edu/ete/modules/mgorilla/mgfamine.html" TargetMode="External"/><Relationship Id="rId32" Type="http://schemas.openxmlformats.org/officeDocument/2006/relationships/hyperlink" Target="http://worldinfo.org/2012/01/famine-in-darfur/" TargetMode="External"/><Relationship Id="rId37" Type="http://schemas.openxmlformats.org/officeDocument/2006/relationships/hyperlink" Target="http://www.fao.org/newsroom/en/news/2006/1000284/index.html" TargetMode="External"/><Relationship Id="rId40" Type="http://schemas.openxmlformats.org/officeDocument/2006/relationships/hyperlink" Target="http://www.mongabay.com/history/lebanon/lebanon-world_war_i_world_war_i_and_the_french_mandate,_1914-41.html" TargetMode="External"/><Relationship Id="rId45" Type="http://schemas.openxmlformats.org/officeDocument/2006/relationships/comments" Target="../comments1.xml"/><Relationship Id="rId5" Type="http://schemas.openxmlformats.org/officeDocument/2006/relationships/hyperlink" Target="http://www.fao.org/docrep/013/i1683e/i1683e.pdf" TargetMode="External"/><Relationship Id="rId15" Type="http://schemas.openxmlformats.org/officeDocument/2006/relationships/hyperlink" Target="http://www.fews.net/docs/Publications/Lives%20Lost,%20Lives%20Saved.pdf" TargetMode="External"/><Relationship Id="rId23" Type="http://schemas.openxmlformats.org/officeDocument/2006/relationships/hyperlink" Target="http://www.historyplace.com/worldhistory/genocide/stalin.htm" TargetMode="External"/><Relationship Id="rId28" Type="http://schemas.openxmlformats.org/officeDocument/2006/relationships/hyperlink" Target="http://www.sjsu.edu/faculty/watkins/henanfamine.htm" TargetMode="External"/><Relationship Id="rId36" Type="http://schemas.openxmlformats.org/officeDocument/2006/relationships/hyperlink" Target="http://www.fao.org/newsroom/en/news/2006/1000206/index.html" TargetMode="External"/><Relationship Id="rId10" Type="http://schemas.openxmlformats.org/officeDocument/2006/relationships/hyperlink" Target="ftp://ftp.fao.org/docrep/fao/009/ag307e/ag307e00.pdf" TargetMode="External"/><Relationship Id="rId19" Type="http://schemas.openxmlformats.org/officeDocument/2006/relationships/hyperlink" Target="http://www.amchamvietnam.com/3121/1945-famine-in-vietnam-n-n-i-t-d-u/" TargetMode="External"/><Relationship Id="rId31" Type="http://schemas.openxmlformats.org/officeDocument/2006/relationships/hyperlink" Target="http://download.springer.com/static/pdf/151/art%253A10.1007%252FBF00808128.pdf?auth66=1379689009_601b78bb0cc0e4bc005bf0f562615c2c&amp;ext=.pdf" TargetMode="External"/><Relationship Id="rId44" Type="http://schemas.openxmlformats.org/officeDocument/2006/relationships/vmlDrawing" Target="../drawings/vmlDrawing1.vml"/><Relationship Id="rId4" Type="http://schemas.openxmlformats.org/officeDocument/2006/relationships/hyperlink" Target="http://www.who.int/bulletin/volumes/88/11/10-080994/en/" TargetMode="External"/><Relationship Id="rId9" Type="http://schemas.openxmlformats.org/officeDocument/2006/relationships/hyperlink" Target="http://books.google.co.jp/books/p/princeton?id=LoN2XkjJio4C&amp;printsec=frontcover&amp;hl=en&amp;source=gbs_ViewAPI&amp;redir_esc=y" TargetMode="External"/><Relationship Id="rId14" Type="http://schemas.openxmlformats.org/officeDocument/2006/relationships/hyperlink" Target="http://www1.american.edu/TED/hpages/human/NKorea41.htm" TargetMode="External"/><Relationship Id="rId22" Type="http://schemas.openxmlformats.org/officeDocument/2006/relationships/hyperlink" Target="http://natural-disaster.findthedata.org/" TargetMode="External"/><Relationship Id="rId27" Type="http://schemas.openxmlformats.org/officeDocument/2006/relationships/hyperlink" Target="http://www.nytimes.com/1988/01/03/world/war-and-drought-inflicting-famine-in-sudan.html" TargetMode="External"/><Relationship Id="rId30" Type="http://schemas.openxmlformats.org/officeDocument/2006/relationships/hyperlink" Target="http://www.smh.com.au/world/ten-worst-famines-of-the-20th-century-20110815-1iu2w.html" TargetMode="External"/><Relationship Id="rId35" Type="http://schemas.openxmlformats.org/officeDocument/2006/relationships/hyperlink" Target="http://www.fao.org/newsroom/en/news/2005/105443/index.html" TargetMode="External"/><Relationship Id="rId43" Type="http://schemas.openxmlformats.org/officeDocument/2006/relationships/drawing" Target="../drawings/drawing1.xml"/><Relationship Id="rId8" Type="http://schemas.openxmlformats.org/officeDocument/2006/relationships/hyperlink" Target="http://www.fao.org/docrep/013/i1683e/i1683e.pdf" TargetMode="External"/><Relationship Id="rId3" Type="http://schemas.openxmlformats.org/officeDocument/2006/relationships/hyperlink" Target="http://worldwithoutgenocide.org/genocides-and-conflicts/congo" TargetMode="External"/><Relationship Id="rId12" Type="http://schemas.openxmlformats.org/officeDocument/2006/relationships/hyperlink" Target="http://worldinfo.org/2012/01/famine-in-south-sudan/" TargetMode="External"/><Relationship Id="rId17" Type="http://schemas.openxmlformats.org/officeDocument/2006/relationships/hyperlink" Target="http://worldinfo.org/2012/01/famine-in-cambodia/" TargetMode="External"/><Relationship Id="rId25" Type="http://schemas.openxmlformats.org/officeDocument/2006/relationships/hyperlink" Target="http://www.volgagermans.net/norka/famine_1920s.html" TargetMode="External"/><Relationship Id="rId33" Type="http://schemas.openxmlformats.org/officeDocument/2006/relationships/hyperlink" Target="http://www.armageddononline.org/disaster/Casualty-by-Natural/" TargetMode="External"/><Relationship Id="rId38" Type="http://schemas.openxmlformats.org/officeDocument/2006/relationships/hyperlink" Target="http://fex.ennonline.net/18/understanding" TargetMode="External"/><Relationship Id="rId20" Type="http://schemas.openxmlformats.org/officeDocument/2006/relationships/hyperlink" Target="http://www.ibtimes.com/bengal-famine-1943-man-made-holocaust-1100525" TargetMode="External"/><Relationship Id="rId41" Type="http://schemas.openxmlformats.org/officeDocument/2006/relationships/hyperlink" Target="http://knowledge.sagepub.com/view/disasterrelief/n31.xml"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opinion.bdnews24.com/2013/06/18/1974-famine-in-bangladesh-economic-context-and-myths/" TargetMode="External"/><Relationship Id="rId13" Type="http://schemas.openxmlformats.org/officeDocument/2006/relationships/hyperlink" Target="http://www.fews.net/docs/Publications/Lives%20Lost,%20Lives%20Saved.pdf" TargetMode="External"/><Relationship Id="rId18" Type="http://schemas.openxmlformats.org/officeDocument/2006/relationships/hyperlink" Target="http://worldwithoutgenocide.org/genocides-and-conflicts/congo" TargetMode="External"/><Relationship Id="rId26" Type="http://schemas.openxmlformats.org/officeDocument/2006/relationships/hyperlink" Target="http://tng.brixtonhealth.com/sites/default/files/NigerNEJM190106MSF.pdf" TargetMode="External"/><Relationship Id="rId3" Type="http://schemas.openxmlformats.org/officeDocument/2006/relationships/hyperlink" Target="http://library.thinkquest.org/05aug/01412/lite/naturaldisasters/drought/casestudy.html" TargetMode="External"/><Relationship Id="rId21" Type="http://schemas.openxmlformats.org/officeDocument/2006/relationships/hyperlink" Target="http://www.fao.org/newsroom/en/news/2005/107298/" TargetMode="External"/><Relationship Id="rId7" Type="http://schemas.openxmlformats.org/officeDocument/2006/relationships/hyperlink" Target="http://www.londoni.co/index.php/history-of-bangladesh?id=23" TargetMode="External"/><Relationship Id="rId12" Type="http://schemas.openxmlformats.org/officeDocument/2006/relationships/hyperlink" Target="http://www.fao.org/docrep/013/i1683e/i1683e.pdf" TargetMode="External"/><Relationship Id="rId17" Type="http://schemas.openxmlformats.org/officeDocument/2006/relationships/hyperlink" Target="http://onlinelibrary.wiley.com/doi/10.1111/j.0361-3666.2005.00286.x/pdf" TargetMode="External"/><Relationship Id="rId25" Type="http://schemas.openxmlformats.org/officeDocument/2006/relationships/hyperlink" Target="http://www.fao.org/newsroom/en/news/2005/107057/article_107066en.html" TargetMode="External"/><Relationship Id="rId2" Type="http://schemas.openxmlformats.org/officeDocument/2006/relationships/hyperlink" Target="http://news.bbc.co.uk/2/hi/africa/596712.stm" TargetMode="External"/><Relationship Id="rId16" Type="http://schemas.openxmlformats.org/officeDocument/2006/relationships/hyperlink" Target="http://www.fao.org/docrep/004/x0388e/x0388e00.HTM" TargetMode="External"/><Relationship Id="rId20" Type="http://schemas.openxmlformats.org/officeDocument/2006/relationships/hyperlink" Target="http://fex.ennonline.net/18/understanding" TargetMode="External"/><Relationship Id="rId29" Type="http://schemas.openxmlformats.org/officeDocument/2006/relationships/printerSettings" Target="../printerSettings/printerSettings3.bin"/><Relationship Id="rId1" Type="http://schemas.openxmlformats.org/officeDocument/2006/relationships/hyperlink" Target="http://www.irinnews.org/report/89121/analysis-what-is-a-famine" TargetMode="External"/><Relationship Id="rId6" Type="http://schemas.openxmlformats.org/officeDocument/2006/relationships/hyperlink" Target="http://www.somali-jna.org/downloads/Heritage%20of%20war%20%26%20state%20collapse.pdf" TargetMode="External"/><Relationship Id="rId11" Type="http://schemas.openxmlformats.org/officeDocument/2006/relationships/hyperlink" Target="http://www.nytimes.com/1988/01/03/world/war-and-drought-inflicting-famine-in-sudan.html" TargetMode="External"/><Relationship Id="rId24" Type="http://schemas.openxmlformats.org/officeDocument/2006/relationships/hyperlink" Target="http://www.fao.org/newsroom/en/news/2005/105443/index.html" TargetMode="External"/><Relationship Id="rId5" Type="http://schemas.openxmlformats.org/officeDocument/2006/relationships/hyperlink" Target="http://seekingbegumpura.wordpress.com/2012/08/12/the-1972-3-drought-in-maharashtra/" TargetMode="External"/><Relationship Id="rId15" Type="http://schemas.openxmlformats.org/officeDocument/2006/relationships/hyperlink" Target="http://worldinfo.org/2012/01/famine-in-south-sudan/" TargetMode="External"/><Relationship Id="rId23" Type="http://schemas.openxmlformats.org/officeDocument/2006/relationships/hyperlink" Target="http://worldinfo.org/2012/01/famine-in-darfur/" TargetMode="External"/><Relationship Id="rId28" Type="http://schemas.openxmlformats.org/officeDocument/2006/relationships/hyperlink" Target="http://www.ieham.org/html/docs/Famine%20in%20the%20Twentieth%20Century%20Devereaux.pdf" TargetMode="External"/><Relationship Id="rId10" Type="http://schemas.openxmlformats.org/officeDocument/2006/relationships/hyperlink" Target="http://www.africa.ufl.edu/asq/v1/1/3.htm" TargetMode="External"/><Relationship Id="rId19" Type="http://schemas.openxmlformats.org/officeDocument/2006/relationships/hyperlink" Target="ftp://ftp.fao.org/docrep/fao/009/ag307e/ag307e00.pdf" TargetMode="External"/><Relationship Id="rId4" Type="http://schemas.openxmlformats.org/officeDocument/2006/relationships/hyperlink" Target="http://www.ncbi.nlm.nih.gov/pubmed/640767" TargetMode="External"/><Relationship Id="rId9" Type="http://schemas.openxmlformats.org/officeDocument/2006/relationships/hyperlink" Target="http://worldinfo.org/2012/01/famine-in-cambodia/" TargetMode="External"/><Relationship Id="rId14" Type="http://schemas.openxmlformats.org/officeDocument/2006/relationships/hyperlink" Target="http://www1.american.edu/TED/hpages/human/NKorea41.htm" TargetMode="External"/><Relationship Id="rId22" Type="http://schemas.openxmlformats.org/officeDocument/2006/relationships/hyperlink" Target="http://globalbhasin.blogspot.jp/2013/05/world-hunger-update.html" TargetMode="External"/><Relationship Id="rId27" Type="http://schemas.openxmlformats.org/officeDocument/2006/relationships/hyperlink" Target="http://books.google.co.jp/books/p/princeton?id=LoN2XkjJio4C&amp;printsec=frontcover&amp;hl=en&amp;source=gbs_ViewAPI&amp;redir_esc=y"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opinion.bdnews24.com/2013/06/18/1974-famine-in-bangladesh-economic-context-and-myths/" TargetMode="External"/><Relationship Id="rId13" Type="http://schemas.openxmlformats.org/officeDocument/2006/relationships/hyperlink" Target="http://www.fews.net/docs/Publications/Lives%20Lost,%20Lives%20Saved.pdf" TargetMode="External"/><Relationship Id="rId18" Type="http://schemas.openxmlformats.org/officeDocument/2006/relationships/hyperlink" Target="http://worldwithoutgenocide.org/genocides-and-conflicts/congo" TargetMode="External"/><Relationship Id="rId26" Type="http://schemas.openxmlformats.org/officeDocument/2006/relationships/hyperlink" Target="http://tng.brixtonhealth.com/sites/default/files/NigerNEJM190106MSF.pdf" TargetMode="External"/><Relationship Id="rId3" Type="http://schemas.openxmlformats.org/officeDocument/2006/relationships/hyperlink" Target="http://library.thinkquest.org/05aug/01412/lite/naturaldisasters/drought/casestudy.html" TargetMode="External"/><Relationship Id="rId21" Type="http://schemas.openxmlformats.org/officeDocument/2006/relationships/hyperlink" Target="http://www.fao.org/newsroom/en/news/2005/107298/" TargetMode="External"/><Relationship Id="rId7" Type="http://schemas.openxmlformats.org/officeDocument/2006/relationships/hyperlink" Target="http://www.londoni.co/index.php/history-of-bangladesh?id=23" TargetMode="External"/><Relationship Id="rId12" Type="http://schemas.openxmlformats.org/officeDocument/2006/relationships/hyperlink" Target="http://www.fao.org/docrep/013/i1683e/i1683e.pdf" TargetMode="External"/><Relationship Id="rId17" Type="http://schemas.openxmlformats.org/officeDocument/2006/relationships/hyperlink" Target="http://onlinelibrary.wiley.com/doi/10.1111/j.0361-3666.2005.00286.x/pdf" TargetMode="External"/><Relationship Id="rId25" Type="http://schemas.openxmlformats.org/officeDocument/2006/relationships/hyperlink" Target="http://www.fao.org/newsroom/en/news/2005/107057/article_107066en.html" TargetMode="External"/><Relationship Id="rId2" Type="http://schemas.openxmlformats.org/officeDocument/2006/relationships/hyperlink" Target="http://news.bbc.co.uk/2/hi/africa/596712.stm" TargetMode="External"/><Relationship Id="rId16" Type="http://schemas.openxmlformats.org/officeDocument/2006/relationships/hyperlink" Target="http://www.fao.org/docrep/004/x0388e/x0388e00.HTM" TargetMode="External"/><Relationship Id="rId20" Type="http://schemas.openxmlformats.org/officeDocument/2006/relationships/hyperlink" Target="http://fex.ennonline.net/18/understanding" TargetMode="External"/><Relationship Id="rId29" Type="http://schemas.openxmlformats.org/officeDocument/2006/relationships/printerSettings" Target="../printerSettings/printerSettings4.bin"/><Relationship Id="rId1" Type="http://schemas.openxmlformats.org/officeDocument/2006/relationships/hyperlink" Target="http://www.irinnews.org/report/89121/analysis-what-is-a-famine" TargetMode="External"/><Relationship Id="rId6" Type="http://schemas.openxmlformats.org/officeDocument/2006/relationships/hyperlink" Target="http://www.somali-jna.org/downloads/Heritage%20of%20war%20%26%20state%20collapse.pdf" TargetMode="External"/><Relationship Id="rId11" Type="http://schemas.openxmlformats.org/officeDocument/2006/relationships/hyperlink" Target="http://www.nytimes.com/1988/01/03/world/war-and-drought-inflicting-famine-in-sudan.html" TargetMode="External"/><Relationship Id="rId24" Type="http://schemas.openxmlformats.org/officeDocument/2006/relationships/hyperlink" Target="http://www.fao.org/newsroom/en/news/2005/105443/index.html" TargetMode="External"/><Relationship Id="rId5" Type="http://schemas.openxmlformats.org/officeDocument/2006/relationships/hyperlink" Target="http://seekingbegumpura.wordpress.com/2012/08/12/the-1972-3-drought-in-maharashtra/" TargetMode="External"/><Relationship Id="rId15" Type="http://schemas.openxmlformats.org/officeDocument/2006/relationships/hyperlink" Target="http://worldinfo.org/2012/01/famine-in-south-sudan/" TargetMode="External"/><Relationship Id="rId23" Type="http://schemas.openxmlformats.org/officeDocument/2006/relationships/hyperlink" Target="http://worldinfo.org/2012/01/famine-in-darfur/" TargetMode="External"/><Relationship Id="rId28" Type="http://schemas.openxmlformats.org/officeDocument/2006/relationships/hyperlink" Target="http://www.ieham.org/html/docs/Famine%20in%20the%20Twentieth%20Century%20Devereaux.pdf" TargetMode="External"/><Relationship Id="rId10" Type="http://schemas.openxmlformats.org/officeDocument/2006/relationships/hyperlink" Target="http://www.africa.ufl.edu/asq/v1/1/3.htm" TargetMode="External"/><Relationship Id="rId19" Type="http://schemas.openxmlformats.org/officeDocument/2006/relationships/hyperlink" Target="ftp://ftp.fao.org/docrep/fao/009/ag307e/ag307e00.pdf" TargetMode="External"/><Relationship Id="rId4" Type="http://schemas.openxmlformats.org/officeDocument/2006/relationships/hyperlink" Target="http://www.ncbi.nlm.nih.gov/pubmed/640767" TargetMode="External"/><Relationship Id="rId9" Type="http://schemas.openxmlformats.org/officeDocument/2006/relationships/hyperlink" Target="http://worldinfo.org/2012/01/famine-in-cambodia/" TargetMode="External"/><Relationship Id="rId14" Type="http://schemas.openxmlformats.org/officeDocument/2006/relationships/hyperlink" Target="http://www1.american.edu/TED/hpages/human/NKorea41.htm" TargetMode="External"/><Relationship Id="rId22" Type="http://schemas.openxmlformats.org/officeDocument/2006/relationships/hyperlink" Target="http://globalbhasin.blogspot.jp/2013/05/world-hunger-update.html" TargetMode="External"/><Relationship Id="rId27" Type="http://schemas.openxmlformats.org/officeDocument/2006/relationships/hyperlink" Target="http://books.google.co.jp/books/p/princeton?id=LoN2XkjJio4C&amp;printsec=frontcover&amp;hl=en&amp;source=gbs_ViewAPI&amp;redir_esc=y"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worldinfo.org/2012/01/famine-in-south-sudan/" TargetMode="External"/><Relationship Id="rId18" Type="http://schemas.openxmlformats.org/officeDocument/2006/relationships/hyperlink" Target="http://fex.ennonline.net/18/understanding" TargetMode="External"/><Relationship Id="rId26" Type="http://schemas.openxmlformats.org/officeDocument/2006/relationships/hyperlink" Target="http://tng.brixtonhealth.com/sites/default/files/NigerNEJM190106MSF.pdf" TargetMode="External"/><Relationship Id="rId39" Type="http://schemas.openxmlformats.org/officeDocument/2006/relationships/printerSettings" Target="../printerSettings/printerSettings5.bin"/><Relationship Id="rId21" Type="http://schemas.openxmlformats.org/officeDocument/2006/relationships/hyperlink" Target="http://www.fao.org/newsroom/en/news/2005/105443/index.html" TargetMode="External"/><Relationship Id="rId34" Type="http://schemas.openxmlformats.org/officeDocument/2006/relationships/hyperlink" Target="http://www.smh.com.au/world/ten-worst-famines-of-the-20th-century-20110815-1iu2w.html" TargetMode="External"/><Relationship Id="rId42" Type="http://schemas.openxmlformats.org/officeDocument/2006/relationships/comments" Target="../comments2.xml"/><Relationship Id="rId7" Type="http://schemas.openxmlformats.org/officeDocument/2006/relationships/hyperlink" Target="http://worldinfo.org/2012/01/famine-in-cambodia/" TargetMode="External"/><Relationship Id="rId2" Type="http://schemas.openxmlformats.org/officeDocument/2006/relationships/hyperlink" Target="http://library.thinkquest.org/05aug/01412/lite/naturaldisasters/drought/casestudy.html" TargetMode="External"/><Relationship Id="rId16" Type="http://schemas.openxmlformats.org/officeDocument/2006/relationships/hyperlink" Target="http://worldwithoutgenocide.org/genocides-and-conflicts/congo" TargetMode="External"/><Relationship Id="rId20" Type="http://schemas.openxmlformats.org/officeDocument/2006/relationships/hyperlink" Target="http://worldinfo.org/2012/01/famine-in-darfur/" TargetMode="External"/><Relationship Id="rId29" Type="http://schemas.openxmlformats.org/officeDocument/2006/relationships/hyperlink" Target="http://www.sjsu.edu/faculty/watkins/henanfamine.htm" TargetMode="External"/><Relationship Id="rId41" Type="http://schemas.openxmlformats.org/officeDocument/2006/relationships/vmlDrawing" Target="../drawings/vmlDrawing2.vml"/><Relationship Id="rId1" Type="http://schemas.openxmlformats.org/officeDocument/2006/relationships/hyperlink" Target="http://www.irinnews.org/report/89121/analysis-what-is-a-famine" TargetMode="External"/><Relationship Id="rId6" Type="http://schemas.openxmlformats.org/officeDocument/2006/relationships/hyperlink" Target="http://opinion.bdnews24.com/2013/06/18/1974-famine-in-bangladesh-economic-context-and-myths/" TargetMode="External"/><Relationship Id="rId11" Type="http://schemas.openxmlformats.org/officeDocument/2006/relationships/hyperlink" Target="http://www.fews.net/docs/Publications/Lives%20Lost,%20Lives%20Saved.pdf" TargetMode="External"/><Relationship Id="rId24" Type="http://schemas.openxmlformats.org/officeDocument/2006/relationships/hyperlink" Target="http://www.ieham.org/html/docs/Famine%20in%20the%20Twentieth%20Century%20Devereaux.pdf" TargetMode="External"/><Relationship Id="rId32" Type="http://schemas.openxmlformats.org/officeDocument/2006/relationships/hyperlink" Target="http://www.smh.com.au/world/ten-worst-famines-of-the-20th-century-20110815-1iu2w.html" TargetMode="External"/><Relationship Id="rId37" Type="http://schemas.openxmlformats.org/officeDocument/2006/relationships/hyperlink" Target="http://www.mongabay.com/history/lebanon/lebanon-world_war_i_world_war_i_and_the_french_mandate,_1914-41.html" TargetMode="External"/><Relationship Id="rId40" Type="http://schemas.openxmlformats.org/officeDocument/2006/relationships/drawing" Target="../drawings/drawing2.xml"/><Relationship Id="rId5" Type="http://schemas.openxmlformats.org/officeDocument/2006/relationships/hyperlink" Target="http://www.londoni.co/index.php/history-of-bangladesh?id=23" TargetMode="External"/><Relationship Id="rId15" Type="http://schemas.openxmlformats.org/officeDocument/2006/relationships/hyperlink" Target="http://onlinelibrary.wiley.com/doi/10.1111/j.0361-3666.2005.00286.x/pdf" TargetMode="External"/><Relationship Id="rId23" Type="http://schemas.openxmlformats.org/officeDocument/2006/relationships/hyperlink" Target="http://books.google.co.jp/books/p/princeton?id=LoN2XkjJio4C&amp;printsec=frontcover&amp;hl=en&amp;source=gbs_ViewAPI&amp;redir_esc=y" TargetMode="External"/><Relationship Id="rId28" Type="http://schemas.openxmlformats.org/officeDocument/2006/relationships/hyperlink" Target="http://www.ibtimes.com/bengal-famine-1943-man-made-holocaust-1100525" TargetMode="External"/><Relationship Id="rId36" Type="http://schemas.openxmlformats.org/officeDocument/2006/relationships/hyperlink" Target="http://www.johndclare.net/Basics_Russia.htm" TargetMode="External"/><Relationship Id="rId10" Type="http://schemas.openxmlformats.org/officeDocument/2006/relationships/hyperlink" Target="http://www.fao.org/docrep/013/i1683e/i1683e.pdf" TargetMode="External"/><Relationship Id="rId19" Type="http://schemas.openxmlformats.org/officeDocument/2006/relationships/hyperlink" Target="http://globalbhasin.blogspot.jp/2013/05/world-hunger-update.html" TargetMode="External"/><Relationship Id="rId31" Type="http://schemas.openxmlformats.org/officeDocument/2006/relationships/hyperlink" Target="http://www.historyplace.com/worldhistory/genocide/stalin.htm" TargetMode="External"/><Relationship Id="rId4" Type="http://schemas.openxmlformats.org/officeDocument/2006/relationships/hyperlink" Target="http://www.somali-jna.org/downloads/Heritage%20of%20war%20%26%20state%20collapse.pdf" TargetMode="External"/><Relationship Id="rId9" Type="http://schemas.openxmlformats.org/officeDocument/2006/relationships/hyperlink" Target="http://www.nytimes.com/1988/01/03/world/war-and-drought-inflicting-famine-in-sudan.html" TargetMode="External"/><Relationship Id="rId14" Type="http://schemas.openxmlformats.org/officeDocument/2006/relationships/hyperlink" Target="http://www.fao.org/docrep/004/x0388e/x0388e00.HTM" TargetMode="External"/><Relationship Id="rId22" Type="http://schemas.openxmlformats.org/officeDocument/2006/relationships/hyperlink" Target="http://www.fao.org/newsroom/en/news/2005/107057/article_107066en.html" TargetMode="External"/><Relationship Id="rId27" Type="http://schemas.openxmlformats.org/officeDocument/2006/relationships/hyperlink" Target="http://www.amchamvietnam.com/3121/1945-famine-in-vietnam-n-n-i-t-d-u/" TargetMode="External"/><Relationship Id="rId30" Type="http://schemas.openxmlformats.org/officeDocument/2006/relationships/hyperlink" Target="http://histclo.com/country/gre/chron/1940/gc40-occ.html" TargetMode="External"/><Relationship Id="rId35" Type="http://schemas.openxmlformats.org/officeDocument/2006/relationships/hyperlink" Target="http://www.volgagermans.net/norka/famine_1920s.html" TargetMode="External"/><Relationship Id="rId8" Type="http://schemas.openxmlformats.org/officeDocument/2006/relationships/hyperlink" Target="http://www.africa.ufl.edu/asq/v1/1/3.htm" TargetMode="External"/><Relationship Id="rId3" Type="http://schemas.openxmlformats.org/officeDocument/2006/relationships/hyperlink" Target="http://seekingbegumpura.wordpress.com/2012/08/12/the-1972-3-drought-in-maharashtra/" TargetMode="External"/><Relationship Id="rId12" Type="http://schemas.openxmlformats.org/officeDocument/2006/relationships/hyperlink" Target="http://www1.american.edu/TED/hpages/human/NKorea41.htm" TargetMode="External"/><Relationship Id="rId17" Type="http://schemas.openxmlformats.org/officeDocument/2006/relationships/hyperlink" Target="ftp://ftp.fao.org/docrep/fao/009/ag307e/ag307e00.pdf" TargetMode="External"/><Relationship Id="rId25" Type="http://schemas.openxmlformats.org/officeDocument/2006/relationships/hyperlink" Target="http://www.fao.org/newsroom/en/news/2005/107298/" TargetMode="External"/><Relationship Id="rId33" Type="http://schemas.openxmlformats.org/officeDocument/2006/relationships/hyperlink" Target="http://www.cotf.edu/ete/modules/mgorilla/mgfamine.html" TargetMode="External"/><Relationship Id="rId38" Type="http://schemas.openxmlformats.org/officeDocument/2006/relationships/hyperlink" Target="http://knowledge.sagepub.com/view/disasterrelief/n31.xml"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worldinfo.org/2012/01/famine-in-south-sudan/" TargetMode="External"/><Relationship Id="rId18" Type="http://schemas.openxmlformats.org/officeDocument/2006/relationships/hyperlink" Target="http://fex.ennonline.net/18/understanding" TargetMode="External"/><Relationship Id="rId26" Type="http://schemas.openxmlformats.org/officeDocument/2006/relationships/hyperlink" Target="http://tng.brixtonhealth.com/sites/default/files/NigerNEJM190106MSF.pdf" TargetMode="External"/><Relationship Id="rId39" Type="http://schemas.openxmlformats.org/officeDocument/2006/relationships/printerSettings" Target="../printerSettings/printerSettings6.bin"/><Relationship Id="rId21" Type="http://schemas.openxmlformats.org/officeDocument/2006/relationships/hyperlink" Target="http://www.fao.org/newsroom/en/news/2005/105443/index.html" TargetMode="External"/><Relationship Id="rId34" Type="http://schemas.openxmlformats.org/officeDocument/2006/relationships/hyperlink" Target="http://www.smh.com.au/world/ten-worst-famines-of-the-20th-century-20110815-1iu2w.html" TargetMode="External"/><Relationship Id="rId42" Type="http://schemas.openxmlformats.org/officeDocument/2006/relationships/comments" Target="../comments3.xml"/><Relationship Id="rId7" Type="http://schemas.openxmlformats.org/officeDocument/2006/relationships/hyperlink" Target="http://worldinfo.org/2012/01/famine-in-cambodia/" TargetMode="External"/><Relationship Id="rId2" Type="http://schemas.openxmlformats.org/officeDocument/2006/relationships/hyperlink" Target="http://library.thinkquest.org/05aug/01412/lite/naturaldisasters/drought/casestudy.html" TargetMode="External"/><Relationship Id="rId16" Type="http://schemas.openxmlformats.org/officeDocument/2006/relationships/hyperlink" Target="http://worldwithoutgenocide.org/genocides-and-conflicts/congo" TargetMode="External"/><Relationship Id="rId20" Type="http://schemas.openxmlformats.org/officeDocument/2006/relationships/hyperlink" Target="http://worldinfo.org/2012/01/famine-in-darfur/" TargetMode="External"/><Relationship Id="rId29" Type="http://schemas.openxmlformats.org/officeDocument/2006/relationships/hyperlink" Target="http://www.sjsu.edu/faculty/watkins/henanfamine.htm" TargetMode="External"/><Relationship Id="rId41" Type="http://schemas.openxmlformats.org/officeDocument/2006/relationships/vmlDrawing" Target="../drawings/vmlDrawing3.vml"/><Relationship Id="rId1" Type="http://schemas.openxmlformats.org/officeDocument/2006/relationships/hyperlink" Target="http://www.irinnews.org/report/89121/analysis-what-is-a-famine" TargetMode="External"/><Relationship Id="rId6" Type="http://schemas.openxmlformats.org/officeDocument/2006/relationships/hyperlink" Target="http://opinion.bdnews24.com/2013/06/18/1974-famine-in-bangladesh-economic-context-and-myths/" TargetMode="External"/><Relationship Id="rId11" Type="http://schemas.openxmlformats.org/officeDocument/2006/relationships/hyperlink" Target="http://www.fews.net/docs/Publications/Lives%20Lost,%20Lives%20Saved.pdf" TargetMode="External"/><Relationship Id="rId24" Type="http://schemas.openxmlformats.org/officeDocument/2006/relationships/hyperlink" Target="http://www.ieham.org/html/docs/Famine%20in%20the%20Twentieth%20Century%20Devereaux.pdf" TargetMode="External"/><Relationship Id="rId32" Type="http://schemas.openxmlformats.org/officeDocument/2006/relationships/hyperlink" Target="http://www.smh.com.au/world/ten-worst-famines-of-the-20th-century-20110815-1iu2w.html" TargetMode="External"/><Relationship Id="rId37" Type="http://schemas.openxmlformats.org/officeDocument/2006/relationships/hyperlink" Target="http://www.mongabay.com/history/lebanon/lebanon-world_war_i_world_war_i_and_the_french_mandate,_1914-41.html" TargetMode="External"/><Relationship Id="rId40" Type="http://schemas.openxmlformats.org/officeDocument/2006/relationships/drawing" Target="../drawings/drawing3.xml"/><Relationship Id="rId5" Type="http://schemas.openxmlformats.org/officeDocument/2006/relationships/hyperlink" Target="http://www.londoni.co/index.php/history-of-bangladesh?id=23" TargetMode="External"/><Relationship Id="rId15" Type="http://schemas.openxmlformats.org/officeDocument/2006/relationships/hyperlink" Target="http://onlinelibrary.wiley.com/doi/10.1111/j.0361-3666.2005.00286.x/pdf" TargetMode="External"/><Relationship Id="rId23" Type="http://schemas.openxmlformats.org/officeDocument/2006/relationships/hyperlink" Target="http://books.google.co.jp/books/p/princeton?id=LoN2XkjJio4C&amp;printsec=frontcover&amp;hl=en&amp;source=gbs_ViewAPI&amp;redir_esc=y" TargetMode="External"/><Relationship Id="rId28" Type="http://schemas.openxmlformats.org/officeDocument/2006/relationships/hyperlink" Target="http://www.ibtimes.com/bengal-famine-1943-man-made-holocaust-1100525" TargetMode="External"/><Relationship Id="rId36" Type="http://schemas.openxmlformats.org/officeDocument/2006/relationships/hyperlink" Target="http://www.johndclare.net/Basics_Russia.htm" TargetMode="External"/><Relationship Id="rId10" Type="http://schemas.openxmlformats.org/officeDocument/2006/relationships/hyperlink" Target="http://www.fao.org/docrep/013/i1683e/i1683e.pdf" TargetMode="External"/><Relationship Id="rId19" Type="http://schemas.openxmlformats.org/officeDocument/2006/relationships/hyperlink" Target="http://globalbhasin.blogspot.jp/2013/05/world-hunger-update.html" TargetMode="External"/><Relationship Id="rId31" Type="http://schemas.openxmlformats.org/officeDocument/2006/relationships/hyperlink" Target="http://www.historyplace.com/worldhistory/genocide/stalin.htm" TargetMode="External"/><Relationship Id="rId4" Type="http://schemas.openxmlformats.org/officeDocument/2006/relationships/hyperlink" Target="http://www.somali-jna.org/downloads/Heritage%20of%20war%20%26%20state%20collapse.pdf" TargetMode="External"/><Relationship Id="rId9" Type="http://schemas.openxmlformats.org/officeDocument/2006/relationships/hyperlink" Target="http://www.nytimes.com/1988/01/03/world/war-and-drought-inflicting-famine-in-sudan.html" TargetMode="External"/><Relationship Id="rId14" Type="http://schemas.openxmlformats.org/officeDocument/2006/relationships/hyperlink" Target="http://www.fao.org/docrep/004/x0388e/x0388e00.HTM" TargetMode="External"/><Relationship Id="rId22" Type="http://schemas.openxmlformats.org/officeDocument/2006/relationships/hyperlink" Target="http://www.fao.org/newsroom/en/news/2005/107057/article_107066en.html" TargetMode="External"/><Relationship Id="rId27" Type="http://schemas.openxmlformats.org/officeDocument/2006/relationships/hyperlink" Target="http://www.amchamvietnam.com/3121/1945-famine-in-vietnam-n-n-i-t-d-u/" TargetMode="External"/><Relationship Id="rId30" Type="http://schemas.openxmlformats.org/officeDocument/2006/relationships/hyperlink" Target="http://histclo.com/country/gre/chron/1940/gc40-occ.html" TargetMode="External"/><Relationship Id="rId35" Type="http://schemas.openxmlformats.org/officeDocument/2006/relationships/hyperlink" Target="http://www.volgagermans.net/norka/famine_1920s.html" TargetMode="External"/><Relationship Id="rId8" Type="http://schemas.openxmlformats.org/officeDocument/2006/relationships/hyperlink" Target="http://www.africa.ufl.edu/asq/v1/1/3.htm" TargetMode="External"/><Relationship Id="rId3" Type="http://schemas.openxmlformats.org/officeDocument/2006/relationships/hyperlink" Target="http://seekingbegumpura.wordpress.com/2012/08/12/the-1972-3-drought-in-maharashtra/" TargetMode="External"/><Relationship Id="rId12" Type="http://schemas.openxmlformats.org/officeDocument/2006/relationships/hyperlink" Target="http://www1.american.edu/TED/hpages/human/NKorea41.htm" TargetMode="External"/><Relationship Id="rId17" Type="http://schemas.openxmlformats.org/officeDocument/2006/relationships/hyperlink" Target="ftp://ftp.fao.org/docrep/fao/009/ag307e/ag307e00.pdf" TargetMode="External"/><Relationship Id="rId25" Type="http://schemas.openxmlformats.org/officeDocument/2006/relationships/hyperlink" Target="http://www.fao.org/newsroom/en/news/2005/107298/" TargetMode="External"/><Relationship Id="rId33" Type="http://schemas.openxmlformats.org/officeDocument/2006/relationships/hyperlink" Target="http://www.cotf.edu/ete/modules/mgorilla/mgfamine.html" TargetMode="External"/><Relationship Id="rId38" Type="http://schemas.openxmlformats.org/officeDocument/2006/relationships/hyperlink" Target="http://knowledge.sagepub.com/view/disasterrelief/n31.xml" TargetMode="Externa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www.pcr.uu.se/research/ucdp/datasets/ucdp_one-sided_violence_dataset/" TargetMode="External"/><Relationship Id="rId7" Type="http://schemas.openxmlformats.org/officeDocument/2006/relationships/hyperlink" Target="http://data.worldbank.org/indicator/SP.POP.GROW" TargetMode="External"/><Relationship Id="rId2" Type="http://schemas.openxmlformats.org/officeDocument/2006/relationships/hyperlink" Target="http://www.pcr.uu.se/research/ucdp/datasets/ucdp_non-state_conflict_dataset_/" TargetMode="External"/><Relationship Id="rId1" Type="http://schemas.openxmlformats.org/officeDocument/2006/relationships/hyperlink" Target="http://www.pcr.uu.se/research/ucdp/datasets/ucdp_prio_armed_conflict_dataset/" TargetMode="External"/><Relationship Id="rId6" Type="http://schemas.openxmlformats.org/officeDocument/2006/relationships/hyperlink" Target="http://info.worldbank.org/governance/wgi/index.aspx" TargetMode="External"/><Relationship Id="rId5" Type="http://schemas.openxmlformats.org/officeDocument/2006/relationships/hyperlink" Target="http://info.worldbank.org/governance/wgi/index.aspx" TargetMode="External"/><Relationship Id="rId4" Type="http://schemas.openxmlformats.org/officeDocument/2006/relationships/hyperlink" Target="http://www.emdat.be/datab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48"/>
  <sheetViews>
    <sheetView zoomScale="80" zoomScaleNormal="80" workbookViewId="0">
      <selection activeCell="F79" sqref="F79:F82"/>
    </sheetView>
  </sheetViews>
  <sheetFormatPr baseColWidth="10" defaultColWidth="8.83203125" defaultRowHeight="14"/>
  <cols>
    <col min="1" max="1" width="2.6640625" style="1" customWidth="1"/>
    <col min="2" max="2" width="5.5" style="1" customWidth="1"/>
    <col min="3" max="3" width="2.6640625" style="1" hidden="1" customWidth="1"/>
    <col min="4" max="4" width="11.6640625" style="1" customWidth="1"/>
    <col min="5" max="5" width="18" style="1" customWidth="1"/>
    <col min="6" max="8" width="10.83203125" style="1" customWidth="1"/>
    <col min="9" max="9" width="12.1640625" style="1" customWidth="1"/>
    <col min="10" max="10" width="3" style="1" hidden="1" customWidth="1"/>
    <col min="11" max="13" width="37.83203125" style="1" customWidth="1"/>
    <col min="14" max="14" width="36.5" style="1" hidden="1" customWidth="1"/>
    <col min="15" max="15" width="14.1640625" style="1" hidden="1" customWidth="1"/>
    <col min="16" max="16" width="27.5" style="1" customWidth="1"/>
    <col min="17" max="18" width="9.1640625" style="1"/>
    <col min="19" max="19" width="12.5" style="1" bestFit="1" customWidth="1"/>
    <col min="20" max="20" width="11.5" style="1" bestFit="1" customWidth="1"/>
    <col min="21" max="21" width="9.1640625" style="1"/>
    <col min="22" max="22" width="11.5" style="1" bestFit="1" customWidth="1"/>
    <col min="23" max="23" width="12.5" style="1" bestFit="1" customWidth="1"/>
    <col min="24" max="24" width="11.5" style="1" bestFit="1" customWidth="1"/>
    <col min="25" max="16384" width="8.83203125" style="25"/>
  </cols>
  <sheetData>
    <row r="1" spans="2:16">
      <c r="D1" s="2"/>
      <c r="E1" s="2"/>
      <c r="F1" s="2"/>
      <c r="G1" s="3"/>
      <c r="H1" s="2"/>
      <c r="I1" s="2"/>
      <c r="J1" s="4"/>
    </row>
    <row r="2" spans="2:16" ht="30">
      <c r="B2" s="120"/>
      <c r="D2" s="124" t="s">
        <v>0</v>
      </c>
      <c r="E2" s="124" t="s">
        <v>1</v>
      </c>
      <c r="F2" s="124" t="s">
        <v>2</v>
      </c>
      <c r="G2" s="124" t="s">
        <v>3</v>
      </c>
      <c r="H2" s="124" t="s">
        <v>4</v>
      </c>
      <c r="I2" s="124" t="s">
        <v>5</v>
      </c>
      <c r="J2" s="124"/>
      <c r="K2" s="124" t="s">
        <v>6</v>
      </c>
      <c r="L2" s="124" t="s">
        <v>7</v>
      </c>
      <c r="M2" s="124" t="s">
        <v>8</v>
      </c>
      <c r="N2" s="1" t="s">
        <v>9</v>
      </c>
      <c r="O2" s="1" t="s">
        <v>10</v>
      </c>
      <c r="P2" s="124" t="s">
        <v>11</v>
      </c>
    </row>
    <row r="3" spans="2:16" hidden="1">
      <c r="B3" s="121">
        <v>1901</v>
      </c>
      <c r="D3" s="124"/>
      <c r="E3" s="124"/>
      <c r="F3" s="124"/>
      <c r="G3" s="124"/>
      <c r="H3" s="124"/>
      <c r="I3" s="124"/>
      <c r="J3" s="124"/>
      <c r="K3" s="124"/>
      <c r="L3" s="124"/>
      <c r="M3" s="124"/>
    </row>
    <row r="4" spans="2:16" hidden="1">
      <c r="B4" s="121">
        <v>1902</v>
      </c>
      <c r="D4" s="124"/>
      <c r="E4" s="124"/>
      <c r="F4" s="124"/>
      <c r="G4" s="124"/>
      <c r="H4" s="124"/>
      <c r="I4" s="124"/>
      <c r="J4" s="124"/>
      <c r="K4" s="124"/>
      <c r="L4" s="124"/>
      <c r="M4" s="124"/>
    </row>
    <row r="5" spans="2:16" ht="15" hidden="1">
      <c r="B5" s="121">
        <v>1903</v>
      </c>
      <c r="D5" s="124" t="s">
        <v>12</v>
      </c>
      <c r="E5" s="124" t="s">
        <v>13</v>
      </c>
      <c r="F5" s="124" t="s">
        <v>13</v>
      </c>
      <c r="G5" s="5">
        <v>5000</v>
      </c>
      <c r="H5" s="5"/>
      <c r="I5" s="5"/>
      <c r="J5" s="124"/>
      <c r="K5" s="124"/>
      <c r="L5" s="124"/>
      <c r="M5" s="124"/>
    </row>
    <row r="6" spans="2:16" hidden="1">
      <c r="B6" s="121">
        <v>1904</v>
      </c>
      <c r="D6" s="124"/>
      <c r="E6" s="124"/>
      <c r="F6" s="124"/>
      <c r="G6" s="5"/>
      <c r="H6" s="5"/>
      <c r="I6" s="5"/>
      <c r="J6" s="124"/>
      <c r="K6" s="124"/>
      <c r="L6" s="124"/>
      <c r="M6" s="124"/>
    </row>
    <row r="7" spans="2:16" hidden="1">
      <c r="B7" s="121">
        <v>1905</v>
      </c>
      <c r="D7" s="124"/>
      <c r="E7" s="124"/>
      <c r="F7" s="124"/>
      <c r="G7" s="5"/>
      <c r="H7" s="5"/>
      <c r="I7" s="5"/>
      <c r="J7" s="124"/>
      <c r="K7" s="124"/>
      <c r="L7" s="124"/>
      <c r="M7" s="124"/>
    </row>
    <row r="8" spans="2:16" ht="15" hidden="1">
      <c r="B8" s="121">
        <v>1906</v>
      </c>
      <c r="D8" s="124">
        <v>1906</v>
      </c>
      <c r="E8" s="124" t="s">
        <v>14</v>
      </c>
      <c r="F8" s="6" t="s">
        <v>15</v>
      </c>
      <c r="G8" s="6">
        <v>37500</v>
      </c>
      <c r="H8" s="6"/>
      <c r="I8" s="6"/>
      <c r="J8" s="124"/>
      <c r="K8" s="124"/>
      <c r="L8" s="124"/>
      <c r="M8" s="124"/>
    </row>
    <row r="9" spans="2:16" ht="30" hidden="1">
      <c r="B9" s="121">
        <v>1907</v>
      </c>
      <c r="D9" s="124" t="s">
        <v>16</v>
      </c>
      <c r="E9" s="124" t="s">
        <v>17</v>
      </c>
      <c r="F9" s="7" t="s">
        <v>18</v>
      </c>
      <c r="G9" s="5">
        <v>25000000</v>
      </c>
      <c r="H9" s="5"/>
      <c r="I9" s="5"/>
      <c r="J9" s="124"/>
      <c r="K9" s="124"/>
      <c r="L9" s="124"/>
      <c r="M9" s="124"/>
    </row>
    <row r="10" spans="2:16" hidden="1">
      <c r="B10" s="121">
        <v>1908</v>
      </c>
      <c r="D10" s="124"/>
      <c r="E10" s="124"/>
      <c r="F10" s="7"/>
      <c r="G10" s="124"/>
      <c r="H10" s="124"/>
      <c r="I10" s="124"/>
      <c r="J10" s="124"/>
      <c r="K10" s="124"/>
      <c r="L10" s="124"/>
      <c r="M10" s="124"/>
    </row>
    <row r="11" spans="2:16" hidden="1">
      <c r="B11" s="121">
        <v>1909</v>
      </c>
      <c r="D11" s="124"/>
      <c r="E11" s="124"/>
      <c r="F11" s="7"/>
      <c r="G11" s="124"/>
      <c r="H11" s="124"/>
      <c r="I11" s="124"/>
      <c r="J11" s="124"/>
      <c r="K11" s="124"/>
      <c r="L11" s="124"/>
      <c r="M11" s="124"/>
    </row>
    <row r="12" spans="2:16" hidden="1">
      <c r="B12" s="121">
        <v>1910</v>
      </c>
      <c r="D12" s="124"/>
      <c r="E12" s="124"/>
      <c r="F12" s="7"/>
      <c r="G12" s="124"/>
      <c r="H12" s="124"/>
      <c r="I12" s="124"/>
      <c r="J12" s="124"/>
      <c r="K12" s="124"/>
      <c r="L12" s="124"/>
      <c r="M12" s="124"/>
    </row>
    <row r="13" spans="2:16" hidden="1">
      <c r="B13" s="121">
        <v>1911</v>
      </c>
      <c r="D13" s="124"/>
      <c r="E13" s="124"/>
      <c r="F13" s="7"/>
      <c r="G13" s="124"/>
      <c r="H13" s="124"/>
      <c r="I13" s="124"/>
      <c r="J13" s="124"/>
      <c r="K13" s="124"/>
      <c r="L13" s="124"/>
      <c r="M13" s="124"/>
    </row>
    <row r="14" spans="2:16" hidden="1">
      <c r="B14" s="121">
        <v>1912</v>
      </c>
      <c r="D14" s="124"/>
      <c r="E14" s="124"/>
      <c r="F14" s="7"/>
      <c r="G14" s="124"/>
      <c r="H14" s="124"/>
      <c r="I14" s="124"/>
      <c r="J14" s="124"/>
      <c r="K14" s="124"/>
      <c r="L14" s="124"/>
      <c r="M14" s="124"/>
    </row>
    <row r="15" spans="2:16" ht="30" hidden="1">
      <c r="B15" s="121">
        <v>1913</v>
      </c>
      <c r="D15" s="124" t="s">
        <v>19</v>
      </c>
      <c r="E15" s="124" t="s">
        <v>20</v>
      </c>
      <c r="F15" s="7" t="s">
        <v>21</v>
      </c>
      <c r="G15" s="5">
        <v>125000</v>
      </c>
      <c r="H15" s="5"/>
      <c r="I15" s="5"/>
      <c r="J15" s="124"/>
      <c r="K15" s="124"/>
      <c r="L15" s="124"/>
      <c r="M15" s="124"/>
    </row>
    <row r="16" spans="2:16" ht="45" hidden="1">
      <c r="B16" s="121">
        <v>1914</v>
      </c>
      <c r="D16" s="124" t="s">
        <v>22</v>
      </c>
      <c r="E16" s="124" t="s">
        <v>23</v>
      </c>
      <c r="F16" s="7" t="s">
        <v>24</v>
      </c>
      <c r="G16" s="124" t="s">
        <v>25</v>
      </c>
      <c r="H16" s="124"/>
      <c r="I16" s="124"/>
      <c r="J16" s="124"/>
      <c r="K16" s="124"/>
      <c r="L16" s="124"/>
      <c r="M16" s="124"/>
    </row>
    <row r="17" spans="2:15" hidden="1">
      <c r="B17" s="121">
        <v>1915</v>
      </c>
      <c r="D17" s="124"/>
      <c r="E17" s="124"/>
      <c r="F17" s="7"/>
      <c r="G17" s="124"/>
      <c r="H17" s="124"/>
      <c r="I17" s="124"/>
      <c r="J17" s="124"/>
      <c r="K17" s="124"/>
      <c r="L17" s="124"/>
      <c r="M17" s="124"/>
    </row>
    <row r="18" spans="2:15" ht="30" hidden="1">
      <c r="B18" s="121">
        <v>1916</v>
      </c>
      <c r="D18" s="124" t="s">
        <v>26</v>
      </c>
      <c r="E18" s="7" t="s">
        <v>27</v>
      </c>
      <c r="F18" s="7" t="s">
        <v>28</v>
      </c>
      <c r="G18" s="124"/>
      <c r="H18" s="124"/>
      <c r="I18" s="124"/>
      <c r="J18" s="124"/>
      <c r="K18" s="124"/>
      <c r="L18" s="124"/>
      <c r="M18" s="124"/>
    </row>
    <row r="19" spans="2:15" ht="30" hidden="1">
      <c r="B19" s="121"/>
      <c r="D19" s="124" t="s">
        <v>26</v>
      </c>
      <c r="E19" s="7" t="s">
        <v>29</v>
      </c>
      <c r="F19" s="7" t="s">
        <v>30</v>
      </c>
      <c r="G19" s="124"/>
      <c r="H19" s="124"/>
      <c r="I19" s="124"/>
      <c r="J19" s="124"/>
      <c r="K19" s="124"/>
      <c r="L19" s="124"/>
      <c r="M19" s="124"/>
    </row>
    <row r="20" spans="2:15" ht="30" hidden="1">
      <c r="B20" s="121">
        <v>1917</v>
      </c>
      <c r="D20" s="124" t="s">
        <v>31</v>
      </c>
      <c r="E20" s="124" t="s">
        <v>32</v>
      </c>
      <c r="F20" s="7" t="s">
        <v>33</v>
      </c>
      <c r="G20" s="124" t="s">
        <v>34</v>
      </c>
      <c r="H20" s="124"/>
      <c r="I20" s="124"/>
      <c r="J20" s="124"/>
      <c r="K20" s="124"/>
      <c r="L20" s="124"/>
      <c r="M20" s="124"/>
    </row>
    <row r="21" spans="2:15" ht="15" hidden="1">
      <c r="B21" s="121"/>
      <c r="D21" s="124" t="s">
        <v>35</v>
      </c>
      <c r="E21" s="124" t="s">
        <v>36</v>
      </c>
      <c r="F21" s="7" t="s">
        <v>15</v>
      </c>
      <c r="G21" s="5">
        <v>30000</v>
      </c>
      <c r="H21" s="5"/>
      <c r="I21" s="5"/>
      <c r="J21" s="124"/>
      <c r="K21" s="124"/>
      <c r="L21" s="124"/>
      <c r="M21" s="124"/>
    </row>
    <row r="22" spans="2:15" ht="75" hidden="1">
      <c r="B22" s="121"/>
      <c r="D22" s="124" t="s">
        <v>37</v>
      </c>
      <c r="E22" s="124" t="s">
        <v>38</v>
      </c>
      <c r="F22" s="7" t="s">
        <v>39</v>
      </c>
      <c r="G22" s="124" t="s">
        <v>40</v>
      </c>
      <c r="H22" s="124"/>
      <c r="I22" s="124"/>
      <c r="J22" s="124"/>
      <c r="K22" s="124"/>
      <c r="L22" s="124"/>
      <c r="M22" s="124"/>
    </row>
    <row r="23" spans="2:15" hidden="1">
      <c r="B23" s="121">
        <v>1918</v>
      </c>
      <c r="D23" s="124"/>
      <c r="E23" s="124"/>
      <c r="F23" s="7"/>
      <c r="G23" s="124"/>
      <c r="H23" s="124"/>
      <c r="I23" s="124"/>
      <c r="J23" s="124"/>
      <c r="K23" s="124"/>
      <c r="L23" s="124"/>
      <c r="M23" s="124"/>
    </row>
    <row r="24" spans="2:15" hidden="1">
      <c r="B24" s="121">
        <v>1919</v>
      </c>
      <c r="D24" s="124"/>
      <c r="E24" s="124"/>
      <c r="F24" s="7"/>
      <c r="G24" s="124"/>
      <c r="H24" s="124"/>
      <c r="I24" s="124"/>
      <c r="J24" s="124"/>
      <c r="K24" s="124"/>
      <c r="L24" s="124"/>
      <c r="M24" s="124"/>
    </row>
    <row r="25" spans="2:15" ht="30" hidden="1">
      <c r="B25" s="121">
        <v>1920</v>
      </c>
      <c r="D25" s="124" t="s">
        <v>41</v>
      </c>
      <c r="E25" s="124" t="s">
        <v>42</v>
      </c>
      <c r="F25" s="7" t="s">
        <v>18</v>
      </c>
      <c r="G25" s="5">
        <v>500000</v>
      </c>
      <c r="H25" s="5"/>
      <c r="I25" s="5"/>
      <c r="J25" s="124"/>
      <c r="K25" s="124"/>
      <c r="L25" s="124"/>
      <c r="M25" s="124"/>
    </row>
    <row r="26" spans="2:15" ht="30" hidden="1">
      <c r="B26" s="121">
        <v>1921</v>
      </c>
      <c r="D26" s="124">
        <v>1921</v>
      </c>
      <c r="E26" s="7" t="s">
        <v>43</v>
      </c>
      <c r="F26" s="7" t="s">
        <v>30</v>
      </c>
      <c r="G26" s="6">
        <v>5000000</v>
      </c>
      <c r="H26" s="6"/>
      <c r="I26" s="6"/>
      <c r="J26" s="124"/>
      <c r="K26" s="124"/>
      <c r="L26" s="124"/>
      <c r="M26" s="124"/>
    </row>
    <row r="27" spans="2:15" ht="45" hidden="1">
      <c r="B27" s="121"/>
      <c r="D27" s="124" t="s">
        <v>44</v>
      </c>
      <c r="E27" s="124" t="s">
        <v>45</v>
      </c>
      <c r="F27" s="7" t="s">
        <v>30</v>
      </c>
      <c r="G27" s="124" t="s">
        <v>46</v>
      </c>
      <c r="H27" s="124"/>
      <c r="I27" s="124"/>
      <c r="J27" s="124"/>
      <c r="K27" s="124"/>
      <c r="L27" s="124"/>
      <c r="M27" s="124"/>
    </row>
    <row r="28" spans="2:15" ht="30" hidden="1">
      <c r="B28" s="121">
        <v>1922</v>
      </c>
      <c r="D28" s="8">
        <v>1922</v>
      </c>
      <c r="E28" s="8" t="s">
        <v>47</v>
      </c>
      <c r="F28" s="8" t="s">
        <v>48</v>
      </c>
      <c r="G28" s="8"/>
      <c r="H28" s="8"/>
      <c r="I28" s="8" t="s">
        <v>49</v>
      </c>
      <c r="J28" s="8"/>
      <c r="K28" s="8"/>
      <c r="L28" s="8"/>
      <c r="M28" s="8"/>
      <c r="N28" s="9"/>
      <c r="O28" s="9"/>
    </row>
    <row r="29" spans="2:15" hidden="1">
      <c r="B29" s="121">
        <v>1923</v>
      </c>
      <c r="D29" s="124"/>
      <c r="E29" s="124"/>
      <c r="F29" s="7"/>
      <c r="G29" s="124"/>
      <c r="H29" s="124"/>
      <c r="I29" s="124"/>
      <c r="J29" s="124"/>
      <c r="K29" s="124"/>
      <c r="L29" s="124"/>
      <c r="M29" s="124"/>
    </row>
    <row r="30" spans="2:15" hidden="1">
      <c r="B30" s="121">
        <v>1924</v>
      </c>
      <c r="D30" s="124"/>
      <c r="E30" s="124"/>
      <c r="F30" s="7"/>
      <c r="G30" s="124"/>
      <c r="H30" s="124"/>
      <c r="I30" s="124"/>
      <c r="J30" s="124"/>
      <c r="K30" s="124"/>
      <c r="L30" s="124"/>
      <c r="M30" s="124"/>
    </row>
    <row r="31" spans="2:15" hidden="1">
      <c r="B31" s="121">
        <v>1925</v>
      </c>
      <c r="D31" s="124"/>
      <c r="E31" s="124"/>
      <c r="F31" s="7"/>
      <c r="G31" s="124"/>
      <c r="H31" s="124"/>
      <c r="I31" s="124"/>
      <c r="J31" s="124"/>
      <c r="K31" s="124"/>
      <c r="L31" s="124"/>
      <c r="M31" s="124"/>
    </row>
    <row r="32" spans="2:15" hidden="1">
      <c r="B32" s="121">
        <v>1926</v>
      </c>
      <c r="D32" s="124"/>
      <c r="E32" s="124"/>
      <c r="F32" s="7"/>
      <c r="G32" s="124"/>
      <c r="H32" s="124"/>
      <c r="I32" s="124"/>
      <c r="J32" s="124"/>
      <c r="K32" s="124"/>
      <c r="L32" s="124"/>
      <c r="M32" s="124"/>
    </row>
    <row r="33" spans="2:16" ht="15" hidden="1">
      <c r="B33" s="121">
        <v>1927</v>
      </c>
      <c r="D33" s="124">
        <v>1927</v>
      </c>
      <c r="E33" s="124" t="s">
        <v>50</v>
      </c>
      <c r="F33" s="7" t="s">
        <v>18</v>
      </c>
      <c r="G33" s="5">
        <v>6000000</v>
      </c>
      <c r="H33" s="5"/>
      <c r="I33" s="5"/>
      <c r="J33" s="124"/>
      <c r="K33" s="124"/>
      <c r="L33" s="124"/>
      <c r="M33" s="124"/>
    </row>
    <row r="34" spans="2:16" ht="45" hidden="1">
      <c r="B34" s="10"/>
      <c r="C34" s="9"/>
      <c r="D34" s="8">
        <v>1927</v>
      </c>
      <c r="E34" s="8" t="s">
        <v>51</v>
      </c>
      <c r="F34" s="8" t="s">
        <v>13</v>
      </c>
      <c r="G34" s="11"/>
      <c r="H34" s="11"/>
      <c r="I34" s="11"/>
      <c r="J34" s="8"/>
      <c r="K34" s="8"/>
      <c r="L34" s="8"/>
      <c r="M34" s="8" t="s">
        <v>52</v>
      </c>
      <c r="N34" s="9"/>
      <c r="P34" s="1" t="s">
        <v>53</v>
      </c>
    </row>
    <row r="35" spans="2:16" ht="45" hidden="1">
      <c r="B35" s="121">
        <v>1928</v>
      </c>
      <c r="D35" s="124" t="s">
        <v>54</v>
      </c>
      <c r="E35" s="7" t="s">
        <v>55</v>
      </c>
      <c r="F35" s="124" t="s">
        <v>56</v>
      </c>
      <c r="G35" s="5">
        <v>300000</v>
      </c>
      <c r="H35" s="5"/>
      <c r="I35" s="5"/>
      <c r="J35" s="124"/>
      <c r="K35" s="124"/>
      <c r="L35" s="124"/>
      <c r="M35" s="124"/>
    </row>
    <row r="36" spans="2:16" ht="30" hidden="1">
      <c r="B36" s="121"/>
      <c r="D36" s="124" t="s">
        <v>57</v>
      </c>
      <c r="E36" s="124" t="s">
        <v>58</v>
      </c>
      <c r="F36" s="7" t="s">
        <v>18</v>
      </c>
      <c r="G36" s="5">
        <v>3000000</v>
      </c>
      <c r="H36" s="5"/>
      <c r="I36" s="5"/>
      <c r="J36" s="124"/>
      <c r="K36" s="124"/>
      <c r="L36" s="124"/>
      <c r="M36" s="124"/>
    </row>
    <row r="37" spans="2:16" ht="15" hidden="1">
      <c r="B37" s="121">
        <v>1929</v>
      </c>
      <c r="D37" s="124">
        <v>1929</v>
      </c>
      <c r="E37" s="124" t="s">
        <v>59</v>
      </c>
      <c r="F37" s="7" t="s">
        <v>18</v>
      </c>
      <c r="G37" s="5">
        <v>2000000</v>
      </c>
      <c r="H37" s="5"/>
      <c r="I37" s="5"/>
      <c r="J37" s="124"/>
      <c r="K37" s="124"/>
      <c r="L37" s="124"/>
      <c r="M37" s="124"/>
    </row>
    <row r="38" spans="2:16" hidden="1">
      <c r="B38" s="121">
        <v>1930</v>
      </c>
      <c r="D38" s="124"/>
      <c r="E38" s="124"/>
      <c r="F38" s="7"/>
      <c r="G38" s="5"/>
      <c r="H38" s="5"/>
      <c r="I38" s="5"/>
      <c r="J38" s="124"/>
      <c r="K38" s="124"/>
      <c r="L38" s="124"/>
      <c r="M38" s="124"/>
    </row>
    <row r="39" spans="2:16" hidden="1">
      <c r="B39" s="121">
        <v>1931</v>
      </c>
      <c r="D39" s="124"/>
      <c r="E39" s="124"/>
      <c r="F39" s="7"/>
      <c r="G39" s="5"/>
      <c r="H39" s="5"/>
      <c r="I39" s="5"/>
      <c r="J39" s="124"/>
      <c r="K39" s="124"/>
      <c r="L39" s="124"/>
      <c r="M39" s="124"/>
    </row>
    <row r="40" spans="2:16" ht="75" hidden="1">
      <c r="B40" s="121">
        <v>1932</v>
      </c>
      <c r="D40" s="124" t="s">
        <v>60</v>
      </c>
      <c r="E40" s="124" t="s">
        <v>61</v>
      </c>
      <c r="F40" s="7" t="s">
        <v>62</v>
      </c>
      <c r="G40" s="7" t="s">
        <v>63</v>
      </c>
      <c r="H40" s="7"/>
      <c r="I40" s="7"/>
      <c r="J40" s="124"/>
      <c r="K40" s="124"/>
      <c r="L40" s="124"/>
      <c r="M40" s="124"/>
    </row>
    <row r="41" spans="2:16" hidden="1">
      <c r="B41" s="121">
        <v>1933</v>
      </c>
      <c r="D41" s="124"/>
      <c r="E41" s="124"/>
      <c r="F41" s="7"/>
      <c r="G41" s="7"/>
      <c r="H41" s="7"/>
      <c r="I41" s="7"/>
      <c r="J41" s="124"/>
      <c r="K41" s="124"/>
      <c r="L41" s="124"/>
      <c r="M41" s="124"/>
    </row>
    <row r="42" spans="2:16" hidden="1">
      <c r="B42" s="121">
        <v>1934</v>
      </c>
      <c r="D42" s="124"/>
      <c r="E42" s="124"/>
      <c r="F42" s="7"/>
      <c r="G42" s="7"/>
      <c r="H42" s="7"/>
      <c r="I42" s="7"/>
      <c r="J42" s="124"/>
      <c r="K42" s="124"/>
      <c r="L42" s="124"/>
      <c r="M42" s="124"/>
    </row>
    <row r="43" spans="2:16" hidden="1">
      <c r="B43" s="121">
        <v>1935</v>
      </c>
      <c r="D43" s="124"/>
      <c r="E43" s="124"/>
      <c r="F43" s="7"/>
      <c r="G43" s="7"/>
      <c r="H43" s="7"/>
      <c r="I43" s="7"/>
      <c r="J43" s="124"/>
      <c r="K43" s="124"/>
      <c r="L43" s="124"/>
      <c r="M43" s="124"/>
    </row>
    <row r="44" spans="2:16" ht="15" hidden="1">
      <c r="B44" s="121">
        <v>1936</v>
      </c>
      <c r="D44" s="124">
        <v>1936</v>
      </c>
      <c r="E44" s="124"/>
      <c r="F44" s="7" t="s">
        <v>18</v>
      </c>
      <c r="G44" s="6">
        <v>5000000</v>
      </c>
      <c r="H44" s="6"/>
      <c r="I44" s="6"/>
      <c r="J44" s="8"/>
      <c r="K44" s="124"/>
      <c r="L44" s="124"/>
      <c r="M44" s="124"/>
    </row>
    <row r="45" spans="2:16" hidden="1">
      <c r="B45" s="121">
        <v>1937</v>
      </c>
      <c r="D45" s="124"/>
      <c r="E45" s="124"/>
      <c r="F45" s="7"/>
      <c r="G45" s="7"/>
      <c r="H45" s="7"/>
      <c r="I45" s="7"/>
      <c r="J45" s="8"/>
      <c r="K45" s="124"/>
      <c r="L45" s="124"/>
      <c r="M45" s="124"/>
    </row>
    <row r="46" spans="2:16" hidden="1">
      <c r="B46" s="121">
        <v>1938</v>
      </c>
      <c r="D46" s="124"/>
      <c r="E46" s="124"/>
      <c r="F46" s="7"/>
      <c r="G46" s="7"/>
      <c r="H46" s="7"/>
      <c r="I46" s="7"/>
      <c r="J46" s="8"/>
      <c r="K46" s="124"/>
      <c r="L46" s="124"/>
      <c r="M46" s="124"/>
    </row>
    <row r="47" spans="2:16" hidden="1">
      <c r="B47" s="121">
        <v>1939</v>
      </c>
      <c r="D47" s="124"/>
      <c r="E47" s="124"/>
      <c r="F47" s="7"/>
      <c r="G47" s="7"/>
      <c r="H47" s="7"/>
      <c r="I47" s="7"/>
      <c r="J47" s="8"/>
      <c r="K47" s="124"/>
      <c r="L47" s="124"/>
      <c r="M47" s="124"/>
    </row>
    <row r="48" spans="2:16" ht="30" hidden="1">
      <c r="B48" s="121">
        <v>1940</v>
      </c>
      <c r="D48" s="124" t="s">
        <v>64</v>
      </c>
      <c r="E48" s="7" t="s">
        <v>65</v>
      </c>
      <c r="F48" s="7" t="s">
        <v>66</v>
      </c>
      <c r="G48" s="5">
        <v>112000</v>
      </c>
      <c r="H48" s="5"/>
      <c r="I48" s="5"/>
      <c r="J48" s="124"/>
      <c r="K48" s="124"/>
      <c r="L48" s="124"/>
      <c r="M48" s="124"/>
    </row>
    <row r="49" spans="1:24" ht="15" hidden="1">
      <c r="B49" s="121">
        <v>1941</v>
      </c>
      <c r="D49" s="124" t="s">
        <v>67</v>
      </c>
      <c r="E49" s="124" t="s">
        <v>68</v>
      </c>
      <c r="F49" s="7" t="s">
        <v>30</v>
      </c>
      <c r="G49" s="5">
        <v>1000000</v>
      </c>
      <c r="H49" s="5"/>
      <c r="I49" s="5"/>
      <c r="J49" s="124"/>
      <c r="K49" s="124"/>
      <c r="L49" s="124"/>
      <c r="M49" s="124"/>
    </row>
    <row r="50" spans="1:24" ht="15" hidden="1">
      <c r="B50" s="121"/>
      <c r="D50" s="124" t="s">
        <v>69</v>
      </c>
      <c r="E50" s="124" t="s">
        <v>70</v>
      </c>
      <c r="F50" s="7" t="s">
        <v>71</v>
      </c>
      <c r="G50" s="5">
        <v>300000</v>
      </c>
      <c r="H50" s="5"/>
      <c r="I50" s="5"/>
      <c r="J50" s="124"/>
      <c r="K50" s="124"/>
      <c r="L50" s="124"/>
      <c r="M50" s="124"/>
    </row>
    <row r="51" spans="1:24" ht="30" hidden="1">
      <c r="A51" s="9"/>
      <c r="B51" s="121">
        <v>1942</v>
      </c>
      <c r="C51" s="9"/>
      <c r="D51" s="8" t="s">
        <v>72</v>
      </c>
      <c r="E51" s="8" t="s">
        <v>13</v>
      </c>
      <c r="F51" s="8" t="s">
        <v>13</v>
      </c>
      <c r="G51" s="11"/>
      <c r="H51" s="11"/>
      <c r="I51" s="11"/>
      <c r="J51" s="8"/>
      <c r="K51" s="8"/>
      <c r="L51" s="8" t="s">
        <v>73</v>
      </c>
      <c r="M51" s="8"/>
      <c r="N51" s="9"/>
      <c r="O51" s="9"/>
      <c r="P51" s="9"/>
      <c r="Q51" s="9"/>
      <c r="R51" s="9"/>
      <c r="S51" s="9"/>
      <c r="T51" s="9"/>
      <c r="U51" s="9"/>
      <c r="V51" s="9"/>
      <c r="W51" s="9"/>
      <c r="X51" s="9"/>
    </row>
    <row r="52" spans="1:24" ht="15" hidden="1">
      <c r="B52" s="121">
        <v>1943</v>
      </c>
      <c r="D52" s="124">
        <v>1943</v>
      </c>
      <c r="E52" s="124" t="s">
        <v>74</v>
      </c>
      <c r="F52" s="7" t="s">
        <v>18</v>
      </c>
      <c r="G52" s="5">
        <v>5000000</v>
      </c>
      <c r="H52" s="5"/>
      <c r="I52" s="5"/>
      <c r="J52" s="124"/>
      <c r="K52" s="124"/>
      <c r="L52" s="124"/>
      <c r="M52" s="124"/>
    </row>
    <row r="53" spans="1:24" ht="30" hidden="1">
      <c r="B53" s="121"/>
      <c r="D53" s="124">
        <v>1943</v>
      </c>
      <c r="E53" s="7" t="s">
        <v>75</v>
      </c>
      <c r="F53" s="7" t="s">
        <v>76</v>
      </c>
      <c r="G53" s="124" t="s">
        <v>77</v>
      </c>
      <c r="H53" s="124"/>
      <c r="I53" s="124"/>
      <c r="J53" s="124"/>
      <c r="K53" s="124"/>
      <c r="L53" s="124"/>
      <c r="M53" s="124"/>
    </row>
    <row r="54" spans="1:24" ht="45" hidden="1">
      <c r="B54" s="121"/>
      <c r="D54" s="124">
        <v>1943</v>
      </c>
      <c r="E54" s="7" t="s">
        <v>78</v>
      </c>
      <c r="F54" s="124" t="s">
        <v>56</v>
      </c>
      <c r="G54" s="5">
        <v>300000</v>
      </c>
      <c r="H54" s="5"/>
      <c r="I54" s="5"/>
      <c r="J54" s="124"/>
      <c r="K54" s="124"/>
      <c r="L54" s="124"/>
      <c r="M54" s="124"/>
    </row>
    <row r="55" spans="1:24" ht="15" hidden="1">
      <c r="B55" s="121">
        <v>1944</v>
      </c>
      <c r="D55" s="124">
        <v>1944</v>
      </c>
      <c r="E55" s="124" t="s">
        <v>79</v>
      </c>
      <c r="F55" s="7" t="s">
        <v>80</v>
      </c>
      <c r="G55" s="5">
        <v>20000</v>
      </c>
      <c r="H55" s="5"/>
      <c r="I55" s="5"/>
      <c r="J55" s="124"/>
      <c r="K55" s="124"/>
      <c r="L55" s="124"/>
      <c r="M55" s="124"/>
    </row>
    <row r="56" spans="1:24" ht="30" hidden="1">
      <c r="B56" s="121">
        <v>1945</v>
      </c>
      <c r="D56" s="124">
        <v>1945</v>
      </c>
      <c r="E56" s="7" t="s">
        <v>81</v>
      </c>
      <c r="F56" s="7" t="s">
        <v>82</v>
      </c>
      <c r="G56" s="124" t="s">
        <v>83</v>
      </c>
      <c r="H56" s="124"/>
      <c r="I56" s="124"/>
      <c r="J56" s="124"/>
      <c r="K56" s="124"/>
      <c r="L56" s="124"/>
      <c r="M56" s="124"/>
    </row>
    <row r="57" spans="1:24" hidden="1">
      <c r="B57" s="121">
        <v>1946</v>
      </c>
      <c r="D57" s="124"/>
      <c r="E57" s="7"/>
      <c r="F57" s="7"/>
      <c r="G57" s="124"/>
      <c r="H57" s="124"/>
      <c r="I57" s="124"/>
      <c r="J57" s="124"/>
      <c r="K57" s="124"/>
      <c r="L57" s="124"/>
      <c r="M57" s="124"/>
    </row>
    <row r="58" spans="1:24" ht="30" hidden="1">
      <c r="B58" s="121">
        <v>1947</v>
      </c>
      <c r="D58" s="124">
        <v>1947</v>
      </c>
      <c r="E58" s="7" t="s">
        <v>84</v>
      </c>
      <c r="F58" s="7" t="s">
        <v>85</v>
      </c>
      <c r="G58" s="124" t="s">
        <v>86</v>
      </c>
      <c r="H58" s="124"/>
      <c r="I58" s="124"/>
      <c r="J58" s="124"/>
      <c r="K58" s="124"/>
      <c r="L58" s="124"/>
      <c r="M58" s="124"/>
    </row>
    <row r="59" spans="1:24" hidden="1">
      <c r="B59" s="121">
        <v>1948</v>
      </c>
      <c r="D59" s="124"/>
      <c r="E59" s="7"/>
      <c r="F59" s="7"/>
      <c r="G59" s="124"/>
      <c r="H59" s="124"/>
      <c r="I59" s="124"/>
      <c r="J59" s="124"/>
      <c r="K59" s="124"/>
      <c r="L59" s="124"/>
      <c r="M59" s="124"/>
    </row>
    <row r="60" spans="1:24" hidden="1">
      <c r="B60" s="121">
        <v>1949</v>
      </c>
      <c r="D60" s="124"/>
      <c r="E60" s="7"/>
      <c r="F60" s="7"/>
      <c r="G60" s="124"/>
      <c r="H60" s="124"/>
      <c r="I60" s="124"/>
      <c r="J60" s="124"/>
      <c r="K60" s="124"/>
      <c r="L60" s="124"/>
      <c r="M60" s="124"/>
    </row>
    <row r="61" spans="1:24" hidden="1">
      <c r="B61" s="121">
        <v>1950</v>
      </c>
      <c r="D61" s="124"/>
      <c r="E61" s="7"/>
      <c r="F61" s="7"/>
      <c r="G61" s="124"/>
      <c r="H61" s="124"/>
      <c r="I61" s="124"/>
      <c r="J61" s="124"/>
      <c r="K61" s="124"/>
      <c r="L61" s="124"/>
      <c r="M61" s="124"/>
    </row>
    <row r="62" spans="1:24" hidden="1">
      <c r="B62" s="121">
        <v>1951</v>
      </c>
      <c r="D62" s="124"/>
      <c r="E62" s="7"/>
      <c r="F62" s="7"/>
      <c r="G62" s="124"/>
      <c r="H62" s="124"/>
      <c r="I62" s="124"/>
      <c r="J62" s="124"/>
      <c r="K62" s="124"/>
      <c r="L62" s="124"/>
      <c r="M62" s="124"/>
    </row>
    <row r="63" spans="1:24" hidden="1">
      <c r="B63" s="121">
        <v>1952</v>
      </c>
      <c r="D63" s="124"/>
      <c r="E63" s="7"/>
      <c r="F63" s="7"/>
      <c r="G63" s="124"/>
      <c r="H63" s="124"/>
      <c r="I63" s="124"/>
      <c r="J63" s="124"/>
      <c r="K63" s="124"/>
      <c r="L63" s="124"/>
      <c r="M63" s="124"/>
    </row>
    <row r="64" spans="1:24" hidden="1">
      <c r="B64" s="121">
        <v>1953</v>
      </c>
      <c r="D64" s="124"/>
      <c r="E64" s="7"/>
      <c r="F64" s="7"/>
      <c r="G64" s="124"/>
      <c r="H64" s="124"/>
      <c r="I64" s="124"/>
      <c r="J64" s="124"/>
      <c r="K64" s="124"/>
      <c r="L64" s="124"/>
      <c r="M64" s="124"/>
    </row>
    <row r="65" spans="2:19" hidden="1">
      <c r="B65" s="121">
        <v>1954</v>
      </c>
      <c r="D65" s="124"/>
      <c r="E65" s="7"/>
      <c r="F65" s="7"/>
      <c r="G65" s="124"/>
      <c r="H65" s="124"/>
      <c r="I65" s="124"/>
      <c r="J65" s="124"/>
      <c r="K65" s="124"/>
      <c r="L65" s="124"/>
      <c r="M65" s="124"/>
    </row>
    <row r="66" spans="2:19" hidden="1">
      <c r="B66" s="121">
        <v>1955</v>
      </c>
      <c r="D66" s="124"/>
      <c r="E66" s="7"/>
      <c r="F66" s="7"/>
      <c r="G66" s="124"/>
      <c r="H66" s="124"/>
      <c r="I66" s="124"/>
      <c r="J66" s="124"/>
      <c r="K66" s="124"/>
      <c r="L66" s="124"/>
      <c r="M66" s="124"/>
    </row>
    <row r="67" spans="2:19" hidden="1">
      <c r="B67" s="121">
        <v>1956</v>
      </c>
      <c r="D67" s="124"/>
      <c r="E67" s="7"/>
      <c r="F67" s="7"/>
      <c r="G67" s="124"/>
      <c r="H67" s="124"/>
      <c r="I67" s="124"/>
      <c r="J67" s="124"/>
      <c r="K67" s="124"/>
      <c r="L67" s="124"/>
      <c r="M67" s="124"/>
    </row>
    <row r="68" spans="2:19" hidden="1">
      <c r="B68" s="121">
        <v>1957</v>
      </c>
      <c r="D68" s="124"/>
      <c r="E68" s="7"/>
      <c r="F68" s="7"/>
      <c r="G68" s="124"/>
      <c r="H68" s="124"/>
      <c r="I68" s="124"/>
      <c r="J68" s="124"/>
      <c r="K68" s="124"/>
      <c r="L68" s="124"/>
      <c r="M68" s="124"/>
    </row>
    <row r="69" spans="2:19" ht="30" hidden="1">
      <c r="B69" s="121">
        <v>1958</v>
      </c>
      <c r="D69" s="124">
        <v>1958</v>
      </c>
      <c r="E69" s="7" t="s">
        <v>87</v>
      </c>
      <c r="F69" s="7" t="s">
        <v>88</v>
      </c>
      <c r="G69" s="5" t="s">
        <v>89</v>
      </c>
      <c r="H69" s="5"/>
      <c r="I69" s="5"/>
      <c r="J69" s="124"/>
      <c r="K69" s="124"/>
      <c r="L69" s="124"/>
      <c r="M69" s="124"/>
    </row>
    <row r="70" spans="2:19" ht="30" hidden="1">
      <c r="B70" s="121">
        <v>1959</v>
      </c>
      <c r="D70" s="124" t="s">
        <v>90</v>
      </c>
      <c r="E70" s="7" t="s">
        <v>91</v>
      </c>
      <c r="F70" s="7" t="s">
        <v>18</v>
      </c>
      <c r="G70" s="7" t="s">
        <v>92</v>
      </c>
      <c r="H70" s="7"/>
      <c r="I70" s="7"/>
      <c r="J70" s="124"/>
      <c r="K70" s="124"/>
      <c r="L70" s="124"/>
      <c r="M70" s="124"/>
    </row>
    <row r="71" spans="2:19" ht="15" hidden="1">
      <c r="B71" s="121">
        <v>1960</v>
      </c>
      <c r="D71" s="124"/>
      <c r="E71" s="8" t="s">
        <v>93</v>
      </c>
      <c r="F71" s="7"/>
      <c r="G71" s="7"/>
      <c r="H71" s="7"/>
      <c r="I71" s="7"/>
      <c r="J71" s="124"/>
      <c r="K71" s="124"/>
      <c r="L71" s="124"/>
      <c r="M71" s="124"/>
    </row>
    <row r="72" spans="2:19" ht="30">
      <c r="B72" s="12">
        <v>1966</v>
      </c>
      <c r="D72" s="140">
        <v>1966</v>
      </c>
      <c r="E72" s="146" t="s">
        <v>94</v>
      </c>
      <c r="F72" s="146" t="s">
        <v>88</v>
      </c>
      <c r="G72" s="146" t="s">
        <v>95</v>
      </c>
      <c r="H72" s="146">
        <f>(45000+60000)/2</f>
        <v>52500</v>
      </c>
      <c r="I72" s="143">
        <f>H72/O72*100</f>
        <v>0.20474911077461191</v>
      </c>
      <c r="J72" s="124"/>
      <c r="K72" s="140"/>
      <c r="L72" s="140"/>
      <c r="M72" s="140" t="s">
        <v>96</v>
      </c>
      <c r="N72" s="149" t="s">
        <v>97</v>
      </c>
      <c r="O72" s="149">
        <v>25641137</v>
      </c>
      <c r="P72" s="22" t="s">
        <v>98</v>
      </c>
      <c r="Q72" s="24"/>
    </row>
    <row r="73" spans="2:19" ht="15">
      <c r="B73" s="12"/>
      <c r="D73" s="141"/>
      <c r="E73" s="147"/>
      <c r="F73" s="147"/>
      <c r="G73" s="147"/>
      <c r="H73" s="147"/>
      <c r="I73" s="144"/>
      <c r="J73" s="124"/>
      <c r="K73" s="141"/>
      <c r="L73" s="141"/>
      <c r="M73" s="141"/>
      <c r="N73" s="149"/>
      <c r="O73" s="149"/>
      <c r="P73" s="22" t="s">
        <v>99</v>
      </c>
      <c r="Q73" s="24"/>
    </row>
    <row r="74" spans="2:19">
      <c r="B74" s="12"/>
      <c r="D74" s="142"/>
      <c r="E74" s="148"/>
      <c r="F74" s="148"/>
      <c r="G74" s="148"/>
      <c r="H74" s="148"/>
      <c r="I74" s="145"/>
      <c r="J74" s="124"/>
      <c r="K74" s="142"/>
      <c r="L74" s="142"/>
      <c r="M74" s="142"/>
      <c r="N74" s="149"/>
      <c r="O74" s="149"/>
      <c r="P74" s="22"/>
      <c r="Q74" s="24"/>
    </row>
    <row r="75" spans="2:19" ht="14.5" customHeight="1">
      <c r="B75" s="12">
        <v>1967</v>
      </c>
      <c r="D75" s="140" t="s">
        <v>100</v>
      </c>
      <c r="E75" s="146" t="s">
        <v>101</v>
      </c>
      <c r="F75" s="146" t="s">
        <v>13</v>
      </c>
      <c r="G75" s="146">
        <v>1000000</v>
      </c>
      <c r="H75" s="146">
        <v>1000000</v>
      </c>
      <c r="I75" s="143">
        <f>H75/O75*100</f>
        <v>1.9059020335097983</v>
      </c>
      <c r="J75" s="124"/>
      <c r="K75" s="140" t="s">
        <v>102</v>
      </c>
      <c r="L75" s="140" t="s">
        <v>103</v>
      </c>
      <c r="M75" s="140" t="s">
        <v>104</v>
      </c>
      <c r="N75" s="149" t="s">
        <v>105</v>
      </c>
      <c r="O75" s="149">
        <v>52468594</v>
      </c>
      <c r="P75" s="22" t="s">
        <v>106</v>
      </c>
    </row>
    <row r="76" spans="2:19" ht="15">
      <c r="B76" s="12"/>
      <c r="D76" s="141"/>
      <c r="E76" s="147"/>
      <c r="F76" s="147"/>
      <c r="G76" s="147"/>
      <c r="H76" s="147"/>
      <c r="I76" s="144"/>
      <c r="J76" s="124"/>
      <c r="K76" s="141"/>
      <c r="L76" s="141"/>
      <c r="M76" s="141"/>
      <c r="N76" s="149"/>
      <c r="O76" s="149"/>
      <c r="P76" s="22" t="s">
        <v>99</v>
      </c>
      <c r="S76" s="23"/>
    </row>
    <row r="77" spans="2:19" ht="15">
      <c r="B77" s="12"/>
      <c r="D77" s="141"/>
      <c r="E77" s="147"/>
      <c r="F77" s="147"/>
      <c r="G77" s="147"/>
      <c r="H77" s="147"/>
      <c r="I77" s="144"/>
      <c r="J77" s="124"/>
      <c r="K77" s="141"/>
      <c r="L77" s="141"/>
      <c r="M77" s="141"/>
      <c r="N77" s="149"/>
      <c r="O77" s="149"/>
      <c r="P77" s="22" t="s">
        <v>107</v>
      </c>
      <c r="S77" s="23"/>
    </row>
    <row r="78" spans="2:19" ht="30">
      <c r="B78" s="12"/>
      <c r="D78" s="142"/>
      <c r="E78" s="148"/>
      <c r="F78" s="148"/>
      <c r="G78" s="148"/>
      <c r="H78" s="148"/>
      <c r="I78" s="145"/>
      <c r="J78" s="124"/>
      <c r="K78" s="142"/>
      <c r="L78" s="142"/>
      <c r="M78" s="142"/>
      <c r="N78" s="149"/>
      <c r="O78" s="149"/>
      <c r="P78" s="23" t="s">
        <v>108</v>
      </c>
      <c r="S78" s="23"/>
    </row>
    <row r="79" spans="2:19" ht="14.5" customHeight="1">
      <c r="B79" s="12">
        <v>1968</v>
      </c>
      <c r="D79" s="140" t="s">
        <v>109</v>
      </c>
      <c r="E79" s="146" t="s">
        <v>110</v>
      </c>
      <c r="F79" s="146" t="s">
        <v>111</v>
      </c>
      <c r="G79" s="146">
        <v>101000</v>
      </c>
      <c r="H79" s="146">
        <v>101000</v>
      </c>
      <c r="I79" s="143">
        <f>H79/O79*100</f>
        <v>0.51120699869713082</v>
      </c>
      <c r="J79" s="124"/>
      <c r="K79" s="140" t="s">
        <v>112</v>
      </c>
      <c r="L79" s="140" t="s">
        <v>113</v>
      </c>
      <c r="M79" s="140" t="s">
        <v>114</v>
      </c>
      <c r="N79" s="149" t="s">
        <v>111</v>
      </c>
      <c r="O79" s="149">
        <f>1083646+5565670+3500777+4173030+5434040</f>
        <v>19757163</v>
      </c>
      <c r="P79" s="22" t="s">
        <v>106</v>
      </c>
    </row>
    <row r="80" spans="2:19" ht="15">
      <c r="B80" s="12"/>
      <c r="D80" s="141"/>
      <c r="E80" s="147"/>
      <c r="F80" s="147"/>
      <c r="G80" s="147"/>
      <c r="H80" s="147"/>
      <c r="I80" s="144"/>
      <c r="J80" s="124"/>
      <c r="K80" s="141"/>
      <c r="L80" s="141"/>
      <c r="M80" s="141"/>
      <c r="N80" s="149"/>
      <c r="O80" s="149"/>
      <c r="P80" s="22" t="s">
        <v>99</v>
      </c>
      <c r="S80" s="23"/>
    </row>
    <row r="81" spans="2:19" ht="45">
      <c r="B81" s="12"/>
      <c r="D81" s="141"/>
      <c r="E81" s="147"/>
      <c r="F81" s="147"/>
      <c r="G81" s="147"/>
      <c r="H81" s="147"/>
      <c r="I81" s="144"/>
      <c r="J81" s="124"/>
      <c r="K81" s="141"/>
      <c r="L81" s="141"/>
      <c r="M81" s="141"/>
      <c r="N81" s="149"/>
      <c r="O81" s="149"/>
      <c r="P81" s="22" t="s">
        <v>115</v>
      </c>
      <c r="S81" s="23"/>
    </row>
    <row r="82" spans="2:19" ht="30">
      <c r="B82" s="12"/>
      <c r="D82" s="142"/>
      <c r="E82" s="148"/>
      <c r="F82" s="148"/>
      <c r="G82" s="148"/>
      <c r="H82" s="148"/>
      <c r="I82" s="145"/>
      <c r="J82" s="124"/>
      <c r="K82" s="142"/>
      <c r="L82" s="142"/>
      <c r="M82" s="142"/>
      <c r="N82" s="149"/>
      <c r="O82" s="149"/>
      <c r="P82" s="23" t="s">
        <v>116</v>
      </c>
      <c r="S82" s="23"/>
    </row>
    <row r="83" spans="2:19" ht="15">
      <c r="B83" s="12">
        <v>1972</v>
      </c>
      <c r="D83" s="140">
        <v>1972</v>
      </c>
      <c r="E83" s="146" t="s">
        <v>117</v>
      </c>
      <c r="F83" s="146" t="s">
        <v>118</v>
      </c>
      <c r="G83" s="146">
        <v>100000</v>
      </c>
      <c r="H83" s="146">
        <v>100000</v>
      </c>
      <c r="I83" s="143">
        <f>H83/O83*100</f>
        <v>1.7217667228095195E-2</v>
      </c>
      <c r="J83" s="124"/>
      <c r="K83" s="140"/>
      <c r="L83" s="140" t="s">
        <v>119</v>
      </c>
      <c r="M83" s="140" t="s">
        <v>120</v>
      </c>
      <c r="N83" s="149" t="s">
        <v>121</v>
      </c>
      <c r="O83" s="149">
        <v>580798773</v>
      </c>
      <c r="P83" s="22" t="s">
        <v>99</v>
      </c>
      <c r="Q83" s="24"/>
    </row>
    <row r="84" spans="2:19" ht="45">
      <c r="B84" s="12"/>
      <c r="D84" s="141"/>
      <c r="E84" s="147"/>
      <c r="F84" s="147"/>
      <c r="G84" s="147"/>
      <c r="H84" s="147"/>
      <c r="I84" s="144"/>
      <c r="J84" s="124"/>
      <c r="K84" s="141"/>
      <c r="L84" s="141"/>
      <c r="M84" s="141"/>
      <c r="N84" s="149"/>
      <c r="O84" s="149"/>
      <c r="P84" s="22" t="s">
        <v>122</v>
      </c>
      <c r="Q84" s="24"/>
    </row>
    <row r="85" spans="2:19">
      <c r="B85" s="12"/>
      <c r="D85" s="142"/>
      <c r="E85" s="148"/>
      <c r="F85" s="148"/>
      <c r="G85" s="148"/>
      <c r="H85" s="148"/>
      <c r="I85" s="145"/>
      <c r="J85" s="124"/>
      <c r="K85" s="142"/>
      <c r="L85" s="142"/>
      <c r="M85" s="142"/>
      <c r="N85" s="149"/>
      <c r="O85" s="149"/>
      <c r="P85" s="22"/>
      <c r="Q85" s="24"/>
    </row>
    <row r="86" spans="2:19" ht="15">
      <c r="B86" s="12"/>
      <c r="D86" s="140" t="s">
        <v>123</v>
      </c>
      <c r="E86" s="146" t="s">
        <v>124</v>
      </c>
      <c r="F86" s="146" t="s">
        <v>88</v>
      </c>
      <c r="G86" s="146" t="s">
        <v>125</v>
      </c>
      <c r="H86" s="146">
        <f>(200000+500000)/2</f>
        <v>350000</v>
      </c>
      <c r="I86" s="143">
        <f>H86/O86*100</f>
        <v>1.1614197207940353</v>
      </c>
      <c r="J86" s="124"/>
      <c r="K86" s="140" t="s">
        <v>126</v>
      </c>
      <c r="L86" s="140" t="s">
        <v>127</v>
      </c>
      <c r="M86" s="140" t="s">
        <v>128</v>
      </c>
      <c r="N86" s="149" t="s">
        <v>129</v>
      </c>
      <c r="O86" s="149">
        <v>30135531</v>
      </c>
      <c r="P86" s="22" t="s">
        <v>106</v>
      </c>
      <c r="Q86" s="24"/>
    </row>
    <row r="87" spans="2:19" ht="15">
      <c r="B87" s="12"/>
      <c r="D87" s="141"/>
      <c r="E87" s="147"/>
      <c r="F87" s="147"/>
      <c r="G87" s="147"/>
      <c r="H87" s="147"/>
      <c r="I87" s="144"/>
      <c r="J87" s="124"/>
      <c r="K87" s="141"/>
      <c r="L87" s="141"/>
      <c r="M87" s="141"/>
      <c r="N87" s="149"/>
      <c r="O87" s="149"/>
      <c r="P87" s="22" t="s">
        <v>99</v>
      </c>
      <c r="Q87" s="24"/>
    </row>
    <row r="88" spans="2:19" ht="30">
      <c r="B88" s="12"/>
      <c r="D88" s="142"/>
      <c r="E88" s="148"/>
      <c r="F88" s="148"/>
      <c r="G88" s="148"/>
      <c r="H88" s="148"/>
      <c r="I88" s="145"/>
      <c r="J88" s="124"/>
      <c r="K88" s="142"/>
      <c r="L88" s="142"/>
      <c r="M88" s="142"/>
      <c r="N88" s="149"/>
      <c r="O88" s="149"/>
      <c r="P88" s="22" t="s">
        <v>98</v>
      </c>
      <c r="Q88" s="24"/>
    </row>
    <row r="89" spans="2:19" ht="15">
      <c r="B89" s="12">
        <v>1974</v>
      </c>
      <c r="D89" s="140" t="s">
        <v>130</v>
      </c>
      <c r="E89" s="146" t="s">
        <v>131</v>
      </c>
      <c r="F89" s="146" t="s">
        <v>131</v>
      </c>
      <c r="G89" s="146">
        <v>20000</v>
      </c>
      <c r="H89" s="146">
        <v>20000</v>
      </c>
      <c r="I89" s="143">
        <f>H89/O89*100</f>
        <v>0.54876128116003753</v>
      </c>
      <c r="J89" s="124"/>
      <c r="K89" s="140" t="s">
        <v>132</v>
      </c>
      <c r="L89" s="140" t="s">
        <v>133</v>
      </c>
      <c r="M89" s="140" t="s">
        <v>134</v>
      </c>
      <c r="N89" s="149" t="s">
        <v>135</v>
      </c>
      <c r="O89" s="149">
        <v>3644572</v>
      </c>
      <c r="P89" s="22" t="s">
        <v>99</v>
      </c>
      <c r="Q89" s="24"/>
    </row>
    <row r="90" spans="2:19" ht="60">
      <c r="B90" s="12"/>
      <c r="D90" s="141"/>
      <c r="E90" s="147"/>
      <c r="F90" s="147"/>
      <c r="G90" s="147"/>
      <c r="H90" s="147"/>
      <c r="I90" s="144"/>
      <c r="J90" s="124"/>
      <c r="K90" s="141"/>
      <c r="L90" s="141"/>
      <c r="M90" s="141"/>
      <c r="N90" s="149"/>
      <c r="O90" s="149"/>
      <c r="P90" s="22" t="s">
        <v>136</v>
      </c>
      <c r="Q90" s="24"/>
    </row>
    <row r="91" spans="2:19">
      <c r="B91" s="12"/>
      <c r="D91" s="142"/>
      <c r="E91" s="148"/>
      <c r="F91" s="148"/>
      <c r="G91" s="148"/>
      <c r="H91" s="148"/>
      <c r="I91" s="145"/>
      <c r="J91" s="124"/>
      <c r="K91" s="142"/>
      <c r="L91" s="142"/>
      <c r="M91" s="142"/>
      <c r="N91" s="149"/>
      <c r="O91" s="149"/>
      <c r="P91" s="22"/>
      <c r="Q91" s="24"/>
    </row>
    <row r="92" spans="2:19" ht="15">
      <c r="B92" s="12"/>
      <c r="D92" s="140">
        <v>1974</v>
      </c>
      <c r="E92" s="146" t="s">
        <v>137</v>
      </c>
      <c r="F92" s="146" t="s">
        <v>138</v>
      </c>
      <c r="G92" s="146">
        <v>1500000</v>
      </c>
      <c r="H92" s="146">
        <v>1500000</v>
      </c>
      <c r="I92" s="143">
        <f>H92/O92*100</f>
        <v>2.116157254241382</v>
      </c>
      <c r="J92" s="124"/>
      <c r="K92" s="140" t="s">
        <v>139</v>
      </c>
      <c r="L92" s="140" t="s">
        <v>140</v>
      </c>
      <c r="M92" s="140" t="s">
        <v>141</v>
      </c>
      <c r="N92" s="141" t="s">
        <v>142</v>
      </c>
      <c r="O92" s="141">
        <v>70883201</v>
      </c>
      <c r="P92" s="22" t="s">
        <v>99</v>
      </c>
      <c r="Q92" s="24"/>
    </row>
    <row r="93" spans="2:19" ht="30">
      <c r="B93" s="12"/>
      <c r="D93" s="141"/>
      <c r="E93" s="147"/>
      <c r="F93" s="147"/>
      <c r="G93" s="147"/>
      <c r="H93" s="147"/>
      <c r="I93" s="144"/>
      <c r="J93" s="124"/>
      <c r="K93" s="141"/>
      <c r="L93" s="141"/>
      <c r="M93" s="141"/>
      <c r="N93" s="141"/>
      <c r="O93" s="141"/>
      <c r="P93" s="22" t="s">
        <v>143</v>
      </c>
      <c r="Q93" s="24"/>
    </row>
    <row r="94" spans="2:19" ht="60">
      <c r="B94" s="12"/>
      <c r="D94" s="142"/>
      <c r="E94" s="148"/>
      <c r="F94" s="148"/>
      <c r="G94" s="148"/>
      <c r="H94" s="148"/>
      <c r="I94" s="145"/>
      <c r="J94" s="124"/>
      <c r="K94" s="142"/>
      <c r="L94" s="142"/>
      <c r="M94" s="142"/>
      <c r="N94" s="141"/>
      <c r="O94" s="141"/>
      <c r="P94" s="22" t="s">
        <v>144</v>
      </c>
      <c r="Q94" s="24"/>
    </row>
    <row r="95" spans="2:19" ht="15">
      <c r="B95" s="12">
        <v>1975</v>
      </c>
      <c r="D95" s="140" t="s">
        <v>145</v>
      </c>
      <c r="E95" s="146" t="s">
        <v>146</v>
      </c>
      <c r="F95" s="146" t="s">
        <v>147</v>
      </c>
      <c r="G95" s="146" t="s">
        <v>148</v>
      </c>
      <c r="H95" s="146">
        <f>(1500000+2000000)/2</f>
        <v>1750000</v>
      </c>
      <c r="I95" s="143">
        <f>H95/O95*100</f>
        <v>23.125774878642542</v>
      </c>
      <c r="J95" s="124"/>
      <c r="K95" s="140" t="s">
        <v>149</v>
      </c>
      <c r="L95" s="140" t="s">
        <v>150</v>
      </c>
      <c r="M95" s="140" t="s">
        <v>151</v>
      </c>
      <c r="N95" s="141"/>
      <c r="O95" s="141">
        <v>7567314</v>
      </c>
      <c r="P95" s="22" t="s">
        <v>99</v>
      </c>
      <c r="Q95" s="24"/>
    </row>
    <row r="96" spans="2:19" ht="30">
      <c r="B96" s="12"/>
      <c r="D96" s="141"/>
      <c r="E96" s="147"/>
      <c r="F96" s="147"/>
      <c r="G96" s="147"/>
      <c r="H96" s="147"/>
      <c r="I96" s="144"/>
      <c r="J96" s="124"/>
      <c r="K96" s="141"/>
      <c r="L96" s="141"/>
      <c r="M96" s="141"/>
      <c r="N96" s="141"/>
      <c r="O96" s="141"/>
      <c r="P96" s="22" t="s">
        <v>152</v>
      </c>
      <c r="Q96" s="24"/>
    </row>
    <row r="97" spans="2:17">
      <c r="B97" s="12"/>
      <c r="D97" s="142"/>
      <c r="E97" s="148"/>
      <c r="F97" s="148"/>
      <c r="G97" s="148"/>
      <c r="H97" s="148"/>
      <c r="I97" s="145"/>
      <c r="J97" s="124"/>
      <c r="K97" s="142"/>
      <c r="L97" s="142"/>
      <c r="M97" s="142"/>
      <c r="N97" s="141"/>
      <c r="O97" s="141"/>
      <c r="P97" s="22"/>
      <c r="Q97" s="24"/>
    </row>
    <row r="98" spans="2:17" ht="14.5" customHeight="1">
      <c r="B98" s="12">
        <v>1980</v>
      </c>
      <c r="D98" s="140" t="s">
        <v>153</v>
      </c>
      <c r="E98" s="146" t="s">
        <v>154</v>
      </c>
      <c r="F98" s="146" t="s">
        <v>155</v>
      </c>
      <c r="G98" s="146" t="s">
        <v>156</v>
      </c>
      <c r="H98" s="146">
        <f>(30000+50000)/2</f>
        <v>40000</v>
      </c>
      <c r="I98" s="143">
        <f>H98/O98*100</f>
        <v>0.31873071230975464</v>
      </c>
      <c r="J98" s="124"/>
      <c r="K98" s="140" t="s">
        <v>157</v>
      </c>
      <c r="L98" s="140" t="s">
        <v>158</v>
      </c>
      <c r="M98" s="140" t="s">
        <v>159</v>
      </c>
      <c r="N98" s="141" t="s">
        <v>160</v>
      </c>
      <c r="O98" s="141">
        <v>12549779</v>
      </c>
      <c r="P98" s="22" t="s">
        <v>161</v>
      </c>
      <c r="Q98" s="24"/>
    </row>
    <row r="99" spans="2:17" ht="15">
      <c r="B99" s="12"/>
      <c r="D99" s="141"/>
      <c r="E99" s="147"/>
      <c r="F99" s="147"/>
      <c r="G99" s="147"/>
      <c r="H99" s="147"/>
      <c r="I99" s="144"/>
      <c r="J99" s="124"/>
      <c r="K99" s="141"/>
      <c r="L99" s="141"/>
      <c r="M99" s="141"/>
      <c r="N99" s="141"/>
      <c r="O99" s="141"/>
      <c r="P99" s="22" t="s">
        <v>99</v>
      </c>
      <c r="Q99" s="24"/>
    </row>
    <row r="100" spans="2:17" ht="30">
      <c r="B100" s="12"/>
      <c r="D100" s="142"/>
      <c r="E100" s="148"/>
      <c r="F100" s="148"/>
      <c r="G100" s="148"/>
      <c r="H100" s="148"/>
      <c r="I100" s="145"/>
      <c r="J100" s="124"/>
      <c r="K100" s="142"/>
      <c r="L100" s="142"/>
      <c r="M100" s="142"/>
      <c r="N100" s="141"/>
      <c r="O100" s="141"/>
      <c r="P100" s="22" t="s">
        <v>162</v>
      </c>
      <c r="Q100" s="24"/>
    </row>
    <row r="101" spans="2:17" ht="15">
      <c r="B101" s="12">
        <v>1982</v>
      </c>
      <c r="D101" s="140" t="s">
        <v>163</v>
      </c>
      <c r="E101" s="146" t="s">
        <v>48</v>
      </c>
      <c r="F101" s="146" t="s">
        <v>48</v>
      </c>
      <c r="G101" s="146">
        <v>100000</v>
      </c>
      <c r="H101" s="146">
        <v>100000</v>
      </c>
      <c r="I101" s="143">
        <f>H101/O101*100</f>
        <v>0.78559168290942938</v>
      </c>
      <c r="J101" s="124"/>
      <c r="K101" s="140" t="s">
        <v>164</v>
      </c>
      <c r="L101" s="140" t="s">
        <v>165</v>
      </c>
      <c r="M101" s="140" t="s">
        <v>166</v>
      </c>
      <c r="N101" s="141"/>
      <c r="O101" s="141">
        <v>12729259</v>
      </c>
      <c r="P101" s="22" t="s">
        <v>99</v>
      </c>
      <c r="Q101" s="24"/>
    </row>
    <row r="102" spans="2:17" ht="30">
      <c r="B102" s="12"/>
      <c r="D102" s="141"/>
      <c r="E102" s="147"/>
      <c r="F102" s="147"/>
      <c r="G102" s="147"/>
      <c r="H102" s="147"/>
      <c r="I102" s="144"/>
      <c r="J102" s="124"/>
      <c r="K102" s="141"/>
      <c r="L102" s="141"/>
      <c r="M102" s="141"/>
      <c r="N102" s="141"/>
      <c r="O102" s="141"/>
      <c r="P102" s="22" t="s">
        <v>167</v>
      </c>
      <c r="Q102" s="24"/>
    </row>
    <row r="103" spans="2:17">
      <c r="B103" s="12"/>
      <c r="D103" s="142"/>
      <c r="E103" s="148"/>
      <c r="F103" s="148"/>
      <c r="G103" s="148"/>
      <c r="H103" s="148"/>
      <c r="I103" s="145"/>
      <c r="J103" s="124"/>
      <c r="K103" s="142"/>
      <c r="L103" s="142"/>
      <c r="M103" s="142"/>
      <c r="N103" s="141"/>
      <c r="O103" s="141"/>
      <c r="P103" s="22"/>
      <c r="Q103" s="24"/>
    </row>
    <row r="104" spans="2:17" ht="15">
      <c r="B104" s="12">
        <v>1984</v>
      </c>
      <c r="D104" s="140" t="s">
        <v>168</v>
      </c>
      <c r="E104" s="146" t="s">
        <v>169</v>
      </c>
      <c r="F104" s="146" t="s">
        <v>170</v>
      </c>
      <c r="G104" s="146">
        <v>250000</v>
      </c>
      <c r="H104" s="146">
        <v>250000</v>
      </c>
      <c r="I104" s="143">
        <f>H104/O104*100</f>
        <v>1.5099073780536896</v>
      </c>
      <c r="J104" s="124"/>
      <c r="K104" s="140" t="s">
        <v>171</v>
      </c>
      <c r="L104" s="140" t="s">
        <v>172</v>
      </c>
      <c r="M104" s="140" t="s">
        <v>173</v>
      </c>
      <c r="N104" s="141" t="s">
        <v>174</v>
      </c>
      <c r="O104" s="141">
        <v>16557307</v>
      </c>
      <c r="P104" s="22" t="s">
        <v>99</v>
      </c>
      <c r="Q104" s="24"/>
    </row>
    <row r="105" spans="2:17" ht="45">
      <c r="B105" s="12"/>
      <c r="D105" s="141"/>
      <c r="E105" s="147"/>
      <c r="F105" s="147"/>
      <c r="G105" s="147"/>
      <c r="H105" s="147"/>
      <c r="I105" s="144"/>
      <c r="J105" s="124"/>
      <c r="K105" s="141"/>
      <c r="L105" s="141"/>
      <c r="M105" s="141"/>
      <c r="N105" s="141"/>
      <c r="O105" s="141"/>
      <c r="P105" s="22" t="s">
        <v>175</v>
      </c>
      <c r="Q105" s="24"/>
    </row>
    <row r="106" spans="2:17">
      <c r="B106" s="12"/>
      <c r="D106" s="142"/>
      <c r="E106" s="148"/>
      <c r="F106" s="148"/>
      <c r="G106" s="148"/>
      <c r="H106" s="148"/>
      <c r="I106" s="145"/>
      <c r="J106" s="124"/>
      <c r="K106" s="142"/>
      <c r="L106" s="142"/>
      <c r="M106" s="142"/>
      <c r="N106" s="141"/>
      <c r="O106" s="141"/>
      <c r="P106" s="22"/>
      <c r="Q106" s="24"/>
    </row>
    <row r="107" spans="2:17" ht="15">
      <c r="B107" s="12"/>
      <c r="D107" s="140" t="s">
        <v>168</v>
      </c>
      <c r="E107" s="146" t="s">
        <v>176</v>
      </c>
      <c r="F107" s="146" t="s">
        <v>88</v>
      </c>
      <c r="G107" s="146">
        <v>1000000</v>
      </c>
      <c r="H107" s="146">
        <v>1000000</v>
      </c>
      <c r="I107" s="143">
        <f>H107/O107*100</f>
        <v>2.5320551856363598</v>
      </c>
      <c r="J107" s="124"/>
      <c r="K107" s="140" t="s">
        <v>177</v>
      </c>
      <c r="L107" s="140" t="s">
        <v>178</v>
      </c>
      <c r="M107" s="140" t="s">
        <v>179</v>
      </c>
      <c r="N107" s="141"/>
      <c r="O107" s="141">
        <v>39493610</v>
      </c>
      <c r="P107" s="22" t="s">
        <v>99</v>
      </c>
      <c r="Q107" s="24"/>
    </row>
    <row r="108" spans="2:17" ht="15">
      <c r="B108" s="12"/>
      <c r="D108" s="141"/>
      <c r="E108" s="147"/>
      <c r="F108" s="147"/>
      <c r="G108" s="147"/>
      <c r="H108" s="147"/>
      <c r="I108" s="144"/>
      <c r="J108" s="124"/>
      <c r="K108" s="141"/>
      <c r="L108" s="141"/>
      <c r="M108" s="141"/>
      <c r="N108" s="141"/>
      <c r="O108" s="141"/>
      <c r="P108" s="22" t="s">
        <v>107</v>
      </c>
      <c r="Q108" s="24"/>
    </row>
    <row r="109" spans="2:17">
      <c r="B109" s="12"/>
      <c r="D109" s="142"/>
      <c r="E109" s="148"/>
      <c r="F109" s="148"/>
      <c r="G109" s="148"/>
      <c r="H109" s="148"/>
      <c r="I109" s="145"/>
      <c r="J109" s="124"/>
      <c r="K109" s="142"/>
      <c r="L109" s="142"/>
      <c r="M109" s="142"/>
      <c r="N109" s="141"/>
      <c r="O109" s="141"/>
      <c r="P109" s="22"/>
      <c r="Q109" s="24"/>
    </row>
    <row r="110" spans="2:17" ht="14.5" customHeight="1">
      <c r="B110" s="12">
        <v>1988</v>
      </c>
      <c r="D110" s="140">
        <v>1988</v>
      </c>
      <c r="E110" s="146" t="s">
        <v>180</v>
      </c>
      <c r="F110" s="146" t="s">
        <v>170</v>
      </c>
      <c r="G110" s="146">
        <v>250000</v>
      </c>
      <c r="H110" s="146">
        <v>250000</v>
      </c>
      <c r="I110" s="143">
        <f>H110/O110*100</f>
        <v>1.3381710178278636</v>
      </c>
      <c r="J110" s="124"/>
      <c r="K110" s="140" t="s">
        <v>181</v>
      </c>
      <c r="L110" s="140" t="s">
        <v>182</v>
      </c>
      <c r="M110" s="140" t="s">
        <v>183</v>
      </c>
      <c r="N110" s="141" t="s">
        <v>184</v>
      </c>
      <c r="O110" s="141">
        <v>18682216</v>
      </c>
      <c r="P110" s="22" t="s">
        <v>99</v>
      </c>
      <c r="Q110" s="24"/>
    </row>
    <row r="111" spans="2:17" ht="45">
      <c r="B111" s="12"/>
      <c r="D111" s="141"/>
      <c r="E111" s="147"/>
      <c r="F111" s="147"/>
      <c r="G111" s="147"/>
      <c r="H111" s="147"/>
      <c r="I111" s="144"/>
      <c r="J111" s="124"/>
      <c r="K111" s="141"/>
      <c r="L111" s="141"/>
      <c r="M111" s="141"/>
      <c r="N111" s="141"/>
      <c r="O111" s="141"/>
      <c r="P111" s="22" t="s">
        <v>185</v>
      </c>
      <c r="Q111" s="24"/>
    </row>
    <row r="112" spans="2:17" ht="45">
      <c r="B112" s="12"/>
      <c r="D112" s="142"/>
      <c r="E112" s="148"/>
      <c r="F112" s="148"/>
      <c r="G112" s="148"/>
      <c r="H112" s="148"/>
      <c r="I112" s="145"/>
      <c r="J112" s="124"/>
      <c r="K112" s="142"/>
      <c r="L112" s="142"/>
      <c r="M112" s="142"/>
      <c r="N112" s="141"/>
      <c r="O112" s="141"/>
      <c r="P112" s="22" t="s">
        <v>186</v>
      </c>
      <c r="Q112" s="24"/>
    </row>
    <row r="113" spans="2:17" ht="14.5" customHeight="1">
      <c r="B113" s="12">
        <v>1991</v>
      </c>
      <c r="D113" s="140" t="s">
        <v>187</v>
      </c>
      <c r="E113" s="146" t="s">
        <v>188</v>
      </c>
      <c r="F113" s="146" t="s">
        <v>131</v>
      </c>
      <c r="G113" s="146">
        <v>300000</v>
      </c>
      <c r="H113" s="146">
        <v>300000</v>
      </c>
      <c r="I113" s="143">
        <f>H113/O113*100</f>
        <v>4.7471877264309645</v>
      </c>
      <c r="J113" s="124"/>
      <c r="K113" s="140" t="s">
        <v>189</v>
      </c>
      <c r="L113" s="140" t="s">
        <v>190</v>
      </c>
      <c r="M113" s="140" t="s">
        <v>191</v>
      </c>
      <c r="N113" s="141" t="s">
        <v>192</v>
      </c>
      <c r="O113" s="141">
        <v>6319531</v>
      </c>
      <c r="P113" s="22" t="s">
        <v>99</v>
      </c>
      <c r="Q113" s="24"/>
    </row>
    <row r="114" spans="2:17" ht="30">
      <c r="B114" s="12"/>
      <c r="D114" s="141"/>
      <c r="E114" s="147"/>
      <c r="F114" s="147"/>
      <c r="G114" s="147"/>
      <c r="H114" s="147"/>
      <c r="I114" s="144"/>
      <c r="J114" s="124"/>
      <c r="K114" s="141"/>
      <c r="L114" s="141"/>
      <c r="M114" s="141"/>
      <c r="N114" s="141"/>
      <c r="O114" s="141"/>
      <c r="P114" s="22" t="s">
        <v>193</v>
      </c>
      <c r="Q114" s="24"/>
    </row>
    <row r="115" spans="2:17" ht="45">
      <c r="B115" s="12"/>
      <c r="D115" s="142"/>
      <c r="E115" s="148"/>
      <c r="F115" s="148"/>
      <c r="G115" s="148"/>
      <c r="H115" s="148"/>
      <c r="I115" s="145"/>
      <c r="J115" s="124"/>
      <c r="K115" s="142"/>
      <c r="L115" s="142"/>
      <c r="M115" s="142"/>
      <c r="N115" s="141"/>
      <c r="O115" s="141"/>
      <c r="P115" s="22" t="s">
        <v>194</v>
      </c>
      <c r="Q115" s="24"/>
    </row>
    <row r="116" spans="2:17" ht="30">
      <c r="B116" s="12">
        <v>1996</v>
      </c>
      <c r="D116" s="140">
        <v>1996</v>
      </c>
      <c r="E116" s="146" t="s">
        <v>195</v>
      </c>
      <c r="F116" s="146" t="s">
        <v>196</v>
      </c>
      <c r="G116" s="146" t="s">
        <v>197</v>
      </c>
      <c r="H116" s="146">
        <f>(200000+3500000)/2</f>
        <v>1850000</v>
      </c>
      <c r="I116" s="143">
        <f>H116/O116*100</f>
        <v>8.402781947626778</v>
      </c>
      <c r="J116" s="124"/>
      <c r="K116" s="140" t="s">
        <v>198</v>
      </c>
      <c r="L116" s="140" t="s">
        <v>199</v>
      </c>
      <c r="M116" s="140" t="s">
        <v>200</v>
      </c>
      <c r="N116" s="141" t="s">
        <v>201</v>
      </c>
      <c r="O116" s="141">
        <v>22016518</v>
      </c>
      <c r="P116" s="22" t="s">
        <v>202</v>
      </c>
      <c r="Q116" s="24"/>
    </row>
    <row r="117" spans="2:17" ht="30">
      <c r="B117" s="12"/>
      <c r="D117" s="141"/>
      <c r="E117" s="147"/>
      <c r="F117" s="147"/>
      <c r="G117" s="147"/>
      <c r="H117" s="147"/>
      <c r="I117" s="144"/>
      <c r="J117" s="124"/>
      <c r="K117" s="141"/>
      <c r="L117" s="141"/>
      <c r="M117" s="141"/>
      <c r="N117" s="141"/>
      <c r="O117" s="141"/>
      <c r="P117" s="22" t="s">
        <v>203</v>
      </c>
      <c r="Q117" s="24"/>
    </row>
    <row r="118" spans="2:17">
      <c r="B118" s="12"/>
      <c r="D118" s="142"/>
      <c r="E118" s="148"/>
      <c r="F118" s="148"/>
      <c r="G118" s="148"/>
      <c r="H118" s="148"/>
      <c r="I118" s="145"/>
      <c r="J118" s="124"/>
      <c r="K118" s="142"/>
      <c r="L118" s="142"/>
      <c r="M118" s="142"/>
      <c r="N118" s="141"/>
      <c r="O118" s="141"/>
      <c r="P118" s="22"/>
      <c r="Q118" s="24"/>
    </row>
    <row r="119" spans="2:17" ht="30">
      <c r="B119" s="12">
        <v>1998</v>
      </c>
      <c r="D119" s="140">
        <v>1998</v>
      </c>
      <c r="E119" s="146" t="s">
        <v>204</v>
      </c>
      <c r="F119" s="146" t="s">
        <v>170</v>
      </c>
      <c r="G119" s="146">
        <v>70000</v>
      </c>
      <c r="H119" s="146">
        <v>70000</v>
      </c>
      <c r="I119" s="143">
        <f>H119/O119*100</f>
        <v>0.26423816193216682</v>
      </c>
      <c r="J119" s="124"/>
      <c r="K119" s="140" t="s">
        <v>205</v>
      </c>
      <c r="L119" s="140" t="s">
        <v>206</v>
      </c>
      <c r="M119" s="140"/>
      <c r="N119" s="141"/>
      <c r="O119" s="141">
        <v>26491253</v>
      </c>
      <c r="P119" s="22" t="s">
        <v>207</v>
      </c>
      <c r="Q119" s="25"/>
    </row>
    <row r="120" spans="2:17" ht="30">
      <c r="B120" s="12"/>
      <c r="D120" s="141"/>
      <c r="E120" s="147"/>
      <c r="F120" s="147"/>
      <c r="G120" s="147"/>
      <c r="H120" s="147"/>
      <c r="I120" s="144"/>
      <c r="J120" s="124"/>
      <c r="K120" s="141"/>
      <c r="L120" s="141"/>
      <c r="M120" s="141"/>
      <c r="N120" s="141"/>
      <c r="O120" s="141"/>
      <c r="P120" s="24" t="s">
        <v>208</v>
      </c>
      <c r="Q120" s="24"/>
    </row>
    <row r="121" spans="2:17">
      <c r="B121" s="12"/>
      <c r="D121" s="142"/>
      <c r="E121" s="148"/>
      <c r="F121" s="148"/>
      <c r="G121" s="148"/>
      <c r="H121" s="148"/>
      <c r="I121" s="145"/>
      <c r="J121" s="124"/>
      <c r="K121" s="142"/>
      <c r="L121" s="142"/>
      <c r="M121" s="142"/>
      <c r="N121" s="141"/>
      <c r="O121" s="141"/>
      <c r="P121" s="22"/>
      <c r="Q121" s="24"/>
    </row>
    <row r="122" spans="2:17" ht="30">
      <c r="B122" s="12"/>
      <c r="D122" s="140" t="s">
        <v>209</v>
      </c>
      <c r="E122" s="146" t="s">
        <v>210</v>
      </c>
      <c r="F122" s="146" t="s">
        <v>88</v>
      </c>
      <c r="G122" s="146" t="s">
        <v>211</v>
      </c>
      <c r="H122" s="146">
        <f>(19900+100000)/2</f>
        <v>59950</v>
      </c>
      <c r="I122" s="143">
        <f>H122/O122*100</f>
        <v>9.6144683202226411E-2</v>
      </c>
      <c r="J122" s="124"/>
      <c r="K122" s="140"/>
      <c r="L122" s="140" t="s">
        <v>212</v>
      </c>
      <c r="M122" s="140" t="s">
        <v>213</v>
      </c>
      <c r="N122" s="141" t="s">
        <v>214</v>
      </c>
      <c r="O122" s="141">
        <v>62353942</v>
      </c>
      <c r="P122" s="22" t="s">
        <v>215</v>
      </c>
      <c r="Q122" s="24"/>
    </row>
    <row r="123" spans="2:17" ht="60">
      <c r="B123" s="12"/>
      <c r="D123" s="141"/>
      <c r="E123" s="147"/>
      <c r="F123" s="147"/>
      <c r="G123" s="147"/>
      <c r="H123" s="147"/>
      <c r="I123" s="144"/>
      <c r="J123" s="124"/>
      <c r="K123" s="141"/>
      <c r="L123" s="141"/>
      <c r="M123" s="141"/>
      <c r="N123" s="141"/>
      <c r="O123" s="141"/>
      <c r="P123" s="22" t="s">
        <v>216</v>
      </c>
      <c r="Q123" s="24"/>
    </row>
    <row r="124" spans="2:17" ht="15">
      <c r="B124" s="12"/>
      <c r="D124" s="142"/>
      <c r="E124" s="148"/>
      <c r="F124" s="148"/>
      <c r="G124" s="148"/>
      <c r="H124" s="148"/>
      <c r="I124" s="145"/>
      <c r="J124" s="124"/>
      <c r="K124" s="142"/>
      <c r="L124" s="142"/>
      <c r="M124" s="142"/>
      <c r="N124" s="141"/>
      <c r="O124" s="141"/>
      <c r="P124" s="22" t="s">
        <v>107</v>
      </c>
      <c r="Q124" s="24"/>
    </row>
    <row r="125" spans="2:17" ht="30">
      <c r="B125" s="12"/>
      <c r="D125" s="140" t="s">
        <v>217</v>
      </c>
      <c r="E125" s="146" t="s">
        <v>218</v>
      </c>
      <c r="F125" s="146" t="s">
        <v>219</v>
      </c>
      <c r="G125" s="146" t="s">
        <v>220</v>
      </c>
      <c r="H125" s="146">
        <f>(3800000+5400000)/2</f>
        <v>4600000</v>
      </c>
      <c r="I125" s="143">
        <f>H125/O125*100</f>
        <v>8.8239922200011556</v>
      </c>
      <c r="J125" s="124"/>
      <c r="K125" s="140" t="s">
        <v>221</v>
      </c>
      <c r="L125" s="140" t="s">
        <v>222</v>
      </c>
      <c r="M125" s="140" t="s">
        <v>223</v>
      </c>
      <c r="N125" s="141"/>
      <c r="O125" s="141">
        <f>44960941+7169658</f>
        <v>52130599</v>
      </c>
      <c r="P125" s="22" t="s">
        <v>224</v>
      </c>
      <c r="Q125" s="24"/>
    </row>
    <row r="126" spans="2:17" ht="30">
      <c r="B126" s="12"/>
      <c r="D126" s="141"/>
      <c r="E126" s="147"/>
      <c r="F126" s="147"/>
      <c r="G126" s="147"/>
      <c r="H126" s="147"/>
      <c r="I126" s="144"/>
      <c r="J126" s="124"/>
      <c r="K126" s="141"/>
      <c r="L126" s="141"/>
      <c r="M126" s="141"/>
      <c r="N126" s="141"/>
      <c r="O126" s="141"/>
      <c r="P126" s="22" t="s">
        <v>225</v>
      </c>
      <c r="Q126" s="24"/>
    </row>
    <row r="127" spans="2:17">
      <c r="B127" s="12"/>
      <c r="D127" s="142"/>
      <c r="E127" s="148"/>
      <c r="F127" s="148"/>
      <c r="G127" s="148"/>
      <c r="H127" s="148"/>
      <c r="I127" s="145"/>
      <c r="J127" s="124"/>
      <c r="K127" s="142"/>
      <c r="L127" s="142"/>
      <c r="M127" s="142"/>
      <c r="N127" s="141"/>
      <c r="O127" s="141"/>
      <c r="P127" s="22"/>
      <c r="Q127" s="24"/>
    </row>
    <row r="128" spans="2:17" ht="30">
      <c r="B128" s="12">
        <v>2000</v>
      </c>
      <c r="D128" s="140" t="s">
        <v>226</v>
      </c>
      <c r="E128" s="146" t="s">
        <v>227</v>
      </c>
      <c r="F128" s="146" t="s">
        <v>228</v>
      </c>
      <c r="G128" s="146"/>
      <c r="H128" s="146"/>
      <c r="I128" s="143"/>
      <c r="J128" s="124"/>
      <c r="K128" s="140" t="s">
        <v>229</v>
      </c>
      <c r="L128" s="140" t="s">
        <v>230</v>
      </c>
      <c r="M128" s="140" t="s">
        <v>231</v>
      </c>
      <c r="N128" s="141" t="s">
        <v>232</v>
      </c>
      <c r="O128" s="141"/>
      <c r="P128" s="22" t="s">
        <v>233</v>
      </c>
      <c r="Q128" s="24"/>
    </row>
    <row r="129" spans="2:17">
      <c r="B129" s="12"/>
      <c r="D129" s="141"/>
      <c r="E129" s="147"/>
      <c r="F129" s="147"/>
      <c r="G129" s="147"/>
      <c r="H129" s="147"/>
      <c r="I129" s="144"/>
      <c r="J129" s="124"/>
      <c r="K129" s="141"/>
      <c r="L129" s="141"/>
      <c r="M129" s="141"/>
      <c r="N129" s="141"/>
      <c r="O129" s="141"/>
      <c r="P129" s="22"/>
      <c r="Q129" s="24"/>
    </row>
    <row r="130" spans="2:17">
      <c r="B130" s="12"/>
      <c r="D130" s="142"/>
      <c r="E130" s="148"/>
      <c r="F130" s="148"/>
      <c r="G130" s="148"/>
      <c r="H130" s="148"/>
      <c r="I130" s="145"/>
      <c r="J130" s="124"/>
      <c r="K130" s="142"/>
      <c r="L130" s="142"/>
      <c r="M130" s="142"/>
      <c r="N130" s="141"/>
      <c r="O130" s="141"/>
      <c r="P130" s="22"/>
      <c r="Q130" s="24"/>
    </row>
    <row r="131" spans="2:17" ht="30">
      <c r="B131" s="12">
        <v>2003</v>
      </c>
      <c r="D131" s="140" t="s">
        <v>234</v>
      </c>
      <c r="E131" s="146" t="s">
        <v>235</v>
      </c>
      <c r="F131" s="146" t="s">
        <v>170</v>
      </c>
      <c r="G131" s="146"/>
      <c r="H131" s="146"/>
      <c r="I131" s="143"/>
      <c r="J131" s="124"/>
      <c r="K131" s="140" t="s">
        <v>236</v>
      </c>
      <c r="L131" s="140"/>
      <c r="M131" s="140" t="s">
        <v>237</v>
      </c>
      <c r="N131" s="141" t="s">
        <v>238</v>
      </c>
      <c r="O131" s="141"/>
      <c r="P131" s="22" t="s">
        <v>239</v>
      </c>
      <c r="Q131" s="24"/>
    </row>
    <row r="132" spans="2:17">
      <c r="B132" s="12"/>
      <c r="D132" s="141"/>
      <c r="E132" s="147"/>
      <c r="F132" s="147"/>
      <c r="G132" s="147"/>
      <c r="H132" s="147"/>
      <c r="I132" s="144"/>
      <c r="J132" s="124"/>
      <c r="K132" s="141"/>
      <c r="L132" s="141"/>
      <c r="M132" s="141"/>
      <c r="N132" s="141"/>
      <c r="O132" s="141"/>
      <c r="P132" s="22"/>
      <c r="Q132" s="24"/>
    </row>
    <row r="133" spans="2:17">
      <c r="B133" s="12"/>
      <c r="D133" s="142"/>
      <c r="E133" s="148"/>
      <c r="F133" s="148"/>
      <c r="G133" s="148"/>
      <c r="H133" s="148"/>
      <c r="I133" s="145"/>
      <c r="J133" s="124"/>
      <c r="K133" s="142"/>
      <c r="L133" s="142"/>
      <c r="M133" s="142"/>
      <c r="N133" s="141"/>
      <c r="O133" s="141"/>
      <c r="P133" s="22"/>
      <c r="Q133" s="24"/>
    </row>
    <row r="134" spans="2:17" ht="14.5" customHeight="1">
      <c r="B134" s="12">
        <v>2005</v>
      </c>
      <c r="D134" s="140" t="s">
        <v>240</v>
      </c>
      <c r="E134" s="146" t="s">
        <v>241</v>
      </c>
      <c r="F134" s="146" t="s">
        <v>242</v>
      </c>
      <c r="G134" s="146"/>
      <c r="H134" s="146"/>
      <c r="I134" s="143"/>
      <c r="J134" s="124"/>
      <c r="K134" s="140" t="s">
        <v>243</v>
      </c>
      <c r="L134" s="140" t="s">
        <v>244</v>
      </c>
      <c r="M134" s="140" t="s">
        <v>245</v>
      </c>
      <c r="N134" s="141" t="s">
        <v>246</v>
      </c>
      <c r="O134" s="141"/>
      <c r="P134" s="22" t="s">
        <v>107</v>
      </c>
      <c r="Q134" s="24"/>
    </row>
    <row r="135" spans="2:17" ht="30">
      <c r="B135" s="12"/>
      <c r="D135" s="141"/>
      <c r="E135" s="147"/>
      <c r="F135" s="147"/>
      <c r="G135" s="147"/>
      <c r="H135" s="147"/>
      <c r="I135" s="144"/>
      <c r="J135" s="124"/>
      <c r="K135" s="141"/>
      <c r="L135" s="141"/>
      <c r="M135" s="141"/>
      <c r="N135" s="141"/>
      <c r="O135" s="141"/>
      <c r="P135" s="22" t="s">
        <v>247</v>
      </c>
      <c r="Q135" s="24"/>
    </row>
    <row r="136" spans="2:17">
      <c r="B136" s="12"/>
      <c r="D136" s="142"/>
      <c r="E136" s="148"/>
      <c r="F136" s="148"/>
      <c r="G136" s="148"/>
      <c r="H136" s="148"/>
      <c r="I136" s="145"/>
      <c r="J136" s="124"/>
      <c r="K136" s="142"/>
      <c r="L136" s="142"/>
      <c r="M136" s="142"/>
      <c r="N136" s="141"/>
      <c r="O136" s="141"/>
      <c r="P136" s="22"/>
      <c r="Q136" s="24"/>
    </row>
    <row r="137" spans="2:17" ht="30">
      <c r="B137" s="12"/>
      <c r="D137" s="140" t="s">
        <v>248</v>
      </c>
      <c r="E137" s="146" t="s">
        <v>249</v>
      </c>
      <c r="F137" s="146" t="s">
        <v>250</v>
      </c>
      <c r="G137" s="146"/>
      <c r="H137" s="146"/>
      <c r="I137" s="143"/>
      <c r="J137" s="124"/>
      <c r="K137" s="140" t="s">
        <v>251</v>
      </c>
      <c r="L137" s="140" t="s">
        <v>252</v>
      </c>
      <c r="M137" s="140" t="s">
        <v>253</v>
      </c>
      <c r="N137" s="141" t="s">
        <v>254</v>
      </c>
      <c r="O137" s="141"/>
      <c r="P137" s="22" t="s">
        <v>255</v>
      </c>
      <c r="Q137" s="24"/>
    </row>
    <row r="138" spans="2:17" ht="45">
      <c r="B138" s="12"/>
      <c r="D138" s="141"/>
      <c r="E138" s="147"/>
      <c r="F138" s="147"/>
      <c r="G138" s="147"/>
      <c r="H138" s="147"/>
      <c r="I138" s="144"/>
      <c r="J138" s="124"/>
      <c r="K138" s="141"/>
      <c r="L138" s="141"/>
      <c r="M138" s="141"/>
      <c r="N138" s="141"/>
      <c r="O138" s="141"/>
      <c r="P138" s="22" t="s">
        <v>256</v>
      </c>
      <c r="Q138" s="24"/>
    </row>
    <row r="139" spans="2:17" ht="45">
      <c r="B139" s="12"/>
      <c r="D139" s="142"/>
      <c r="E139" s="148"/>
      <c r="F139" s="148"/>
      <c r="G139" s="148"/>
      <c r="H139" s="148"/>
      <c r="I139" s="145"/>
      <c r="J139" s="124"/>
      <c r="K139" s="142"/>
      <c r="L139" s="142"/>
      <c r="M139" s="142"/>
      <c r="N139" s="141"/>
      <c r="O139" s="141"/>
      <c r="P139" s="22" t="s">
        <v>257</v>
      </c>
      <c r="Q139" s="24"/>
    </row>
    <row r="140" spans="2:17">
      <c r="B140" s="12">
        <v>2006</v>
      </c>
      <c r="D140" s="140">
        <v>2006</v>
      </c>
      <c r="E140" s="146" t="s">
        <v>258</v>
      </c>
      <c r="F140" s="146" t="s">
        <v>259</v>
      </c>
      <c r="G140" s="146"/>
      <c r="H140" s="146"/>
      <c r="I140" s="143"/>
      <c r="J140" s="124"/>
      <c r="K140" s="140"/>
      <c r="L140" s="140"/>
      <c r="M140" s="140"/>
      <c r="N140" s="141"/>
      <c r="O140" s="141"/>
      <c r="P140" s="22"/>
      <c r="Q140" s="24"/>
    </row>
    <row r="141" spans="2:17">
      <c r="B141" s="12"/>
      <c r="D141" s="141"/>
      <c r="E141" s="147"/>
      <c r="F141" s="147"/>
      <c r="G141" s="147"/>
      <c r="H141" s="147"/>
      <c r="I141" s="144"/>
      <c r="J141" s="124"/>
      <c r="K141" s="141"/>
      <c r="L141" s="141"/>
      <c r="M141" s="141"/>
      <c r="N141" s="141"/>
      <c r="O141" s="141"/>
      <c r="P141" s="22"/>
      <c r="Q141" s="24"/>
    </row>
    <row r="142" spans="2:17">
      <c r="B142" s="12"/>
      <c r="D142" s="142"/>
      <c r="E142" s="148"/>
      <c r="F142" s="148"/>
      <c r="G142" s="148"/>
      <c r="H142" s="148"/>
      <c r="I142" s="145"/>
      <c r="J142" s="124"/>
      <c r="K142" s="142"/>
      <c r="L142" s="142"/>
      <c r="M142" s="142"/>
      <c r="N142" s="141"/>
      <c r="O142" s="141"/>
      <c r="P142" s="22"/>
      <c r="Q142" s="24"/>
    </row>
    <row r="143" spans="2:17" ht="30">
      <c r="B143" s="12">
        <v>2011</v>
      </c>
      <c r="D143" s="140" t="s">
        <v>260</v>
      </c>
      <c r="E143" s="146" t="s">
        <v>188</v>
      </c>
      <c r="F143" s="146" t="s">
        <v>261</v>
      </c>
      <c r="G143" s="146">
        <v>258000</v>
      </c>
      <c r="H143" s="146"/>
      <c r="I143" s="143"/>
      <c r="J143" s="124"/>
      <c r="K143" s="140"/>
      <c r="L143" s="140"/>
      <c r="M143" s="140"/>
      <c r="N143" s="141"/>
      <c r="O143" s="141" t="s">
        <v>262</v>
      </c>
      <c r="P143" s="22" t="s">
        <v>263</v>
      </c>
      <c r="Q143" s="24"/>
    </row>
    <row r="144" spans="2:17">
      <c r="B144" s="12"/>
      <c r="D144" s="141"/>
      <c r="E144" s="147"/>
      <c r="F144" s="147"/>
      <c r="G144" s="147"/>
      <c r="H144" s="147"/>
      <c r="I144" s="144"/>
      <c r="J144" s="124"/>
      <c r="K144" s="141"/>
      <c r="L144" s="141"/>
      <c r="M144" s="141"/>
      <c r="N144" s="141"/>
      <c r="O144" s="141"/>
      <c r="P144" s="22"/>
      <c r="Q144" s="24"/>
    </row>
    <row r="145" spans="2:17">
      <c r="B145" s="12"/>
      <c r="D145" s="142"/>
      <c r="E145" s="148"/>
      <c r="F145" s="148"/>
      <c r="G145" s="148"/>
      <c r="H145" s="148"/>
      <c r="I145" s="145"/>
      <c r="J145" s="124"/>
      <c r="K145" s="142"/>
      <c r="L145" s="142"/>
      <c r="M145" s="142"/>
      <c r="N145" s="141"/>
      <c r="O145" s="141"/>
      <c r="P145" s="22"/>
      <c r="Q145" s="24"/>
    </row>
    <row r="146" spans="2:17">
      <c r="B146" s="120">
        <v>2012</v>
      </c>
      <c r="D146" s="150">
        <v>2012</v>
      </c>
      <c r="E146" s="140" t="s">
        <v>264</v>
      </c>
      <c r="F146" s="146" t="s">
        <v>265</v>
      </c>
      <c r="G146" s="146"/>
      <c r="H146" s="146"/>
      <c r="I146" s="146"/>
      <c r="J146" s="143"/>
      <c r="K146" s="140"/>
      <c r="L146" s="140"/>
      <c r="M146" s="140"/>
      <c r="P146" s="124"/>
    </row>
    <row r="147" spans="2:17">
      <c r="B147" s="121"/>
      <c r="D147" s="150"/>
      <c r="E147" s="141"/>
      <c r="F147" s="147"/>
      <c r="G147" s="147"/>
      <c r="H147" s="147"/>
      <c r="I147" s="147"/>
      <c r="J147" s="144"/>
      <c r="K147" s="141"/>
      <c r="L147" s="141"/>
      <c r="M147" s="141"/>
      <c r="P147" s="124"/>
    </row>
    <row r="148" spans="2:17">
      <c r="B148" s="122"/>
      <c r="D148" s="150"/>
      <c r="E148" s="142"/>
      <c r="F148" s="148"/>
      <c r="G148" s="148"/>
      <c r="H148" s="148"/>
      <c r="I148" s="148"/>
      <c r="J148" s="145"/>
      <c r="K148" s="142"/>
      <c r="L148" s="142"/>
      <c r="M148" s="142"/>
      <c r="P148" s="124"/>
    </row>
  </sheetData>
  <mergeCells count="274">
    <mergeCell ref="L146:L148"/>
    <mergeCell ref="M146:M148"/>
    <mergeCell ref="K146:K148"/>
    <mergeCell ref="D146:D148"/>
    <mergeCell ref="E146:E148"/>
    <mergeCell ref="F146:F148"/>
    <mergeCell ref="G146:G148"/>
    <mergeCell ref="H146:H148"/>
    <mergeCell ref="I146:I148"/>
    <mergeCell ref="J146:J148"/>
    <mergeCell ref="N140:N142"/>
    <mergeCell ref="O140:O142"/>
    <mergeCell ref="N143:N145"/>
    <mergeCell ref="O143:O145"/>
    <mergeCell ref="N128:N130"/>
    <mergeCell ref="O128:O130"/>
    <mergeCell ref="N131:N133"/>
    <mergeCell ref="O131:O133"/>
    <mergeCell ref="N134:N136"/>
    <mergeCell ref="O134:O136"/>
    <mergeCell ref="N125:N127"/>
    <mergeCell ref="O125:O127"/>
    <mergeCell ref="N110:N112"/>
    <mergeCell ref="O110:O112"/>
    <mergeCell ref="N113:N115"/>
    <mergeCell ref="O113:O115"/>
    <mergeCell ref="N116:N118"/>
    <mergeCell ref="O116:O118"/>
    <mergeCell ref="N137:N139"/>
    <mergeCell ref="O137:O139"/>
    <mergeCell ref="N92:N94"/>
    <mergeCell ref="O92:O94"/>
    <mergeCell ref="N95:N97"/>
    <mergeCell ref="O95:O97"/>
    <mergeCell ref="N98:N100"/>
    <mergeCell ref="O98:O100"/>
    <mergeCell ref="N119:N121"/>
    <mergeCell ref="O119:O121"/>
    <mergeCell ref="N122:N124"/>
    <mergeCell ref="O122:O124"/>
    <mergeCell ref="N83:N85"/>
    <mergeCell ref="O83:O85"/>
    <mergeCell ref="N86:N88"/>
    <mergeCell ref="O86:O88"/>
    <mergeCell ref="N89:N91"/>
    <mergeCell ref="O89:O91"/>
    <mergeCell ref="K116:K118"/>
    <mergeCell ref="L116:L118"/>
    <mergeCell ref="M116:M118"/>
    <mergeCell ref="L98:L100"/>
    <mergeCell ref="M98:M100"/>
    <mergeCell ref="K95:K97"/>
    <mergeCell ref="L95:L97"/>
    <mergeCell ref="M95:M97"/>
    <mergeCell ref="M89:M91"/>
    <mergeCell ref="L86:L88"/>
    <mergeCell ref="M86:M88"/>
    <mergeCell ref="M83:M85"/>
    <mergeCell ref="N101:N103"/>
    <mergeCell ref="O101:O103"/>
    <mergeCell ref="N104:N106"/>
    <mergeCell ref="O104:O106"/>
    <mergeCell ref="N107:N109"/>
    <mergeCell ref="O107:O109"/>
    <mergeCell ref="N72:N74"/>
    <mergeCell ref="O72:O74"/>
    <mergeCell ref="N75:N78"/>
    <mergeCell ref="O75:O78"/>
    <mergeCell ref="O79:O82"/>
    <mergeCell ref="N79:N82"/>
    <mergeCell ref="D116:D118"/>
    <mergeCell ref="E116:E118"/>
    <mergeCell ref="F116:F118"/>
    <mergeCell ref="G116:G118"/>
    <mergeCell ref="H116:H118"/>
    <mergeCell ref="I116:I118"/>
    <mergeCell ref="L110:L112"/>
    <mergeCell ref="M110:M112"/>
    <mergeCell ref="K107:K109"/>
    <mergeCell ref="L107:L109"/>
    <mergeCell ref="M107:M109"/>
    <mergeCell ref="D110:D112"/>
    <mergeCell ref="E110:E112"/>
    <mergeCell ref="F110:F112"/>
    <mergeCell ref="G110:G112"/>
    <mergeCell ref="H110:H112"/>
    <mergeCell ref="I110:I112"/>
    <mergeCell ref="K110:K112"/>
    <mergeCell ref="M143:M145"/>
    <mergeCell ref="D113:D115"/>
    <mergeCell ref="E113:E115"/>
    <mergeCell ref="F113:F115"/>
    <mergeCell ref="G113:G115"/>
    <mergeCell ref="H113:H115"/>
    <mergeCell ref="I113:I115"/>
    <mergeCell ref="K113:K115"/>
    <mergeCell ref="L113:L115"/>
    <mergeCell ref="M113:M115"/>
    <mergeCell ref="L140:L142"/>
    <mergeCell ref="M140:M142"/>
    <mergeCell ref="D143:D145"/>
    <mergeCell ref="E143:E145"/>
    <mergeCell ref="F143:F145"/>
    <mergeCell ref="G143:G145"/>
    <mergeCell ref="H143:H145"/>
    <mergeCell ref="I143:I145"/>
    <mergeCell ref="K143:K145"/>
    <mergeCell ref="L143:L145"/>
    <mergeCell ref="K137:K139"/>
    <mergeCell ref="L137:L139"/>
    <mergeCell ref="M137:M139"/>
    <mergeCell ref="D140:D142"/>
    <mergeCell ref="E140:E142"/>
    <mergeCell ref="F140:F142"/>
    <mergeCell ref="G140:G142"/>
    <mergeCell ref="H140:H142"/>
    <mergeCell ref="I140:I142"/>
    <mergeCell ref="K140:K142"/>
    <mergeCell ref="D137:D139"/>
    <mergeCell ref="E137:E139"/>
    <mergeCell ref="F137:F139"/>
    <mergeCell ref="G137:G139"/>
    <mergeCell ref="H137:H139"/>
    <mergeCell ref="I137:I139"/>
    <mergeCell ref="D134:D136"/>
    <mergeCell ref="E134:E136"/>
    <mergeCell ref="F134:F136"/>
    <mergeCell ref="G134:G136"/>
    <mergeCell ref="H134:H136"/>
    <mergeCell ref="I134:I136"/>
    <mergeCell ref="K134:K136"/>
    <mergeCell ref="L134:L136"/>
    <mergeCell ref="M134:M136"/>
    <mergeCell ref="D131:D133"/>
    <mergeCell ref="E131:E133"/>
    <mergeCell ref="F131:F133"/>
    <mergeCell ref="G131:G133"/>
    <mergeCell ref="H131:H133"/>
    <mergeCell ref="I131:I133"/>
    <mergeCell ref="K131:K133"/>
    <mergeCell ref="L131:L133"/>
    <mergeCell ref="M131:M133"/>
    <mergeCell ref="K125:K127"/>
    <mergeCell ref="L125:L127"/>
    <mergeCell ref="M125:M127"/>
    <mergeCell ref="D128:D130"/>
    <mergeCell ref="E128:E130"/>
    <mergeCell ref="F128:F130"/>
    <mergeCell ref="G128:G130"/>
    <mergeCell ref="H128:H130"/>
    <mergeCell ref="I128:I130"/>
    <mergeCell ref="K128:K130"/>
    <mergeCell ref="D125:D127"/>
    <mergeCell ref="E125:E127"/>
    <mergeCell ref="F125:F127"/>
    <mergeCell ref="G125:G127"/>
    <mergeCell ref="H125:H127"/>
    <mergeCell ref="I125:I127"/>
    <mergeCell ref="L128:L130"/>
    <mergeCell ref="M128:M130"/>
    <mergeCell ref="M119:M121"/>
    <mergeCell ref="D122:D124"/>
    <mergeCell ref="E122:E124"/>
    <mergeCell ref="F122:F124"/>
    <mergeCell ref="G122:G124"/>
    <mergeCell ref="H122:H124"/>
    <mergeCell ref="I122:I124"/>
    <mergeCell ref="K122:K124"/>
    <mergeCell ref="L122:L124"/>
    <mergeCell ref="M122:M124"/>
    <mergeCell ref="D119:D121"/>
    <mergeCell ref="E119:E121"/>
    <mergeCell ref="F119:F121"/>
    <mergeCell ref="G119:G121"/>
    <mergeCell ref="H119:H121"/>
    <mergeCell ref="I119:I121"/>
    <mergeCell ref="K119:K121"/>
    <mergeCell ref="L119:L121"/>
    <mergeCell ref="D107:D109"/>
    <mergeCell ref="E107:E109"/>
    <mergeCell ref="F107:F109"/>
    <mergeCell ref="G107:G109"/>
    <mergeCell ref="H107:H109"/>
    <mergeCell ref="I107:I109"/>
    <mergeCell ref="M101:M103"/>
    <mergeCell ref="D104:D106"/>
    <mergeCell ref="E104:E106"/>
    <mergeCell ref="F104:F106"/>
    <mergeCell ref="G104:G106"/>
    <mergeCell ref="H104:H106"/>
    <mergeCell ref="I104:I106"/>
    <mergeCell ref="K104:K106"/>
    <mergeCell ref="L104:L106"/>
    <mergeCell ref="M104:M106"/>
    <mergeCell ref="D101:D103"/>
    <mergeCell ref="E101:E103"/>
    <mergeCell ref="F101:F103"/>
    <mergeCell ref="G101:G103"/>
    <mergeCell ref="H101:H103"/>
    <mergeCell ref="I101:I103"/>
    <mergeCell ref="K101:K103"/>
    <mergeCell ref="L101:L103"/>
    <mergeCell ref="D98:D100"/>
    <mergeCell ref="E98:E100"/>
    <mergeCell ref="F98:F100"/>
    <mergeCell ref="G98:G100"/>
    <mergeCell ref="H98:H100"/>
    <mergeCell ref="I98:I100"/>
    <mergeCell ref="K98:K100"/>
    <mergeCell ref="D95:D97"/>
    <mergeCell ref="E95:E97"/>
    <mergeCell ref="F95:F97"/>
    <mergeCell ref="G95:G97"/>
    <mergeCell ref="H95:H97"/>
    <mergeCell ref="I95:I97"/>
    <mergeCell ref="D92:D94"/>
    <mergeCell ref="E92:E94"/>
    <mergeCell ref="F92:F94"/>
    <mergeCell ref="G92:G94"/>
    <mergeCell ref="H92:H94"/>
    <mergeCell ref="I92:I94"/>
    <mergeCell ref="K92:K94"/>
    <mergeCell ref="L92:L94"/>
    <mergeCell ref="M92:M94"/>
    <mergeCell ref="K89:K91"/>
    <mergeCell ref="L89:L91"/>
    <mergeCell ref="K83:K85"/>
    <mergeCell ref="L83:L85"/>
    <mergeCell ref="D86:D88"/>
    <mergeCell ref="E86:E88"/>
    <mergeCell ref="F86:F88"/>
    <mergeCell ref="G86:G88"/>
    <mergeCell ref="H86:H88"/>
    <mergeCell ref="I86:I88"/>
    <mergeCell ref="K86:K88"/>
    <mergeCell ref="D83:D85"/>
    <mergeCell ref="E83:E85"/>
    <mergeCell ref="F83:F85"/>
    <mergeCell ref="G83:G85"/>
    <mergeCell ref="H83:H85"/>
    <mergeCell ref="I83:I85"/>
    <mergeCell ref="D89:D91"/>
    <mergeCell ref="E89:E91"/>
    <mergeCell ref="F89:F91"/>
    <mergeCell ref="G89:G91"/>
    <mergeCell ref="H89:H91"/>
    <mergeCell ref="I89:I91"/>
    <mergeCell ref="D79:D82"/>
    <mergeCell ref="E79:E82"/>
    <mergeCell ref="F79:F82"/>
    <mergeCell ref="G79:G82"/>
    <mergeCell ref="H79:H82"/>
    <mergeCell ref="I79:I82"/>
    <mergeCell ref="K79:K82"/>
    <mergeCell ref="L79:L82"/>
    <mergeCell ref="M79:M82"/>
    <mergeCell ref="M75:M78"/>
    <mergeCell ref="L75:L78"/>
    <mergeCell ref="K75:K78"/>
    <mergeCell ref="I75:I78"/>
    <mergeCell ref="F72:F74"/>
    <mergeCell ref="D72:D74"/>
    <mergeCell ref="E72:E74"/>
    <mergeCell ref="M72:M74"/>
    <mergeCell ref="L72:L74"/>
    <mergeCell ref="K72:K74"/>
    <mergeCell ref="I72:I74"/>
    <mergeCell ref="H72:H74"/>
    <mergeCell ref="G72:G74"/>
    <mergeCell ref="H75:H78"/>
    <mergeCell ref="G75:G78"/>
    <mergeCell ref="F75:F78"/>
    <mergeCell ref="E75:E78"/>
    <mergeCell ref="D75:D78"/>
  </mergeCells>
  <phoneticPr fontId="20"/>
  <hyperlinks>
    <hyperlink ref="P122" r:id="rId1" xr:uid="{00000000-0004-0000-0000-000000000000}"/>
    <hyperlink ref="P78" r:id="rId2" xr:uid="{00000000-0004-0000-0000-000001000000}"/>
    <hyperlink ref="P81" r:id="rId3" xr:uid="{00000000-0004-0000-0000-000002000000}"/>
    <hyperlink ref="P82" r:id="rId4" xr:uid="{00000000-0004-0000-0000-000003000000}"/>
    <hyperlink ref="P84" r:id="rId5" xr:uid="{00000000-0004-0000-0000-000004000000}"/>
    <hyperlink ref="P90" r:id="rId6" xr:uid="{00000000-0004-0000-0000-000005000000}"/>
    <hyperlink ref="P93" r:id="rId7" xr:uid="{00000000-0004-0000-0000-000006000000}"/>
    <hyperlink ref="P94" r:id="rId8" xr:uid="{00000000-0004-0000-0000-000007000000}"/>
    <hyperlink ref="P96" r:id="rId9" xr:uid="{00000000-0004-0000-0000-000008000000}"/>
    <hyperlink ref="P100" r:id="rId10" xr:uid="{00000000-0004-0000-0000-000009000000}"/>
    <hyperlink ref="P111" r:id="rId11" xr:uid="{00000000-0004-0000-0000-00000A000000}"/>
    <hyperlink ref="P114" r:id="rId12" xr:uid="{00000000-0004-0000-0000-00000B000000}"/>
    <hyperlink ref="P115" r:id="rId13" display="http://www.fews.net/docs/Publications/Lives Lost, Lives Saved.pdf" xr:uid="{00000000-0004-0000-0000-00000C000000}"/>
    <hyperlink ref="P116" r:id="rId14" xr:uid="{00000000-0004-0000-0000-00000D000000}"/>
    <hyperlink ref="P119" r:id="rId15" xr:uid="{00000000-0004-0000-0000-00000E000000}"/>
    <hyperlink ref="P120" r:id="rId16" xr:uid="{00000000-0004-0000-0000-00000F000000}"/>
    <hyperlink ref="P123" r:id="rId17" display="http://onlinelibrary.wiley.com/doi/10.1111/j.0361-3666.2005.00286.x/pdf" xr:uid="{00000000-0004-0000-0000-000010000000}"/>
    <hyperlink ref="P125" r:id="rId18" xr:uid="{00000000-0004-0000-0000-000011000000}"/>
    <hyperlink ref="P126" r:id="rId19" xr:uid="{00000000-0004-0000-0000-000012000000}"/>
    <hyperlink ref="P128" r:id="rId20" xr:uid="{00000000-0004-0000-0000-000013000000}"/>
    <hyperlink ref="P135" r:id="rId21" xr:uid="{00000000-0004-0000-0000-000014000000}"/>
    <hyperlink ref="P143" r:id="rId22" xr:uid="{00000000-0004-0000-0000-000015000000}"/>
    <hyperlink ref="P131" r:id="rId23" xr:uid="{00000000-0004-0000-0000-000016000000}"/>
    <hyperlink ref="P137" r:id="rId24" xr:uid="{00000000-0004-0000-0000-000017000000}"/>
    <hyperlink ref="P138" r:id="rId25" xr:uid="{00000000-0004-0000-0000-000018000000}"/>
    <hyperlink ref="P139" r:id="rId26" xr:uid="{00000000-0004-0000-0000-00001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S129"/>
  <sheetViews>
    <sheetView zoomScale="80" zoomScaleNormal="80" workbookViewId="0">
      <pane xSplit="9" ySplit="2" topLeftCell="J3" activePane="bottomRight" state="frozen"/>
      <selection pane="topRight" activeCell="H1" sqref="H1"/>
      <selection pane="bottomLeft" activeCell="A3" sqref="A3"/>
      <selection pane="bottomRight" activeCell="F1" sqref="F1"/>
    </sheetView>
  </sheetViews>
  <sheetFormatPr baseColWidth="10" defaultColWidth="9.1640625" defaultRowHeight="14"/>
  <cols>
    <col min="1" max="1" width="2.6640625" style="1" customWidth="1"/>
    <col min="2" max="2" width="5.5" style="1" customWidth="1"/>
    <col min="3" max="3" width="2.6640625" style="1" hidden="1" customWidth="1"/>
    <col min="4" max="4" width="11.6640625" style="1" customWidth="1"/>
    <col min="5" max="5" width="18" style="1" customWidth="1"/>
    <col min="6" max="8" width="10.83203125" style="1" customWidth="1"/>
    <col min="9" max="9" width="12.1640625" style="1" customWidth="1"/>
    <col min="10" max="10" width="3" style="1" customWidth="1"/>
    <col min="11" max="13" width="37.83203125" style="1" customWidth="1"/>
    <col min="14" max="14" width="36.5" style="1" customWidth="1"/>
    <col min="15" max="15" width="14.1640625" style="1" customWidth="1"/>
    <col min="16" max="18" width="9.1640625" style="1"/>
    <col min="19" max="19" width="12.5" style="1" bestFit="1" customWidth="1"/>
    <col min="20" max="20" width="11.5" style="1" bestFit="1" customWidth="1"/>
    <col min="21" max="21" width="9.1640625" style="1"/>
    <col min="22" max="22" width="11.5" style="1" bestFit="1" customWidth="1"/>
    <col min="23" max="23" width="12.5" style="1" bestFit="1" customWidth="1"/>
    <col min="24" max="24" width="11.5" style="1" bestFit="1" customWidth="1"/>
    <col min="25" max="16384" width="9.1640625" style="1"/>
  </cols>
  <sheetData>
    <row r="1" spans="2:15">
      <c r="D1" s="2"/>
      <c r="E1" s="2"/>
      <c r="F1" s="2"/>
      <c r="G1" s="3"/>
      <c r="H1" s="2"/>
      <c r="I1" s="2"/>
      <c r="J1" s="4"/>
    </row>
    <row r="2" spans="2:15" ht="30">
      <c r="B2" s="120"/>
      <c r="D2" s="124" t="s">
        <v>0</v>
      </c>
      <c r="E2" s="124" t="s">
        <v>1</v>
      </c>
      <c r="F2" s="124" t="s">
        <v>2</v>
      </c>
      <c r="G2" s="124" t="s">
        <v>3</v>
      </c>
      <c r="H2" s="124" t="s">
        <v>4</v>
      </c>
      <c r="I2" s="124" t="s">
        <v>5</v>
      </c>
      <c r="J2" s="124"/>
      <c r="K2" s="124" t="s">
        <v>6</v>
      </c>
      <c r="L2" s="124" t="s">
        <v>7</v>
      </c>
      <c r="M2" s="124" t="s">
        <v>8</v>
      </c>
      <c r="N2" s="1" t="s">
        <v>9</v>
      </c>
      <c r="O2" s="1" t="s">
        <v>10</v>
      </c>
    </row>
    <row r="3" spans="2:15" hidden="1">
      <c r="B3" s="121">
        <v>1901</v>
      </c>
      <c r="D3" s="124"/>
      <c r="E3" s="124"/>
      <c r="F3" s="124"/>
      <c r="G3" s="124"/>
      <c r="H3" s="124"/>
      <c r="I3" s="124"/>
      <c r="J3" s="124"/>
      <c r="K3" s="124"/>
      <c r="L3" s="124"/>
      <c r="M3" s="124"/>
    </row>
    <row r="4" spans="2:15" hidden="1">
      <c r="B4" s="121">
        <v>1902</v>
      </c>
      <c r="D4" s="124"/>
      <c r="E4" s="124"/>
      <c r="F4" s="124"/>
      <c r="G4" s="124"/>
      <c r="H4" s="124"/>
      <c r="I4" s="124"/>
      <c r="J4" s="124"/>
      <c r="K4" s="124"/>
      <c r="L4" s="124"/>
      <c r="M4" s="124"/>
    </row>
    <row r="5" spans="2:15" ht="15" hidden="1">
      <c r="B5" s="121">
        <v>1903</v>
      </c>
      <c r="D5" s="124" t="s">
        <v>12</v>
      </c>
      <c r="E5" s="124" t="s">
        <v>13</v>
      </c>
      <c r="F5" s="124" t="s">
        <v>13</v>
      </c>
      <c r="G5" s="5">
        <v>5000</v>
      </c>
      <c r="H5" s="5"/>
      <c r="I5" s="5"/>
      <c r="J5" s="124"/>
      <c r="K5" s="124"/>
      <c r="L5" s="124"/>
      <c r="M5" s="124"/>
    </row>
    <row r="6" spans="2:15" hidden="1">
      <c r="B6" s="121">
        <v>1904</v>
      </c>
      <c r="D6" s="124"/>
      <c r="E6" s="124"/>
      <c r="F6" s="124"/>
      <c r="G6" s="5"/>
      <c r="H6" s="5"/>
      <c r="I6" s="5"/>
      <c r="J6" s="124"/>
      <c r="K6" s="124"/>
      <c r="L6" s="124"/>
      <c r="M6" s="124"/>
    </row>
    <row r="7" spans="2:15" hidden="1">
      <c r="B7" s="121">
        <v>1905</v>
      </c>
      <c r="D7" s="124"/>
      <c r="E7" s="124"/>
      <c r="F7" s="124"/>
      <c r="G7" s="5"/>
      <c r="H7" s="5"/>
      <c r="I7" s="5"/>
      <c r="J7" s="124"/>
      <c r="K7" s="124"/>
      <c r="L7" s="124"/>
      <c r="M7" s="124"/>
    </row>
    <row r="8" spans="2:15" ht="15" hidden="1">
      <c r="B8" s="121">
        <v>1906</v>
      </c>
      <c r="D8" s="124">
        <v>1906</v>
      </c>
      <c r="E8" s="124" t="s">
        <v>14</v>
      </c>
      <c r="F8" s="6" t="s">
        <v>15</v>
      </c>
      <c r="G8" s="6">
        <v>37500</v>
      </c>
      <c r="H8" s="6"/>
      <c r="I8" s="6"/>
      <c r="J8" s="124"/>
      <c r="K8" s="124"/>
      <c r="L8" s="124"/>
      <c r="M8" s="124"/>
    </row>
    <row r="9" spans="2:15" ht="30" hidden="1">
      <c r="B9" s="121">
        <v>1907</v>
      </c>
      <c r="D9" s="124" t="s">
        <v>16</v>
      </c>
      <c r="E9" s="124" t="s">
        <v>17</v>
      </c>
      <c r="F9" s="7" t="s">
        <v>18</v>
      </c>
      <c r="G9" s="5">
        <v>25000000</v>
      </c>
      <c r="H9" s="5"/>
      <c r="I9" s="5"/>
      <c r="J9" s="124"/>
      <c r="K9" s="124"/>
      <c r="L9" s="124"/>
      <c r="M9" s="124"/>
    </row>
    <row r="10" spans="2:15" hidden="1">
      <c r="B10" s="121">
        <v>1908</v>
      </c>
      <c r="D10" s="124"/>
      <c r="E10" s="124"/>
      <c r="F10" s="7"/>
      <c r="G10" s="124"/>
      <c r="H10" s="124"/>
      <c r="I10" s="124"/>
      <c r="J10" s="124"/>
      <c r="K10" s="124"/>
      <c r="L10" s="124"/>
      <c r="M10" s="124"/>
    </row>
    <row r="11" spans="2:15" hidden="1">
      <c r="B11" s="121">
        <v>1909</v>
      </c>
      <c r="D11" s="124"/>
      <c r="E11" s="124"/>
      <c r="F11" s="7"/>
      <c r="G11" s="124"/>
      <c r="H11" s="124"/>
      <c r="I11" s="124"/>
      <c r="J11" s="124"/>
      <c r="K11" s="124"/>
      <c r="L11" s="124"/>
      <c r="M11" s="124"/>
    </row>
    <row r="12" spans="2:15" hidden="1">
      <c r="B12" s="121">
        <v>1910</v>
      </c>
      <c r="D12" s="124"/>
      <c r="E12" s="124"/>
      <c r="F12" s="7"/>
      <c r="G12" s="124"/>
      <c r="H12" s="124"/>
      <c r="I12" s="124"/>
      <c r="J12" s="124"/>
      <c r="K12" s="124"/>
      <c r="L12" s="124"/>
      <c r="M12" s="124"/>
    </row>
    <row r="13" spans="2:15" hidden="1">
      <c r="B13" s="121">
        <v>1911</v>
      </c>
      <c r="D13" s="124"/>
      <c r="E13" s="124"/>
      <c r="F13" s="7"/>
      <c r="G13" s="124"/>
      <c r="H13" s="124"/>
      <c r="I13" s="124"/>
      <c r="J13" s="124"/>
      <c r="K13" s="124"/>
      <c r="L13" s="124"/>
      <c r="M13" s="124"/>
    </row>
    <row r="14" spans="2:15" hidden="1">
      <c r="B14" s="121">
        <v>1912</v>
      </c>
      <c r="D14" s="124"/>
      <c r="E14" s="124"/>
      <c r="F14" s="7"/>
      <c r="G14" s="124"/>
      <c r="H14" s="124"/>
      <c r="I14" s="124"/>
      <c r="J14" s="124"/>
      <c r="K14" s="124"/>
      <c r="L14" s="124"/>
      <c r="M14" s="124"/>
    </row>
    <row r="15" spans="2:15" ht="30" hidden="1">
      <c r="B15" s="121">
        <v>1913</v>
      </c>
      <c r="D15" s="124" t="s">
        <v>19</v>
      </c>
      <c r="E15" s="124" t="s">
        <v>20</v>
      </c>
      <c r="F15" s="7" t="s">
        <v>21</v>
      </c>
      <c r="G15" s="5">
        <v>125000</v>
      </c>
      <c r="H15" s="5"/>
      <c r="I15" s="5"/>
      <c r="J15" s="124"/>
      <c r="K15" s="124"/>
      <c r="L15" s="124"/>
      <c r="M15" s="124"/>
    </row>
    <row r="16" spans="2:15" ht="45" hidden="1">
      <c r="B16" s="121">
        <v>1914</v>
      </c>
      <c r="D16" s="124" t="s">
        <v>22</v>
      </c>
      <c r="E16" s="124" t="s">
        <v>23</v>
      </c>
      <c r="F16" s="7" t="s">
        <v>24</v>
      </c>
      <c r="G16" s="124" t="s">
        <v>25</v>
      </c>
      <c r="H16" s="124"/>
      <c r="I16" s="124"/>
      <c r="J16" s="124"/>
      <c r="K16" s="124"/>
      <c r="L16" s="124"/>
      <c r="M16" s="124"/>
    </row>
    <row r="17" spans="2:15" hidden="1">
      <c r="B17" s="121">
        <v>1915</v>
      </c>
      <c r="D17" s="124"/>
      <c r="E17" s="124"/>
      <c r="F17" s="7"/>
      <c r="G17" s="124"/>
      <c r="H17" s="124"/>
      <c r="I17" s="124"/>
      <c r="J17" s="124"/>
      <c r="K17" s="124"/>
      <c r="L17" s="124"/>
      <c r="M17" s="124"/>
    </row>
    <row r="18" spans="2:15" ht="30" hidden="1">
      <c r="B18" s="121">
        <v>1916</v>
      </c>
      <c r="D18" s="124" t="s">
        <v>26</v>
      </c>
      <c r="E18" s="7" t="s">
        <v>27</v>
      </c>
      <c r="F18" s="7" t="s">
        <v>28</v>
      </c>
      <c r="G18" s="124"/>
      <c r="H18" s="124"/>
      <c r="I18" s="124"/>
      <c r="J18" s="124"/>
      <c r="K18" s="124"/>
      <c r="L18" s="124"/>
      <c r="M18" s="124"/>
    </row>
    <row r="19" spans="2:15" ht="30" hidden="1">
      <c r="B19" s="121"/>
      <c r="D19" s="124" t="s">
        <v>26</v>
      </c>
      <c r="E19" s="7" t="s">
        <v>29</v>
      </c>
      <c r="F19" s="7" t="s">
        <v>30</v>
      </c>
      <c r="G19" s="124"/>
      <c r="H19" s="124"/>
      <c r="I19" s="124"/>
      <c r="J19" s="124"/>
      <c r="K19" s="124"/>
      <c r="L19" s="124"/>
      <c r="M19" s="124"/>
    </row>
    <row r="20" spans="2:15" ht="30" hidden="1">
      <c r="B20" s="121">
        <v>1917</v>
      </c>
      <c r="D20" s="124" t="s">
        <v>31</v>
      </c>
      <c r="E20" s="124" t="s">
        <v>32</v>
      </c>
      <c r="F20" s="7" t="s">
        <v>33</v>
      </c>
      <c r="G20" s="124" t="s">
        <v>34</v>
      </c>
      <c r="H20" s="124"/>
      <c r="I20" s="124"/>
      <c r="J20" s="124"/>
      <c r="K20" s="124"/>
      <c r="L20" s="124"/>
      <c r="M20" s="124"/>
    </row>
    <row r="21" spans="2:15" ht="15" hidden="1">
      <c r="B21" s="121"/>
      <c r="D21" s="124" t="s">
        <v>35</v>
      </c>
      <c r="E21" s="124" t="s">
        <v>36</v>
      </c>
      <c r="F21" s="7" t="s">
        <v>15</v>
      </c>
      <c r="G21" s="5">
        <v>30000</v>
      </c>
      <c r="H21" s="5"/>
      <c r="I21" s="5"/>
      <c r="J21" s="124"/>
      <c r="K21" s="124"/>
      <c r="L21" s="124"/>
      <c r="M21" s="124"/>
    </row>
    <row r="22" spans="2:15" ht="75" hidden="1">
      <c r="B22" s="121"/>
      <c r="D22" s="124" t="s">
        <v>37</v>
      </c>
      <c r="E22" s="124" t="s">
        <v>38</v>
      </c>
      <c r="F22" s="7" t="s">
        <v>39</v>
      </c>
      <c r="G22" s="124" t="s">
        <v>40</v>
      </c>
      <c r="H22" s="124"/>
      <c r="I22" s="124"/>
      <c r="J22" s="124"/>
      <c r="K22" s="124"/>
      <c r="L22" s="124"/>
      <c r="M22" s="124"/>
    </row>
    <row r="23" spans="2:15" hidden="1">
      <c r="B23" s="121">
        <v>1918</v>
      </c>
      <c r="D23" s="124"/>
      <c r="E23" s="124"/>
      <c r="F23" s="7"/>
      <c r="G23" s="124"/>
      <c r="H23" s="124"/>
      <c r="I23" s="124"/>
      <c r="J23" s="124"/>
      <c r="K23" s="124"/>
      <c r="L23" s="124"/>
      <c r="M23" s="124"/>
    </row>
    <row r="24" spans="2:15" hidden="1">
      <c r="B24" s="121">
        <v>1919</v>
      </c>
      <c r="D24" s="124"/>
      <c r="E24" s="124"/>
      <c r="F24" s="7"/>
      <c r="G24" s="124"/>
      <c r="H24" s="124"/>
      <c r="I24" s="124"/>
      <c r="J24" s="124"/>
      <c r="K24" s="124"/>
      <c r="L24" s="124"/>
      <c r="M24" s="124"/>
    </row>
    <row r="25" spans="2:15" ht="30" hidden="1">
      <c r="B25" s="121">
        <v>1920</v>
      </c>
      <c r="D25" s="124" t="s">
        <v>41</v>
      </c>
      <c r="E25" s="124" t="s">
        <v>42</v>
      </c>
      <c r="F25" s="7" t="s">
        <v>18</v>
      </c>
      <c r="G25" s="5">
        <v>500000</v>
      </c>
      <c r="H25" s="5"/>
      <c r="I25" s="5"/>
      <c r="J25" s="124"/>
      <c r="K25" s="124"/>
      <c r="L25" s="124"/>
      <c r="M25" s="124"/>
    </row>
    <row r="26" spans="2:15" ht="30" hidden="1">
      <c r="B26" s="121">
        <v>1921</v>
      </c>
      <c r="D26" s="124">
        <v>1921</v>
      </c>
      <c r="E26" s="7" t="s">
        <v>43</v>
      </c>
      <c r="F26" s="7" t="s">
        <v>30</v>
      </c>
      <c r="G26" s="6">
        <v>5000000</v>
      </c>
      <c r="H26" s="6"/>
      <c r="I26" s="6"/>
      <c r="J26" s="124"/>
      <c r="K26" s="124"/>
      <c r="L26" s="124"/>
      <c r="M26" s="124"/>
    </row>
    <row r="27" spans="2:15" ht="45" hidden="1">
      <c r="B27" s="121"/>
      <c r="D27" s="124" t="s">
        <v>44</v>
      </c>
      <c r="E27" s="124" t="s">
        <v>45</v>
      </c>
      <c r="F27" s="7" t="s">
        <v>30</v>
      </c>
      <c r="G27" s="124" t="s">
        <v>46</v>
      </c>
      <c r="H27" s="124"/>
      <c r="I27" s="124"/>
      <c r="J27" s="124"/>
      <c r="K27" s="124"/>
      <c r="L27" s="124"/>
      <c r="M27" s="124"/>
    </row>
    <row r="28" spans="2:15" ht="30" hidden="1">
      <c r="B28" s="121">
        <v>1922</v>
      </c>
      <c r="D28" s="8">
        <v>1922</v>
      </c>
      <c r="E28" s="8" t="s">
        <v>47</v>
      </c>
      <c r="F28" s="8" t="s">
        <v>48</v>
      </c>
      <c r="G28" s="8"/>
      <c r="H28" s="8"/>
      <c r="I28" s="8" t="s">
        <v>49</v>
      </c>
      <c r="J28" s="8"/>
      <c r="K28" s="8"/>
      <c r="L28" s="8"/>
      <c r="M28" s="8"/>
      <c r="N28" s="9"/>
      <c r="O28" s="9"/>
    </row>
    <row r="29" spans="2:15" hidden="1">
      <c r="B29" s="121">
        <v>1923</v>
      </c>
      <c r="D29" s="124"/>
      <c r="E29" s="124"/>
      <c r="F29" s="7"/>
      <c r="G29" s="124"/>
      <c r="H29" s="124"/>
      <c r="I29" s="124"/>
      <c r="J29" s="124"/>
      <c r="K29" s="124"/>
      <c r="L29" s="124"/>
      <c r="M29" s="124"/>
    </row>
    <row r="30" spans="2:15" hidden="1">
      <c r="B30" s="121">
        <v>1924</v>
      </c>
      <c r="D30" s="124"/>
      <c r="E30" s="124"/>
      <c r="F30" s="7"/>
      <c r="G30" s="124"/>
      <c r="H30" s="124"/>
      <c r="I30" s="124"/>
      <c r="J30" s="124"/>
      <c r="K30" s="124"/>
      <c r="L30" s="124"/>
      <c r="M30" s="124"/>
    </row>
    <row r="31" spans="2:15" hidden="1">
      <c r="B31" s="121">
        <v>1925</v>
      </c>
      <c r="D31" s="124"/>
      <c r="E31" s="124"/>
      <c r="F31" s="7"/>
      <c r="G31" s="124"/>
      <c r="H31" s="124"/>
      <c r="I31" s="124"/>
      <c r="J31" s="124"/>
      <c r="K31" s="124"/>
      <c r="L31" s="124"/>
      <c r="M31" s="124"/>
    </row>
    <row r="32" spans="2:15" hidden="1">
      <c r="B32" s="121">
        <v>1926</v>
      </c>
      <c r="D32" s="124"/>
      <c r="E32" s="124"/>
      <c r="F32" s="7"/>
      <c r="G32" s="124"/>
      <c r="H32" s="124"/>
      <c r="I32" s="124"/>
      <c r="J32" s="124"/>
      <c r="K32" s="124"/>
      <c r="L32" s="124"/>
      <c r="M32" s="124"/>
    </row>
    <row r="33" spans="2:16" ht="15" hidden="1">
      <c r="B33" s="121">
        <v>1927</v>
      </c>
      <c r="D33" s="124">
        <v>1927</v>
      </c>
      <c r="E33" s="124" t="s">
        <v>50</v>
      </c>
      <c r="F33" s="7" t="s">
        <v>18</v>
      </c>
      <c r="G33" s="5">
        <v>6000000</v>
      </c>
      <c r="H33" s="5"/>
      <c r="I33" s="5"/>
      <c r="J33" s="124"/>
      <c r="K33" s="124"/>
      <c r="L33" s="124"/>
      <c r="M33" s="124"/>
    </row>
    <row r="34" spans="2:16" ht="45" hidden="1">
      <c r="B34" s="10"/>
      <c r="C34" s="9"/>
      <c r="D34" s="8">
        <v>1927</v>
      </c>
      <c r="E34" s="8" t="s">
        <v>51</v>
      </c>
      <c r="F34" s="8" t="s">
        <v>13</v>
      </c>
      <c r="G34" s="11"/>
      <c r="H34" s="11"/>
      <c r="I34" s="11"/>
      <c r="J34" s="8"/>
      <c r="K34" s="8"/>
      <c r="L34" s="8"/>
      <c r="M34" s="8" t="s">
        <v>52</v>
      </c>
      <c r="N34" s="9"/>
      <c r="P34" s="1" t="s">
        <v>53</v>
      </c>
    </row>
    <row r="35" spans="2:16" ht="45" hidden="1">
      <c r="B35" s="121">
        <v>1928</v>
      </c>
      <c r="D35" s="124" t="s">
        <v>54</v>
      </c>
      <c r="E35" s="7" t="s">
        <v>55</v>
      </c>
      <c r="F35" s="124" t="s">
        <v>56</v>
      </c>
      <c r="G35" s="5">
        <v>300000</v>
      </c>
      <c r="H35" s="5"/>
      <c r="I35" s="5"/>
      <c r="J35" s="124"/>
      <c r="K35" s="124"/>
      <c r="L35" s="124"/>
      <c r="M35" s="124"/>
    </row>
    <row r="36" spans="2:16" ht="30" hidden="1">
      <c r="B36" s="121"/>
      <c r="D36" s="124" t="s">
        <v>57</v>
      </c>
      <c r="E36" s="124" t="s">
        <v>58</v>
      </c>
      <c r="F36" s="7" t="s">
        <v>18</v>
      </c>
      <c r="G36" s="5">
        <v>3000000</v>
      </c>
      <c r="H36" s="5"/>
      <c r="I36" s="5"/>
      <c r="J36" s="124"/>
      <c r="K36" s="124"/>
      <c r="L36" s="124"/>
      <c r="M36" s="124"/>
    </row>
    <row r="37" spans="2:16" ht="15" hidden="1">
      <c r="B37" s="121">
        <v>1929</v>
      </c>
      <c r="D37" s="124">
        <v>1929</v>
      </c>
      <c r="E37" s="124" t="s">
        <v>59</v>
      </c>
      <c r="F37" s="7" t="s">
        <v>18</v>
      </c>
      <c r="G37" s="5">
        <v>2000000</v>
      </c>
      <c r="H37" s="5"/>
      <c r="I37" s="5"/>
      <c r="J37" s="124"/>
      <c r="K37" s="124"/>
      <c r="L37" s="124"/>
      <c r="M37" s="124"/>
    </row>
    <row r="38" spans="2:16" hidden="1">
      <c r="B38" s="121">
        <v>1930</v>
      </c>
      <c r="D38" s="124"/>
      <c r="E38" s="124"/>
      <c r="F38" s="7"/>
      <c r="G38" s="5"/>
      <c r="H38" s="5"/>
      <c r="I38" s="5"/>
      <c r="J38" s="124"/>
      <c r="K38" s="124"/>
      <c r="L38" s="124"/>
      <c r="M38" s="124"/>
    </row>
    <row r="39" spans="2:16" hidden="1">
      <c r="B39" s="121">
        <v>1931</v>
      </c>
      <c r="D39" s="124"/>
      <c r="E39" s="124"/>
      <c r="F39" s="7"/>
      <c r="G39" s="5"/>
      <c r="H39" s="5"/>
      <c r="I39" s="5"/>
      <c r="J39" s="124"/>
      <c r="K39" s="124"/>
      <c r="L39" s="124"/>
      <c r="M39" s="124"/>
    </row>
    <row r="40" spans="2:16" ht="75" hidden="1">
      <c r="B40" s="121">
        <v>1932</v>
      </c>
      <c r="D40" s="124" t="s">
        <v>60</v>
      </c>
      <c r="E40" s="124" t="s">
        <v>61</v>
      </c>
      <c r="F40" s="7" t="s">
        <v>62</v>
      </c>
      <c r="G40" s="7" t="s">
        <v>63</v>
      </c>
      <c r="H40" s="7"/>
      <c r="I40" s="7"/>
      <c r="J40" s="124"/>
      <c r="K40" s="124"/>
      <c r="L40" s="124"/>
      <c r="M40" s="124"/>
    </row>
    <row r="41" spans="2:16" hidden="1">
      <c r="B41" s="121">
        <v>1933</v>
      </c>
      <c r="D41" s="124"/>
      <c r="E41" s="124"/>
      <c r="F41" s="7"/>
      <c r="G41" s="7"/>
      <c r="H41" s="7"/>
      <c r="I41" s="7"/>
      <c r="J41" s="124"/>
      <c r="K41" s="124"/>
      <c r="L41" s="124"/>
      <c r="M41" s="124"/>
    </row>
    <row r="42" spans="2:16" hidden="1">
      <c r="B42" s="121">
        <v>1934</v>
      </c>
      <c r="D42" s="124"/>
      <c r="E42" s="124"/>
      <c r="F42" s="7"/>
      <c r="G42" s="7"/>
      <c r="H42" s="7"/>
      <c r="I42" s="7"/>
      <c r="J42" s="124"/>
      <c r="K42" s="124"/>
      <c r="L42" s="124"/>
      <c r="M42" s="124"/>
    </row>
    <row r="43" spans="2:16" hidden="1">
      <c r="B43" s="121">
        <v>1935</v>
      </c>
      <c r="D43" s="124"/>
      <c r="E43" s="124"/>
      <c r="F43" s="7"/>
      <c r="G43" s="7"/>
      <c r="H43" s="7"/>
      <c r="I43" s="7"/>
      <c r="J43" s="124"/>
      <c r="K43" s="124"/>
      <c r="L43" s="124"/>
      <c r="M43" s="124"/>
    </row>
    <row r="44" spans="2:16" ht="15" hidden="1">
      <c r="B44" s="121">
        <v>1936</v>
      </c>
      <c r="D44" s="124">
        <v>1936</v>
      </c>
      <c r="E44" s="124"/>
      <c r="F44" s="7" t="s">
        <v>18</v>
      </c>
      <c r="G44" s="6">
        <v>5000000</v>
      </c>
      <c r="H44" s="6"/>
      <c r="I44" s="6"/>
      <c r="J44" s="8"/>
      <c r="K44" s="124"/>
      <c r="L44" s="124"/>
      <c r="M44" s="124"/>
    </row>
    <row r="45" spans="2:16" hidden="1">
      <c r="B45" s="121">
        <v>1937</v>
      </c>
      <c r="D45" s="124"/>
      <c r="E45" s="124"/>
      <c r="F45" s="7"/>
      <c r="G45" s="7"/>
      <c r="H45" s="7"/>
      <c r="I45" s="7"/>
      <c r="J45" s="8"/>
      <c r="K45" s="124"/>
      <c r="L45" s="124"/>
      <c r="M45" s="124"/>
    </row>
    <row r="46" spans="2:16" hidden="1">
      <c r="B46" s="121">
        <v>1938</v>
      </c>
      <c r="D46" s="124"/>
      <c r="E46" s="124"/>
      <c r="F46" s="7"/>
      <c r="G46" s="7"/>
      <c r="H46" s="7"/>
      <c r="I46" s="7"/>
      <c r="J46" s="8"/>
      <c r="K46" s="124"/>
      <c r="L46" s="124"/>
      <c r="M46" s="124"/>
    </row>
    <row r="47" spans="2:16" hidden="1">
      <c r="B47" s="121">
        <v>1939</v>
      </c>
      <c r="D47" s="124"/>
      <c r="E47" s="124"/>
      <c r="F47" s="7"/>
      <c r="G47" s="7"/>
      <c r="H47" s="7"/>
      <c r="I47" s="7"/>
      <c r="J47" s="8"/>
      <c r="K47" s="124"/>
      <c r="L47" s="124"/>
      <c r="M47" s="124"/>
    </row>
    <row r="48" spans="2:16" ht="30" hidden="1">
      <c r="B48" s="121">
        <v>1940</v>
      </c>
      <c r="D48" s="124" t="s">
        <v>64</v>
      </c>
      <c r="E48" s="7" t="s">
        <v>65</v>
      </c>
      <c r="F48" s="7" t="s">
        <v>66</v>
      </c>
      <c r="G48" s="5">
        <v>112000</v>
      </c>
      <c r="H48" s="5"/>
      <c r="I48" s="5"/>
      <c r="J48" s="124"/>
      <c r="K48" s="124"/>
      <c r="L48" s="124"/>
      <c r="M48" s="124"/>
    </row>
    <row r="49" spans="2:13" ht="15" hidden="1">
      <c r="B49" s="121">
        <v>1941</v>
      </c>
      <c r="D49" s="124" t="s">
        <v>67</v>
      </c>
      <c r="E49" s="124" t="s">
        <v>68</v>
      </c>
      <c r="F49" s="7" t="s">
        <v>30</v>
      </c>
      <c r="G49" s="5">
        <v>1000000</v>
      </c>
      <c r="H49" s="5"/>
      <c r="I49" s="5"/>
      <c r="J49" s="124"/>
      <c r="K49" s="124"/>
      <c r="L49" s="124"/>
      <c r="M49" s="124"/>
    </row>
    <row r="50" spans="2:13" ht="15" hidden="1">
      <c r="B50" s="121"/>
      <c r="D50" s="124" t="s">
        <v>69</v>
      </c>
      <c r="E50" s="124" t="s">
        <v>70</v>
      </c>
      <c r="F50" s="7" t="s">
        <v>71</v>
      </c>
      <c r="G50" s="5">
        <v>300000</v>
      </c>
      <c r="H50" s="5"/>
      <c r="I50" s="5"/>
      <c r="J50" s="124"/>
      <c r="K50" s="124"/>
      <c r="L50" s="124"/>
      <c r="M50" s="124"/>
    </row>
    <row r="51" spans="2:13" s="9" customFormat="1" ht="30" hidden="1">
      <c r="B51" s="121">
        <v>1942</v>
      </c>
      <c r="D51" s="8" t="s">
        <v>72</v>
      </c>
      <c r="E51" s="8" t="s">
        <v>13</v>
      </c>
      <c r="F51" s="8" t="s">
        <v>13</v>
      </c>
      <c r="G51" s="11"/>
      <c r="H51" s="11"/>
      <c r="I51" s="11"/>
      <c r="J51" s="8"/>
      <c r="K51" s="8"/>
      <c r="L51" s="8" t="s">
        <v>73</v>
      </c>
      <c r="M51" s="8"/>
    </row>
    <row r="52" spans="2:13" ht="15" hidden="1">
      <c r="B52" s="121">
        <v>1943</v>
      </c>
      <c r="D52" s="124">
        <v>1943</v>
      </c>
      <c r="E52" s="124" t="s">
        <v>74</v>
      </c>
      <c r="F52" s="7" t="s">
        <v>18</v>
      </c>
      <c r="G52" s="5">
        <v>5000000</v>
      </c>
      <c r="H52" s="5"/>
      <c r="I52" s="5"/>
      <c r="J52" s="124"/>
      <c r="K52" s="124"/>
      <c r="L52" s="124"/>
      <c r="M52" s="124"/>
    </row>
    <row r="53" spans="2:13" ht="30" hidden="1">
      <c r="B53" s="121"/>
      <c r="D53" s="124">
        <v>1943</v>
      </c>
      <c r="E53" s="7" t="s">
        <v>75</v>
      </c>
      <c r="F53" s="7" t="s">
        <v>76</v>
      </c>
      <c r="G53" s="124" t="s">
        <v>77</v>
      </c>
      <c r="H53" s="124"/>
      <c r="I53" s="124"/>
      <c r="J53" s="124"/>
      <c r="K53" s="124"/>
      <c r="L53" s="124"/>
      <c r="M53" s="124"/>
    </row>
    <row r="54" spans="2:13" ht="45" hidden="1">
      <c r="B54" s="121"/>
      <c r="D54" s="124">
        <v>1943</v>
      </c>
      <c r="E54" s="7" t="s">
        <v>78</v>
      </c>
      <c r="F54" s="124" t="s">
        <v>56</v>
      </c>
      <c r="G54" s="5">
        <v>300000</v>
      </c>
      <c r="H54" s="5"/>
      <c r="I54" s="5"/>
      <c r="J54" s="124"/>
      <c r="K54" s="124"/>
      <c r="L54" s="124"/>
      <c r="M54" s="124"/>
    </row>
    <row r="55" spans="2:13" ht="15" hidden="1">
      <c r="B55" s="121">
        <v>1944</v>
      </c>
      <c r="D55" s="124">
        <v>1944</v>
      </c>
      <c r="E55" s="124" t="s">
        <v>79</v>
      </c>
      <c r="F55" s="7" t="s">
        <v>80</v>
      </c>
      <c r="G55" s="5">
        <v>20000</v>
      </c>
      <c r="H55" s="5"/>
      <c r="I55" s="5"/>
      <c r="J55" s="124"/>
      <c r="K55" s="124"/>
      <c r="L55" s="124"/>
      <c r="M55" s="124"/>
    </row>
    <row r="56" spans="2:13" ht="30" hidden="1">
      <c r="B56" s="121">
        <v>1945</v>
      </c>
      <c r="D56" s="124">
        <v>1945</v>
      </c>
      <c r="E56" s="7" t="s">
        <v>81</v>
      </c>
      <c r="F56" s="7" t="s">
        <v>82</v>
      </c>
      <c r="G56" s="124" t="s">
        <v>83</v>
      </c>
      <c r="H56" s="124"/>
      <c r="I56" s="124"/>
      <c r="J56" s="124"/>
      <c r="K56" s="124"/>
      <c r="L56" s="124"/>
      <c r="M56" s="124"/>
    </row>
    <row r="57" spans="2:13" hidden="1">
      <c r="B57" s="121">
        <v>1946</v>
      </c>
      <c r="D57" s="124"/>
      <c r="E57" s="7"/>
      <c r="F57" s="7"/>
      <c r="G57" s="124"/>
      <c r="H57" s="124"/>
      <c r="I57" s="124"/>
      <c r="J57" s="124"/>
      <c r="K57" s="124"/>
      <c r="L57" s="124"/>
      <c r="M57" s="124"/>
    </row>
    <row r="58" spans="2:13" ht="30" hidden="1">
      <c r="B58" s="121">
        <v>1947</v>
      </c>
      <c r="D58" s="124">
        <v>1947</v>
      </c>
      <c r="E58" s="7" t="s">
        <v>84</v>
      </c>
      <c r="F58" s="7" t="s">
        <v>85</v>
      </c>
      <c r="G58" s="124" t="s">
        <v>86</v>
      </c>
      <c r="H58" s="124"/>
      <c r="I58" s="124"/>
      <c r="J58" s="124"/>
      <c r="K58" s="124"/>
      <c r="L58" s="124"/>
      <c r="M58" s="124"/>
    </row>
    <row r="59" spans="2:13" hidden="1">
      <c r="B59" s="121">
        <v>1948</v>
      </c>
      <c r="D59" s="124"/>
      <c r="E59" s="7"/>
      <c r="F59" s="7"/>
      <c r="G59" s="124"/>
      <c r="H59" s="124"/>
      <c r="I59" s="124"/>
      <c r="J59" s="124"/>
      <c r="K59" s="124"/>
      <c r="L59" s="124"/>
      <c r="M59" s="124"/>
    </row>
    <row r="60" spans="2:13" hidden="1">
      <c r="B60" s="121">
        <v>1949</v>
      </c>
      <c r="D60" s="124"/>
      <c r="E60" s="7"/>
      <c r="F60" s="7"/>
      <c r="G60" s="124"/>
      <c r="H60" s="124"/>
      <c r="I60" s="124"/>
      <c r="J60" s="124"/>
      <c r="K60" s="124"/>
      <c r="L60" s="124"/>
      <c r="M60" s="124"/>
    </row>
    <row r="61" spans="2:13" hidden="1">
      <c r="B61" s="121">
        <v>1950</v>
      </c>
      <c r="D61" s="124"/>
      <c r="E61" s="7"/>
      <c r="F61" s="7"/>
      <c r="G61" s="124"/>
      <c r="H61" s="124"/>
      <c r="I61" s="124"/>
      <c r="J61" s="124"/>
      <c r="K61" s="124"/>
      <c r="L61" s="124"/>
      <c r="M61" s="124"/>
    </row>
    <row r="62" spans="2:13" hidden="1">
      <c r="B62" s="121">
        <v>1951</v>
      </c>
      <c r="D62" s="124"/>
      <c r="E62" s="7"/>
      <c r="F62" s="7"/>
      <c r="G62" s="124"/>
      <c r="H62" s="124"/>
      <c r="I62" s="124"/>
      <c r="J62" s="124"/>
      <c r="K62" s="124"/>
      <c r="L62" s="124"/>
      <c r="M62" s="124"/>
    </row>
    <row r="63" spans="2:13" hidden="1">
      <c r="B63" s="121">
        <v>1952</v>
      </c>
      <c r="D63" s="124"/>
      <c r="E63" s="7"/>
      <c r="F63" s="7"/>
      <c r="G63" s="124"/>
      <c r="H63" s="124"/>
      <c r="I63" s="124"/>
      <c r="J63" s="124"/>
      <c r="K63" s="124"/>
      <c r="L63" s="124"/>
      <c r="M63" s="124"/>
    </row>
    <row r="64" spans="2:13" hidden="1">
      <c r="B64" s="121">
        <v>1953</v>
      </c>
      <c r="D64" s="124"/>
      <c r="E64" s="7"/>
      <c r="F64" s="7"/>
      <c r="G64" s="124"/>
      <c r="H64" s="124"/>
      <c r="I64" s="124"/>
      <c r="J64" s="124"/>
      <c r="K64" s="124"/>
      <c r="L64" s="124"/>
      <c r="M64" s="124"/>
    </row>
    <row r="65" spans="2:19" hidden="1">
      <c r="B65" s="121">
        <v>1954</v>
      </c>
      <c r="D65" s="124"/>
      <c r="E65" s="7"/>
      <c r="F65" s="7"/>
      <c r="G65" s="124"/>
      <c r="H65" s="124"/>
      <c r="I65" s="124"/>
      <c r="J65" s="124"/>
      <c r="K65" s="124"/>
      <c r="L65" s="124"/>
      <c r="M65" s="124"/>
    </row>
    <row r="66" spans="2:19" hidden="1">
      <c r="B66" s="121">
        <v>1955</v>
      </c>
      <c r="D66" s="124"/>
      <c r="E66" s="7"/>
      <c r="F66" s="7"/>
      <c r="G66" s="124"/>
      <c r="H66" s="124"/>
      <c r="I66" s="124"/>
      <c r="J66" s="124"/>
      <c r="K66" s="124"/>
      <c r="L66" s="124"/>
      <c r="M66" s="124"/>
    </row>
    <row r="67" spans="2:19" hidden="1">
      <c r="B67" s="121">
        <v>1956</v>
      </c>
      <c r="D67" s="124"/>
      <c r="E67" s="7"/>
      <c r="F67" s="7"/>
      <c r="G67" s="124"/>
      <c r="H67" s="124"/>
      <c r="I67" s="124"/>
      <c r="J67" s="124"/>
      <c r="K67" s="124"/>
      <c r="L67" s="124"/>
      <c r="M67" s="124"/>
    </row>
    <row r="68" spans="2:19" hidden="1">
      <c r="B68" s="121">
        <v>1957</v>
      </c>
      <c r="D68" s="124"/>
      <c r="E68" s="7"/>
      <c r="F68" s="7"/>
      <c r="G68" s="124"/>
      <c r="H68" s="124"/>
      <c r="I68" s="124"/>
      <c r="J68" s="124"/>
      <c r="K68" s="124"/>
      <c r="L68" s="124"/>
      <c r="M68" s="124"/>
    </row>
    <row r="69" spans="2:19" ht="30" hidden="1">
      <c r="B69" s="121">
        <v>1958</v>
      </c>
      <c r="D69" s="124">
        <v>1958</v>
      </c>
      <c r="E69" s="7" t="s">
        <v>87</v>
      </c>
      <c r="F69" s="7" t="s">
        <v>88</v>
      </c>
      <c r="G69" s="5" t="s">
        <v>89</v>
      </c>
      <c r="H69" s="5"/>
      <c r="I69" s="5"/>
      <c r="J69" s="124"/>
      <c r="K69" s="124"/>
      <c r="L69" s="124"/>
      <c r="M69" s="124"/>
    </row>
    <row r="70" spans="2:19" ht="30" hidden="1">
      <c r="B70" s="121">
        <v>1959</v>
      </c>
      <c r="D70" s="124" t="s">
        <v>90</v>
      </c>
      <c r="E70" s="7" t="s">
        <v>91</v>
      </c>
      <c r="F70" s="7" t="s">
        <v>18</v>
      </c>
      <c r="G70" s="7" t="s">
        <v>92</v>
      </c>
      <c r="H70" s="7"/>
      <c r="I70" s="7"/>
      <c r="J70" s="124"/>
      <c r="K70" s="124"/>
      <c r="L70" s="124"/>
      <c r="M70" s="124"/>
    </row>
    <row r="71" spans="2:19" ht="15" hidden="1">
      <c r="B71" s="121">
        <v>1960</v>
      </c>
      <c r="D71" s="124"/>
      <c r="E71" s="8" t="s">
        <v>93</v>
      </c>
      <c r="F71" s="7"/>
      <c r="G71" s="7"/>
      <c r="H71" s="7"/>
      <c r="I71" s="7"/>
      <c r="J71" s="124"/>
      <c r="K71" s="124"/>
      <c r="L71" s="124"/>
      <c r="M71" s="124"/>
    </row>
    <row r="72" spans="2:19" hidden="1">
      <c r="B72" s="12">
        <v>1961</v>
      </c>
      <c r="D72" s="124"/>
      <c r="E72" s="7"/>
      <c r="F72" s="7"/>
      <c r="G72" s="7"/>
      <c r="H72" s="7"/>
      <c r="I72" s="7"/>
      <c r="J72" s="124"/>
      <c r="K72" s="124"/>
      <c r="L72" s="124"/>
      <c r="M72" s="124"/>
    </row>
    <row r="73" spans="2:19" hidden="1">
      <c r="B73" s="12">
        <v>1962</v>
      </c>
      <c r="D73" s="124"/>
      <c r="E73" s="7"/>
      <c r="F73" s="7"/>
      <c r="G73" s="7"/>
      <c r="H73" s="7"/>
      <c r="I73" s="7"/>
      <c r="J73" s="124"/>
      <c r="K73" s="124"/>
      <c r="L73" s="124"/>
      <c r="M73" s="124"/>
    </row>
    <row r="74" spans="2:19" hidden="1">
      <c r="B74" s="12">
        <v>1963</v>
      </c>
      <c r="D74" s="124"/>
      <c r="E74" s="7"/>
      <c r="F74" s="7"/>
      <c r="G74" s="7"/>
      <c r="H74" s="7"/>
      <c r="I74" s="7"/>
      <c r="J74" s="124"/>
      <c r="K74" s="124"/>
      <c r="L74" s="124"/>
      <c r="M74" s="124"/>
    </row>
    <row r="75" spans="2:19" hidden="1">
      <c r="B75" s="12">
        <v>1964</v>
      </c>
      <c r="D75" s="124"/>
      <c r="E75" s="7"/>
      <c r="F75" s="7"/>
      <c r="G75" s="7"/>
      <c r="H75" s="7"/>
      <c r="I75" s="7"/>
      <c r="J75" s="124"/>
      <c r="K75" s="124"/>
      <c r="L75" s="124"/>
      <c r="M75" s="124"/>
    </row>
    <row r="76" spans="2:19" hidden="1">
      <c r="B76" s="12">
        <v>1965</v>
      </c>
      <c r="D76" s="124"/>
      <c r="E76" s="7"/>
      <c r="F76" s="7"/>
      <c r="G76" s="7"/>
      <c r="H76" s="7"/>
      <c r="I76" s="7"/>
      <c r="J76" s="124"/>
      <c r="K76" s="124"/>
      <c r="L76" s="124"/>
      <c r="M76" s="124"/>
    </row>
    <row r="77" spans="2:19" ht="90">
      <c r="B77" s="12">
        <v>1966</v>
      </c>
      <c r="D77" s="124">
        <v>1966</v>
      </c>
      <c r="E77" s="7" t="s">
        <v>94</v>
      </c>
      <c r="F77" s="7" t="s">
        <v>88</v>
      </c>
      <c r="G77" s="7" t="s">
        <v>95</v>
      </c>
      <c r="H77" s="7">
        <f>(45000+60000)/2</f>
        <v>52500</v>
      </c>
      <c r="I77" s="13">
        <f>H77/O77*100</f>
        <v>0.20474911077461191</v>
      </c>
      <c r="J77" s="124"/>
      <c r="K77" s="124"/>
      <c r="L77" s="124"/>
      <c r="M77" s="124" t="s">
        <v>96</v>
      </c>
      <c r="N77" s="1" t="s">
        <v>97</v>
      </c>
      <c r="O77" s="1">
        <v>25641137</v>
      </c>
      <c r="P77" s="14" t="s">
        <v>98</v>
      </c>
      <c r="Q77" s="14" t="s">
        <v>99</v>
      </c>
    </row>
    <row r="78" spans="2:19" ht="75">
      <c r="B78" s="12">
        <v>1967</v>
      </c>
      <c r="D78" s="124" t="s">
        <v>100</v>
      </c>
      <c r="E78" s="124" t="s">
        <v>101</v>
      </c>
      <c r="F78" s="7" t="s">
        <v>13</v>
      </c>
      <c r="G78" s="5">
        <v>1000000</v>
      </c>
      <c r="H78" s="5">
        <v>1000000</v>
      </c>
      <c r="I78" s="13">
        <f>H78/O78*100</f>
        <v>1.9059020335097983</v>
      </c>
      <c r="J78" s="124"/>
      <c r="K78" s="124" t="s">
        <v>102</v>
      </c>
      <c r="L78" s="124" t="s">
        <v>103</v>
      </c>
      <c r="M78" s="124" t="s">
        <v>104</v>
      </c>
      <c r="N78" s="1" t="s">
        <v>105</v>
      </c>
      <c r="O78" s="15">
        <v>52468594</v>
      </c>
      <c r="P78" s="1" t="s">
        <v>106</v>
      </c>
      <c r="Q78" s="1" t="s">
        <v>99</v>
      </c>
      <c r="R78" s="1" t="s">
        <v>107</v>
      </c>
      <c r="S78" s="16" t="s">
        <v>108</v>
      </c>
    </row>
    <row r="79" spans="2:19" ht="225">
      <c r="B79" s="12">
        <v>1968</v>
      </c>
      <c r="D79" s="124" t="s">
        <v>109</v>
      </c>
      <c r="E79" s="124" t="s">
        <v>110</v>
      </c>
      <c r="F79" s="124" t="s">
        <v>111</v>
      </c>
      <c r="G79" s="5">
        <v>101000</v>
      </c>
      <c r="H79" s="5">
        <v>101000</v>
      </c>
      <c r="I79" s="13">
        <f>H79/O79*100</f>
        <v>0.51120699869713082</v>
      </c>
      <c r="J79" s="124"/>
      <c r="K79" s="124" t="s">
        <v>112</v>
      </c>
      <c r="L79" s="124" t="s">
        <v>113</v>
      </c>
      <c r="M79" s="124" t="s">
        <v>114</v>
      </c>
      <c r="N79" s="124" t="s">
        <v>111</v>
      </c>
      <c r="O79" s="4">
        <f>1083646+5565670+3500777+4173030+5434040</f>
        <v>19757163</v>
      </c>
      <c r="P79" s="1" t="s">
        <v>106</v>
      </c>
      <c r="Q79" s="1" t="s">
        <v>99</v>
      </c>
      <c r="R79" s="16" t="s">
        <v>115</v>
      </c>
      <c r="S79" s="16" t="s">
        <v>116</v>
      </c>
    </row>
    <row r="80" spans="2:19" hidden="1">
      <c r="B80" s="12">
        <v>1969</v>
      </c>
      <c r="D80" s="124"/>
      <c r="E80" s="124"/>
      <c r="F80" s="124"/>
      <c r="G80" s="5"/>
      <c r="H80" s="5"/>
      <c r="I80" s="13"/>
      <c r="J80" s="124"/>
      <c r="K80" s="124"/>
      <c r="L80" s="124"/>
      <c r="M80" s="124"/>
    </row>
    <row r="81" spans="2:18" hidden="1">
      <c r="B81" s="12">
        <v>1970</v>
      </c>
      <c r="D81" s="124"/>
      <c r="E81" s="124"/>
      <c r="F81" s="124"/>
      <c r="G81" s="5"/>
      <c r="H81" s="5"/>
      <c r="I81" s="13"/>
      <c r="J81" s="124"/>
      <c r="K81" s="124"/>
      <c r="L81" s="124"/>
      <c r="M81" s="124"/>
    </row>
    <row r="82" spans="2:18" hidden="1">
      <c r="B82" s="12">
        <v>1971</v>
      </c>
      <c r="D82" s="124"/>
      <c r="E82" s="124"/>
      <c r="F82" s="124"/>
      <c r="G82" s="5"/>
      <c r="H82" s="5"/>
      <c r="I82" s="13"/>
      <c r="J82" s="124"/>
      <c r="K82" s="124"/>
      <c r="L82" s="124"/>
      <c r="M82" s="124"/>
    </row>
    <row r="83" spans="2:18" ht="105">
      <c r="B83" s="12">
        <v>1972</v>
      </c>
      <c r="D83" s="124">
        <v>1972</v>
      </c>
      <c r="E83" s="124" t="s">
        <v>117</v>
      </c>
      <c r="F83" s="124" t="s">
        <v>118</v>
      </c>
      <c r="G83" s="5">
        <v>100000</v>
      </c>
      <c r="H83" s="5">
        <v>100000</v>
      </c>
      <c r="I83" s="13">
        <f>H83/O83*100</f>
        <v>1.7217667228095195E-2</v>
      </c>
      <c r="J83" s="124"/>
      <c r="K83" s="124"/>
      <c r="L83" s="124" t="s">
        <v>119</v>
      </c>
      <c r="M83" s="124" t="s">
        <v>120</v>
      </c>
      <c r="N83" s="1" t="s">
        <v>121</v>
      </c>
      <c r="O83" s="1">
        <v>580798773</v>
      </c>
      <c r="P83" s="1" t="s">
        <v>99</v>
      </c>
      <c r="Q83" s="17" t="s">
        <v>122</v>
      </c>
    </row>
    <row r="84" spans="2:18" ht="225">
      <c r="B84" s="12"/>
      <c r="D84" s="124" t="s">
        <v>123</v>
      </c>
      <c r="E84" s="124" t="s">
        <v>124</v>
      </c>
      <c r="F84" s="7" t="s">
        <v>88</v>
      </c>
      <c r="G84" s="6" t="s">
        <v>125</v>
      </c>
      <c r="H84" s="6">
        <f>(200000+500000)/2</f>
        <v>350000</v>
      </c>
      <c r="I84" s="13">
        <f>H84/O84*100</f>
        <v>1.1614197207940353</v>
      </c>
      <c r="J84" s="124"/>
      <c r="K84" s="124" t="s">
        <v>126</v>
      </c>
      <c r="L84" s="1" t="s">
        <v>127</v>
      </c>
      <c r="M84" s="124" t="s">
        <v>128</v>
      </c>
      <c r="N84" s="1" t="s">
        <v>129</v>
      </c>
      <c r="O84" s="15">
        <v>30135531</v>
      </c>
      <c r="P84" s="18" t="s">
        <v>106</v>
      </c>
      <c r="Q84" s="18" t="s">
        <v>99</v>
      </c>
      <c r="R84" s="18" t="s">
        <v>98</v>
      </c>
    </row>
    <row r="85" spans="2:18" hidden="1">
      <c r="B85" s="12">
        <v>1973</v>
      </c>
      <c r="D85" s="124"/>
      <c r="E85" s="124"/>
      <c r="F85" s="7"/>
      <c r="G85" s="6"/>
      <c r="H85" s="6"/>
      <c r="I85" s="13"/>
      <c r="J85" s="124"/>
      <c r="K85" s="124"/>
      <c r="L85" s="124"/>
      <c r="M85" s="124"/>
    </row>
    <row r="86" spans="2:18" ht="165">
      <c r="B86" s="12">
        <v>1974</v>
      </c>
      <c r="D86" s="124" t="s">
        <v>130</v>
      </c>
      <c r="E86" s="124" t="s">
        <v>131</v>
      </c>
      <c r="F86" s="7" t="s">
        <v>131</v>
      </c>
      <c r="G86" s="6">
        <v>20000</v>
      </c>
      <c r="H86" s="6">
        <v>20000</v>
      </c>
      <c r="I86" s="13">
        <f>H86/O86*100</f>
        <v>0.54876128116003753</v>
      </c>
      <c r="J86" s="124"/>
      <c r="K86" s="124" t="s">
        <v>132</v>
      </c>
      <c r="L86" s="124" t="s">
        <v>133</v>
      </c>
      <c r="M86" s="124" t="s">
        <v>134</v>
      </c>
      <c r="N86" s="1" t="s">
        <v>135</v>
      </c>
      <c r="O86" s="15">
        <v>3644572</v>
      </c>
      <c r="P86" s="1" t="s">
        <v>99</v>
      </c>
      <c r="Q86" s="17" t="s">
        <v>136</v>
      </c>
    </row>
    <row r="87" spans="2:18" ht="135">
      <c r="B87" s="12"/>
      <c r="D87" s="124">
        <v>1974</v>
      </c>
      <c r="E87" s="7" t="s">
        <v>137</v>
      </c>
      <c r="F87" s="7" t="s">
        <v>138</v>
      </c>
      <c r="G87" s="11">
        <v>1500000</v>
      </c>
      <c r="H87" s="11">
        <v>1500000</v>
      </c>
      <c r="I87" s="13">
        <f>H87/O87*100</f>
        <v>2.116157254241382</v>
      </c>
      <c r="J87" s="124"/>
      <c r="K87" s="124" t="s">
        <v>139</v>
      </c>
      <c r="L87" s="124" t="s">
        <v>140</v>
      </c>
      <c r="M87" s="124" t="s">
        <v>141</v>
      </c>
      <c r="N87" s="1" t="s">
        <v>142</v>
      </c>
      <c r="O87" s="15">
        <v>70883201</v>
      </c>
      <c r="P87" s="18" t="s">
        <v>99</v>
      </c>
      <c r="Q87" s="19" t="s">
        <v>143</v>
      </c>
      <c r="R87" s="17" t="s">
        <v>144</v>
      </c>
    </row>
    <row r="88" spans="2:18" ht="105">
      <c r="B88" s="12">
        <v>1975</v>
      </c>
      <c r="D88" s="124" t="s">
        <v>145</v>
      </c>
      <c r="E88" s="124" t="s">
        <v>146</v>
      </c>
      <c r="F88" s="7" t="s">
        <v>147</v>
      </c>
      <c r="G88" s="5" t="s">
        <v>148</v>
      </c>
      <c r="H88" s="5">
        <f>(1500000+2000000)/2</f>
        <v>1750000</v>
      </c>
      <c r="I88" s="13">
        <f>H88/O88*100</f>
        <v>23.125774878642542</v>
      </c>
      <c r="J88" s="124"/>
      <c r="K88" s="124" t="s">
        <v>149</v>
      </c>
      <c r="L88" s="124" t="s">
        <v>150</v>
      </c>
      <c r="M88" s="124" t="s">
        <v>151</v>
      </c>
      <c r="O88" s="15">
        <v>7567314</v>
      </c>
      <c r="P88" s="1" t="s">
        <v>99</v>
      </c>
      <c r="Q88" s="17" t="s">
        <v>152</v>
      </c>
    </row>
    <row r="89" spans="2:18" hidden="1">
      <c r="B89" s="12">
        <v>1976</v>
      </c>
      <c r="D89" s="124"/>
      <c r="E89" s="124"/>
      <c r="F89" s="7"/>
      <c r="G89" s="5"/>
      <c r="H89" s="5"/>
      <c r="I89" s="13"/>
      <c r="J89" s="124"/>
      <c r="K89" s="124"/>
      <c r="L89" s="124"/>
      <c r="M89" s="124"/>
    </row>
    <row r="90" spans="2:18" hidden="1">
      <c r="B90" s="12">
        <v>1977</v>
      </c>
      <c r="D90" s="124"/>
      <c r="E90" s="124"/>
      <c r="F90" s="7"/>
      <c r="G90" s="5"/>
      <c r="H90" s="5"/>
      <c r="I90" s="13"/>
      <c r="J90" s="124"/>
      <c r="K90" s="124"/>
      <c r="L90" s="124"/>
      <c r="M90" s="124"/>
    </row>
    <row r="91" spans="2:18" hidden="1">
      <c r="B91" s="12">
        <v>1978</v>
      </c>
      <c r="D91" s="124"/>
      <c r="E91" s="124"/>
      <c r="F91" s="7"/>
      <c r="G91" s="5"/>
      <c r="H91" s="5"/>
      <c r="I91" s="13"/>
      <c r="J91" s="124"/>
      <c r="K91" s="124"/>
      <c r="L91" s="124"/>
      <c r="M91" s="124"/>
    </row>
    <row r="92" spans="2:18" hidden="1">
      <c r="B92" s="12">
        <v>1979</v>
      </c>
      <c r="D92" s="124"/>
      <c r="E92" s="124"/>
      <c r="F92" s="7"/>
      <c r="G92" s="5"/>
      <c r="H92" s="5"/>
      <c r="I92" s="13"/>
      <c r="J92" s="124"/>
      <c r="K92" s="124"/>
      <c r="L92" s="124"/>
      <c r="M92" s="124"/>
    </row>
    <row r="93" spans="2:18" ht="255">
      <c r="B93" s="12">
        <v>1980</v>
      </c>
      <c r="D93" s="124" t="s">
        <v>153</v>
      </c>
      <c r="E93" s="7" t="s">
        <v>154</v>
      </c>
      <c r="F93" s="7" t="s">
        <v>155</v>
      </c>
      <c r="G93" s="6" t="s">
        <v>156</v>
      </c>
      <c r="H93" s="6">
        <f>(30000+50000)/2</f>
        <v>40000</v>
      </c>
      <c r="I93" s="13">
        <f>H93/O93*100</f>
        <v>0.31873071230975464</v>
      </c>
      <c r="J93" s="124"/>
      <c r="K93" s="124" t="s">
        <v>157</v>
      </c>
      <c r="L93" s="124" t="s">
        <v>158</v>
      </c>
      <c r="M93" s="124" t="s">
        <v>159</v>
      </c>
      <c r="N93" s="1" t="s">
        <v>160</v>
      </c>
      <c r="O93" s="15">
        <v>12549779</v>
      </c>
      <c r="P93" s="18" t="s">
        <v>161</v>
      </c>
      <c r="Q93" s="18" t="s">
        <v>99</v>
      </c>
      <c r="R93" s="17" t="s">
        <v>162</v>
      </c>
    </row>
    <row r="94" spans="2:18" hidden="1">
      <c r="B94" s="12">
        <v>1981</v>
      </c>
      <c r="D94" s="124"/>
      <c r="E94" s="7"/>
      <c r="F94" s="7"/>
      <c r="G94" s="6"/>
      <c r="H94" s="6"/>
      <c r="I94" s="13"/>
      <c r="J94" s="124"/>
      <c r="K94" s="124"/>
      <c r="L94" s="124"/>
      <c r="M94" s="124"/>
    </row>
    <row r="95" spans="2:18" ht="105">
      <c r="B95" s="12">
        <v>1982</v>
      </c>
      <c r="D95" s="124" t="s">
        <v>163</v>
      </c>
      <c r="E95" s="7" t="s">
        <v>48</v>
      </c>
      <c r="F95" s="7" t="s">
        <v>48</v>
      </c>
      <c r="G95" s="6">
        <v>100000</v>
      </c>
      <c r="H95" s="6">
        <v>100000</v>
      </c>
      <c r="I95" s="13">
        <f>H95/O95*100</f>
        <v>0.78559168290942938</v>
      </c>
      <c r="J95" s="124"/>
      <c r="K95" s="124" t="s">
        <v>164</v>
      </c>
      <c r="L95" s="124" t="s">
        <v>165</v>
      </c>
      <c r="M95" s="124" t="s">
        <v>166</v>
      </c>
      <c r="O95" s="15">
        <v>12729259</v>
      </c>
      <c r="P95" s="18" t="s">
        <v>99</v>
      </c>
      <c r="Q95" s="18" t="s">
        <v>167</v>
      </c>
    </row>
    <row r="96" spans="2:18" hidden="1">
      <c r="B96" s="12">
        <v>1983</v>
      </c>
      <c r="D96" s="124"/>
      <c r="E96" s="7"/>
      <c r="F96" s="7"/>
      <c r="G96" s="6"/>
      <c r="H96" s="6"/>
      <c r="I96" s="13"/>
      <c r="J96" s="124"/>
      <c r="K96" s="124"/>
      <c r="L96" s="124"/>
      <c r="M96" s="124"/>
    </row>
    <row r="97" spans="2:18" ht="90">
      <c r="B97" s="12">
        <v>1984</v>
      </c>
      <c r="D97" s="124" t="s">
        <v>168</v>
      </c>
      <c r="E97" s="7" t="s">
        <v>169</v>
      </c>
      <c r="F97" s="7" t="s">
        <v>170</v>
      </c>
      <c r="G97" s="6">
        <v>250000</v>
      </c>
      <c r="H97" s="6">
        <v>250000</v>
      </c>
      <c r="I97" s="13">
        <f>H97/O97*100</f>
        <v>1.5099073780536896</v>
      </c>
      <c r="J97" s="124"/>
      <c r="K97" s="124" t="s">
        <v>171</v>
      </c>
      <c r="L97" s="124" t="s">
        <v>172</v>
      </c>
      <c r="M97" s="124" t="s">
        <v>173</v>
      </c>
      <c r="N97" s="1" t="s">
        <v>174</v>
      </c>
      <c r="O97" s="15">
        <v>16557307</v>
      </c>
      <c r="P97" s="1" t="s">
        <v>99</v>
      </c>
      <c r="Q97" s="18" t="s">
        <v>175</v>
      </c>
    </row>
    <row r="98" spans="2:18" ht="120">
      <c r="B98" s="12"/>
      <c r="D98" s="124" t="s">
        <v>168</v>
      </c>
      <c r="E98" s="7" t="s">
        <v>176</v>
      </c>
      <c r="F98" s="7" t="s">
        <v>88</v>
      </c>
      <c r="G98" s="5">
        <v>1000000</v>
      </c>
      <c r="H98" s="5">
        <v>1000000</v>
      </c>
      <c r="I98" s="13">
        <f>H98/O98*100</f>
        <v>2.5320551856363598</v>
      </c>
      <c r="J98" s="124"/>
      <c r="K98" s="124" t="s">
        <v>177</v>
      </c>
      <c r="L98" s="124" t="s">
        <v>178</v>
      </c>
      <c r="M98" s="124" t="s">
        <v>179</v>
      </c>
      <c r="O98" s="15">
        <v>39493610</v>
      </c>
      <c r="P98" s="1" t="s">
        <v>99</v>
      </c>
      <c r="Q98" s="1" t="s">
        <v>107</v>
      </c>
    </row>
    <row r="99" spans="2:18" hidden="1">
      <c r="B99" s="12">
        <v>1985</v>
      </c>
      <c r="D99" s="124"/>
      <c r="E99" s="7"/>
      <c r="F99" s="7"/>
      <c r="G99" s="5"/>
      <c r="H99" s="5"/>
      <c r="I99" s="13"/>
      <c r="J99" s="124"/>
      <c r="K99" s="124"/>
      <c r="L99" s="124"/>
      <c r="M99" s="124"/>
    </row>
    <row r="100" spans="2:18" hidden="1">
      <c r="B100" s="12">
        <v>1986</v>
      </c>
      <c r="D100" s="124"/>
      <c r="E100" s="7"/>
      <c r="F100" s="7"/>
      <c r="G100" s="5"/>
      <c r="H100" s="5"/>
      <c r="I100" s="13"/>
      <c r="J100" s="124"/>
      <c r="K100" s="124"/>
      <c r="L100" s="124"/>
      <c r="M100" s="124"/>
    </row>
    <row r="101" spans="2:18" hidden="1">
      <c r="B101" s="12">
        <v>1987</v>
      </c>
      <c r="D101" s="124"/>
      <c r="E101" s="7"/>
      <c r="F101" s="7"/>
      <c r="G101" s="5"/>
      <c r="H101" s="5"/>
      <c r="I101" s="13"/>
      <c r="J101" s="124"/>
      <c r="K101" s="124"/>
      <c r="L101" s="124"/>
      <c r="M101" s="124"/>
    </row>
    <row r="102" spans="2:18" ht="45">
      <c r="B102" s="12">
        <v>1988</v>
      </c>
      <c r="D102" s="124">
        <v>1988</v>
      </c>
      <c r="E102" s="7" t="s">
        <v>180</v>
      </c>
      <c r="F102" s="7" t="s">
        <v>170</v>
      </c>
      <c r="G102" s="5">
        <v>250000</v>
      </c>
      <c r="H102" s="5">
        <v>250000</v>
      </c>
      <c r="I102" s="13">
        <f>H102/O102*100</f>
        <v>1.3381710178278636</v>
      </c>
      <c r="J102" s="124"/>
      <c r="K102" s="124" t="s">
        <v>181</v>
      </c>
      <c r="L102" s="124" t="s">
        <v>182</v>
      </c>
      <c r="M102" s="124" t="s">
        <v>183</v>
      </c>
      <c r="N102" s="1" t="s">
        <v>184</v>
      </c>
      <c r="O102" s="15">
        <v>18682216</v>
      </c>
      <c r="P102" s="1" t="s">
        <v>99</v>
      </c>
      <c r="Q102" s="17" t="s">
        <v>185</v>
      </c>
      <c r="R102" s="17" t="s">
        <v>186</v>
      </c>
    </row>
    <row r="103" spans="2:18" hidden="1">
      <c r="B103" s="12">
        <v>1989</v>
      </c>
      <c r="D103" s="124"/>
      <c r="E103" s="7"/>
      <c r="F103" s="7"/>
      <c r="G103" s="5"/>
      <c r="H103" s="5"/>
      <c r="I103" s="13"/>
      <c r="J103" s="124"/>
      <c r="K103" s="124"/>
      <c r="L103" s="124"/>
      <c r="M103" s="124"/>
    </row>
    <row r="104" spans="2:18" hidden="1">
      <c r="B104" s="12">
        <v>1990</v>
      </c>
      <c r="D104" s="124"/>
      <c r="E104" s="7"/>
      <c r="F104" s="7"/>
      <c r="G104" s="5"/>
      <c r="H104" s="5"/>
      <c r="I104" s="13"/>
      <c r="J104" s="124"/>
      <c r="K104" s="124"/>
      <c r="L104" s="124"/>
      <c r="M104" s="124"/>
    </row>
    <row r="105" spans="2:18" ht="150">
      <c r="B105" s="12">
        <v>1991</v>
      </c>
      <c r="D105" s="124" t="s">
        <v>187</v>
      </c>
      <c r="E105" s="124" t="s">
        <v>188</v>
      </c>
      <c r="F105" s="7" t="s">
        <v>131</v>
      </c>
      <c r="G105" s="6">
        <v>300000</v>
      </c>
      <c r="H105" s="6">
        <v>300000</v>
      </c>
      <c r="I105" s="13">
        <f>H105/O105*100</f>
        <v>4.7471877264309645</v>
      </c>
      <c r="J105" s="124"/>
      <c r="K105" s="124" t="s">
        <v>189</v>
      </c>
      <c r="L105" s="124" t="s">
        <v>190</v>
      </c>
      <c r="M105" s="124" t="s">
        <v>191</v>
      </c>
      <c r="N105" s="1" t="s">
        <v>192</v>
      </c>
      <c r="O105" s="15">
        <v>6319531</v>
      </c>
      <c r="P105" s="1" t="s">
        <v>99</v>
      </c>
      <c r="Q105" s="17" t="s">
        <v>193</v>
      </c>
      <c r="R105" s="19" t="s">
        <v>194</v>
      </c>
    </row>
    <row r="106" spans="2:18" hidden="1">
      <c r="B106" s="12">
        <v>1992</v>
      </c>
      <c r="D106" s="124"/>
      <c r="E106" s="124"/>
      <c r="F106" s="7"/>
      <c r="G106" s="6"/>
      <c r="H106" s="6"/>
      <c r="I106" s="13"/>
      <c r="J106" s="124"/>
      <c r="K106" s="124"/>
      <c r="L106" s="124"/>
      <c r="M106" s="124"/>
    </row>
    <row r="107" spans="2:18" hidden="1">
      <c r="B107" s="12">
        <v>1993</v>
      </c>
      <c r="D107" s="124"/>
      <c r="E107" s="124"/>
      <c r="F107" s="7"/>
      <c r="G107" s="6"/>
      <c r="H107" s="6"/>
      <c r="I107" s="13"/>
      <c r="J107" s="124"/>
      <c r="K107" s="124"/>
      <c r="L107" s="124"/>
      <c r="M107" s="124"/>
    </row>
    <row r="108" spans="2:18" hidden="1">
      <c r="B108" s="12">
        <v>1994</v>
      </c>
      <c r="D108" s="124"/>
      <c r="E108" s="124"/>
      <c r="F108" s="7"/>
      <c r="G108" s="6"/>
      <c r="H108" s="6"/>
      <c r="I108" s="13"/>
      <c r="J108" s="124"/>
      <c r="K108" s="124"/>
      <c r="L108" s="124"/>
      <c r="M108" s="124"/>
    </row>
    <row r="109" spans="2:18" hidden="1">
      <c r="B109" s="12">
        <v>1995</v>
      </c>
      <c r="D109" s="124"/>
      <c r="E109" s="124"/>
      <c r="F109" s="7"/>
      <c r="G109" s="6"/>
      <c r="H109" s="6"/>
      <c r="I109" s="13"/>
      <c r="J109" s="124"/>
      <c r="K109" s="124"/>
      <c r="L109" s="124"/>
      <c r="M109" s="124"/>
    </row>
    <row r="110" spans="2:18" ht="105">
      <c r="B110" s="12">
        <v>1996</v>
      </c>
      <c r="D110" s="124">
        <v>1996</v>
      </c>
      <c r="E110" s="124" t="s">
        <v>195</v>
      </c>
      <c r="F110" s="7" t="s">
        <v>196</v>
      </c>
      <c r="G110" s="124" t="s">
        <v>197</v>
      </c>
      <c r="H110" s="124">
        <f>(200000+3500000)/2</f>
        <v>1850000</v>
      </c>
      <c r="I110" s="13">
        <f>H110/O110*100</f>
        <v>8.402781947626778</v>
      </c>
      <c r="J110" s="124"/>
      <c r="K110" s="124" t="s">
        <v>198</v>
      </c>
      <c r="L110" s="124" t="s">
        <v>199</v>
      </c>
      <c r="M110" s="124" t="s">
        <v>200</v>
      </c>
      <c r="N110" s="1" t="s">
        <v>201</v>
      </c>
      <c r="O110" s="15">
        <v>22016518</v>
      </c>
      <c r="P110" s="17" t="s">
        <v>202</v>
      </c>
      <c r="Q110" s="18" t="s">
        <v>203</v>
      </c>
    </row>
    <row r="111" spans="2:18" hidden="1">
      <c r="B111" s="12">
        <v>1997</v>
      </c>
      <c r="D111" s="124"/>
      <c r="E111" s="124"/>
      <c r="F111" s="7"/>
      <c r="G111" s="124"/>
      <c r="H111" s="124"/>
      <c r="I111" s="13"/>
      <c r="J111" s="124"/>
      <c r="K111" s="124"/>
      <c r="L111" s="124"/>
      <c r="M111" s="124"/>
    </row>
    <row r="112" spans="2:18" ht="45">
      <c r="B112" s="12">
        <v>1998</v>
      </c>
      <c r="D112" s="124">
        <v>1998</v>
      </c>
      <c r="E112" s="124" t="s">
        <v>204</v>
      </c>
      <c r="F112" s="7" t="s">
        <v>170</v>
      </c>
      <c r="G112" s="6">
        <v>70000</v>
      </c>
      <c r="H112" s="6">
        <v>70000</v>
      </c>
      <c r="I112" s="13">
        <f>H112/O112*100</f>
        <v>0.26423816193216682</v>
      </c>
      <c r="J112" s="124"/>
      <c r="K112" s="124" t="s">
        <v>205</v>
      </c>
      <c r="L112" s="124" t="s">
        <v>206</v>
      </c>
      <c r="M112" s="124"/>
      <c r="O112" s="15">
        <v>26491253</v>
      </c>
      <c r="P112" s="17" t="s">
        <v>207</v>
      </c>
      <c r="Q112" s="19" t="s">
        <v>208</v>
      </c>
      <c r="R112" s="18"/>
    </row>
    <row r="113" spans="2:18" ht="60">
      <c r="B113" s="12"/>
      <c r="D113" s="124" t="s">
        <v>209</v>
      </c>
      <c r="E113" s="124" t="s">
        <v>210</v>
      </c>
      <c r="F113" s="7" t="s">
        <v>88</v>
      </c>
      <c r="G113" s="11" t="s">
        <v>211</v>
      </c>
      <c r="H113" s="11">
        <f>(19900+100000)/2</f>
        <v>59950</v>
      </c>
      <c r="I113" s="13">
        <f>H113/O113*100</f>
        <v>9.6144683202226411E-2</v>
      </c>
      <c r="J113" s="124"/>
      <c r="K113" s="124"/>
      <c r="L113" s="124" t="s">
        <v>212</v>
      </c>
      <c r="M113" s="124" t="s">
        <v>213</v>
      </c>
      <c r="N113" s="1" t="s">
        <v>214</v>
      </c>
      <c r="O113" s="15">
        <v>62353942</v>
      </c>
      <c r="P113" s="20" t="s">
        <v>215</v>
      </c>
      <c r="Q113" s="21" t="s">
        <v>216</v>
      </c>
      <c r="R113" s="18" t="s">
        <v>107</v>
      </c>
    </row>
    <row r="114" spans="2:18" ht="225">
      <c r="B114" s="12"/>
      <c r="D114" s="124" t="s">
        <v>217</v>
      </c>
      <c r="E114" s="7" t="s">
        <v>218</v>
      </c>
      <c r="F114" s="7" t="s">
        <v>219</v>
      </c>
      <c r="G114" s="5" t="s">
        <v>220</v>
      </c>
      <c r="H114" s="11">
        <f>(3800000+5400000)/2</f>
        <v>4600000</v>
      </c>
      <c r="I114" s="13">
        <f>H114/O114*100</f>
        <v>8.8239922200011556</v>
      </c>
      <c r="J114" s="124"/>
      <c r="K114" s="124" t="s">
        <v>221</v>
      </c>
      <c r="L114" s="124" t="s">
        <v>222</v>
      </c>
      <c r="M114" s="124" t="s">
        <v>223</v>
      </c>
      <c r="O114" s="1">
        <f>44960941+7169658</f>
        <v>52130599</v>
      </c>
      <c r="P114" s="17" t="s">
        <v>224</v>
      </c>
      <c r="Q114" s="19" t="s">
        <v>225</v>
      </c>
    </row>
    <row r="115" spans="2:18" hidden="1">
      <c r="B115" s="12">
        <v>1999</v>
      </c>
      <c r="D115" s="124"/>
      <c r="E115" s="7"/>
      <c r="F115" s="7"/>
      <c r="G115" s="5"/>
      <c r="H115" s="5"/>
      <c r="I115" s="13"/>
      <c r="J115" s="124"/>
      <c r="K115" s="124"/>
      <c r="L115" s="124"/>
      <c r="M115" s="124"/>
    </row>
    <row r="116" spans="2:18" ht="285">
      <c r="B116" s="121">
        <v>2000</v>
      </c>
      <c r="D116" s="124" t="s">
        <v>226</v>
      </c>
      <c r="E116" s="7" t="s">
        <v>227</v>
      </c>
      <c r="F116" s="7" t="s">
        <v>228</v>
      </c>
      <c r="G116" s="5"/>
      <c r="H116" s="5"/>
      <c r="I116" s="5"/>
      <c r="J116" s="124"/>
      <c r="K116" s="124" t="s">
        <v>229</v>
      </c>
      <c r="L116" s="124" t="s">
        <v>230</v>
      </c>
      <c r="M116" s="124" t="s">
        <v>231</v>
      </c>
      <c r="N116" s="1" t="s">
        <v>232</v>
      </c>
      <c r="P116" s="17" t="s">
        <v>233</v>
      </c>
    </row>
    <row r="117" spans="2:18" hidden="1">
      <c r="B117" s="121">
        <v>2001</v>
      </c>
      <c r="D117" s="124"/>
      <c r="E117" s="7"/>
      <c r="F117" s="7"/>
      <c r="G117" s="5"/>
      <c r="H117" s="5"/>
      <c r="I117" s="5"/>
      <c r="J117" s="124"/>
      <c r="K117" s="124"/>
      <c r="L117" s="124"/>
      <c r="M117" s="124"/>
    </row>
    <row r="118" spans="2:18" hidden="1">
      <c r="B118" s="121">
        <v>2002</v>
      </c>
      <c r="D118" s="124"/>
      <c r="E118" s="7"/>
      <c r="F118" s="7"/>
      <c r="G118" s="5"/>
      <c r="H118" s="5"/>
      <c r="I118" s="5"/>
      <c r="J118" s="124"/>
      <c r="K118" s="124"/>
      <c r="L118" s="124"/>
      <c r="M118" s="124"/>
    </row>
    <row r="119" spans="2:18" ht="120">
      <c r="B119" s="121">
        <v>2003</v>
      </c>
      <c r="D119" s="124" t="s">
        <v>234</v>
      </c>
      <c r="E119" s="7" t="s">
        <v>235</v>
      </c>
      <c r="F119" s="7" t="s">
        <v>170</v>
      </c>
      <c r="G119" s="5"/>
      <c r="H119" s="5"/>
      <c r="I119" s="5"/>
      <c r="J119" s="124"/>
      <c r="K119" s="124" t="s">
        <v>236</v>
      </c>
      <c r="L119" s="124"/>
      <c r="M119" s="124" t="s">
        <v>237</v>
      </c>
      <c r="N119" s="1" t="s">
        <v>238</v>
      </c>
      <c r="P119" s="17" t="s">
        <v>239</v>
      </c>
    </row>
    <row r="120" spans="2:18" hidden="1">
      <c r="B120" s="121">
        <v>2004</v>
      </c>
      <c r="D120" s="124"/>
      <c r="E120" s="7"/>
      <c r="F120" s="7"/>
      <c r="G120" s="5"/>
      <c r="H120" s="5"/>
      <c r="I120" s="5"/>
      <c r="J120" s="124"/>
      <c r="K120" s="124"/>
      <c r="L120" s="124"/>
      <c r="M120" s="124"/>
    </row>
    <row r="121" spans="2:18" ht="90">
      <c r="B121" s="121">
        <v>2005</v>
      </c>
      <c r="D121" s="124" t="s">
        <v>240</v>
      </c>
      <c r="E121" s="7" t="s">
        <v>241</v>
      </c>
      <c r="F121" s="7" t="s">
        <v>242</v>
      </c>
      <c r="G121" s="5"/>
      <c r="H121" s="5"/>
      <c r="I121" s="5"/>
      <c r="J121" s="124"/>
      <c r="K121" s="124" t="s">
        <v>243</v>
      </c>
      <c r="L121" s="124" t="s">
        <v>244</v>
      </c>
      <c r="M121" s="124" t="s">
        <v>245</v>
      </c>
      <c r="N121" s="1" t="s">
        <v>246</v>
      </c>
      <c r="P121" s="1" t="s">
        <v>107</v>
      </c>
      <c r="Q121" s="17" t="s">
        <v>247</v>
      </c>
    </row>
    <row r="122" spans="2:18" ht="135">
      <c r="B122" s="121"/>
      <c r="D122" s="124" t="s">
        <v>248</v>
      </c>
      <c r="E122" s="7" t="s">
        <v>249</v>
      </c>
      <c r="F122" s="7" t="s">
        <v>250</v>
      </c>
      <c r="G122" s="5"/>
      <c r="H122" s="5"/>
      <c r="I122" s="5"/>
      <c r="J122" s="124"/>
      <c r="K122" s="124" t="s">
        <v>251</v>
      </c>
      <c r="L122" s="124" t="s">
        <v>252</v>
      </c>
      <c r="M122" s="124" t="s">
        <v>253</v>
      </c>
      <c r="N122" s="1" t="s">
        <v>254</v>
      </c>
      <c r="P122" s="17" t="s">
        <v>255</v>
      </c>
      <c r="Q122" s="17" t="s">
        <v>256</v>
      </c>
      <c r="R122" s="17" t="s">
        <v>257</v>
      </c>
    </row>
    <row r="123" spans="2:18" ht="75">
      <c r="B123" s="121">
        <v>2006</v>
      </c>
      <c r="D123" s="124">
        <v>2006</v>
      </c>
      <c r="E123" s="7" t="s">
        <v>258</v>
      </c>
      <c r="F123" s="7" t="s">
        <v>259</v>
      </c>
      <c r="G123" s="5"/>
      <c r="H123" s="5"/>
      <c r="I123" s="5"/>
      <c r="J123" s="124"/>
      <c r="K123" s="124"/>
      <c r="L123" s="124"/>
      <c r="M123" s="124"/>
    </row>
    <row r="124" spans="2:18" hidden="1">
      <c r="B124" s="121">
        <v>2007</v>
      </c>
      <c r="D124" s="124"/>
      <c r="E124" s="7"/>
      <c r="F124" s="7"/>
      <c r="G124" s="5"/>
      <c r="H124" s="5"/>
      <c r="I124" s="5"/>
      <c r="J124" s="124"/>
      <c r="K124" s="124"/>
      <c r="L124" s="124"/>
      <c r="M124" s="124"/>
    </row>
    <row r="125" spans="2:18" hidden="1">
      <c r="B125" s="121">
        <v>2008</v>
      </c>
      <c r="D125" s="124"/>
      <c r="E125" s="7"/>
      <c r="F125" s="7"/>
      <c r="G125" s="5"/>
      <c r="H125" s="5"/>
      <c r="I125" s="5"/>
      <c r="J125" s="124"/>
      <c r="K125" s="124"/>
      <c r="L125" s="124"/>
      <c r="M125" s="124"/>
    </row>
    <row r="126" spans="2:18" hidden="1">
      <c r="B126" s="121">
        <v>2009</v>
      </c>
      <c r="D126" s="124"/>
      <c r="E126" s="7"/>
      <c r="F126" s="7"/>
      <c r="G126" s="5"/>
      <c r="H126" s="5"/>
      <c r="I126" s="5"/>
      <c r="J126" s="124"/>
      <c r="K126" s="124"/>
      <c r="L126" s="124"/>
      <c r="M126" s="124"/>
    </row>
    <row r="127" spans="2:18" hidden="1">
      <c r="B127" s="121">
        <v>2010</v>
      </c>
      <c r="D127" s="124"/>
      <c r="E127" s="7"/>
      <c r="F127" s="7"/>
      <c r="G127" s="5"/>
      <c r="H127" s="5"/>
      <c r="I127" s="5"/>
      <c r="J127" s="124"/>
      <c r="K127" s="124"/>
      <c r="L127" s="124"/>
      <c r="M127" s="124"/>
    </row>
    <row r="128" spans="2:18" ht="45">
      <c r="B128" s="121">
        <v>2011</v>
      </c>
      <c r="D128" s="124" t="s">
        <v>260</v>
      </c>
      <c r="E128" s="124" t="s">
        <v>188</v>
      </c>
      <c r="F128" s="7" t="s">
        <v>261</v>
      </c>
      <c r="G128" s="5">
        <v>258000</v>
      </c>
      <c r="H128" s="124"/>
      <c r="I128" s="124"/>
      <c r="J128" s="124"/>
      <c r="K128" s="124"/>
      <c r="L128" s="124"/>
      <c r="M128" s="124"/>
      <c r="O128" s="1" t="s">
        <v>262</v>
      </c>
      <c r="P128" s="17" t="s">
        <v>263</v>
      </c>
    </row>
    <row r="129" spans="2:13" ht="75">
      <c r="B129" s="122">
        <v>2012</v>
      </c>
      <c r="D129" s="124">
        <v>2012</v>
      </c>
      <c r="E129" s="124" t="s">
        <v>264</v>
      </c>
      <c r="F129" s="124" t="s">
        <v>265</v>
      </c>
      <c r="G129" s="124"/>
      <c r="H129" s="124"/>
      <c r="I129" s="124"/>
      <c r="J129" s="124"/>
      <c r="K129" s="124"/>
      <c r="L129" s="124"/>
      <c r="M129" s="124"/>
    </row>
  </sheetData>
  <autoFilter ref="F1:F129" xr:uid="{00000000-0009-0000-0000-000002000000}"/>
  <phoneticPr fontId="20"/>
  <hyperlinks>
    <hyperlink ref="P113" r:id="rId1" xr:uid="{00000000-0004-0000-0200-000000000000}"/>
    <hyperlink ref="S78" r:id="rId2" xr:uid="{00000000-0004-0000-0200-000001000000}"/>
    <hyperlink ref="R79" r:id="rId3" xr:uid="{00000000-0004-0000-0200-000002000000}"/>
    <hyperlink ref="S79" r:id="rId4" xr:uid="{00000000-0004-0000-0200-000003000000}"/>
    <hyperlink ref="Q83" r:id="rId5" xr:uid="{00000000-0004-0000-0200-000004000000}"/>
    <hyperlink ref="Q86" r:id="rId6" xr:uid="{00000000-0004-0000-0200-000005000000}"/>
    <hyperlink ref="Q87" r:id="rId7" xr:uid="{00000000-0004-0000-0200-000006000000}"/>
    <hyperlink ref="R87" r:id="rId8" xr:uid="{00000000-0004-0000-0200-000007000000}"/>
    <hyperlink ref="Q88" r:id="rId9" xr:uid="{00000000-0004-0000-0200-000008000000}"/>
    <hyperlink ref="R93" r:id="rId10" xr:uid="{00000000-0004-0000-0200-000009000000}"/>
    <hyperlink ref="Q102" r:id="rId11" xr:uid="{00000000-0004-0000-0200-00000A000000}"/>
    <hyperlink ref="Q105" r:id="rId12" xr:uid="{00000000-0004-0000-0200-00000B000000}"/>
    <hyperlink ref="R105" r:id="rId13" display="http://www.fews.net/docs/Publications/Lives Lost, Lives Saved.pdf" xr:uid="{00000000-0004-0000-0200-00000C000000}"/>
    <hyperlink ref="P110" r:id="rId14" xr:uid="{00000000-0004-0000-0200-00000D000000}"/>
    <hyperlink ref="P112" r:id="rId15" xr:uid="{00000000-0004-0000-0200-00000E000000}"/>
    <hyperlink ref="Q112" r:id="rId16" xr:uid="{00000000-0004-0000-0200-00000F000000}"/>
    <hyperlink ref="Q113" r:id="rId17" display="http://onlinelibrary.wiley.com/doi/10.1111/j.0361-3666.2005.00286.x/pdf" xr:uid="{00000000-0004-0000-0200-000010000000}"/>
    <hyperlink ref="P114" r:id="rId18" xr:uid="{00000000-0004-0000-0200-000011000000}"/>
    <hyperlink ref="Q114" r:id="rId19" xr:uid="{00000000-0004-0000-0200-000012000000}"/>
    <hyperlink ref="P116" r:id="rId20" xr:uid="{00000000-0004-0000-0200-000013000000}"/>
    <hyperlink ref="Q121" r:id="rId21" xr:uid="{00000000-0004-0000-0200-000014000000}"/>
    <hyperlink ref="P128" r:id="rId22" xr:uid="{00000000-0004-0000-0200-000015000000}"/>
    <hyperlink ref="P119" r:id="rId23" xr:uid="{00000000-0004-0000-0200-000016000000}"/>
    <hyperlink ref="P122" r:id="rId24" xr:uid="{00000000-0004-0000-0200-000017000000}"/>
    <hyperlink ref="Q122" r:id="rId25" xr:uid="{00000000-0004-0000-0200-000018000000}"/>
    <hyperlink ref="R122" r:id="rId26" xr:uid="{00000000-0004-0000-0200-000019000000}"/>
  </hyperlinks>
  <pageMargins left="0.7" right="0.7" top="0.75" bottom="0.75" header="0.3" footer="0.3"/>
  <pageSetup paperSize="9" scale="49" fitToHeight="0" orientation="portrait" r:id="rId2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I90"/>
  <sheetViews>
    <sheetView zoomScale="90" zoomScaleNormal="90" workbookViewId="0">
      <pane xSplit="10" ySplit="2" topLeftCell="U78" activePane="bottomRight" state="frozen"/>
      <selection pane="topRight" activeCell="H1" sqref="H1"/>
      <selection pane="bottomLeft" activeCell="A3" sqref="A3"/>
      <selection pane="bottomRight" activeCell="M95" sqref="M95"/>
    </sheetView>
  </sheetViews>
  <sheetFormatPr baseColWidth="10" defaultColWidth="9.1640625" defaultRowHeight="14"/>
  <cols>
    <col min="1" max="1" width="2.6640625" style="18" customWidth="1"/>
    <col min="2" max="2" width="4.6640625" style="18" customWidth="1"/>
    <col min="3" max="3" width="11.6640625" style="18" customWidth="1"/>
    <col min="4" max="4" width="18" style="18" customWidth="1"/>
    <col min="5" max="5" width="10.83203125" style="18" customWidth="1"/>
    <col min="6" max="7" width="6.1640625" style="18" customWidth="1"/>
    <col min="8" max="8" width="10.83203125" style="18" customWidth="1"/>
    <col min="9" max="9" width="6.1640625" style="51" hidden="1" customWidth="1"/>
    <col min="10" max="10" width="27.33203125" style="36" customWidth="1"/>
    <col min="11" max="16384" width="9.1640625" style="18"/>
  </cols>
  <sheetData>
    <row r="1" spans="2:35">
      <c r="C1" s="26"/>
      <c r="D1" s="26"/>
      <c r="E1" s="26"/>
      <c r="F1" s="26"/>
      <c r="G1" s="26"/>
      <c r="H1" s="27"/>
      <c r="I1" s="28"/>
      <c r="J1" s="29"/>
      <c r="K1" s="26"/>
      <c r="L1" s="26"/>
      <c r="M1" s="26"/>
      <c r="N1" s="26"/>
      <c r="O1" s="26"/>
      <c r="P1" s="26"/>
      <c r="Q1" s="26"/>
      <c r="R1" s="26"/>
      <c r="S1" s="26"/>
      <c r="T1" s="26"/>
      <c r="U1" s="26"/>
      <c r="V1" s="26"/>
      <c r="W1" s="26"/>
      <c r="X1" s="26"/>
      <c r="Y1" s="30"/>
      <c r="Z1" s="30"/>
      <c r="AA1" s="30"/>
      <c r="AB1" s="30"/>
      <c r="AC1" s="30"/>
      <c r="AD1" s="30"/>
      <c r="AE1" s="30"/>
      <c r="AF1" s="30"/>
    </row>
    <row r="2" spans="2:35" s="36" customFormat="1" ht="60">
      <c r="B2" s="31" t="s">
        <v>266</v>
      </c>
      <c r="C2" s="31" t="s">
        <v>0</v>
      </c>
      <c r="D2" s="31" t="s">
        <v>1</v>
      </c>
      <c r="E2" s="31" t="s">
        <v>2</v>
      </c>
      <c r="F2" s="31"/>
      <c r="G2" s="31"/>
      <c r="H2" s="31" t="s">
        <v>4</v>
      </c>
      <c r="I2" s="31" t="s">
        <v>267</v>
      </c>
      <c r="J2" s="32" t="s">
        <v>268</v>
      </c>
      <c r="K2" s="33" t="s">
        <v>269</v>
      </c>
      <c r="L2" s="31" t="s">
        <v>270</v>
      </c>
      <c r="M2" s="31" t="s">
        <v>271</v>
      </c>
      <c r="N2" s="31" t="s">
        <v>272</v>
      </c>
      <c r="O2" s="31" t="s">
        <v>273</v>
      </c>
      <c r="P2" s="34" t="s">
        <v>274</v>
      </c>
      <c r="Q2" s="34" t="s">
        <v>275</v>
      </c>
      <c r="R2" s="31" t="s">
        <v>276</v>
      </c>
      <c r="S2" s="31" t="s">
        <v>277</v>
      </c>
      <c r="T2" s="31" t="s">
        <v>278</v>
      </c>
      <c r="U2" s="34" t="s">
        <v>279</v>
      </c>
      <c r="V2" s="31" t="s">
        <v>280</v>
      </c>
      <c r="W2" s="31" t="s">
        <v>281</v>
      </c>
      <c r="X2" s="31" t="s">
        <v>282</v>
      </c>
      <c r="Y2" s="35" t="s">
        <v>272</v>
      </c>
      <c r="Z2" s="35"/>
      <c r="AA2" s="35" t="s">
        <v>283</v>
      </c>
      <c r="AB2" s="35" t="s">
        <v>284</v>
      </c>
      <c r="AC2" s="35" t="s">
        <v>285</v>
      </c>
      <c r="AD2" s="35" t="s">
        <v>286</v>
      </c>
      <c r="AE2" s="35" t="s">
        <v>287</v>
      </c>
      <c r="AF2" s="35" t="s">
        <v>288</v>
      </c>
      <c r="AH2" s="18"/>
    </row>
    <row r="3" spans="2:35" s="36" customFormat="1" ht="15">
      <c r="B3" s="31"/>
      <c r="C3" s="37" t="s">
        <v>12</v>
      </c>
      <c r="D3" s="31" t="s">
        <v>13</v>
      </c>
      <c r="E3" s="31" t="s">
        <v>13</v>
      </c>
      <c r="F3" s="31"/>
      <c r="G3" s="31"/>
      <c r="H3" s="38">
        <v>5000</v>
      </c>
      <c r="I3" s="31"/>
      <c r="J3" s="32"/>
      <c r="K3" s="35"/>
      <c r="L3" s="35"/>
      <c r="M3" s="35"/>
      <c r="N3" s="35"/>
      <c r="O3" s="35"/>
      <c r="P3" s="39"/>
      <c r="Q3" s="39"/>
      <c r="R3" s="35"/>
      <c r="S3" s="35"/>
      <c r="T3" s="35"/>
      <c r="U3" s="39"/>
      <c r="V3" s="35"/>
      <c r="W3" s="35"/>
      <c r="X3" s="35"/>
      <c r="Y3" s="35"/>
      <c r="Z3" s="35"/>
      <c r="AA3" s="35"/>
      <c r="AB3" s="35"/>
      <c r="AC3" s="35"/>
      <c r="AD3" s="35"/>
      <c r="AE3" s="35"/>
      <c r="AF3" s="35"/>
      <c r="AH3" s="18"/>
    </row>
    <row r="4" spans="2:35" ht="15">
      <c r="B4" s="40">
        <v>100</v>
      </c>
      <c r="C4" s="124">
        <v>1906</v>
      </c>
      <c r="D4" s="41" t="s">
        <v>14</v>
      </c>
      <c r="E4" s="42" t="s">
        <v>15</v>
      </c>
      <c r="F4" s="42" t="s">
        <v>289</v>
      </c>
      <c r="G4" s="42" t="s">
        <v>290</v>
      </c>
      <c r="H4" s="42">
        <v>37500</v>
      </c>
      <c r="I4" s="32"/>
      <c r="J4" s="31"/>
      <c r="O4" s="18">
        <v>1</v>
      </c>
      <c r="P4" s="18">
        <v>1</v>
      </c>
      <c r="R4" s="18">
        <v>1</v>
      </c>
      <c r="W4" s="18">
        <v>1</v>
      </c>
      <c r="AA4" s="18">
        <f>IF(SUM(K4:N4)&gt;0,1,0)</f>
        <v>0</v>
      </c>
      <c r="AB4" s="18">
        <f>IF(SUM(O4:X4)&gt;0,1,0)</f>
        <v>1</v>
      </c>
      <c r="AC4" s="18">
        <f t="shared" ref="AC4:AC57" si="0">K4*O4</f>
        <v>0</v>
      </c>
      <c r="AD4" s="18">
        <f t="shared" ref="AD4:AD57" si="1">W4*O4</f>
        <v>1</v>
      </c>
      <c r="AE4" s="18">
        <f t="shared" ref="AE4:AE35" si="2">SUM(K4:X4)</f>
        <v>4</v>
      </c>
      <c r="AF4" s="18">
        <f>IF(AND(AA4=0,AB4=1),1,0)</f>
        <v>1</v>
      </c>
      <c r="AG4" s="17"/>
    </row>
    <row r="5" spans="2:35" ht="30">
      <c r="B5" s="40">
        <v>101</v>
      </c>
      <c r="C5" s="43" t="s">
        <v>16</v>
      </c>
      <c r="D5" s="41" t="s">
        <v>17</v>
      </c>
      <c r="E5" s="44" t="s">
        <v>18</v>
      </c>
      <c r="F5" s="44" t="s">
        <v>291</v>
      </c>
      <c r="G5" s="44" t="s">
        <v>292</v>
      </c>
      <c r="H5" s="41" t="s">
        <v>293</v>
      </c>
      <c r="I5" s="32"/>
      <c r="J5" s="31"/>
      <c r="R5" s="18">
        <v>1</v>
      </c>
      <c r="V5" s="18" t="s">
        <v>294</v>
      </c>
      <c r="W5" s="18">
        <v>1</v>
      </c>
      <c r="AA5" s="18">
        <f t="shared" ref="AA5:AA57" si="3">IF(SUM(K5:N5)&gt;0,1,0)</f>
        <v>0</v>
      </c>
      <c r="AB5" s="18">
        <f t="shared" ref="AB5:AB57" si="4">IF(SUM(O5:X5)&gt;0,1,0)</f>
        <v>1</v>
      </c>
      <c r="AC5" s="18">
        <f t="shared" si="0"/>
        <v>0</v>
      </c>
      <c r="AD5" s="18">
        <f t="shared" si="1"/>
        <v>0</v>
      </c>
      <c r="AE5" s="18">
        <f t="shared" si="2"/>
        <v>2</v>
      </c>
      <c r="AF5" s="18">
        <f t="shared" ref="AF5:AF57" si="5">IF(AND(AA5=0,AB5=1),1,0)</f>
        <v>1</v>
      </c>
      <c r="AG5" s="17" t="s">
        <v>295</v>
      </c>
    </row>
    <row r="6" spans="2:35" ht="30">
      <c r="B6" s="40">
        <v>102</v>
      </c>
      <c r="C6" s="124" t="s">
        <v>19</v>
      </c>
      <c r="D6" s="41" t="s">
        <v>20</v>
      </c>
      <c r="E6" s="44" t="s">
        <v>21</v>
      </c>
      <c r="F6" s="44" t="s">
        <v>289</v>
      </c>
      <c r="G6" s="44" t="s">
        <v>296</v>
      </c>
      <c r="H6" s="45">
        <v>125000</v>
      </c>
      <c r="I6" s="32"/>
      <c r="J6" s="31"/>
      <c r="K6" s="18">
        <v>1</v>
      </c>
      <c r="O6" s="18">
        <v>1</v>
      </c>
      <c r="P6" s="18">
        <v>1</v>
      </c>
      <c r="U6" s="18" t="s">
        <v>297</v>
      </c>
      <c r="V6" s="18">
        <v>1</v>
      </c>
      <c r="AA6" s="18">
        <f t="shared" si="3"/>
        <v>1</v>
      </c>
      <c r="AB6" s="18">
        <f t="shared" si="4"/>
        <v>1</v>
      </c>
      <c r="AC6" s="18">
        <f t="shared" si="0"/>
        <v>1</v>
      </c>
      <c r="AD6" s="18">
        <f t="shared" si="1"/>
        <v>0</v>
      </c>
      <c r="AE6" s="18">
        <f t="shared" si="2"/>
        <v>4</v>
      </c>
      <c r="AF6" s="18">
        <f t="shared" si="5"/>
        <v>0</v>
      </c>
      <c r="AG6" s="46" t="s">
        <v>298</v>
      </c>
    </row>
    <row r="7" spans="2:35" ht="45">
      <c r="B7" s="40">
        <v>103</v>
      </c>
      <c r="C7" s="41" t="s">
        <v>22</v>
      </c>
      <c r="D7" s="41" t="s">
        <v>23</v>
      </c>
      <c r="E7" s="44" t="s">
        <v>24</v>
      </c>
      <c r="F7" s="44" t="s">
        <v>291</v>
      </c>
      <c r="G7" s="44" t="s">
        <v>299</v>
      </c>
      <c r="H7" s="41" t="s">
        <v>25</v>
      </c>
      <c r="I7" s="32"/>
      <c r="J7" s="31" t="s">
        <v>300</v>
      </c>
      <c r="O7" s="18">
        <v>1</v>
      </c>
      <c r="S7" s="18">
        <v>1</v>
      </c>
      <c r="T7" s="18" t="s">
        <v>294</v>
      </c>
      <c r="W7" s="18">
        <v>1</v>
      </c>
      <c r="AA7" s="18">
        <f t="shared" si="3"/>
        <v>0</v>
      </c>
      <c r="AB7" s="18">
        <f t="shared" si="4"/>
        <v>1</v>
      </c>
      <c r="AC7" s="18">
        <f t="shared" si="0"/>
        <v>0</v>
      </c>
      <c r="AD7" s="18">
        <f t="shared" si="1"/>
        <v>1</v>
      </c>
      <c r="AE7" s="18">
        <f t="shared" si="2"/>
        <v>3</v>
      </c>
      <c r="AF7" s="18">
        <f t="shared" si="5"/>
        <v>1</v>
      </c>
      <c r="AG7" s="17" t="s">
        <v>301</v>
      </c>
    </row>
    <row r="8" spans="2:35" ht="30">
      <c r="B8" s="40">
        <v>104</v>
      </c>
      <c r="C8" s="41" t="s">
        <v>26</v>
      </c>
      <c r="D8" s="44" t="s">
        <v>27</v>
      </c>
      <c r="E8" s="44" t="s">
        <v>28</v>
      </c>
      <c r="F8" s="44" t="s">
        <v>302</v>
      </c>
      <c r="G8" s="44" t="s">
        <v>303</v>
      </c>
      <c r="H8" s="41"/>
      <c r="I8" s="32"/>
      <c r="J8" s="31" t="s">
        <v>304</v>
      </c>
      <c r="O8" s="18">
        <v>1</v>
      </c>
      <c r="R8" s="18">
        <v>1</v>
      </c>
      <c r="T8" s="18">
        <v>1</v>
      </c>
      <c r="V8" s="18">
        <v>1</v>
      </c>
      <c r="W8" s="18">
        <v>1</v>
      </c>
      <c r="AA8" s="18">
        <f t="shared" si="3"/>
        <v>0</v>
      </c>
      <c r="AB8" s="18">
        <f t="shared" si="4"/>
        <v>1</v>
      </c>
      <c r="AC8" s="18">
        <f t="shared" si="0"/>
        <v>0</v>
      </c>
      <c r="AD8" s="18">
        <f t="shared" si="1"/>
        <v>1</v>
      </c>
      <c r="AE8" s="18">
        <f t="shared" si="2"/>
        <v>5</v>
      </c>
      <c r="AF8" s="18">
        <f t="shared" si="5"/>
        <v>1</v>
      </c>
      <c r="AG8" s="18" t="s">
        <v>305</v>
      </c>
    </row>
    <row r="9" spans="2:35" ht="30">
      <c r="B9" s="40">
        <v>105</v>
      </c>
      <c r="C9" s="41" t="s">
        <v>26</v>
      </c>
      <c r="D9" s="44" t="s">
        <v>29</v>
      </c>
      <c r="E9" s="44" t="s">
        <v>30</v>
      </c>
      <c r="F9" s="44" t="s">
        <v>302</v>
      </c>
      <c r="G9" s="44" t="s">
        <v>306</v>
      </c>
      <c r="H9" s="41"/>
      <c r="I9" s="32"/>
      <c r="J9" s="31"/>
      <c r="O9" s="18">
        <v>1</v>
      </c>
      <c r="P9" s="18">
        <v>1</v>
      </c>
      <c r="V9" s="18">
        <v>1</v>
      </c>
      <c r="AA9" s="18">
        <f t="shared" si="3"/>
        <v>0</v>
      </c>
      <c r="AB9" s="18">
        <f t="shared" si="4"/>
        <v>1</v>
      </c>
      <c r="AC9" s="18">
        <f t="shared" si="0"/>
        <v>0</v>
      </c>
      <c r="AD9" s="18">
        <f t="shared" si="1"/>
        <v>0</v>
      </c>
      <c r="AE9" s="18">
        <f t="shared" si="2"/>
        <v>3</v>
      </c>
      <c r="AF9" s="18">
        <f t="shared" si="5"/>
        <v>1</v>
      </c>
      <c r="AG9" s="17" t="s">
        <v>307</v>
      </c>
    </row>
    <row r="10" spans="2:35" ht="30">
      <c r="B10" s="40">
        <v>106</v>
      </c>
      <c r="C10" s="41" t="s">
        <v>31</v>
      </c>
      <c r="D10" s="41" t="s">
        <v>32</v>
      </c>
      <c r="E10" s="44" t="s">
        <v>33</v>
      </c>
      <c r="F10" s="44" t="s">
        <v>291</v>
      </c>
      <c r="G10" s="44" t="s">
        <v>308</v>
      </c>
      <c r="H10" s="41" t="s">
        <v>309</v>
      </c>
      <c r="I10" s="32"/>
      <c r="J10" s="31" t="s">
        <v>310</v>
      </c>
      <c r="O10" s="18">
        <v>1</v>
      </c>
      <c r="W10" s="18">
        <v>1</v>
      </c>
      <c r="AA10" s="18">
        <f t="shared" si="3"/>
        <v>0</v>
      </c>
      <c r="AB10" s="18">
        <f t="shared" si="4"/>
        <v>1</v>
      </c>
      <c r="AC10" s="18">
        <f t="shared" si="0"/>
        <v>0</v>
      </c>
      <c r="AD10" s="18">
        <f t="shared" si="1"/>
        <v>1</v>
      </c>
      <c r="AE10" s="18">
        <f t="shared" si="2"/>
        <v>2</v>
      </c>
      <c r="AF10" s="18">
        <f t="shared" si="5"/>
        <v>1</v>
      </c>
      <c r="AG10" s="18" t="s">
        <v>311</v>
      </c>
    </row>
    <row r="11" spans="2:35" ht="60">
      <c r="B11" s="40">
        <v>107</v>
      </c>
      <c r="C11" s="41" t="s">
        <v>35</v>
      </c>
      <c r="D11" s="41" t="s">
        <v>36</v>
      </c>
      <c r="E11" s="44" t="s">
        <v>15</v>
      </c>
      <c r="F11" s="44" t="s">
        <v>289</v>
      </c>
      <c r="G11" s="44" t="s">
        <v>290</v>
      </c>
      <c r="H11" s="45">
        <v>30000</v>
      </c>
      <c r="I11" s="32"/>
      <c r="J11" s="31" t="s">
        <v>312</v>
      </c>
      <c r="K11" s="18">
        <v>1</v>
      </c>
      <c r="O11" s="18">
        <v>1</v>
      </c>
      <c r="W11" s="18">
        <v>1</v>
      </c>
      <c r="AA11" s="18">
        <f t="shared" si="3"/>
        <v>1</v>
      </c>
      <c r="AB11" s="18">
        <f t="shared" si="4"/>
        <v>1</v>
      </c>
      <c r="AC11" s="18">
        <f t="shared" si="0"/>
        <v>1</v>
      </c>
      <c r="AD11" s="18">
        <f t="shared" si="1"/>
        <v>1</v>
      </c>
      <c r="AE11" s="18">
        <f t="shared" si="2"/>
        <v>3</v>
      </c>
      <c r="AF11" s="18">
        <f t="shared" si="5"/>
        <v>0</v>
      </c>
      <c r="AG11" s="18" t="s">
        <v>313</v>
      </c>
      <c r="AH11" s="18" t="s">
        <v>314</v>
      </c>
    </row>
    <row r="12" spans="2:35" ht="75">
      <c r="B12" s="40">
        <v>108</v>
      </c>
      <c r="C12" s="124" t="s">
        <v>37</v>
      </c>
      <c r="D12" s="41" t="s">
        <v>38</v>
      </c>
      <c r="E12" s="44" t="s">
        <v>39</v>
      </c>
      <c r="F12" s="44"/>
      <c r="G12" s="44"/>
      <c r="H12" s="41" t="s">
        <v>40</v>
      </c>
      <c r="I12" s="32"/>
      <c r="J12" s="31" t="s">
        <v>315</v>
      </c>
      <c r="K12" s="18">
        <v>1</v>
      </c>
      <c r="O12" s="18">
        <v>1</v>
      </c>
      <c r="V12" s="18">
        <v>1</v>
      </c>
      <c r="W12" s="18">
        <v>1</v>
      </c>
      <c r="AA12" s="18">
        <f t="shared" si="3"/>
        <v>1</v>
      </c>
      <c r="AB12" s="18">
        <f t="shared" si="4"/>
        <v>1</v>
      </c>
      <c r="AC12" s="18">
        <f t="shared" si="0"/>
        <v>1</v>
      </c>
      <c r="AD12" s="18">
        <f t="shared" si="1"/>
        <v>1</v>
      </c>
      <c r="AE12" s="18">
        <f t="shared" si="2"/>
        <v>4</v>
      </c>
      <c r="AF12" s="18">
        <f t="shared" si="5"/>
        <v>0</v>
      </c>
      <c r="AG12" s="18" t="s">
        <v>316</v>
      </c>
    </row>
    <row r="13" spans="2:35" ht="30">
      <c r="B13" s="40">
        <v>109</v>
      </c>
      <c r="C13" s="124" t="s">
        <v>41</v>
      </c>
      <c r="D13" s="41" t="s">
        <v>42</v>
      </c>
      <c r="E13" s="44" t="s">
        <v>18</v>
      </c>
      <c r="F13" s="44" t="s">
        <v>291</v>
      </c>
      <c r="G13" s="44" t="s">
        <v>292</v>
      </c>
      <c r="H13" s="45">
        <v>500000</v>
      </c>
      <c r="I13" s="32"/>
      <c r="J13" s="31"/>
      <c r="K13" s="18">
        <v>1</v>
      </c>
      <c r="P13" s="18">
        <v>1</v>
      </c>
      <c r="S13" s="18">
        <v>1</v>
      </c>
      <c r="T13" s="18">
        <v>1</v>
      </c>
      <c r="V13" s="18">
        <v>1</v>
      </c>
      <c r="AA13" s="18">
        <f t="shared" si="3"/>
        <v>1</v>
      </c>
      <c r="AB13" s="18">
        <f t="shared" si="4"/>
        <v>1</v>
      </c>
      <c r="AC13" s="18">
        <f t="shared" si="0"/>
        <v>0</v>
      </c>
      <c r="AD13" s="18">
        <f t="shared" si="1"/>
        <v>0</v>
      </c>
      <c r="AE13" s="18">
        <f t="shared" si="2"/>
        <v>5</v>
      </c>
      <c r="AF13" s="18">
        <f t="shared" si="5"/>
        <v>0</v>
      </c>
    </row>
    <row r="14" spans="2:35" ht="45">
      <c r="B14" s="40">
        <v>110</v>
      </c>
      <c r="C14" s="41">
        <v>1921</v>
      </c>
      <c r="D14" s="44" t="s">
        <v>43</v>
      </c>
      <c r="E14" s="44" t="s">
        <v>30</v>
      </c>
      <c r="F14" s="44" t="s">
        <v>302</v>
      </c>
      <c r="G14" s="44" t="s">
        <v>306</v>
      </c>
      <c r="H14" s="44" t="s">
        <v>317</v>
      </c>
      <c r="I14" s="32"/>
      <c r="J14" s="31" t="s">
        <v>318</v>
      </c>
      <c r="K14" s="18">
        <v>1</v>
      </c>
      <c r="O14" s="18">
        <v>1</v>
      </c>
      <c r="Q14" s="18" t="s">
        <v>294</v>
      </c>
      <c r="T14" s="18">
        <v>1</v>
      </c>
      <c r="V14" s="18">
        <v>1</v>
      </c>
      <c r="W14" s="18">
        <v>1</v>
      </c>
      <c r="AA14" s="18">
        <f t="shared" si="3"/>
        <v>1</v>
      </c>
      <c r="AB14" s="18">
        <f t="shared" si="4"/>
        <v>1</v>
      </c>
      <c r="AC14" s="18">
        <f t="shared" si="0"/>
        <v>1</v>
      </c>
      <c r="AD14" s="18">
        <f t="shared" si="1"/>
        <v>1</v>
      </c>
      <c r="AE14" s="18">
        <f t="shared" si="2"/>
        <v>5</v>
      </c>
      <c r="AF14" s="18">
        <f t="shared" si="5"/>
        <v>0</v>
      </c>
      <c r="AG14" s="18" t="s">
        <v>319</v>
      </c>
    </row>
    <row r="15" spans="2:35" ht="60">
      <c r="B15" s="40">
        <v>112</v>
      </c>
      <c r="C15" s="41" t="s">
        <v>44</v>
      </c>
      <c r="D15" s="41" t="s">
        <v>45</v>
      </c>
      <c r="E15" s="44" t="s">
        <v>30</v>
      </c>
      <c r="F15" s="44" t="s">
        <v>302</v>
      </c>
      <c r="G15" s="44" t="s">
        <v>306</v>
      </c>
      <c r="H15" s="41" t="s">
        <v>320</v>
      </c>
      <c r="I15" s="32"/>
      <c r="J15" s="31" t="s">
        <v>321</v>
      </c>
      <c r="K15" s="18">
        <v>1</v>
      </c>
      <c r="O15" s="18">
        <v>1</v>
      </c>
      <c r="Q15" s="18" t="s">
        <v>294</v>
      </c>
      <c r="W15" s="18">
        <v>1</v>
      </c>
      <c r="AA15" s="18">
        <f t="shared" si="3"/>
        <v>1</v>
      </c>
      <c r="AB15" s="18">
        <f t="shared" si="4"/>
        <v>1</v>
      </c>
      <c r="AC15" s="18">
        <f t="shared" si="0"/>
        <v>1</v>
      </c>
      <c r="AD15" s="18">
        <f t="shared" si="1"/>
        <v>1</v>
      </c>
      <c r="AE15" s="18">
        <f t="shared" si="2"/>
        <v>3</v>
      </c>
      <c r="AF15" s="18">
        <f t="shared" si="5"/>
        <v>0</v>
      </c>
      <c r="AG15" s="18" t="s">
        <v>322</v>
      </c>
      <c r="AH15" s="17" t="s">
        <v>323</v>
      </c>
      <c r="AI15" s="18" t="s">
        <v>99</v>
      </c>
    </row>
    <row r="16" spans="2:35" ht="30">
      <c r="B16" s="40">
        <v>113</v>
      </c>
      <c r="C16" s="41">
        <v>1927</v>
      </c>
      <c r="D16" s="41" t="s">
        <v>50</v>
      </c>
      <c r="E16" s="44" t="s">
        <v>18</v>
      </c>
      <c r="F16" s="44" t="s">
        <v>291</v>
      </c>
      <c r="G16" s="44" t="s">
        <v>292</v>
      </c>
      <c r="H16" s="45">
        <v>6000000</v>
      </c>
      <c r="I16" s="32"/>
      <c r="J16" s="31" t="s">
        <v>324</v>
      </c>
      <c r="K16" s="18">
        <v>1</v>
      </c>
      <c r="O16" s="18">
        <v>1</v>
      </c>
      <c r="T16" s="18">
        <v>1</v>
      </c>
      <c r="V16" s="18">
        <v>1</v>
      </c>
      <c r="AA16" s="18">
        <f t="shared" si="3"/>
        <v>1</v>
      </c>
      <c r="AB16" s="18">
        <f t="shared" si="4"/>
        <v>1</v>
      </c>
      <c r="AC16" s="18">
        <f t="shared" si="0"/>
        <v>1</v>
      </c>
      <c r="AD16" s="18">
        <f t="shared" si="1"/>
        <v>0</v>
      </c>
      <c r="AE16" s="18">
        <f t="shared" si="2"/>
        <v>4</v>
      </c>
      <c r="AF16" s="18">
        <f t="shared" si="5"/>
        <v>0</v>
      </c>
      <c r="AG16" s="17" t="s">
        <v>325</v>
      </c>
      <c r="AH16" s="17" t="s">
        <v>99</v>
      </c>
    </row>
    <row r="17" spans="2:35" ht="90">
      <c r="B17" s="40">
        <v>114</v>
      </c>
      <c r="C17" s="43" t="s">
        <v>54</v>
      </c>
      <c r="D17" s="44" t="s">
        <v>55</v>
      </c>
      <c r="E17" s="41" t="s">
        <v>56</v>
      </c>
      <c r="F17" s="41" t="s">
        <v>289</v>
      </c>
      <c r="G17" s="41" t="s">
        <v>326</v>
      </c>
      <c r="H17" s="45">
        <v>300000</v>
      </c>
      <c r="I17" s="32"/>
      <c r="J17" s="31" t="s">
        <v>327</v>
      </c>
      <c r="W17" s="18">
        <v>1</v>
      </c>
      <c r="AA17" s="18">
        <f t="shared" si="3"/>
        <v>0</v>
      </c>
      <c r="AB17" s="18">
        <f t="shared" si="4"/>
        <v>1</v>
      </c>
      <c r="AC17" s="18">
        <f t="shared" si="0"/>
        <v>0</v>
      </c>
      <c r="AD17" s="18">
        <f t="shared" si="1"/>
        <v>0</v>
      </c>
      <c r="AE17" s="18">
        <f t="shared" si="2"/>
        <v>1</v>
      </c>
      <c r="AF17" s="18">
        <f t="shared" si="5"/>
        <v>1</v>
      </c>
      <c r="AG17" s="17" t="s">
        <v>328</v>
      </c>
      <c r="AH17" s="18" t="s">
        <v>329</v>
      </c>
    </row>
    <row r="18" spans="2:35" ht="30">
      <c r="B18" s="40">
        <v>115</v>
      </c>
      <c r="C18" s="41" t="s">
        <v>57</v>
      </c>
      <c r="D18" s="41" t="s">
        <v>58</v>
      </c>
      <c r="E18" s="44" t="s">
        <v>18</v>
      </c>
      <c r="F18" s="44" t="s">
        <v>291</v>
      </c>
      <c r="G18" s="44" t="s">
        <v>292</v>
      </c>
      <c r="H18" s="41" t="s">
        <v>330</v>
      </c>
      <c r="I18" s="32"/>
      <c r="J18" s="31" t="s">
        <v>331</v>
      </c>
      <c r="K18" s="18">
        <v>1</v>
      </c>
      <c r="S18" s="18">
        <v>1</v>
      </c>
      <c r="T18" s="18">
        <v>1</v>
      </c>
      <c r="V18" s="18">
        <v>1</v>
      </c>
      <c r="W18" s="18">
        <v>1</v>
      </c>
      <c r="AA18" s="18">
        <f t="shared" si="3"/>
        <v>1</v>
      </c>
      <c r="AB18" s="18">
        <f t="shared" si="4"/>
        <v>1</v>
      </c>
      <c r="AC18" s="18">
        <f t="shared" si="0"/>
        <v>0</v>
      </c>
      <c r="AD18" s="18">
        <f t="shared" si="1"/>
        <v>0</v>
      </c>
      <c r="AE18" s="18">
        <f t="shared" si="2"/>
        <v>5</v>
      </c>
      <c r="AF18" s="18">
        <f t="shared" si="5"/>
        <v>0</v>
      </c>
      <c r="AG18" s="18" t="s">
        <v>332</v>
      </c>
    </row>
    <row r="19" spans="2:35" ht="15">
      <c r="B19" s="40">
        <v>116</v>
      </c>
      <c r="C19" s="41">
        <v>1929</v>
      </c>
      <c r="D19" s="41" t="s">
        <v>59</v>
      </c>
      <c r="E19" s="44" t="s">
        <v>18</v>
      </c>
      <c r="F19" s="44" t="s">
        <v>291</v>
      </c>
      <c r="G19" s="44" t="s">
        <v>292</v>
      </c>
      <c r="H19" s="45">
        <v>2000000</v>
      </c>
      <c r="I19" s="32"/>
      <c r="J19" s="31"/>
      <c r="K19" s="18">
        <v>1</v>
      </c>
      <c r="O19" s="18">
        <v>1</v>
      </c>
      <c r="T19" s="18">
        <v>1</v>
      </c>
      <c r="V19" s="18">
        <v>1</v>
      </c>
      <c r="AA19" s="18">
        <f t="shared" si="3"/>
        <v>1</v>
      </c>
      <c r="AB19" s="18">
        <f t="shared" si="4"/>
        <v>1</v>
      </c>
      <c r="AC19" s="18">
        <f t="shared" si="0"/>
        <v>1</v>
      </c>
      <c r="AD19" s="18">
        <f t="shared" si="1"/>
        <v>0</v>
      </c>
      <c r="AE19" s="18">
        <f t="shared" si="2"/>
        <v>4</v>
      </c>
      <c r="AF19" s="18">
        <f t="shared" si="5"/>
        <v>0</v>
      </c>
      <c r="AG19" s="17" t="s">
        <v>325</v>
      </c>
      <c r="AH19" s="18" t="s">
        <v>99</v>
      </c>
    </row>
    <row r="20" spans="2:35" ht="75">
      <c r="B20" s="40">
        <v>117</v>
      </c>
      <c r="C20" s="41" t="s">
        <v>60</v>
      </c>
      <c r="D20" s="41" t="s">
        <v>61</v>
      </c>
      <c r="E20" s="44" t="s">
        <v>62</v>
      </c>
      <c r="F20" s="44" t="s">
        <v>302</v>
      </c>
      <c r="G20" s="44" t="s">
        <v>306</v>
      </c>
      <c r="H20" s="44" t="s">
        <v>333</v>
      </c>
      <c r="I20" s="32"/>
      <c r="J20" s="31" t="s">
        <v>334</v>
      </c>
      <c r="R20" s="18">
        <v>1</v>
      </c>
      <c r="T20" s="18">
        <v>1</v>
      </c>
      <c r="W20" s="18">
        <v>1</v>
      </c>
      <c r="AA20" s="18">
        <f t="shared" si="3"/>
        <v>0</v>
      </c>
      <c r="AB20" s="18">
        <f t="shared" si="4"/>
        <v>1</v>
      </c>
      <c r="AC20" s="18">
        <f t="shared" si="0"/>
        <v>0</v>
      </c>
      <c r="AD20" s="18">
        <f t="shared" si="1"/>
        <v>0</v>
      </c>
      <c r="AE20" s="18">
        <f t="shared" si="2"/>
        <v>3</v>
      </c>
      <c r="AF20" s="18">
        <f t="shared" si="5"/>
        <v>1</v>
      </c>
      <c r="AG20" s="18" t="s">
        <v>106</v>
      </c>
      <c r="AH20" s="17" t="s">
        <v>335</v>
      </c>
    </row>
    <row r="21" spans="2:35" ht="15">
      <c r="B21" s="40">
        <v>118</v>
      </c>
      <c r="C21" s="43">
        <v>1936</v>
      </c>
      <c r="D21" s="41"/>
      <c r="E21" s="44" t="s">
        <v>18</v>
      </c>
      <c r="F21" s="44" t="s">
        <v>291</v>
      </c>
      <c r="G21" s="44" t="s">
        <v>292</v>
      </c>
      <c r="H21" s="44" t="s">
        <v>317</v>
      </c>
      <c r="I21" s="32"/>
      <c r="J21" s="47" t="s">
        <v>336</v>
      </c>
      <c r="AA21" s="18">
        <f t="shared" si="3"/>
        <v>0</v>
      </c>
      <c r="AB21" s="18">
        <f t="shared" si="4"/>
        <v>0</v>
      </c>
      <c r="AC21" s="18">
        <f t="shared" si="0"/>
        <v>0</v>
      </c>
      <c r="AD21" s="18">
        <f t="shared" si="1"/>
        <v>0</v>
      </c>
      <c r="AE21" s="18">
        <f t="shared" si="2"/>
        <v>0</v>
      </c>
      <c r="AF21" s="18">
        <f t="shared" si="5"/>
        <v>0</v>
      </c>
    </row>
    <row r="22" spans="2:35" ht="30">
      <c r="B22" s="40">
        <v>119</v>
      </c>
      <c r="C22" s="41" t="s">
        <v>64</v>
      </c>
      <c r="D22" s="44" t="s">
        <v>65</v>
      </c>
      <c r="E22" s="44" t="s">
        <v>66</v>
      </c>
      <c r="F22" s="44" t="s">
        <v>302</v>
      </c>
      <c r="G22" s="44" t="s">
        <v>306</v>
      </c>
      <c r="H22" s="45">
        <v>112000</v>
      </c>
      <c r="I22" s="32"/>
      <c r="J22" s="31" t="s">
        <v>337</v>
      </c>
      <c r="O22" s="18">
        <v>1</v>
      </c>
      <c r="Q22" s="18">
        <v>1</v>
      </c>
      <c r="T22" s="18" t="s">
        <v>338</v>
      </c>
      <c r="W22" s="18">
        <v>1</v>
      </c>
      <c r="AA22" s="18">
        <f t="shared" si="3"/>
        <v>0</v>
      </c>
      <c r="AB22" s="18">
        <f t="shared" si="4"/>
        <v>1</v>
      </c>
      <c r="AC22" s="18">
        <f t="shared" si="0"/>
        <v>0</v>
      </c>
      <c r="AD22" s="18">
        <f t="shared" si="1"/>
        <v>1</v>
      </c>
      <c r="AE22" s="18">
        <f t="shared" si="2"/>
        <v>3</v>
      </c>
      <c r="AF22" s="18">
        <f t="shared" si="5"/>
        <v>1</v>
      </c>
      <c r="AG22" s="18" t="s">
        <v>339</v>
      </c>
    </row>
    <row r="23" spans="2:35" ht="60">
      <c r="B23" s="40">
        <v>120</v>
      </c>
      <c r="C23" s="41" t="s">
        <v>67</v>
      </c>
      <c r="D23" s="41" t="s">
        <v>68</v>
      </c>
      <c r="E23" s="44" t="s">
        <v>30</v>
      </c>
      <c r="F23" s="44" t="s">
        <v>302</v>
      </c>
      <c r="G23" s="44" t="s">
        <v>306</v>
      </c>
      <c r="H23" s="41" t="s">
        <v>340</v>
      </c>
      <c r="I23" s="32"/>
      <c r="J23" s="31" t="s">
        <v>341</v>
      </c>
      <c r="O23" s="18">
        <v>1</v>
      </c>
      <c r="Q23" s="18">
        <v>1</v>
      </c>
      <c r="R23" s="18">
        <v>1</v>
      </c>
      <c r="T23" s="18" t="s">
        <v>338</v>
      </c>
      <c r="W23" s="18">
        <v>1</v>
      </c>
      <c r="AA23" s="18">
        <f t="shared" si="3"/>
        <v>0</v>
      </c>
      <c r="AB23" s="18">
        <f t="shared" si="4"/>
        <v>1</v>
      </c>
      <c r="AC23" s="18">
        <f t="shared" si="0"/>
        <v>0</v>
      </c>
      <c r="AD23" s="18">
        <f t="shared" si="1"/>
        <v>1</v>
      </c>
      <c r="AE23" s="18">
        <f t="shared" si="2"/>
        <v>4</v>
      </c>
      <c r="AF23" s="18">
        <f t="shared" si="5"/>
        <v>1</v>
      </c>
      <c r="AG23" s="18" t="s">
        <v>342</v>
      </c>
    </row>
    <row r="24" spans="2:35" ht="45">
      <c r="B24" s="40">
        <v>121</v>
      </c>
      <c r="C24" s="41" t="s">
        <v>69</v>
      </c>
      <c r="D24" s="41" t="s">
        <v>70</v>
      </c>
      <c r="E24" s="44" t="s">
        <v>71</v>
      </c>
      <c r="F24" s="44" t="s">
        <v>302</v>
      </c>
      <c r="G24" s="44" t="s">
        <v>303</v>
      </c>
      <c r="H24" s="45">
        <v>300000</v>
      </c>
      <c r="I24" s="32"/>
      <c r="J24" s="31" t="s">
        <v>343</v>
      </c>
      <c r="O24" s="18">
        <v>1</v>
      </c>
      <c r="P24" s="18">
        <v>1</v>
      </c>
      <c r="T24" s="18">
        <v>1</v>
      </c>
      <c r="V24" s="18">
        <v>1</v>
      </c>
      <c r="W24" s="18">
        <v>1</v>
      </c>
      <c r="AA24" s="18">
        <f t="shared" si="3"/>
        <v>0</v>
      </c>
      <c r="AB24" s="18">
        <f t="shared" si="4"/>
        <v>1</v>
      </c>
      <c r="AC24" s="18">
        <f t="shared" si="0"/>
        <v>0</v>
      </c>
      <c r="AD24" s="18">
        <f t="shared" si="1"/>
        <v>1</v>
      </c>
      <c r="AE24" s="18">
        <f t="shared" si="2"/>
        <v>5</v>
      </c>
      <c r="AF24" s="18">
        <f t="shared" si="5"/>
        <v>1</v>
      </c>
      <c r="AG24" s="17" t="s">
        <v>344</v>
      </c>
    </row>
    <row r="25" spans="2:35" ht="75">
      <c r="B25" s="40">
        <v>122</v>
      </c>
      <c r="C25" s="41">
        <v>1943</v>
      </c>
      <c r="D25" s="41" t="s">
        <v>74</v>
      </c>
      <c r="E25" s="44" t="s">
        <v>18</v>
      </c>
      <c r="F25" s="44" t="s">
        <v>291</v>
      </c>
      <c r="G25" s="44" t="s">
        <v>292</v>
      </c>
      <c r="H25" s="45">
        <v>5000000</v>
      </c>
      <c r="I25" s="32"/>
      <c r="J25" s="31" t="s">
        <v>345</v>
      </c>
      <c r="K25" s="18">
        <v>1</v>
      </c>
      <c r="O25" s="18">
        <v>1</v>
      </c>
      <c r="P25" s="18">
        <v>1</v>
      </c>
      <c r="R25" s="18">
        <v>1</v>
      </c>
      <c r="V25" s="18">
        <v>1</v>
      </c>
      <c r="AA25" s="18">
        <f t="shared" si="3"/>
        <v>1</v>
      </c>
      <c r="AB25" s="18">
        <f t="shared" si="4"/>
        <v>1</v>
      </c>
      <c r="AC25" s="18">
        <f t="shared" si="0"/>
        <v>1</v>
      </c>
      <c r="AD25" s="18">
        <f t="shared" si="1"/>
        <v>0</v>
      </c>
      <c r="AE25" s="18">
        <f t="shared" si="2"/>
        <v>5</v>
      </c>
      <c r="AF25" s="18">
        <f t="shared" si="5"/>
        <v>0</v>
      </c>
      <c r="AG25" s="17" t="s">
        <v>346</v>
      </c>
      <c r="AH25" s="18" t="s">
        <v>99</v>
      </c>
    </row>
    <row r="26" spans="2:35" ht="75">
      <c r="B26" s="40">
        <v>123</v>
      </c>
      <c r="C26" s="41">
        <v>1943</v>
      </c>
      <c r="D26" s="44" t="s">
        <v>75</v>
      </c>
      <c r="E26" s="44" t="s">
        <v>76</v>
      </c>
      <c r="F26" s="44" t="s">
        <v>291</v>
      </c>
      <c r="G26" s="44" t="s">
        <v>308</v>
      </c>
      <c r="H26" s="41" t="s">
        <v>347</v>
      </c>
      <c r="I26" s="32"/>
      <c r="J26" s="31" t="s">
        <v>348</v>
      </c>
      <c r="L26" s="18">
        <v>1</v>
      </c>
      <c r="O26" s="18">
        <v>1</v>
      </c>
      <c r="P26" s="18">
        <v>1</v>
      </c>
      <c r="R26" s="18">
        <v>1</v>
      </c>
      <c r="S26" s="18">
        <v>1</v>
      </c>
      <c r="T26" s="18">
        <v>1</v>
      </c>
      <c r="V26" s="18">
        <v>1</v>
      </c>
      <c r="W26" s="18">
        <v>1</v>
      </c>
      <c r="AA26" s="18">
        <f t="shared" si="3"/>
        <v>1</v>
      </c>
      <c r="AB26" s="18">
        <f t="shared" si="4"/>
        <v>1</v>
      </c>
      <c r="AC26" s="18">
        <f t="shared" si="0"/>
        <v>0</v>
      </c>
      <c r="AD26" s="18">
        <f t="shared" si="1"/>
        <v>1</v>
      </c>
      <c r="AE26" s="18">
        <f t="shared" si="2"/>
        <v>8</v>
      </c>
      <c r="AF26" s="18">
        <f t="shared" si="5"/>
        <v>0</v>
      </c>
      <c r="AG26" s="18" t="s">
        <v>106</v>
      </c>
      <c r="AH26" s="18" t="s">
        <v>99</v>
      </c>
      <c r="AI26" s="17" t="s">
        <v>349</v>
      </c>
    </row>
    <row r="27" spans="2:35" ht="45">
      <c r="B27" s="40">
        <v>124</v>
      </c>
      <c r="C27" s="41">
        <v>1943</v>
      </c>
      <c r="D27" s="44" t="s">
        <v>78</v>
      </c>
      <c r="E27" s="41" t="s">
        <v>56</v>
      </c>
      <c r="F27" s="41" t="s">
        <v>289</v>
      </c>
      <c r="G27" s="41" t="s">
        <v>326</v>
      </c>
      <c r="H27" s="45">
        <v>300000</v>
      </c>
      <c r="I27" s="32"/>
      <c r="J27" s="31" t="s">
        <v>350</v>
      </c>
      <c r="K27" s="18">
        <v>1</v>
      </c>
      <c r="O27" s="18">
        <v>1</v>
      </c>
      <c r="Q27" s="18" t="s">
        <v>294</v>
      </c>
      <c r="T27" s="18">
        <v>1</v>
      </c>
      <c r="W27" s="18">
        <v>1</v>
      </c>
      <c r="AA27" s="18">
        <f t="shared" si="3"/>
        <v>1</v>
      </c>
      <c r="AB27" s="18">
        <f t="shared" si="4"/>
        <v>1</v>
      </c>
      <c r="AC27" s="18">
        <f t="shared" si="0"/>
        <v>1</v>
      </c>
      <c r="AD27" s="18">
        <f t="shared" si="1"/>
        <v>1</v>
      </c>
      <c r="AE27" s="18">
        <f t="shared" si="2"/>
        <v>4</v>
      </c>
      <c r="AF27" s="18">
        <f t="shared" si="5"/>
        <v>0</v>
      </c>
      <c r="AG27" s="18" t="s">
        <v>99</v>
      </c>
      <c r="AH27" s="18" t="s">
        <v>351</v>
      </c>
    </row>
    <row r="28" spans="2:35" ht="15">
      <c r="B28" s="40">
        <v>125</v>
      </c>
      <c r="C28" s="41">
        <v>1944</v>
      </c>
      <c r="D28" s="41" t="s">
        <v>79</v>
      </c>
      <c r="E28" s="44" t="s">
        <v>80</v>
      </c>
      <c r="F28" s="44" t="s">
        <v>302</v>
      </c>
      <c r="G28" s="44" t="s">
        <v>303</v>
      </c>
      <c r="H28" s="45">
        <v>20000</v>
      </c>
      <c r="I28" s="32"/>
      <c r="J28" s="31"/>
      <c r="O28" s="18">
        <v>1</v>
      </c>
      <c r="P28" s="18">
        <v>1</v>
      </c>
      <c r="S28" s="18">
        <v>1</v>
      </c>
      <c r="T28" s="18">
        <v>1</v>
      </c>
      <c r="V28" s="18">
        <v>1</v>
      </c>
      <c r="AA28" s="18">
        <f t="shared" si="3"/>
        <v>0</v>
      </c>
      <c r="AB28" s="18">
        <f t="shared" si="4"/>
        <v>1</v>
      </c>
      <c r="AC28" s="18">
        <f t="shared" si="0"/>
        <v>0</v>
      </c>
      <c r="AD28" s="18">
        <f t="shared" si="1"/>
        <v>0</v>
      </c>
      <c r="AE28" s="18">
        <f t="shared" si="2"/>
        <v>5</v>
      </c>
      <c r="AF28" s="18">
        <f t="shared" si="5"/>
        <v>1</v>
      </c>
      <c r="AG28" s="18" t="s">
        <v>106</v>
      </c>
      <c r="AH28" s="18" t="s">
        <v>99</v>
      </c>
    </row>
    <row r="29" spans="2:35" ht="30">
      <c r="B29" s="40">
        <v>126</v>
      </c>
      <c r="C29" s="41">
        <v>1945</v>
      </c>
      <c r="D29" s="44" t="s">
        <v>81</v>
      </c>
      <c r="E29" s="44" t="s">
        <v>82</v>
      </c>
      <c r="F29" s="44" t="s">
        <v>291</v>
      </c>
      <c r="G29" s="44" t="s">
        <v>352</v>
      </c>
      <c r="H29" s="41" t="s">
        <v>353</v>
      </c>
      <c r="I29" s="32"/>
      <c r="J29" s="31"/>
      <c r="K29" s="18">
        <v>1</v>
      </c>
      <c r="L29" s="18">
        <v>1</v>
      </c>
      <c r="O29" s="18">
        <v>1</v>
      </c>
      <c r="P29" s="18">
        <v>1</v>
      </c>
      <c r="R29" s="18">
        <v>1</v>
      </c>
      <c r="S29" s="18">
        <v>1</v>
      </c>
      <c r="T29" s="18">
        <v>1</v>
      </c>
      <c r="W29" s="18">
        <v>1</v>
      </c>
      <c r="AA29" s="18">
        <f t="shared" si="3"/>
        <v>1</v>
      </c>
      <c r="AB29" s="18">
        <f t="shared" si="4"/>
        <v>1</v>
      </c>
      <c r="AC29" s="18">
        <f t="shared" si="0"/>
        <v>1</v>
      </c>
      <c r="AD29" s="18">
        <f t="shared" si="1"/>
        <v>1</v>
      </c>
      <c r="AE29" s="18">
        <f t="shared" si="2"/>
        <v>8</v>
      </c>
      <c r="AF29" s="18">
        <f t="shared" si="5"/>
        <v>0</v>
      </c>
      <c r="AG29" s="17" t="s">
        <v>354</v>
      </c>
    </row>
    <row r="30" spans="2:35" ht="45">
      <c r="B30" s="40">
        <v>127</v>
      </c>
      <c r="C30" s="41">
        <v>1947</v>
      </c>
      <c r="D30" s="44" t="s">
        <v>84</v>
      </c>
      <c r="E30" s="44" t="s">
        <v>85</v>
      </c>
      <c r="F30" s="44" t="s">
        <v>302</v>
      </c>
      <c r="G30" s="44" t="s">
        <v>306</v>
      </c>
      <c r="H30" s="41" t="s">
        <v>355</v>
      </c>
      <c r="I30" s="32"/>
      <c r="J30" s="31" t="s">
        <v>356</v>
      </c>
      <c r="K30" s="18">
        <v>1</v>
      </c>
      <c r="Q30" s="18">
        <v>1</v>
      </c>
      <c r="T30" s="18">
        <v>1</v>
      </c>
      <c r="V30" s="18">
        <v>1</v>
      </c>
      <c r="W30" s="18">
        <v>1</v>
      </c>
      <c r="AA30" s="18">
        <f t="shared" si="3"/>
        <v>1</v>
      </c>
      <c r="AB30" s="18">
        <f t="shared" si="4"/>
        <v>1</v>
      </c>
      <c r="AC30" s="18">
        <f t="shared" si="0"/>
        <v>0</v>
      </c>
      <c r="AD30" s="18">
        <f t="shared" si="1"/>
        <v>0</v>
      </c>
      <c r="AE30" s="18">
        <f t="shared" si="2"/>
        <v>5</v>
      </c>
      <c r="AF30" s="18">
        <f t="shared" si="5"/>
        <v>0</v>
      </c>
      <c r="AG30" s="18" t="s">
        <v>99</v>
      </c>
      <c r="AH30" s="18" t="s">
        <v>357</v>
      </c>
    </row>
    <row r="31" spans="2:35" ht="30">
      <c r="B31" s="40">
        <v>128</v>
      </c>
      <c r="C31" s="41">
        <v>1958</v>
      </c>
      <c r="D31" s="44" t="s">
        <v>87</v>
      </c>
      <c r="E31" s="44" t="s">
        <v>88</v>
      </c>
      <c r="F31" s="44" t="s">
        <v>289</v>
      </c>
      <c r="G31" s="44" t="s">
        <v>290</v>
      </c>
      <c r="H31" s="45" t="s">
        <v>89</v>
      </c>
      <c r="I31" s="32"/>
      <c r="J31" s="31"/>
      <c r="K31" s="18">
        <v>1</v>
      </c>
      <c r="Q31" s="18" t="s">
        <v>294</v>
      </c>
      <c r="R31" s="18">
        <v>1</v>
      </c>
      <c r="T31" s="18" t="s">
        <v>338</v>
      </c>
      <c r="V31" s="18">
        <v>1</v>
      </c>
      <c r="AA31" s="18">
        <f t="shared" si="3"/>
        <v>1</v>
      </c>
      <c r="AB31" s="18">
        <f t="shared" si="4"/>
        <v>1</v>
      </c>
      <c r="AC31" s="18">
        <f t="shared" si="0"/>
        <v>0</v>
      </c>
      <c r="AD31" s="18">
        <f t="shared" si="1"/>
        <v>0</v>
      </c>
      <c r="AE31" s="18">
        <f t="shared" si="2"/>
        <v>3</v>
      </c>
      <c r="AF31" s="18">
        <f t="shared" si="5"/>
        <v>0</v>
      </c>
      <c r="AG31" s="18" t="s">
        <v>99</v>
      </c>
      <c r="AH31" s="18" t="s">
        <v>358</v>
      </c>
    </row>
    <row r="32" spans="2:35" ht="30">
      <c r="B32" s="40">
        <v>129</v>
      </c>
      <c r="C32" s="41" t="s">
        <v>90</v>
      </c>
      <c r="D32" s="44" t="s">
        <v>91</v>
      </c>
      <c r="E32" s="44" t="s">
        <v>18</v>
      </c>
      <c r="F32" s="44" t="s">
        <v>302</v>
      </c>
      <c r="G32" s="44" t="s">
        <v>292</v>
      </c>
      <c r="H32" s="44" t="s">
        <v>359</v>
      </c>
      <c r="I32" s="32"/>
      <c r="J32" s="31"/>
      <c r="K32" s="18">
        <v>1</v>
      </c>
      <c r="Q32" s="18">
        <v>1</v>
      </c>
      <c r="T32" s="18">
        <v>1</v>
      </c>
      <c r="V32" s="18">
        <v>1</v>
      </c>
      <c r="W32" s="18">
        <v>1</v>
      </c>
      <c r="AA32" s="18">
        <f t="shared" si="3"/>
        <v>1</v>
      </c>
      <c r="AB32" s="18">
        <f t="shared" si="4"/>
        <v>1</v>
      </c>
      <c r="AC32" s="18">
        <f t="shared" si="0"/>
        <v>0</v>
      </c>
      <c r="AD32" s="18">
        <f t="shared" si="1"/>
        <v>0</v>
      </c>
      <c r="AE32" s="18">
        <f t="shared" si="2"/>
        <v>5</v>
      </c>
      <c r="AF32" s="18">
        <f t="shared" si="5"/>
        <v>0</v>
      </c>
      <c r="AG32" s="18" t="s">
        <v>106</v>
      </c>
      <c r="AH32" s="18" t="s">
        <v>360</v>
      </c>
    </row>
    <row r="33" spans="2:35" ht="45">
      <c r="B33" s="40">
        <v>130</v>
      </c>
      <c r="C33" s="41">
        <v>1966</v>
      </c>
      <c r="D33" s="44" t="s">
        <v>361</v>
      </c>
      <c r="E33" s="44" t="s">
        <v>88</v>
      </c>
      <c r="F33" s="44" t="s">
        <v>289</v>
      </c>
      <c r="G33" s="44" t="s">
        <v>290</v>
      </c>
      <c r="H33" s="44" t="s">
        <v>95</v>
      </c>
      <c r="I33" s="32"/>
      <c r="J33" s="31" t="s">
        <v>362</v>
      </c>
      <c r="K33" s="18">
        <v>1</v>
      </c>
      <c r="V33" s="18">
        <v>1</v>
      </c>
      <c r="Y33">
        <v>2.4780257825476402</v>
      </c>
      <c r="AA33" s="18">
        <f t="shared" si="3"/>
        <v>1</v>
      </c>
      <c r="AB33" s="18">
        <f t="shared" si="4"/>
        <v>1</v>
      </c>
      <c r="AC33" s="18">
        <f t="shared" si="0"/>
        <v>0</v>
      </c>
      <c r="AD33" s="18">
        <f t="shared" si="1"/>
        <v>0</v>
      </c>
      <c r="AE33" s="18">
        <f t="shared" si="2"/>
        <v>2</v>
      </c>
      <c r="AF33" s="18">
        <f t="shared" si="5"/>
        <v>0</v>
      </c>
      <c r="AG33" s="18" t="s">
        <v>98</v>
      </c>
      <c r="AH33" s="18" t="s">
        <v>99</v>
      </c>
    </row>
    <row r="34" spans="2:35" ht="45">
      <c r="B34" s="40">
        <v>131</v>
      </c>
      <c r="C34" s="41" t="s">
        <v>100</v>
      </c>
      <c r="D34" s="41" t="s">
        <v>101</v>
      </c>
      <c r="E34" s="44" t="s">
        <v>13</v>
      </c>
      <c r="F34" s="44" t="s">
        <v>289</v>
      </c>
      <c r="G34" s="44" t="s">
        <v>296</v>
      </c>
      <c r="H34" s="48">
        <v>1000000</v>
      </c>
      <c r="I34" s="32"/>
      <c r="J34" s="41" t="s">
        <v>363</v>
      </c>
      <c r="O34" s="18">
        <v>1</v>
      </c>
      <c r="Q34" s="18" t="s">
        <v>294</v>
      </c>
      <c r="T34" s="18">
        <v>1</v>
      </c>
      <c r="V34" s="18">
        <v>1</v>
      </c>
      <c r="Y34">
        <v>2.1815196358828399</v>
      </c>
      <c r="AA34" s="18">
        <f t="shared" si="3"/>
        <v>0</v>
      </c>
      <c r="AB34" s="18">
        <f t="shared" si="4"/>
        <v>1</v>
      </c>
      <c r="AC34" s="18">
        <f t="shared" si="0"/>
        <v>0</v>
      </c>
      <c r="AD34" s="18">
        <f t="shared" si="1"/>
        <v>0</v>
      </c>
      <c r="AE34" s="18">
        <f t="shared" si="2"/>
        <v>3</v>
      </c>
      <c r="AF34" s="18">
        <f t="shared" si="5"/>
        <v>1</v>
      </c>
      <c r="AG34" s="18" t="s">
        <v>99</v>
      </c>
      <c r="AH34" s="18" t="s">
        <v>106</v>
      </c>
      <c r="AI34" s="18" t="s">
        <v>107</v>
      </c>
    </row>
    <row r="35" spans="2:35" ht="60">
      <c r="B35" s="40">
        <v>132</v>
      </c>
      <c r="C35" s="41" t="s">
        <v>109</v>
      </c>
      <c r="D35" s="41" t="s">
        <v>110</v>
      </c>
      <c r="E35" s="41" t="s">
        <v>111</v>
      </c>
      <c r="F35" s="41" t="s">
        <v>289</v>
      </c>
      <c r="G35" s="41" t="s">
        <v>296</v>
      </c>
      <c r="H35" s="45">
        <v>101000</v>
      </c>
      <c r="I35" s="32"/>
      <c r="J35" s="31"/>
      <c r="K35" s="18">
        <v>1</v>
      </c>
      <c r="M35" s="18">
        <v>1</v>
      </c>
      <c r="P35" s="18">
        <v>1</v>
      </c>
      <c r="R35" s="18">
        <v>1</v>
      </c>
      <c r="S35" s="18">
        <v>1</v>
      </c>
      <c r="T35" s="18">
        <v>1</v>
      </c>
      <c r="V35" s="18">
        <v>1</v>
      </c>
      <c r="W35" s="18">
        <v>1</v>
      </c>
      <c r="Y35" s="18">
        <f>AVERAGE([1]PopGrowth!$K$163,[1]PopGrowth!$K$160,[1]PopGrowth!$K$180,[1]PopGrowth!$K$77,[1]PopGrowth!$K$69)</f>
        <v>2.0985445919394121</v>
      </c>
      <c r="AA35" s="18">
        <f t="shared" si="3"/>
        <v>1</v>
      </c>
      <c r="AB35" s="18">
        <f t="shared" si="4"/>
        <v>1</v>
      </c>
      <c r="AC35" s="18">
        <f t="shared" si="0"/>
        <v>0</v>
      </c>
      <c r="AD35" s="18">
        <f t="shared" si="1"/>
        <v>0</v>
      </c>
      <c r="AE35" s="18">
        <f t="shared" si="2"/>
        <v>8</v>
      </c>
      <c r="AF35" s="18">
        <f t="shared" si="5"/>
        <v>0</v>
      </c>
      <c r="AG35" s="18" t="s">
        <v>99</v>
      </c>
      <c r="AH35" s="18" t="s">
        <v>106</v>
      </c>
    </row>
    <row r="36" spans="2:35" ht="60">
      <c r="B36" s="40"/>
      <c r="C36" s="41">
        <v>1972</v>
      </c>
      <c r="D36" s="41" t="s">
        <v>117</v>
      </c>
      <c r="E36" s="41" t="s">
        <v>118</v>
      </c>
      <c r="F36" s="41" t="s">
        <v>291</v>
      </c>
      <c r="G36" s="41" t="s">
        <v>308</v>
      </c>
      <c r="H36" s="45">
        <v>100000</v>
      </c>
      <c r="I36" s="32"/>
      <c r="J36" s="49" t="s">
        <v>364</v>
      </c>
      <c r="K36" s="18">
        <v>1</v>
      </c>
      <c r="V36" s="18">
        <v>1</v>
      </c>
      <c r="Y36">
        <v>2.2626193556130798</v>
      </c>
      <c r="AA36" s="18">
        <f t="shared" si="3"/>
        <v>1</v>
      </c>
      <c r="AB36" s="18">
        <f t="shared" si="4"/>
        <v>1</v>
      </c>
      <c r="AC36" s="18">
        <f t="shared" si="0"/>
        <v>0</v>
      </c>
      <c r="AD36" s="18">
        <f t="shared" si="1"/>
        <v>0</v>
      </c>
      <c r="AE36" s="18">
        <f t="shared" ref="AE36:AE57" si="6">SUM(K36:X36)</f>
        <v>2</v>
      </c>
      <c r="AF36" s="18">
        <f t="shared" si="5"/>
        <v>0</v>
      </c>
      <c r="AH36" s="17" t="s">
        <v>122</v>
      </c>
    </row>
    <row r="37" spans="2:35" ht="75">
      <c r="B37" s="40">
        <v>133</v>
      </c>
      <c r="C37" s="41" t="s">
        <v>365</v>
      </c>
      <c r="D37" s="41" t="s">
        <v>124</v>
      </c>
      <c r="E37" s="44" t="s">
        <v>88</v>
      </c>
      <c r="F37" s="44" t="s">
        <v>289</v>
      </c>
      <c r="G37" s="44" t="s">
        <v>290</v>
      </c>
      <c r="H37" s="42" t="s">
        <v>125</v>
      </c>
      <c r="I37" s="32"/>
      <c r="J37" s="31" t="s">
        <v>366</v>
      </c>
      <c r="K37" s="18">
        <v>1</v>
      </c>
      <c r="Q37" s="18" t="s">
        <v>294</v>
      </c>
      <c r="V37" s="18">
        <v>1</v>
      </c>
      <c r="Y37" s="18">
        <f>AVERAGE([1]PopGrowth!$O$102)</f>
        <v>2.9948794421119098</v>
      </c>
      <c r="AA37" s="18">
        <f t="shared" si="3"/>
        <v>1</v>
      </c>
      <c r="AB37" s="18">
        <f t="shared" si="4"/>
        <v>1</v>
      </c>
      <c r="AC37" s="18">
        <f t="shared" si="0"/>
        <v>0</v>
      </c>
      <c r="AD37" s="18">
        <f t="shared" si="1"/>
        <v>0</v>
      </c>
      <c r="AE37" s="18">
        <f t="shared" si="6"/>
        <v>2</v>
      </c>
      <c r="AF37" s="18">
        <f t="shared" si="5"/>
        <v>0</v>
      </c>
      <c r="AG37" s="18" t="s">
        <v>99</v>
      </c>
      <c r="AH37" s="18" t="s">
        <v>106</v>
      </c>
    </row>
    <row r="38" spans="2:35" ht="15">
      <c r="B38" s="40">
        <v>134</v>
      </c>
      <c r="C38" s="41" t="s">
        <v>130</v>
      </c>
      <c r="D38" s="41" t="s">
        <v>131</v>
      </c>
      <c r="E38" s="44" t="s">
        <v>131</v>
      </c>
      <c r="F38" s="44" t="s">
        <v>289</v>
      </c>
      <c r="G38" s="44" t="s">
        <v>290</v>
      </c>
      <c r="H38" s="42">
        <v>20000</v>
      </c>
      <c r="I38" s="32"/>
      <c r="J38" s="31"/>
      <c r="K38" s="18">
        <v>1</v>
      </c>
      <c r="U38" s="18">
        <v>1</v>
      </c>
      <c r="V38" s="18">
        <v>1</v>
      </c>
      <c r="Y38" s="18">
        <f>AVERAGE([1]PopGrowth!$Q$212)</f>
        <v>3.2925403488144598</v>
      </c>
      <c r="AA38" s="18">
        <f t="shared" si="3"/>
        <v>1</v>
      </c>
      <c r="AB38" s="18">
        <f t="shared" si="4"/>
        <v>1</v>
      </c>
      <c r="AC38" s="18">
        <f t="shared" si="0"/>
        <v>0</v>
      </c>
      <c r="AD38" s="18">
        <f t="shared" si="1"/>
        <v>0</v>
      </c>
      <c r="AE38" s="18">
        <f t="shared" si="6"/>
        <v>3</v>
      </c>
      <c r="AF38" s="18">
        <f t="shared" si="5"/>
        <v>0</v>
      </c>
    </row>
    <row r="39" spans="2:35" ht="45">
      <c r="B39" s="40">
        <v>135</v>
      </c>
      <c r="C39" s="41">
        <v>1974</v>
      </c>
      <c r="D39" s="44" t="s">
        <v>137</v>
      </c>
      <c r="E39" s="44" t="s">
        <v>138</v>
      </c>
      <c r="F39" s="44" t="s">
        <v>291</v>
      </c>
      <c r="G39" s="44" t="s">
        <v>308</v>
      </c>
      <c r="H39" s="45">
        <v>500000</v>
      </c>
      <c r="I39" s="32"/>
      <c r="J39" s="31" t="s">
        <v>367</v>
      </c>
      <c r="L39" s="18">
        <v>1</v>
      </c>
      <c r="O39" s="18">
        <v>1</v>
      </c>
      <c r="P39" s="18">
        <v>1</v>
      </c>
      <c r="T39" s="18">
        <v>1</v>
      </c>
      <c r="Y39">
        <v>1.61014648719803</v>
      </c>
      <c r="AA39" s="18">
        <f t="shared" si="3"/>
        <v>1</v>
      </c>
      <c r="AB39" s="18">
        <f t="shared" si="4"/>
        <v>1</v>
      </c>
      <c r="AC39" s="18">
        <f t="shared" si="0"/>
        <v>0</v>
      </c>
      <c r="AD39" s="18">
        <f t="shared" si="1"/>
        <v>0</v>
      </c>
      <c r="AE39" s="18">
        <f t="shared" si="6"/>
        <v>4</v>
      </c>
      <c r="AF39" s="18">
        <f t="shared" si="5"/>
        <v>0</v>
      </c>
      <c r="AG39" s="18" t="s">
        <v>99</v>
      </c>
      <c r="AH39" s="19" t="s">
        <v>143</v>
      </c>
    </row>
    <row r="40" spans="2:35" ht="30">
      <c r="B40" s="40">
        <v>136</v>
      </c>
      <c r="C40" s="41" t="s">
        <v>145</v>
      </c>
      <c r="D40" s="41" t="s">
        <v>146</v>
      </c>
      <c r="E40" s="44" t="s">
        <v>147</v>
      </c>
      <c r="F40" s="44" t="s">
        <v>291</v>
      </c>
      <c r="G40" s="44" t="s">
        <v>352</v>
      </c>
      <c r="H40" s="45" t="s">
        <v>368</v>
      </c>
      <c r="I40" s="32"/>
      <c r="J40" s="31" t="s">
        <v>369</v>
      </c>
      <c r="L40" s="18">
        <v>1</v>
      </c>
      <c r="O40" s="18">
        <v>1</v>
      </c>
      <c r="Q40" s="18" t="s">
        <v>294</v>
      </c>
      <c r="T40" s="18">
        <v>1</v>
      </c>
      <c r="U40" s="18">
        <v>1</v>
      </c>
      <c r="V40" s="18">
        <v>1</v>
      </c>
      <c r="Y40">
        <v>-0.150576207817191</v>
      </c>
      <c r="AA40" s="18">
        <f t="shared" si="3"/>
        <v>1</v>
      </c>
      <c r="AB40" s="18">
        <f t="shared" si="4"/>
        <v>1</v>
      </c>
      <c r="AC40" s="18">
        <f t="shared" si="0"/>
        <v>0</v>
      </c>
      <c r="AD40" s="18">
        <f t="shared" si="1"/>
        <v>0</v>
      </c>
      <c r="AE40" s="18">
        <f t="shared" si="6"/>
        <v>5</v>
      </c>
      <c r="AF40" s="18">
        <f t="shared" si="5"/>
        <v>0</v>
      </c>
      <c r="AG40" s="17" t="s">
        <v>152</v>
      </c>
      <c r="AH40" s="18" t="s">
        <v>99</v>
      </c>
    </row>
    <row r="41" spans="2:35" ht="15">
      <c r="B41" s="40">
        <v>137</v>
      </c>
      <c r="C41" s="41" t="s">
        <v>153</v>
      </c>
      <c r="D41" s="44" t="s">
        <v>154</v>
      </c>
      <c r="E41" s="44" t="s">
        <v>155</v>
      </c>
      <c r="F41" s="44" t="s">
        <v>289</v>
      </c>
      <c r="G41" s="44" t="s">
        <v>290</v>
      </c>
      <c r="H41" s="42">
        <v>30000</v>
      </c>
      <c r="I41" s="32"/>
      <c r="J41" s="31" t="s">
        <v>370</v>
      </c>
      <c r="K41" s="18">
        <v>1</v>
      </c>
      <c r="O41" s="18">
        <v>1</v>
      </c>
      <c r="Q41" s="18" t="s">
        <v>294</v>
      </c>
      <c r="U41" s="18">
        <v>1</v>
      </c>
      <c r="Y41" s="18">
        <f>AVERAGE([1]PopGrowth!$W$239)</f>
        <v>3.0029968529978901</v>
      </c>
      <c r="AA41" s="18">
        <f t="shared" si="3"/>
        <v>1</v>
      </c>
      <c r="AB41" s="18">
        <f t="shared" si="4"/>
        <v>1</v>
      </c>
      <c r="AC41" s="18">
        <f t="shared" si="0"/>
        <v>1</v>
      </c>
      <c r="AD41" s="18">
        <f t="shared" si="1"/>
        <v>0</v>
      </c>
      <c r="AE41" s="18">
        <f t="shared" si="6"/>
        <v>3</v>
      </c>
      <c r="AF41" s="18">
        <f t="shared" si="5"/>
        <v>0</v>
      </c>
      <c r="AG41" s="18" t="s">
        <v>161</v>
      </c>
      <c r="AH41" s="18" t="s">
        <v>99</v>
      </c>
    </row>
    <row r="42" spans="2:35" ht="30">
      <c r="B42" s="40">
        <v>138</v>
      </c>
      <c r="C42" s="41" t="s">
        <v>163</v>
      </c>
      <c r="D42" s="44" t="s">
        <v>371</v>
      </c>
      <c r="E42" s="44" t="s">
        <v>371</v>
      </c>
      <c r="F42" s="44" t="s">
        <v>289</v>
      </c>
      <c r="G42" s="44" t="s">
        <v>290</v>
      </c>
      <c r="H42" s="42">
        <v>100000</v>
      </c>
      <c r="I42" s="32"/>
      <c r="J42" s="31" t="s">
        <v>372</v>
      </c>
      <c r="K42" s="18">
        <v>1</v>
      </c>
      <c r="O42" s="18">
        <v>1</v>
      </c>
      <c r="Y42" s="18">
        <f>AVERAGE([1]PopGrowth!$Y$172)</f>
        <v>2.3096731659167098</v>
      </c>
      <c r="AA42" s="18">
        <f t="shared" si="3"/>
        <v>1</v>
      </c>
      <c r="AB42" s="18">
        <f t="shared" si="4"/>
        <v>1</v>
      </c>
      <c r="AC42" s="18">
        <f t="shared" si="0"/>
        <v>1</v>
      </c>
      <c r="AD42" s="18">
        <f t="shared" si="1"/>
        <v>0</v>
      </c>
      <c r="AE42" s="18">
        <f t="shared" si="6"/>
        <v>2</v>
      </c>
      <c r="AF42" s="18">
        <f t="shared" si="5"/>
        <v>0</v>
      </c>
      <c r="AG42" s="18" t="s">
        <v>99</v>
      </c>
      <c r="AH42" s="18" t="s">
        <v>167</v>
      </c>
    </row>
    <row r="43" spans="2:35" ht="30">
      <c r="B43" s="40">
        <v>139</v>
      </c>
      <c r="C43" s="41" t="s">
        <v>168</v>
      </c>
      <c r="D43" s="44" t="s">
        <v>169</v>
      </c>
      <c r="E43" s="44" t="s">
        <v>170</v>
      </c>
      <c r="F43" s="44" t="s">
        <v>289</v>
      </c>
      <c r="G43" s="44" t="s">
        <v>373</v>
      </c>
      <c r="H43" s="42">
        <v>250000</v>
      </c>
      <c r="I43" s="32"/>
      <c r="J43" s="31"/>
      <c r="K43" s="18">
        <v>1</v>
      </c>
      <c r="M43" s="18">
        <v>1</v>
      </c>
      <c r="O43" s="18">
        <v>1</v>
      </c>
      <c r="T43" s="18">
        <v>1</v>
      </c>
      <c r="V43" s="18" t="s">
        <v>338</v>
      </c>
      <c r="Y43" s="18">
        <f>AVERAGE([1]PopGrowth!$AA$221)</f>
        <v>3.3432992464440598</v>
      </c>
      <c r="AA43" s="18">
        <f t="shared" si="3"/>
        <v>1</v>
      </c>
      <c r="AB43" s="18">
        <f t="shared" si="4"/>
        <v>1</v>
      </c>
      <c r="AC43" s="18">
        <f t="shared" si="0"/>
        <v>1</v>
      </c>
      <c r="AD43" s="18">
        <f t="shared" si="1"/>
        <v>0</v>
      </c>
      <c r="AE43" s="18">
        <f t="shared" si="6"/>
        <v>4</v>
      </c>
      <c r="AF43" s="18">
        <f t="shared" si="5"/>
        <v>0</v>
      </c>
      <c r="AG43" s="18" t="s">
        <v>175</v>
      </c>
      <c r="AH43" s="18" t="s">
        <v>99</v>
      </c>
    </row>
    <row r="44" spans="2:35" ht="30">
      <c r="B44" s="40">
        <v>140</v>
      </c>
      <c r="C44" s="41" t="s">
        <v>168</v>
      </c>
      <c r="D44" s="44" t="s">
        <v>176</v>
      </c>
      <c r="E44" s="44" t="s">
        <v>88</v>
      </c>
      <c r="F44" s="44" t="s">
        <v>289</v>
      </c>
      <c r="G44" s="44" t="s">
        <v>290</v>
      </c>
      <c r="H44" s="45">
        <v>1000000</v>
      </c>
      <c r="I44" s="32"/>
      <c r="J44" s="31" t="s">
        <v>374</v>
      </c>
      <c r="K44" s="18">
        <v>1</v>
      </c>
      <c r="O44" s="18">
        <v>1</v>
      </c>
      <c r="Q44" s="18" t="s">
        <v>294</v>
      </c>
      <c r="V44" s="18">
        <v>1</v>
      </c>
      <c r="Y44" s="18">
        <f>AVERAGE([1]PopGrowth!$AA$102)</f>
        <v>3.1751434571508299</v>
      </c>
      <c r="AA44" s="18">
        <f t="shared" si="3"/>
        <v>1</v>
      </c>
      <c r="AB44" s="18">
        <f t="shared" si="4"/>
        <v>1</v>
      </c>
      <c r="AC44" s="18">
        <f t="shared" si="0"/>
        <v>1</v>
      </c>
      <c r="AD44" s="18">
        <f t="shared" si="1"/>
        <v>0</v>
      </c>
      <c r="AE44" s="18">
        <f t="shared" si="6"/>
        <v>3</v>
      </c>
      <c r="AF44" s="18">
        <f t="shared" si="5"/>
        <v>0</v>
      </c>
      <c r="AG44" s="18" t="s">
        <v>99</v>
      </c>
      <c r="AH44" s="18" t="s">
        <v>107</v>
      </c>
    </row>
    <row r="45" spans="2:35" ht="15">
      <c r="B45" s="40">
        <v>141</v>
      </c>
      <c r="C45" s="41">
        <v>1988</v>
      </c>
      <c r="D45" s="44" t="s">
        <v>180</v>
      </c>
      <c r="E45" s="44" t="s">
        <v>170</v>
      </c>
      <c r="F45" s="44" t="s">
        <v>289</v>
      </c>
      <c r="G45" s="44" t="s">
        <v>373</v>
      </c>
      <c r="H45" s="45">
        <v>250000</v>
      </c>
      <c r="I45" s="32"/>
      <c r="J45" s="31"/>
      <c r="K45" s="18">
        <v>1</v>
      </c>
      <c r="O45" s="18">
        <v>1</v>
      </c>
      <c r="S45" s="18">
        <v>1</v>
      </c>
      <c r="Y45">
        <v>2.9454484940770298</v>
      </c>
      <c r="AA45" s="18">
        <f t="shared" si="3"/>
        <v>1</v>
      </c>
      <c r="AB45" s="18">
        <f t="shared" si="4"/>
        <v>1</v>
      </c>
      <c r="AC45" s="18">
        <f t="shared" si="0"/>
        <v>1</v>
      </c>
      <c r="AD45" s="18">
        <f t="shared" si="1"/>
        <v>0</v>
      </c>
      <c r="AE45" s="18">
        <f t="shared" si="6"/>
        <v>3</v>
      </c>
      <c r="AF45" s="18">
        <f t="shared" si="5"/>
        <v>0</v>
      </c>
      <c r="AG45" s="17" t="s">
        <v>185</v>
      </c>
      <c r="AH45" s="18" t="s">
        <v>99</v>
      </c>
    </row>
    <row r="46" spans="2:35" ht="15">
      <c r="B46" s="40">
        <v>142</v>
      </c>
      <c r="C46" s="41" t="s">
        <v>187</v>
      </c>
      <c r="D46" s="41" t="s">
        <v>188</v>
      </c>
      <c r="E46" s="44" t="s">
        <v>131</v>
      </c>
      <c r="F46" s="44" t="s">
        <v>289</v>
      </c>
      <c r="G46" s="44" t="s">
        <v>290</v>
      </c>
      <c r="H46" s="42">
        <v>300000</v>
      </c>
      <c r="I46" s="32"/>
      <c r="J46" s="31" t="s">
        <v>375</v>
      </c>
      <c r="K46" s="18">
        <v>1</v>
      </c>
      <c r="O46" s="18">
        <v>1</v>
      </c>
      <c r="Q46" s="18" t="s">
        <v>294</v>
      </c>
      <c r="S46" s="18">
        <v>1</v>
      </c>
      <c r="Y46" s="18">
        <f>AVERAGE([1]PopGrowth!$AG$212)</f>
        <v>0.57363203795801498</v>
      </c>
      <c r="AA46" s="18">
        <f t="shared" si="3"/>
        <v>1</v>
      </c>
      <c r="AB46" s="18">
        <f t="shared" si="4"/>
        <v>1</v>
      </c>
      <c r="AC46" s="18">
        <f t="shared" si="0"/>
        <v>1</v>
      </c>
      <c r="AD46" s="18">
        <f t="shared" si="1"/>
        <v>0</v>
      </c>
      <c r="AE46" s="18">
        <f t="shared" si="6"/>
        <v>3</v>
      </c>
      <c r="AF46" s="18">
        <f t="shared" si="5"/>
        <v>0</v>
      </c>
      <c r="AG46" s="17" t="s">
        <v>193</v>
      </c>
      <c r="AH46" s="19" t="s">
        <v>194</v>
      </c>
      <c r="AI46" s="18" t="s">
        <v>99</v>
      </c>
    </row>
    <row r="47" spans="2:35" ht="45">
      <c r="B47" s="40">
        <v>143</v>
      </c>
      <c r="C47" s="41">
        <v>1996</v>
      </c>
      <c r="D47" s="41" t="s">
        <v>195</v>
      </c>
      <c r="E47" s="44" t="s">
        <v>196</v>
      </c>
      <c r="F47" s="44" t="s">
        <v>291</v>
      </c>
      <c r="G47" s="44" t="s">
        <v>292</v>
      </c>
      <c r="H47" s="41" t="s">
        <v>376</v>
      </c>
      <c r="I47" s="32"/>
      <c r="J47" s="31" t="s">
        <v>377</v>
      </c>
      <c r="L47" s="18">
        <v>1</v>
      </c>
      <c r="Q47" s="18">
        <v>1</v>
      </c>
      <c r="U47" s="18">
        <v>1</v>
      </c>
      <c r="V47" s="18">
        <v>1</v>
      </c>
      <c r="Y47">
        <v>1.15505563773734</v>
      </c>
      <c r="AA47" s="18">
        <f t="shared" si="3"/>
        <v>1</v>
      </c>
      <c r="AB47" s="18">
        <f t="shared" si="4"/>
        <v>1</v>
      </c>
      <c r="AC47" s="18">
        <f t="shared" si="0"/>
        <v>0</v>
      </c>
      <c r="AD47" s="18">
        <f t="shared" si="1"/>
        <v>0</v>
      </c>
      <c r="AE47" s="18">
        <f t="shared" si="6"/>
        <v>4</v>
      </c>
      <c r="AF47" s="18">
        <f t="shared" si="5"/>
        <v>0</v>
      </c>
      <c r="AG47" s="17" t="s">
        <v>202</v>
      </c>
      <c r="AH47" s="18" t="s">
        <v>378</v>
      </c>
    </row>
    <row r="48" spans="2:35" ht="15">
      <c r="B48" s="40">
        <v>144</v>
      </c>
      <c r="C48" s="41">
        <v>1998</v>
      </c>
      <c r="D48" s="41" t="s">
        <v>204</v>
      </c>
      <c r="E48" s="44" t="s">
        <v>170</v>
      </c>
      <c r="F48" s="44" t="s">
        <v>289</v>
      </c>
      <c r="G48" s="44" t="s">
        <v>373</v>
      </c>
      <c r="H48" s="42">
        <v>70000</v>
      </c>
      <c r="I48" s="32"/>
      <c r="J48" s="31" t="s">
        <v>379</v>
      </c>
      <c r="K48" s="18">
        <v>1</v>
      </c>
      <c r="O48" s="18">
        <v>1</v>
      </c>
      <c r="Q48" s="18" t="s">
        <v>294</v>
      </c>
      <c r="Y48">
        <v>2.24286329702575</v>
      </c>
      <c r="AA48" s="18">
        <f t="shared" si="3"/>
        <v>1</v>
      </c>
      <c r="AB48" s="18">
        <f t="shared" si="4"/>
        <v>1</v>
      </c>
      <c r="AC48" s="18">
        <f t="shared" si="0"/>
        <v>1</v>
      </c>
      <c r="AD48" s="18">
        <f t="shared" si="1"/>
        <v>0</v>
      </c>
      <c r="AE48" s="18">
        <f t="shared" si="6"/>
        <v>2</v>
      </c>
      <c r="AF48" s="18">
        <f t="shared" si="5"/>
        <v>0</v>
      </c>
      <c r="AG48" s="17" t="s">
        <v>207</v>
      </c>
      <c r="AH48" s="19" t="s">
        <v>208</v>
      </c>
    </row>
    <row r="49" spans="2:35" ht="30">
      <c r="B49" s="40">
        <v>145</v>
      </c>
      <c r="C49" s="41" t="s">
        <v>209</v>
      </c>
      <c r="D49" s="41" t="s">
        <v>210</v>
      </c>
      <c r="E49" s="44" t="s">
        <v>88</v>
      </c>
      <c r="F49" s="44" t="s">
        <v>289</v>
      </c>
      <c r="G49" s="44" t="s">
        <v>290</v>
      </c>
      <c r="H49" s="41"/>
      <c r="I49" s="32"/>
      <c r="J49" s="31" t="s">
        <v>380</v>
      </c>
      <c r="K49" s="18">
        <v>1</v>
      </c>
      <c r="N49" s="50">
        <v>1</v>
      </c>
      <c r="O49" s="18">
        <v>1</v>
      </c>
      <c r="Q49" s="18" t="s">
        <v>294</v>
      </c>
      <c r="U49" s="18">
        <v>1</v>
      </c>
      <c r="Y49" s="18">
        <f>AVERAGE([1]PopGrowth!$AO$102)</f>
        <v>2.8791555922873902</v>
      </c>
      <c r="AA49" s="18">
        <f t="shared" si="3"/>
        <v>1</v>
      </c>
      <c r="AB49" s="18">
        <f t="shared" si="4"/>
        <v>1</v>
      </c>
      <c r="AC49" s="18">
        <f t="shared" si="0"/>
        <v>1</v>
      </c>
      <c r="AD49" s="18">
        <f t="shared" si="1"/>
        <v>0</v>
      </c>
      <c r="AE49" s="18">
        <f t="shared" si="6"/>
        <v>4</v>
      </c>
      <c r="AF49" s="18">
        <f t="shared" si="5"/>
        <v>0</v>
      </c>
      <c r="AG49" s="17" t="s">
        <v>381</v>
      </c>
      <c r="AH49" s="50" t="s">
        <v>107</v>
      </c>
    </row>
    <row r="50" spans="2:35" ht="15">
      <c r="B50" s="40">
        <v>146</v>
      </c>
      <c r="C50" s="41" t="s">
        <v>217</v>
      </c>
      <c r="D50" s="44" t="s">
        <v>382</v>
      </c>
      <c r="E50" s="44" t="s">
        <v>383</v>
      </c>
      <c r="F50" s="44" t="s">
        <v>289</v>
      </c>
      <c r="G50" s="44" t="s">
        <v>326</v>
      </c>
      <c r="H50" s="45">
        <v>3800000</v>
      </c>
      <c r="I50" s="32"/>
      <c r="J50" s="31" t="s">
        <v>384</v>
      </c>
      <c r="O50" s="18">
        <v>1</v>
      </c>
      <c r="P50" s="18">
        <v>1</v>
      </c>
      <c r="U50" s="18">
        <v>1</v>
      </c>
      <c r="V50" s="18">
        <v>1</v>
      </c>
      <c r="Y50" s="18">
        <f>AVERAGE([1]PopGrowth!$AO$83)</f>
        <v>1.9824336597033201</v>
      </c>
      <c r="AA50" s="18">
        <f t="shared" si="3"/>
        <v>0</v>
      </c>
      <c r="AB50" s="18">
        <f t="shared" si="4"/>
        <v>1</v>
      </c>
      <c r="AC50" s="18">
        <f t="shared" si="0"/>
        <v>0</v>
      </c>
      <c r="AD50" s="18">
        <f t="shared" si="1"/>
        <v>0</v>
      </c>
      <c r="AE50" s="18">
        <f t="shared" si="6"/>
        <v>4</v>
      </c>
      <c r="AF50" s="18">
        <f t="shared" si="5"/>
        <v>1</v>
      </c>
      <c r="AG50" s="17" t="s">
        <v>224</v>
      </c>
      <c r="AH50" s="19" t="s">
        <v>225</v>
      </c>
    </row>
    <row r="51" spans="2:35" ht="90">
      <c r="B51" s="40"/>
      <c r="C51" s="124" t="s">
        <v>226</v>
      </c>
      <c r="D51" s="44" t="s">
        <v>227</v>
      </c>
      <c r="E51" s="44" t="s">
        <v>228</v>
      </c>
      <c r="F51" s="44" t="s">
        <v>289</v>
      </c>
      <c r="G51" s="44" t="s">
        <v>385</v>
      </c>
      <c r="H51" s="45"/>
      <c r="I51" s="32"/>
      <c r="J51" s="31" t="s">
        <v>386</v>
      </c>
      <c r="K51" s="18">
        <v>1</v>
      </c>
      <c r="P51" s="18">
        <v>1</v>
      </c>
      <c r="R51" s="18">
        <v>1</v>
      </c>
      <c r="V51" s="18">
        <v>1</v>
      </c>
      <c r="W51" s="18">
        <v>1</v>
      </c>
      <c r="Y51" s="18">
        <f>AVERAGE([1]PopGrowth!$AQ$253)</f>
        <v>0.95567417331586901</v>
      </c>
      <c r="AA51" s="18">
        <f t="shared" si="3"/>
        <v>1</v>
      </c>
      <c r="AB51" s="18">
        <f t="shared" si="4"/>
        <v>1</v>
      </c>
      <c r="AC51" s="18">
        <f t="shared" si="0"/>
        <v>0</v>
      </c>
      <c r="AD51" s="18">
        <f t="shared" si="1"/>
        <v>0</v>
      </c>
      <c r="AE51" s="18">
        <f t="shared" si="6"/>
        <v>5</v>
      </c>
      <c r="AF51" s="18">
        <f t="shared" si="5"/>
        <v>0</v>
      </c>
      <c r="AG51" s="17" t="s">
        <v>233</v>
      </c>
      <c r="AH51" s="19"/>
    </row>
    <row r="52" spans="2:35" ht="90">
      <c r="B52" s="40"/>
      <c r="C52" s="124" t="s">
        <v>234</v>
      </c>
      <c r="D52" s="44" t="s">
        <v>235</v>
      </c>
      <c r="E52" s="44" t="s">
        <v>170</v>
      </c>
      <c r="F52" s="44" t="s">
        <v>289</v>
      </c>
      <c r="G52" s="44" t="s">
        <v>373</v>
      </c>
      <c r="H52" s="45"/>
      <c r="I52" s="32"/>
      <c r="J52" s="31" t="s">
        <v>387</v>
      </c>
      <c r="K52" s="18">
        <v>1</v>
      </c>
      <c r="O52" s="18">
        <v>1</v>
      </c>
      <c r="Q52" s="18">
        <v>1</v>
      </c>
      <c r="U52" s="18">
        <v>1</v>
      </c>
      <c r="V52" s="18">
        <v>1</v>
      </c>
      <c r="Y52">
        <v>2.6625866174634099</v>
      </c>
      <c r="AA52" s="18">
        <f t="shared" si="3"/>
        <v>1</v>
      </c>
      <c r="AB52" s="18">
        <f t="shared" si="4"/>
        <v>1</v>
      </c>
      <c r="AC52" s="18">
        <f t="shared" si="0"/>
        <v>1</v>
      </c>
      <c r="AD52" s="18">
        <f t="shared" si="1"/>
        <v>0</v>
      </c>
      <c r="AE52" s="18">
        <f t="shared" si="6"/>
        <v>5</v>
      </c>
      <c r="AF52" s="18">
        <f t="shared" si="5"/>
        <v>0</v>
      </c>
      <c r="AG52" s="17" t="s">
        <v>239</v>
      </c>
      <c r="AH52" s="19"/>
    </row>
    <row r="53" spans="2:35" ht="30">
      <c r="B53" s="40"/>
      <c r="C53" s="124" t="s">
        <v>240</v>
      </c>
      <c r="D53" s="44" t="s">
        <v>241</v>
      </c>
      <c r="E53" s="44" t="s">
        <v>242</v>
      </c>
      <c r="F53" s="44" t="s">
        <v>289</v>
      </c>
      <c r="G53" s="44" t="s">
        <v>290</v>
      </c>
      <c r="H53" s="45"/>
      <c r="I53" s="32"/>
      <c r="J53" s="31" t="s">
        <v>388</v>
      </c>
      <c r="K53" s="18">
        <v>1</v>
      </c>
      <c r="L53" s="18">
        <v>1</v>
      </c>
      <c r="N53" s="50">
        <v>1</v>
      </c>
      <c r="P53" s="18">
        <v>1</v>
      </c>
      <c r="R53" s="18">
        <v>1</v>
      </c>
      <c r="V53" s="18">
        <v>1</v>
      </c>
      <c r="Y53">
        <v>2.7903063412370499</v>
      </c>
      <c r="AA53" s="18">
        <f t="shared" si="3"/>
        <v>1</v>
      </c>
      <c r="AB53" s="18">
        <f t="shared" si="4"/>
        <v>1</v>
      </c>
      <c r="AC53" s="18">
        <f t="shared" si="0"/>
        <v>0</v>
      </c>
      <c r="AD53" s="18">
        <f t="shared" si="1"/>
        <v>0</v>
      </c>
      <c r="AE53" s="18">
        <f t="shared" si="6"/>
        <v>6</v>
      </c>
      <c r="AF53" s="18">
        <f t="shared" si="5"/>
        <v>0</v>
      </c>
      <c r="AG53" s="17" t="s">
        <v>247</v>
      </c>
      <c r="AH53" s="50" t="s">
        <v>107</v>
      </c>
    </row>
    <row r="54" spans="2:35" ht="60">
      <c r="B54" s="40"/>
      <c r="C54" s="124" t="s">
        <v>248</v>
      </c>
      <c r="D54" s="44" t="s">
        <v>249</v>
      </c>
      <c r="E54" s="44" t="s">
        <v>250</v>
      </c>
      <c r="F54" s="44" t="s">
        <v>289</v>
      </c>
      <c r="G54" s="44" t="s">
        <v>296</v>
      </c>
      <c r="H54" s="45"/>
      <c r="I54" s="32"/>
      <c r="J54" s="31" t="s">
        <v>389</v>
      </c>
      <c r="K54" s="18">
        <v>1</v>
      </c>
      <c r="R54" s="18">
        <v>1</v>
      </c>
      <c r="Y54" s="18">
        <f>AVERAGE([1]PopGrowth!$AV$180)</f>
        <v>3.6686352073584398</v>
      </c>
      <c r="AA54" s="18">
        <f t="shared" si="3"/>
        <v>1</v>
      </c>
      <c r="AB54" s="18">
        <f t="shared" si="4"/>
        <v>1</v>
      </c>
      <c r="AC54" s="18">
        <f t="shared" si="0"/>
        <v>0</v>
      </c>
      <c r="AD54" s="18">
        <f t="shared" si="1"/>
        <v>0</v>
      </c>
      <c r="AE54" s="18">
        <f t="shared" si="6"/>
        <v>2</v>
      </c>
      <c r="AF54" s="18">
        <f t="shared" si="5"/>
        <v>0</v>
      </c>
      <c r="AG54" s="17" t="s">
        <v>255</v>
      </c>
      <c r="AH54" s="19"/>
    </row>
    <row r="55" spans="2:35" ht="75">
      <c r="B55" s="40"/>
      <c r="C55" s="124">
        <v>2006</v>
      </c>
      <c r="D55" s="44" t="s">
        <v>258</v>
      </c>
      <c r="E55" s="44" t="s">
        <v>259</v>
      </c>
      <c r="F55" s="44" t="s">
        <v>289</v>
      </c>
      <c r="G55" s="44" t="s">
        <v>290</v>
      </c>
      <c r="H55" s="45"/>
      <c r="I55" s="32"/>
      <c r="J55" s="31" t="s">
        <v>390</v>
      </c>
      <c r="K55" s="18">
        <v>1</v>
      </c>
      <c r="O55" s="18">
        <v>1</v>
      </c>
      <c r="Y55" s="18">
        <f>AVERAGE([1]PopGrowth!$AW$93,[1]PopGrowth!$AW$100,[1]PopGrowth!$AW$102,[1]PopGrowth!$AW$138,[1]PopGrowth!$AW$212)</f>
        <v>2.6128630460876781</v>
      </c>
      <c r="AA55" s="18">
        <f t="shared" si="3"/>
        <v>1</v>
      </c>
      <c r="AB55" s="18">
        <f t="shared" si="4"/>
        <v>1</v>
      </c>
      <c r="AC55" s="18">
        <f t="shared" si="0"/>
        <v>1</v>
      </c>
      <c r="AD55" s="18">
        <f t="shared" si="1"/>
        <v>0</v>
      </c>
      <c r="AE55" s="18">
        <f t="shared" si="6"/>
        <v>2</v>
      </c>
      <c r="AF55" s="18">
        <f t="shared" si="5"/>
        <v>0</v>
      </c>
      <c r="AG55" s="17" t="s">
        <v>391</v>
      </c>
      <c r="AH55" s="17" t="s">
        <v>392</v>
      </c>
    </row>
    <row r="56" spans="2:35" ht="45">
      <c r="B56" s="40">
        <v>147</v>
      </c>
      <c r="C56" s="41" t="s">
        <v>393</v>
      </c>
      <c r="D56" s="41" t="s">
        <v>188</v>
      </c>
      <c r="E56" s="44" t="s">
        <v>261</v>
      </c>
      <c r="F56" s="44" t="s">
        <v>289</v>
      </c>
      <c r="G56" s="44" t="s">
        <v>290</v>
      </c>
      <c r="H56" s="41"/>
      <c r="I56" s="32"/>
      <c r="J56" s="41" t="s">
        <v>394</v>
      </c>
      <c r="K56" s="18">
        <v>1</v>
      </c>
      <c r="O56" s="18">
        <v>1</v>
      </c>
      <c r="P56" s="18">
        <v>1</v>
      </c>
      <c r="R56" s="18">
        <v>1</v>
      </c>
      <c r="U56" s="18">
        <v>1</v>
      </c>
      <c r="V56" s="18">
        <v>1</v>
      </c>
      <c r="Y56" s="18">
        <v>2.7</v>
      </c>
      <c r="AA56" s="18">
        <f t="shared" si="3"/>
        <v>1</v>
      </c>
      <c r="AB56" s="18">
        <f t="shared" si="4"/>
        <v>1</v>
      </c>
      <c r="AC56" s="18">
        <f t="shared" si="0"/>
        <v>1</v>
      </c>
      <c r="AD56" s="18">
        <f t="shared" si="1"/>
        <v>0</v>
      </c>
      <c r="AE56" s="18">
        <f t="shared" si="6"/>
        <v>6</v>
      </c>
      <c r="AF56" s="18">
        <f t="shared" si="5"/>
        <v>0</v>
      </c>
      <c r="AG56" s="17" t="s">
        <v>395</v>
      </c>
      <c r="AH56" s="19" t="s">
        <v>396</v>
      </c>
      <c r="AI56" s="17" t="s">
        <v>193</v>
      </c>
    </row>
    <row r="57" spans="2:35" ht="75">
      <c r="B57" s="40">
        <v>148</v>
      </c>
      <c r="C57" s="41">
        <v>2012</v>
      </c>
      <c r="D57" s="41" t="s">
        <v>264</v>
      </c>
      <c r="E57" s="41" t="s">
        <v>265</v>
      </c>
      <c r="F57" s="41" t="s">
        <v>289</v>
      </c>
      <c r="G57" s="41" t="s">
        <v>296</v>
      </c>
      <c r="H57" s="41"/>
      <c r="I57" s="32"/>
      <c r="J57" s="41" t="s">
        <v>397</v>
      </c>
      <c r="K57" s="18">
        <v>1</v>
      </c>
      <c r="O57" s="18">
        <v>1</v>
      </c>
      <c r="P57" s="18">
        <v>1</v>
      </c>
      <c r="R57" s="18">
        <v>1</v>
      </c>
      <c r="T57" s="18">
        <v>1</v>
      </c>
      <c r="U57" s="18">
        <v>1</v>
      </c>
      <c r="Y57" s="18">
        <f>AVERAGE(2.9,3.2,3.8,2.5,3,2.9)</f>
        <v>3.0499999999999994</v>
      </c>
      <c r="AA57" s="18">
        <f t="shared" si="3"/>
        <v>1</v>
      </c>
      <c r="AB57" s="18">
        <f t="shared" si="4"/>
        <v>1</v>
      </c>
      <c r="AC57" s="18">
        <f t="shared" si="0"/>
        <v>1</v>
      </c>
      <c r="AD57" s="18">
        <f t="shared" si="1"/>
        <v>0</v>
      </c>
      <c r="AE57" s="18">
        <f t="shared" si="6"/>
        <v>6</v>
      </c>
      <c r="AF57" s="18">
        <f t="shared" si="5"/>
        <v>0</v>
      </c>
    </row>
    <row r="58" spans="2:35">
      <c r="B58" s="40"/>
      <c r="C58" s="41"/>
      <c r="D58" s="41"/>
      <c r="E58" s="41"/>
      <c r="F58" s="41"/>
      <c r="G58" s="41"/>
      <c r="H58" s="41"/>
      <c r="J58" s="52"/>
    </row>
    <row r="59" spans="2:35">
      <c r="B59" s="40"/>
      <c r="C59" s="41"/>
      <c r="D59" s="41"/>
      <c r="E59" s="41"/>
      <c r="F59" s="41"/>
      <c r="G59" s="41"/>
      <c r="H59" s="41"/>
      <c r="I59" s="53"/>
      <c r="J59" s="41"/>
    </row>
    <row r="60" spans="2:35">
      <c r="K60" s="18">
        <f>SUM(K4:K57)</f>
        <v>35</v>
      </c>
      <c r="L60" s="18">
        <f t="shared" ref="L60:AE60" si="7">SUM(L4:L57)</f>
        <v>6</v>
      </c>
      <c r="M60" s="18">
        <f t="shared" si="7"/>
        <v>2</v>
      </c>
      <c r="N60" s="18">
        <f t="shared" si="7"/>
        <v>2</v>
      </c>
      <c r="O60" s="18">
        <f t="shared" si="7"/>
        <v>36</v>
      </c>
      <c r="P60" s="18">
        <f t="shared" si="7"/>
        <v>16</v>
      </c>
      <c r="Q60" s="18">
        <f t="shared" si="7"/>
        <v>6</v>
      </c>
      <c r="R60" s="18">
        <f t="shared" si="7"/>
        <v>15</v>
      </c>
      <c r="S60" s="18">
        <f t="shared" si="7"/>
        <v>9</v>
      </c>
      <c r="T60" s="18">
        <f t="shared" si="7"/>
        <v>20</v>
      </c>
      <c r="U60" s="18">
        <f t="shared" si="7"/>
        <v>9</v>
      </c>
      <c r="V60" s="18">
        <f t="shared" si="7"/>
        <v>30</v>
      </c>
      <c r="W60" s="18">
        <f t="shared" si="7"/>
        <v>22</v>
      </c>
      <c r="X60" s="18">
        <f t="shared" si="7"/>
        <v>0</v>
      </c>
      <c r="Y60" s="18">
        <f t="shared" si="7"/>
        <v>58.81746626305096</v>
      </c>
      <c r="Z60" s="18">
        <f t="shared" si="7"/>
        <v>0</v>
      </c>
      <c r="AA60" s="18">
        <f t="shared" si="7"/>
        <v>39</v>
      </c>
      <c r="AB60" s="18">
        <f t="shared" si="7"/>
        <v>53</v>
      </c>
      <c r="AC60" s="18">
        <f t="shared" si="7"/>
        <v>22</v>
      </c>
      <c r="AD60" s="18">
        <f t="shared" si="7"/>
        <v>14</v>
      </c>
      <c r="AE60" s="18">
        <f t="shared" si="7"/>
        <v>208</v>
      </c>
    </row>
    <row r="61" spans="2:35">
      <c r="B61" s="18" t="s">
        <v>106</v>
      </c>
      <c r="C61" s="18" t="s">
        <v>398</v>
      </c>
    </row>
    <row r="62" spans="2:35">
      <c r="B62" s="18" t="s">
        <v>161</v>
      </c>
      <c r="C62" s="18" t="s">
        <v>399</v>
      </c>
      <c r="D62" s="19" t="s">
        <v>400</v>
      </c>
    </row>
    <row r="63" spans="2:35">
      <c r="B63" s="18" t="s">
        <v>99</v>
      </c>
      <c r="C63" s="18" t="s">
        <v>401</v>
      </c>
      <c r="D63" s="17" t="s">
        <v>402</v>
      </c>
    </row>
    <row r="64" spans="2:35">
      <c r="B64" s="18" t="s">
        <v>107</v>
      </c>
      <c r="C64" s="18" t="s">
        <v>403</v>
      </c>
      <c r="D64" s="17"/>
    </row>
    <row r="65" spans="3:8">
      <c r="D65" s="17"/>
    </row>
    <row r="66" spans="3:8">
      <c r="C66" s="18" t="s">
        <v>404</v>
      </c>
      <c r="D66" s="17" t="s">
        <v>405</v>
      </c>
    </row>
    <row r="67" spans="3:8">
      <c r="C67" s="18" t="s">
        <v>406</v>
      </c>
      <c r="D67" s="19" t="s">
        <v>407</v>
      </c>
    </row>
    <row r="68" spans="3:8">
      <c r="C68" s="18" t="s">
        <v>408</v>
      </c>
      <c r="D68" s="19" t="s">
        <v>193</v>
      </c>
    </row>
    <row r="69" spans="3:8">
      <c r="C69" s="54" t="s">
        <v>409</v>
      </c>
      <c r="D69" s="19" t="s">
        <v>410</v>
      </c>
    </row>
    <row r="70" spans="3:8">
      <c r="C70" s="18" t="s">
        <v>411</v>
      </c>
    </row>
    <row r="71" spans="3:8">
      <c r="C71" s="18" t="s">
        <v>412</v>
      </c>
      <c r="D71" s="17" t="s">
        <v>413</v>
      </c>
    </row>
    <row r="72" spans="3:8">
      <c r="C72" s="18" t="s">
        <v>414</v>
      </c>
      <c r="D72" s="17" t="s">
        <v>415</v>
      </c>
    </row>
    <row r="73" spans="3:8">
      <c r="C73" s="18">
        <v>108</v>
      </c>
      <c r="D73" s="18" t="s">
        <v>416</v>
      </c>
    </row>
    <row r="74" spans="3:8">
      <c r="C74" s="18" t="s">
        <v>417</v>
      </c>
      <c r="D74" s="18" t="s">
        <v>418</v>
      </c>
    </row>
    <row r="77" spans="3:8">
      <c r="F77" s="18" t="s">
        <v>291</v>
      </c>
      <c r="G77" s="18" t="s">
        <v>292</v>
      </c>
      <c r="H77" s="18">
        <f t="shared" ref="H77:H88" si="8">COUNTIF($G$4:$G$57,G77)</f>
        <v>9</v>
      </c>
    </row>
    <row r="78" spans="3:8">
      <c r="G78" s="18" t="s">
        <v>299</v>
      </c>
      <c r="H78" s="18">
        <f t="shared" si="8"/>
        <v>1</v>
      </c>
    </row>
    <row r="79" spans="3:8">
      <c r="G79" s="18" t="s">
        <v>352</v>
      </c>
      <c r="H79" s="18">
        <f t="shared" si="8"/>
        <v>2</v>
      </c>
    </row>
    <row r="80" spans="3:8">
      <c r="G80" s="18" t="s">
        <v>308</v>
      </c>
      <c r="H80" s="18">
        <f t="shared" si="8"/>
        <v>4</v>
      </c>
    </row>
    <row r="81" spans="6:8">
      <c r="F81" s="18" t="s">
        <v>289</v>
      </c>
      <c r="G81" s="18" t="s">
        <v>290</v>
      </c>
      <c r="H81" s="18">
        <f t="shared" si="8"/>
        <v>14</v>
      </c>
    </row>
    <row r="82" spans="6:8">
      <c r="G82" s="18" t="s">
        <v>296</v>
      </c>
      <c r="H82" s="18">
        <f t="shared" si="8"/>
        <v>5</v>
      </c>
    </row>
    <row r="83" spans="6:8">
      <c r="G83" s="18" t="s">
        <v>385</v>
      </c>
      <c r="H83" s="18">
        <f t="shared" si="8"/>
        <v>1</v>
      </c>
    </row>
    <row r="84" spans="6:8">
      <c r="G84" s="18" t="s">
        <v>326</v>
      </c>
      <c r="H84" s="18">
        <f t="shared" si="8"/>
        <v>3</v>
      </c>
    </row>
    <row r="85" spans="6:8">
      <c r="G85" s="18" t="s">
        <v>373</v>
      </c>
      <c r="H85" s="18">
        <f t="shared" si="8"/>
        <v>4</v>
      </c>
    </row>
    <row r="86" spans="6:8">
      <c r="F86" s="18" t="s">
        <v>302</v>
      </c>
      <c r="G86" s="18" t="s">
        <v>303</v>
      </c>
      <c r="H86" s="18">
        <f t="shared" si="8"/>
        <v>3</v>
      </c>
    </row>
    <row r="87" spans="6:8">
      <c r="G87" s="18" t="s">
        <v>306</v>
      </c>
      <c r="H87" s="18">
        <f t="shared" si="8"/>
        <v>7</v>
      </c>
    </row>
    <row r="88" spans="6:8">
      <c r="H88" s="18">
        <f t="shared" si="8"/>
        <v>0</v>
      </c>
    </row>
    <row r="89" spans="6:8">
      <c r="G89" s="18" t="s">
        <v>18</v>
      </c>
      <c r="H89" s="18">
        <f>COUNTIF($E$4:$E$57,G89)</f>
        <v>8</v>
      </c>
    </row>
    <row r="90" spans="6:8">
      <c r="G90" s="18" t="s">
        <v>30</v>
      </c>
      <c r="H90" s="18">
        <f>COUNTIF($E$4:$E$57,G90)</f>
        <v>4</v>
      </c>
    </row>
  </sheetData>
  <phoneticPr fontId="20"/>
  <hyperlinks>
    <hyperlink ref="AG56" r:id="rId1" xr:uid="{00000000-0004-0000-0100-000000000000}"/>
    <hyperlink ref="AH56" r:id="rId2" xr:uid="{00000000-0004-0000-0100-000001000000}"/>
    <hyperlink ref="AG50" r:id="rId3" xr:uid="{00000000-0004-0000-0100-000002000000}"/>
    <hyperlink ref="D67" r:id="rId4" xr:uid="{00000000-0004-0000-0100-000003000000}"/>
    <hyperlink ref="D68" r:id="rId5" xr:uid="{00000000-0004-0000-0100-000004000000}"/>
    <hyperlink ref="D69" r:id="rId6" xr:uid="{00000000-0004-0000-0100-000005000000}"/>
    <hyperlink ref="AI56" r:id="rId7" xr:uid="{00000000-0004-0000-0100-000006000000}"/>
    <hyperlink ref="AG46" r:id="rId8" xr:uid="{00000000-0004-0000-0100-000007000000}"/>
    <hyperlink ref="D62" r:id="rId9" location="v=onepage&amp;q&amp;f=false" display="http://books.google.co.jp/books/p/princeton?id=LoN2XkjJio4C&amp;printsec=frontcover&amp;hl=en&amp;source=gbs_ViewAPI&amp;redir_esc=y - v=onepage&amp;q&amp;f=false" xr:uid="{00000000-0004-0000-0100-000008000000}"/>
    <hyperlink ref="AH50" r:id="rId10" xr:uid="{00000000-0004-0000-0100-000009000000}"/>
    <hyperlink ref="AG49" r:id="rId11" display="http://onlinelibrary.wiley.com/doi/10.1111/j.0361-3666.2005.00286.x/pdf" xr:uid="{00000000-0004-0000-0100-00000A000000}"/>
    <hyperlink ref="AG48" r:id="rId12" xr:uid="{00000000-0004-0000-0100-00000B000000}"/>
    <hyperlink ref="AH48" r:id="rId13" xr:uid="{00000000-0004-0000-0100-00000C000000}"/>
    <hyperlink ref="AG47" r:id="rId14" xr:uid="{00000000-0004-0000-0100-00000D000000}"/>
    <hyperlink ref="AH46" r:id="rId15" display="http://www.fews.net/docs/Publications/Lives Lost, Lives Saved.pdf" xr:uid="{00000000-0004-0000-0100-00000E000000}"/>
    <hyperlink ref="D63" r:id="rId16" xr:uid="{00000000-0004-0000-0100-00000F000000}"/>
    <hyperlink ref="AG40" r:id="rId17" xr:uid="{00000000-0004-0000-0100-000010000000}"/>
    <hyperlink ref="AH39" r:id="rId18" xr:uid="{00000000-0004-0000-0100-000011000000}"/>
    <hyperlink ref="AG29" r:id="rId19" xr:uid="{00000000-0004-0000-0100-000012000000}"/>
    <hyperlink ref="AI26" r:id="rId20" xr:uid="{00000000-0004-0000-0100-000013000000}"/>
    <hyperlink ref="AG24" r:id="rId21" xr:uid="{00000000-0004-0000-0100-000014000000}"/>
    <hyperlink ref="D71" r:id="rId22" xr:uid="{00000000-0004-0000-0100-000015000000}"/>
    <hyperlink ref="AH20" r:id="rId23" xr:uid="{00000000-0004-0000-0100-000016000000}"/>
    <hyperlink ref="AG17" r:id="rId24" xr:uid="{00000000-0004-0000-0100-000017000000}"/>
    <hyperlink ref="AH15" r:id="rId25" xr:uid="{00000000-0004-0000-0100-000018000000}"/>
    <hyperlink ref="AG9" r:id="rId26" xr:uid="{00000000-0004-0000-0100-000019000000}"/>
    <hyperlink ref="AG45" r:id="rId27" xr:uid="{00000000-0004-0000-0100-00001A000000}"/>
    <hyperlink ref="AG25" r:id="rId28" xr:uid="{00000000-0004-0000-0100-00001B000000}"/>
    <hyperlink ref="AG16" r:id="rId29" xr:uid="{00000000-0004-0000-0100-00001C000000}"/>
    <hyperlink ref="AG19" r:id="rId30" xr:uid="{00000000-0004-0000-0100-00001D000000}"/>
    <hyperlink ref="D72" r:id="rId31" xr:uid="{00000000-0004-0000-0100-00001E000000}"/>
    <hyperlink ref="AG52" r:id="rId32" xr:uid="{00000000-0004-0000-0100-00001F000000}"/>
    <hyperlink ref="D66" r:id="rId33" xr:uid="{00000000-0004-0000-0100-000020000000}"/>
    <hyperlink ref="AG53" r:id="rId34" xr:uid="{00000000-0004-0000-0100-000021000000}"/>
    <hyperlink ref="AG54" r:id="rId35" xr:uid="{00000000-0004-0000-0100-000022000000}"/>
    <hyperlink ref="AG55" r:id="rId36" xr:uid="{00000000-0004-0000-0100-000023000000}"/>
    <hyperlink ref="AH55" r:id="rId37" xr:uid="{00000000-0004-0000-0100-000024000000}"/>
    <hyperlink ref="AG51" r:id="rId38" xr:uid="{00000000-0004-0000-0100-000025000000}"/>
    <hyperlink ref="AH36" r:id="rId39" xr:uid="{00000000-0004-0000-0100-000026000000}"/>
    <hyperlink ref="AG7" r:id="rId40" xr:uid="{00000000-0004-0000-0100-000027000000}"/>
    <hyperlink ref="AG5" r:id="rId41" xr:uid="{00000000-0004-0000-0100-000028000000}"/>
  </hyperlinks>
  <pageMargins left="0.7" right="0.7" top="0.75" bottom="0.75" header="0.3" footer="0.3"/>
  <pageSetup paperSize="9" orientation="landscape" verticalDpi="0" r:id="rId42"/>
  <drawing r:id="rId43"/>
  <legacyDrawing r:id="rId4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pageSetUpPr fitToPage="1"/>
  </sheetPr>
  <dimension ref="A1:AN161"/>
  <sheetViews>
    <sheetView tabSelected="1" zoomScale="70" zoomScaleNormal="70" workbookViewId="0">
      <pane xSplit="6" ySplit="72" topLeftCell="G73" activePane="bottomRight" state="frozen"/>
      <selection pane="topRight" activeCell="G1" sqref="G1"/>
      <selection pane="bottomLeft" activeCell="A72" sqref="A72"/>
      <selection pane="bottomRight" activeCell="Q103" sqref="Q103:Q105"/>
    </sheetView>
  </sheetViews>
  <sheetFormatPr baseColWidth="10" defaultColWidth="8.83203125" defaultRowHeight="14"/>
  <cols>
    <col min="1" max="1" width="2.6640625" style="1" customWidth="1"/>
    <col min="2" max="2" width="5.5" style="1" customWidth="1"/>
    <col min="3" max="3" width="2.6640625" style="1" hidden="1" customWidth="1"/>
    <col min="4" max="4" width="11.6640625" style="1" customWidth="1"/>
    <col min="5" max="5" width="18" style="1" customWidth="1"/>
    <col min="6" max="8" width="10.83203125" style="1" customWidth="1"/>
    <col min="9" max="9" width="12.1640625" style="1" customWidth="1"/>
    <col min="10" max="10" width="3" style="1" hidden="1" customWidth="1"/>
    <col min="11" max="13" width="11.6640625" style="56" customWidth="1"/>
    <col min="14" max="22" width="13.33203125" style="56" customWidth="1"/>
    <col min="23" max="29" width="13.33203125" style="1" customWidth="1"/>
    <col min="30" max="30" width="36.5" style="1" hidden="1" customWidth="1"/>
    <col min="31" max="31" width="14.1640625" style="1" hidden="1" customWidth="1"/>
    <col min="32" max="32" width="27.5" style="56" customWidth="1"/>
    <col min="33" max="34" width="8.83203125" style="1"/>
    <col min="35" max="35" width="12.5" style="1" bestFit="1" customWidth="1"/>
    <col min="36" max="36" width="11.5" style="1" bestFit="1" customWidth="1"/>
    <col min="37" max="37" width="8.83203125" style="1"/>
    <col min="38" max="38" width="11.5" style="1" bestFit="1" customWidth="1"/>
    <col min="39" max="39" width="12.5" style="1" bestFit="1" customWidth="1"/>
    <col min="40" max="40" width="11.5" style="1" bestFit="1" customWidth="1"/>
    <col min="41" max="16384" width="8.83203125" style="25"/>
  </cols>
  <sheetData>
    <row r="1" spans="2:32">
      <c r="D1" s="2"/>
      <c r="E1" s="2"/>
      <c r="F1" s="2"/>
      <c r="G1" s="3"/>
      <c r="H1" s="2"/>
      <c r="I1" s="2"/>
      <c r="J1" s="4"/>
    </row>
    <row r="2" spans="2:32" ht="15">
      <c r="B2" s="178"/>
      <c r="D2" s="180" t="s">
        <v>0</v>
      </c>
      <c r="E2" s="180" t="s">
        <v>1</v>
      </c>
      <c r="F2" s="180" t="s">
        <v>2</v>
      </c>
      <c r="G2" s="140" t="s">
        <v>3</v>
      </c>
      <c r="H2" s="140" t="s">
        <v>4</v>
      </c>
      <c r="I2" s="140" t="s">
        <v>5</v>
      </c>
      <c r="J2" s="124"/>
      <c r="K2" s="185" t="s">
        <v>6</v>
      </c>
      <c r="L2" s="185" t="s">
        <v>7</v>
      </c>
      <c r="M2" s="185" t="s">
        <v>8</v>
      </c>
      <c r="N2" s="187" t="s">
        <v>269</v>
      </c>
      <c r="O2" s="188"/>
      <c r="P2" s="189"/>
      <c r="Q2" s="132"/>
      <c r="R2" s="187" t="s">
        <v>419</v>
      </c>
      <c r="S2" s="188"/>
      <c r="T2" s="188"/>
      <c r="U2" s="188"/>
      <c r="V2" s="182"/>
      <c r="W2" s="183"/>
      <c r="X2" s="183"/>
      <c r="Y2" s="184"/>
      <c r="Z2" s="77"/>
      <c r="AA2" s="77"/>
      <c r="AB2" s="77"/>
      <c r="AC2" s="78"/>
      <c r="AD2" s="1" t="s">
        <v>9</v>
      </c>
      <c r="AE2" s="1" t="s">
        <v>10</v>
      </c>
      <c r="AF2" s="55" t="s">
        <v>11</v>
      </c>
    </row>
    <row r="3" spans="2:32" ht="30">
      <c r="B3" s="179"/>
      <c r="D3" s="181"/>
      <c r="E3" s="181"/>
      <c r="F3" s="181"/>
      <c r="G3" s="142"/>
      <c r="H3" s="142"/>
      <c r="I3" s="142"/>
      <c r="J3" s="124"/>
      <c r="K3" s="186"/>
      <c r="L3" s="186"/>
      <c r="M3" s="186"/>
      <c r="N3" s="76" t="s">
        <v>420</v>
      </c>
      <c r="O3" s="76" t="s">
        <v>421</v>
      </c>
      <c r="P3" s="76" t="s">
        <v>422</v>
      </c>
      <c r="Q3" s="76"/>
      <c r="R3" s="76" t="s">
        <v>423</v>
      </c>
      <c r="S3" s="76" t="s">
        <v>424</v>
      </c>
      <c r="T3" s="76" t="s">
        <v>425</v>
      </c>
      <c r="U3" s="76" t="s">
        <v>426</v>
      </c>
      <c r="V3" s="76" t="s">
        <v>427</v>
      </c>
      <c r="W3" s="76" t="s">
        <v>428</v>
      </c>
      <c r="X3" s="76" t="s">
        <v>429</v>
      </c>
      <c r="Y3" s="76" t="s">
        <v>430</v>
      </c>
      <c r="Z3" s="79" t="s">
        <v>272</v>
      </c>
      <c r="AA3" s="79" t="s">
        <v>431</v>
      </c>
      <c r="AB3" s="79" t="s">
        <v>432</v>
      </c>
      <c r="AC3" s="79" t="s">
        <v>433</v>
      </c>
      <c r="AD3" s="1" t="s">
        <v>9</v>
      </c>
      <c r="AE3" s="1" t="s">
        <v>10</v>
      </c>
      <c r="AF3" s="55"/>
    </row>
    <row r="4" spans="2:32" ht="15" hidden="1" customHeight="1">
      <c r="B4" s="121">
        <v>1901</v>
      </c>
      <c r="D4" s="126"/>
      <c r="E4" s="126"/>
      <c r="F4" s="126"/>
      <c r="G4" s="124"/>
      <c r="H4" s="124"/>
      <c r="I4" s="124"/>
      <c r="J4" s="124"/>
      <c r="K4" s="63"/>
      <c r="L4" s="63"/>
      <c r="M4" s="63"/>
      <c r="N4" s="55"/>
      <c r="O4" s="55"/>
      <c r="P4" s="55"/>
      <c r="Q4" s="55"/>
      <c r="R4" s="55"/>
      <c r="S4" s="55"/>
      <c r="T4" s="55"/>
      <c r="U4" s="55"/>
      <c r="V4" s="55"/>
      <c r="W4" s="124"/>
      <c r="X4" s="124"/>
      <c r="Y4" s="124"/>
      <c r="Z4" s="124"/>
      <c r="AA4" s="124"/>
      <c r="AB4" s="124"/>
      <c r="AC4" s="124"/>
    </row>
    <row r="5" spans="2:32" ht="15" hidden="1" customHeight="1">
      <c r="B5" s="121">
        <v>1902</v>
      </c>
      <c r="D5" s="126"/>
      <c r="E5" s="126"/>
      <c r="F5" s="126"/>
      <c r="G5" s="124"/>
      <c r="H5" s="124"/>
      <c r="I5" s="124"/>
      <c r="J5" s="124"/>
      <c r="K5" s="63"/>
      <c r="L5" s="63"/>
      <c r="M5" s="63"/>
      <c r="N5" s="55"/>
      <c r="O5" s="55"/>
      <c r="P5" s="55"/>
      <c r="Q5" s="55"/>
      <c r="R5" s="55"/>
      <c r="S5" s="55"/>
      <c r="T5" s="55"/>
      <c r="U5" s="55"/>
      <c r="V5" s="55"/>
      <c r="W5" s="124"/>
      <c r="X5" s="124"/>
      <c r="Y5" s="124"/>
      <c r="Z5" s="124"/>
      <c r="AA5" s="124"/>
      <c r="AB5" s="124"/>
      <c r="AC5" s="124"/>
    </row>
    <row r="6" spans="2:32" ht="15" hidden="1" customHeight="1">
      <c r="B6" s="121">
        <v>1903</v>
      </c>
      <c r="D6" s="126" t="s">
        <v>12</v>
      </c>
      <c r="E6" s="126" t="s">
        <v>13</v>
      </c>
      <c r="F6" s="126" t="s">
        <v>13</v>
      </c>
      <c r="G6" s="5">
        <v>5000</v>
      </c>
      <c r="H6" s="5"/>
      <c r="I6" s="5"/>
      <c r="J6" s="124"/>
      <c r="K6" s="63"/>
      <c r="L6" s="63"/>
      <c r="M6" s="63"/>
      <c r="N6" s="55"/>
      <c r="O6" s="55"/>
      <c r="P6" s="55"/>
      <c r="Q6" s="55"/>
      <c r="R6" s="55"/>
      <c r="S6" s="55"/>
      <c r="T6" s="55"/>
      <c r="U6" s="55"/>
      <c r="V6" s="55"/>
      <c r="W6" s="124"/>
      <c r="X6" s="124"/>
      <c r="Y6" s="124"/>
      <c r="Z6" s="124"/>
      <c r="AA6" s="124"/>
      <c r="AB6" s="124"/>
      <c r="AC6" s="124"/>
    </row>
    <row r="7" spans="2:32" ht="15" hidden="1" customHeight="1">
      <c r="B7" s="121">
        <v>1904</v>
      </c>
      <c r="D7" s="126"/>
      <c r="E7" s="126"/>
      <c r="F7" s="126"/>
      <c r="G7" s="5"/>
      <c r="H7" s="5"/>
      <c r="I7" s="5"/>
      <c r="J7" s="124"/>
      <c r="K7" s="63"/>
      <c r="L7" s="63"/>
      <c r="M7" s="63"/>
      <c r="N7" s="55"/>
      <c r="O7" s="55"/>
      <c r="P7" s="55"/>
      <c r="Q7" s="55"/>
      <c r="R7" s="55"/>
      <c r="S7" s="55"/>
      <c r="T7" s="55"/>
      <c r="U7" s="55"/>
      <c r="V7" s="55"/>
      <c r="W7" s="124"/>
      <c r="X7" s="124"/>
      <c r="Y7" s="124"/>
      <c r="Z7" s="124"/>
      <c r="AA7" s="124"/>
      <c r="AB7" s="124"/>
      <c r="AC7" s="124"/>
    </row>
    <row r="8" spans="2:32" ht="15" hidden="1" customHeight="1">
      <c r="B8" s="121">
        <v>1905</v>
      </c>
      <c r="D8" s="126"/>
      <c r="E8" s="126"/>
      <c r="F8" s="126"/>
      <c r="G8" s="5"/>
      <c r="H8" s="5"/>
      <c r="I8" s="5"/>
      <c r="J8" s="124"/>
      <c r="K8" s="63"/>
      <c r="L8" s="63"/>
      <c r="M8" s="63"/>
      <c r="N8" s="55"/>
      <c r="O8" s="55"/>
      <c r="P8" s="55"/>
      <c r="Q8" s="55"/>
      <c r="R8" s="55"/>
      <c r="S8" s="55"/>
      <c r="T8" s="55"/>
      <c r="U8" s="55"/>
      <c r="V8" s="55"/>
      <c r="W8" s="124"/>
      <c r="X8" s="124"/>
      <c r="Y8" s="124"/>
      <c r="Z8" s="124"/>
      <c r="AA8" s="124"/>
      <c r="AB8" s="124"/>
      <c r="AC8" s="124"/>
    </row>
    <row r="9" spans="2:32" ht="15" hidden="1" customHeight="1">
      <c r="B9" s="121">
        <v>1906</v>
      </c>
      <c r="D9" s="126">
        <v>1906</v>
      </c>
      <c r="E9" s="126" t="s">
        <v>14</v>
      </c>
      <c r="F9" s="60" t="s">
        <v>15</v>
      </c>
      <c r="G9" s="6">
        <v>37500</v>
      </c>
      <c r="H9" s="6"/>
      <c r="I9" s="6"/>
      <c r="J9" s="124"/>
      <c r="K9" s="63"/>
      <c r="L9" s="63"/>
      <c r="M9" s="63"/>
      <c r="N9" s="55"/>
      <c r="O9" s="55"/>
      <c r="P9" s="55"/>
      <c r="Q9" s="55"/>
      <c r="R9" s="55"/>
      <c r="S9" s="55"/>
      <c r="T9" s="55"/>
      <c r="U9" s="55"/>
      <c r="V9" s="55"/>
      <c r="W9" s="124"/>
      <c r="X9" s="124"/>
      <c r="Y9" s="124"/>
      <c r="Z9" s="124"/>
      <c r="AA9" s="124"/>
      <c r="AB9" s="124"/>
      <c r="AC9" s="124"/>
    </row>
    <row r="10" spans="2:32" ht="30" hidden="1" customHeight="1">
      <c r="B10" s="121">
        <v>1907</v>
      </c>
      <c r="D10" s="126" t="s">
        <v>16</v>
      </c>
      <c r="E10" s="126" t="s">
        <v>17</v>
      </c>
      <c r="F10" s="61" t="s">
        <v>18</v>
      </c>
      <c r="G10" s="5">
        <v>25000000</v>
      </c>
      <c r="H10" s="5"/>
      <c r="I10" s="5"/>
      <c r="J10" s="124"/>
      <c r="K10" s="63"/>
      <c r="L10" s="63"/>
      <c r="M10" s="63"/>
      <c r="N10" s="55"/>
      <c r="O10" s="55"/>
      <c r="P10" s="55"/>
      <c r="Q10" s="55"/>
      <c r="R10" s="55"/>
      <c r="S10" s="55"/>
      <c r="T10" s="55"/>
      <c r="U10" s="55"/>
      <c r="V10" s="55"/>
      <c r="W10" s="124"/>
      <c r="X10" s="124"/>
      <c r="Y10" s="124"/>
      <c r="Z10" s="124"/>
      <c r="AA10" s="124"/>
      <c r="AB10" s="124"/>
      <c r="AC10" s="124"/>
    </row>
    <row r="11" spans="2:32" ht="15" hidden="1" customHeight="1">
      <c r="B11" s="121">
        <v>1908</v>
      </c>
      <c r="D11" s="126"/>
      <c r="E11" s="126"/>
      <c r="F11" s="61"/>
      <c r="G11" s="124"/>
      <c r="H11" s="124"/>
      <c r="I11" s="124"/>
      <c r="J11" s="124"/>
      <c r="K11" s="63"/>
      <c r="L11" s="63"/>
      <c r="M11" s="63"/>
      <c r="N11" s="55"/>
      <c r="O11" s="55"/>
      <c r="P11" s="55"/>
      <c r="Q11" s="55"/>
      <c r="R11" s="55"/>
      <c r="S11" s="55"/>
      <c r="T11" s="55"/>
      <c r="U11" s="55"/>
      <c r="V11" s="55"/>
      <c r="W11" s="124"/>
      <c r="X11" s="124"/>
      <c r="Y11" s="124"/>
      <c r="Z11" s="124"/>
      <c r="AA11" s="124"/>
      <c r="AB11" s="124"/>
      <c r="AC11" s="124"/>
    </row>
    <row r="12" spans="2:32" ht="15" hidden="1" customHeight="1">
      <c r="B12" s="121">
        <v>1909</v>
      </c>
      <c r="D12" s="126"/>
      <c r="E12" s="126"/>
      <c r="F12" s="61"/>
      <c r="G12" s="124"/>
      <c r="H12" s="124"/>
      <c r="I12" s="124"/>
      <c r="J12" s="124"/>
      <c r="K12" s="63"/>
      <c r="L12" s="63"/>
      <c r="M12" s="63"/>
      <c r="N12" s="55"/>
      <c r="O12" s="55"/>
      <c r="P12" s="55"/>
      <c r="Q12" s="55"/>
      <c r="R12" s="55"/>
      <c r="S12" s="55"/>
      <c r="T12" s="55"/>
      <c r="U12" s="55"/>
      <c r="V12" s="55"/>
      <c r="W12" s="124"/>
      <c r="X12" s="124"/>
      <c r="Y12" s="124"/>
      <c r="Z12" s="124"/>
      <c r="AA12" s="124"/>
      <c r="AB12" s="124"/>
      <c r="AC12" s="124"/>
    </row>
    <row r="13" spans="2:32" ht="15" hidden="1" customHeight="1">
      <c r="B13" s="121">
        <v>1910</v>
      </c>
      <c r="D13" s="126"/>
      <c r="E13" s="126"/>
      <c r="F13" s="61"/>
      <c r="G13" s="124"/>
      <c r="H13" s="124"/>
      <c r="I13" s="124"/>
      <c r="J13" s="124"/>
      <c r="K13" s="63"/>
      <c r="L13" s="63"/>
      <c r="M13" s="63"/>
      <c r="N13" s="55"/>
      <c r="O13" s="55"/>
      <c r="P13" s="55"/>
      <c r="Q13" s="55"/>
      <c r="R13" s="55"/>
      <c r="S13" s="55"/>
      <c r="T13" s="55"/>
      <c r="U13" s="55"/>
      <c r="V13" s="55"/>
      <c r="W13" s="124"/>
      <c r="X13" s="124"/>
      <c r="Y13" s="124"/>
      <c r="Z13" s="124"/>
      <c r="AA13" s="124"/>
      <c r="AB13" s="124"/>
      <c r="AC13" s="124"/>
    </row>
    <row r="14" spans="2:32" ht="15" hidden="1" customHeight="1">
      <c r="B14" s="121">
        <v>1911</v>
      </c>
      <c r="D14" s="126"/>
      <c r="E14" s="126"/>
      <c r="F14" s="61"/>
      <c r="G14" s="124"/>
      <c r="H14" s="124"/>
      <c r="I14" s="124"/>
      <c r="J14" s="124"/>
      <c r="K14" s="63"/>
      <c r="L14" s="63"/>
      <c r="M14" s="63"/>
      <c r="N14" s="55"/>
      <c r="O14" s="55"/>
      <c r="P14" s="55"/>
      <c r="Q14" s="55"/>
      <c r="R14" s="55"/>
      <c r="S14" s="55"/>
      <c r="T14" s="55"/>
      <c r="U14" s="55"/>
      <c r="V14" s="55"/>
      <c r="W14" s="124"/>
      <c r="X14" s="124"/>
      <c r="Y14" s="124"/>
      <c r="Z14" s="124"/>
      <c r="AA14" s="124"/>
      <c r="AB14" s="124"/>
      <c r="AC14" s="124"/>
    </row>
    <row r="15" spans="2:32" ht="15" hidden="1" customHeight="1">
      <c r="B15" s="121">
        <v>1912</v>
      </c>
      <c r="D15" s="126"/>
      <c r="E15" s="126"/>
      <c r="F15" s="61"/>
      <c r="G15" s="124"/>
      <c r="H15" s="124"/>
      <c r="I15" s="124"/>
      <c r="J15" s="124"/>
      <c r="K15" s="63"/>
      <c r="L15" s="63"/>
      <c r="M15" s="63"/>
      <c r="N15" s="55"/>
      <c r="O15" s="55"/>
      <c r="P15" s="55"/>
      <c r="Q15" s="55"/>
      <c r="R15" s="55"/>
      <c r="S15" s="55"/>
      <c r="T15" s="55"/>
      <c r="U15" s="55"/>
      <c r="V15" s="55"/>
      <c r="W15" s="124"/>
      <c r="X15" s="124"/>
      <c r="Y15" s="124"/>
      <c r="Z15" s="124"/>
      <c r="AA15" s="124"/>
      <c r="AB15" s="124"/>
      <c r="AC15" s="124"/>
    </row>
    <row r="16" spans="2:32" ht="30" hidden="1" customHeight="1">
      <c r="B16" s="121">
        <v>1913</v>
      </c>
      <c r="D16" s="126" t="s">
        <v>19</v>
      </c>
      <c r="E16" s="126" t="s">
        <v>20</v>
      </c>
      <c r="F16" s="61" t="s">
        <v>21</v>
      </c>
      <c r="G16" s="5">
        <v>125000</v>
      </c>
      <c r="H16" s="5"/>
      <c r="I16" s="5"/>
      <c r="J16" s="124"/>
      <c r="K16" s="63"/>
      <c r="L16" s="63"/>
      <c r="M16" s="63"/>
      <c r="N16" s="55"/>
      <c r="O16" s="55"/>
      <c r="P16" s="55"/>
      <c r="Q16" s="55"/>
      <c r="R16" s="55"/>
      <c r="S16" s="55"/>
      <c r="T16" s="55"/>
      <c r="U16" s="55"/>
      <c r="V16" s="55"/>
      <c r="W16" s="124"/>
      <c r="X16" s="124"/>
      <c r="Y16" s="124"/>
      <c r="Z16" s="124"/>
      <c r="AA16" s="124"/>
      <c r="AB16" s="124"/>
      <c r="AC16" s="124"/>
    </row>
    <row r="17" spans="2:31" ht="75" hidden="1" customHeight="1">
      <c r="B17" s="121">
        <v>1914</v>
      </c>
      <c r="D17" s="126" t="s">
        <v>22</v>
      </c>
      <c r="E17" s="126" t="s">
        <v>23</v>
      </c>
      <c r="F17" s="61" t="s">
        <v>24</v>
      </c>
      <c r="G17" s="124" t="s">
        <v>25</v>
      </c>
      <c r="H17" s="124"/>
      <c r="I17" s="124"/>
      <c r="J17" s="124"/>
      <c r="K17" s="63"/>
      <c r="L17" s="63"/>
      <c r="M17" s="63"/>
      <c r="N17" s="55"/>
      <c r="O17" s="55"/>
      <c r="P17" s="55"/>
      <c r="Q17" s="55"/>
      <c r="R17" s="55"/>
      <c r="S17" s="55"/>
      <c r="T17" s="55"/>
      <c r="U17" s="55"/>
      <c r="V17" s="55"/>
      <c r="W17" s="124"/>
      <c r="X17" s="124"/>
      <c r="Y17" s="124"/>
      <c r="Z17" s="124"/>
      <c r="AA17" s="124"/>
      <c r="AB17" s="124"/>
      <c r="AC17" s="124"/>
    </row>
    <row r="18" spans="2:31" ht="15" hidden="1" customHeight="1">
      <c r="B18" s="121">
        <v>1915</v>
      </c>
      <c r="D18" s="126"/>
      <c r="E18" s="126"/>
      <c r="F18" s="61"/>
      <c r="G18" s="124"/>
      <c r="H18" s="124"/>
      <c r="I18" s="124"/>
      <c r="J18" s="124"/>
      <c r="K18" s="63"/>
      <c r="L18" s="63"/>
      <c r="M18" s="63"/>
      <c r="N18" s="55"/>
      <c r="O18" s="55"/>
      <c r="P18" s="55"/>
      <c r="Q18" s="55"/>
      <c r="R18" s="55"/>
      <c r="S18" s="55"/>
      <c r="T18" s="55"/>
      <c r="U18" s="55"/>
      <c r="V18" s="55"/>
      <c r="W18" s="124"/>
      <c r="X18" s="124"/>
      <c r="Y18" s="124"/>
      <c r="Z18" s="124"/>
      <c r="AA18" s="124"/>
      <c r="AB18" s="124"/>
      <c r="AC18" s="124"/>
    </row>
    <row r="19" spans="2:31" ht="45" hidden="1" customHeight="1">
      <c r="B19" s="121">
        <v>1916</v>
      </c>
      <c r="D19" s="126" t="s">
        <v>26</v>
      </c>
      <c r="E19" s="61" t="s">
        <v>27</v>
      </c>
      <c r="F19" s="61" t="s">
        <v>28</v>
      </c>
      <c r="G19" s="124"/>
      <c r="H19" s="124"/>
      <c r="I19" s="124"/>
      <c r="J19" s="124"/>
      <c r="K19" s="63"/>
      <c r="L19" s="63"/>
      <c r="M19" s="63"/>
      <c r="N19" s="55"/>
      <c r="O19" s="55"/>
      <c r="P19" s="55"/>
      <c r="Q19" s="55"/>
      <c r="R19" s="55"/>
      <c r="S19" s="55"/>
      <c r="T19" s="55"/>
      <c r="U19" s="55"/>
      <c r="V19" s="55"/>
      <c r="W19" s="124"/>
      <c r="X19" s="124"/>
      <c r="Y19" s="124"/>
      <c r="Z19" s="124"/>
      <c r="AA19" s="124"/>
      <c r="AB19" s="124"/>
      <c r="AC19" s="124"/>
    </row>
    <row r="20" spans="2:31" ht="30" hidden="1" customHeight="1">
      <c r="B20" s="121"/>
      <c r="D20" s="126" t="s">
        <v>26</v>
      </c>
      <c r="E20" s="61" t="s">
        <v>29</v>
      </c>
      <c r="F20" s="61" t="s">
        <v>30</v>
      </c>
      <c r="G20" s="124"/>
      <c r="H20" s="124"/>
      <c r="I20" s="124"/>
      <c r="J20" s="124"/>
      <c r="K20" s="63"/>
      <c r="L20" s="63"/>
      <c r="M20" s="63"/>
      <c r="N20" s="55"/>
      <c r="O20" s="55"/>
      <c r="P20" s="55"/>
      <c r="Q20" s="55"/>
      <c r="R20" s="55"/>
      <c r="S20" s="55"/>
      <c r="T20" s="55"/>
      <c r="U20" s="55"/>
      <c r="V20" s="55"/>
      <c r="W20" s="124"/>
      <c r="X20" s="124"/>
      <c r="Y20" s="124"/>
      <c r="Z20" s="124"/>
      <c r="AA20" s="124"/>
      <c r="AB20" s="124"/>
      <c r="AC20" s="124"/>
    </row>
    <row r="21" spans="2:31" ht="30" hidden="1" customHeight="1">
      <c r="B21" s="121">
        <v>1917</v>
      </c>
      <c r="D21" s="126" t="s">
        <v>31</v>
      </c>
      <c r="E21" s="126" t="s">
        <v>32</v>
      </c>
      <c r="F21" s="61" t="s">
        <v>33</v>
      </c>
      <c r="G21" s="124" t="s">
        <v>34</v>
      </c>
      <c r="H21" s="124"/>
      <c r="I21" s="124"/>
      <c r="J21" s="124"/>
      <c r="K21" s="63"/>
      <c r="L21" s="63"/>
      <c r="M21" s="63"/>
      <c r="N21" s="55"/>
      <c r="O21" s="55"/>
      <c r="P21" s="55"/>
      <c r="Q21" s="55"/>
      <c r="R21" s="55"/>
      <c r="S21" s="55"/>
      <c r="T21" s="55"/>
      <c r="U21" s="55"/>
      <c r="V21" s="55"/>
      <c r="W21" s="124"/>
      <c r="X21" s="124"/>
      <c r="Y21" s="124"/>
      <c r="Z21" s="124"/>
      <c r="AA21" s="124"/>
      <c r="AB21" s="124"/>
      <c r="AC21" s="124"/>
    </row>
    <row r="22" spans="2:31" ht="15" hidden="1" customHeight="1">
      <c r="B22" s="121"/>
      <c r="D22" s="126" t="s">
        <v>35</v>
      </c>
      <c r="E22" s="126" t="s">
        <v>36</v>
      </c>
      <c r="F22" s="61" t="s">
        <v>15</v>
      </c>
      <c r="G22" s="5">
        <v>30000</v>
      </c>
      <c r="H22" s="5"/>
      <c r="I22" s="5"/>
      <c r="J22" s="124"/>
      <c r="K22" s="63"/>
      <c r="L22" s="63"/>
      <c r="M22" s="63"/>
      <c r="N22" s="55"/>
      <c r="O22" s="55"/>
      <c r="P22" s="55"/>
      <c r="Q22" s="55"/>
      <c r="R22" s="55"/>
      <c r="S22" s="55"/>
      <c r="T22" s="55"/>
      <c r="U22" s="55"/>
      <c r="V22" s="55"/>
      <c r="W22" s="124"/>
      <c r="X22" s="124"/>
      <c r="Y22" s="124"/>
      <c r="Z22" s="124"/>
      <c r="AA22" s="124"/>
      <c r="AB22" s="124"/>
      <c r="AC22" s="124"/>
    </row>
    <row r="23" spans="2:31" ht="120" hidden="1" customHeight="1">
      <c r="B23" s="121"/>
      <c r="D23" s="126" t="s">
        <v>37</v>
      </c>
      <c r="E23" s="126" t="s">
        <v>38</v>
      </c>
      <c r="F23" s="61" t="s">
        <v>39</v>
      </c>
      <c r="G23" s="124" t="s">
        <v>40</v>
      </c>
      <c r="H23" s="124"/>
      <c r="I23" s="124"/>
      <c r="J23" s="124"/>
      <c r="K23" s="63"/>
      <c r="L23" s="63"/>
      <c r="M23" s="63"/>
      <c r="N23" s="55"/>
      <c r="O23" s="55"/>
      <c r="P23" s="55"/>
      <c r="Q23" s="55"/>
      <c r="R23" s="55"/>
      <c r="S23" s="55"/>
      <c r="T23" s="55"/>
      <c r="U23" s="55"/>
      <c r="V23" s="55"/>
      <c r="W23" s="124"/>
      <c r="X23" s="124"/>
      <c r="Y23" s="124"/>
      <c r="Z23" s="124"/>
      <c r="AA23" s="124"/>
      <c r="AB23" s="124"/>
      <c r="AC23" s="124"/>
    </row>
    <row r="24" spans="2:31" ht="15" hidden="1" customHeight="1">
      <c r="B24" s="121">
        <v>1918</v>
      </c>
      <c r="D24" s="126"/>
      <c r="E24" s="126"/>
      <c r="F24" s="61"/>
      <c r="G24" s="124"/>
      <c r="H24" s="124"/>
      <c r="I24" s="124"/>
      <c r="J24" s="124"/>
      <c r="K24" s="63"/>
      <c r="L24" s="63"/>
      <c r="M24" s="63"/>
      <c r="N24" s="55"/>
      <c r="O24" s="55"/>
      <c r="P24" s="55"/>
      <c r="Q24" s="55"/>
      <c r="R24" s="55"/>
      <c r="S24" s="55"/>
      <c r="T24" s="55"/>
      <c r="U24" s="55"/>
      <c r="V24" s="55"/>
      <c r="W24" s="124"/>
      <c r="X24" s="124"/>
      <c r="Y24" s="124"/>
      <c r="Z24" s="124"/>
      <c r="AA24" s="124"/>
      <c r="AB24" s="124"/>
      <c r="AC24" s="124"/>
    </row>
    <row r="25" spans="2:31" ht="15" hidden="1" customHeight="1">
      <c r="B25" s="121">
        <v>1919</v>
      </c>
      <c r="D25" s="126"/>
      <c r="E25" s="126"/>
      <c r="F25" s="61"/>
      <c r="G25" s="124"/>
      <c r="H25" s="124"/>
      <c r="I25" s="124"/>
      <c r="J25" s="124"/>
      <c r="K25" s="63"/>
      <c r="L25" s="63"/>
      <c r="M25" s="63"/>
      <c r="N25" s="55"/>
      <c r="O25" s="55"/>
      <c r="P25" s="55"/>
      <c r="Q25" s="55"/>
      <c r="R25" s="55"/>
      <c r="S25" s="55"/>
      <c r="T25" s="55"/>
      <c r="U25" s="55"/>
      <c r="V25" s="55"/>
      <c r="W25" s="124"/>
      <c r="X25" s="124"/>
      <c r="Y25" s="124"/>
      <c r="Z25" s="124"/>
      <c r="AA25" s="124"/>
      <c r="AB25" s="124"/>
      <c r="AC25" s="124"/>
    </row>
    <row r="26" spans="2:31" ht="30" hidden="1" customHeight="1">
      <c r="B26" s="121">
        <v>1920</v>
      </c>
      <c r="D26" s="126" t="s">
        <v>41</v>
      </c>
      <c r="E26" s="126" t="s">
        <v>42</v>
      </c>
      <c r="F26" s="61" t="s">
        <v>18</v>
      </c>
      <c r="G26" s="5">
        <v>500000</v>
      </c>
      <c r="H26" s="5"/>
      <c r="I26" s="5"/>
      <c r="J26" s="124"/>
      <c r="K26" s="63"/>
      <c r="L26" s="63"/>
      <c r="M26" s="63"/>
      <c r="N26" s="55"/>
      <c r="O26" s="55"/>
      <c r="P26" s="55"/>
      <c r="Q26" s="55"/>
      <c r="R26" s="55"/>
      <c r="S26" s="55"/>
      <c r="T26" s="55"/>
      <c r="U26" s="55"/>
      <c r="V26" s="55"/>
      <c r="W26" s="124"/>
      <c r="X26" s="124"/>
      <c r="Y26" s="124"/>
      <c r="Z26" s="124"/>
      <c r="AA26" s="124"/>
      <c r="AB26" s="124"/>
      <c r="AC26" s="124"/>
    </row>
    <row r="27" spans="2:31" ht="30" hidden="1" customHeight="1">
      <c r="B27" s="121">
        <v>1921</v>
      </c>
      <c r="D27" s="126">
        <v>1921</v>
      </c>
      <c r="E27" s="61" t="s">
        <v>43</v>
      </c>
      <c r="F27" s="61" t="s">
        <v>30</v>
      </c>
      <c r="G27" s="6">
        <v>5000000</v>
      </c>
      <c r="H27" s="6"/>
      <c r="I27" s="6"/>
      <c r="J27" s="124"/>
      <c r="K27" s="63"/>
      <c r="L27" s="63"/>
      <c r="M27" s="63"/>
      <c r="N27" s="55"/>
      <c r="O27" s="55"/>
      <c r="P27" s="55"/>
      <c r="Q27" s="55"/>
      <c r="R27" s="55"/>
      <c r="S27" s="55"/>
      <c r="T27" s="55"/>
      <c r="U27" s="55"/>
      <c r="V27" s="55"/>
      <c r="W27" s="124"/>
      <c r="X27" s="124"/>
      <c r="Y27" s="124"/>
      <c r="Z27" s="124"/>
      <c r="AA27" s="124"/>
      <c r="AB27" s="124"/>
      <c r="AC27" s="124"/>
    </row>
    <row r="28" spans="2:31" ht="60" hidden="1" customHeight="1">
      <c r="B28" s="121"/>
      <c r="D28" s="126" t="s">
        <v>44</v>
      </c>
      <c r="E28" s="126" t="s">
        <v>45</v>
      </c>
      <c r="F28" s="61" t="s">
        <v>30</v>
      </c>
      <c r="G28" s="124" t="s">
        <v>46</v>
      </c>
      <c r="H28" s="124"/>
      <c r="I28" s="124"/>
      <c r="J28" s="124"/>
      <c r="K28" s="63"/>
      <c r="L28" s="63"/>
      <c r="M28" s="63"/>
      <c r="N28" s="55"/>
      <c r="O28" s="55"/>
      <c r="P28" s="55"/>
      <c r="Q28" s="55"/>
      <c r="R28" s="55"/>
      <c r="S28" s="55"/>
      <c r="T28" s="55"/>
      <c r="U28" s="55"/>
      <c r="V28" s="55"/>
      <c r="W28" s="124"/>
      <c r="X28" s="124"/>
      <c r="Y28" s="124"/>
      <c r="Z28" s="124"/>
      <c r="AA28" s="124"/>
      <c r="AB28" s="124"/>
      <c r="AC28" s="124"/>
    </row>
    <row r="29" spans="2:31" ht="45" hidden="1" customHeight="1">
      <c r="B29" s="121">
        <v>1922</v>
      </c>
      <c r="D29" s="62">
        <v>1922</v>
      </c>
      <c r="E29" s="62" t="s">
        <v>47</v>
      </c>
      <c r="F29" s="62" t="s">
        <v>48</v>
      </c>
      <c r="G29" s="8"/>
      <c r="H29" s="8"/>
      <c r="I29" s="8" t="s">
        <v>49</v>
      </c>
      <c r="J29" s="8"/>
      <c r="K29" s="64"/>
      <c r="L29" s="64"/>
      <c r="M29" s="64"/>
      <c r="N29" s="58"/>
      <c r="O29" s="58"/>
      <c r="P29" s="58"/>
      <c r="Q29" s="58"/>
      <c r="R29" s="58"/>
      <c r="S29" s="58"/>
      <c r="T29" s="58"/>
      <c r="U29" s="58"/>
      <c r="V29" s="58"/>
      <c r="W29" s="8"/>
      <c r="X29" s="8"/>
      <c r="Y29" s="8"/>
      <c r="Z29" s="8"/>
      <c r="AA29" s="8"/>
      <c r="AB29" s="8"/>
      <c r="AC29" s="8"/>
      <c r="AD29" s="9"/>
      <c r="AE29" s="9"/>
    </row>
    <row r="30" spans="2:31" ht="15" hidden="1" customHeight="1">
      <c r="B30" s="121">
        <v>1923</v>
      </c>
      <c r="D30" s="126"/>
      <c r="E30" s="126"/>
      <c r="F30" s="61"/>
      <c r="G30" s="124"/>
      <c r="H30" s="124"/>
      <c r="I30" s="124"/>
      <c r="J30" s="124"/>
      <c r="K30" s="63"/>
      <c r="L30" s="63"/>
      <c r="M30" s="63"/>
      <c r="N30" s="55"/>
      <c r="O30" s="55"/>
      <c r="P30" s="55"/>
      <c r="Q30" s="55"/>
      <c r="R30" s="55"/>
      <c r="S30" s="55"/>
      <c r="T30" s="55"/>
      <c r="U30" s="55"/>
      <c r="V30" s="55"/>
      <c r="W30" s="124"/>
      <c r="X30" s="124"/>
      <c r="Y30" s="124"/>
      <c r="Z30" s="124"/>
      <c r="AA30" s="124"/>
      <c r="AB30" s="124"/>
      <c r="AC30" s="124"/>
    </row>
    <row r="31" spans="2:31" ht="15" hidden="1" customHeight="1">
      <c r="B31" s="121">
        <v>1924</v>
      </c>
      <c r="D31" s="126"/>
      <c r="E31" s="126"/>
      <c r="F31" s="61"/>
      <c r="G31" s="124"/>
      <c r="H31" s="124"/>
      <c r="I31" s="124"/>
      <c r="J31" s="124"/>
      <c r="K31" s="63"/>
      <c r="L31" s="63"/>
      <c r="M31" s="63"/>
      <c r="N31" s="55"/>
      <c r="O31" s="55"/>
      <c r="P31" s="55"/>
      <c r="Q31" s="55"/>
      <c r="R31" s="55"/>
      <c r="S31" s="55"/>
      <c r="T31" s="55"/>
      <c r="U31" s="55"/>
      <c r="V31" s="55"/>
      <c r="W31" s="124"/>
      <c r="X31" s="124"/>
      <c r="Y31" s="124"/>
      <c r="Z31" s="124"/>
      <c r="AA31" s="124"/>
      <c r="AB31" s="124"/>
      <c r="AC31" s="124"/>
    </row>
    <row r="32" spans="2:31" ht="15" hidden="1" customHeight="1">
      <c r="B32" s="121">
        <v>1925</v>
      </c>
      <c r="D32" s="126"/>
      <c r="E32" s="126"/>
      <c r="F32" s="61"/>
      <c r="G32" s="124"/>
      <c r="H32" s="124"/>
      <c r="I32" s="124"/>
      <c r="J32" s="124"/>
      <c r="K32" s="63"/>
      <c r="L32" s="63"/>
      <c r="M32" s="63"/>
      <c r="N32" s="55"/>
      <c r="O32" s="55"/>
      <c r="P32" s="55"/>
      <c r="Q32" s="55"/>
      <c r="R32" s="55"/>
      <c r="S32" s="55"/>
      <c r="T32" s="55"/>
      <c r="U32" s="55"/>
      <c r="V32" s="55"/>
      <c r="W32" s="124"/>
      <c r="X32" s="124"/>
      <c r="Y32" s="124"/>
      <c r="Z32" s="124"/>
      <c r="AA32" s="124"/>
      <c r="AB32" s="124"/>
      <c r="AC32" s="124"/>
    </row>
    <row r="33" spans="2:32" ht="15" hidden="1" customHeight="1">
      <c r="B33" s="121">
        <v>1926</v>
      </c>
      <c r="D33" s="126"/>
      <c r="E33" s="126"/>
      <c r="F33" s="61"/>
      <c r="G33" s="124"/>
      <c r="H33" s="124"/>
      <c r="I33" s="124"/>
      <c r="J33" s="124"/>
      <c r="K33" s="63"/>
      <c r="L33" s="63"/>
      <c r="M33" s="63"/>
      <c r="N33" s="55"/>
      <c r="O33" s="55"/>
      <c r="P33" s="55"/>
      <c r="Q33" s="55"/>
      <c r="R33" s="55"/>
      <c r="S33" s="55"/>
      <c r="T33" s="55"/>
      <c r="U33" s="55"/>
      <c r="V33" s="55"/>
      <c r="W33" s="124"/>
      <c r="X33" s="124"/>
      <c r="Y33" s="124"/>
      <c r="Z33" s="124"/>
      <c r="AA33" s="124"/>
      <c r="AB33" s="124"/>
      <c r="AC33" s="124"/>
    </row>
    <row r="34" spans="2:32" ht="15" hidden="1" customHeight="1">
      <c r="B34" s="121">
        <v>1927</v>
      </c>
      <c r="D34" s="126">
        <v>1927</v>
      </c>
      <c r="E34" s="126" t="s">
        <v>50</v>
      </c>
      <c r="F34" s="61" t="s">
        <v>18</v>
      </c>
      <c r="G34" s="5">
        <v>6000000</v>
      </c>
      <c r="H34" s="5"/>
      <c r="I34" s="5"/>
      <c r="J34" s="124"/>
      <c r="K34" s="63"/>
      <c r="L34" s="63"/>
      <c r="M34" s="63"/>
      <c r="N34" s="55"/>
      <c r="O34" s="55"/>
      <c r="P34" s="55"/>
      <c r="Q34" s="55"/>
      <c r="R34" s="55"/>
      <c r="S34" s="55"/>
      <c r="T34" s="55"/>
      <c r="U34" s="55"/>
      <c r="V34" s="55"/>
      <c r="W34" s="124"/>
      <c r="X34" s="124"/>
      <c r="Y34" s="124"/>
      <c r="Z34" s="124"/>
      <c r="AA34" s="124"/>
      <c r="AB34" s="124"/>
      <c r="AC34" s="124"/>
    </row>
    <row r="35" spans="2:32" ht="30" hidden="1" customHeight="1">
      <c r="B35" s="10"/>
      <c r="C35" s="9"/>
      <c r="D35" s="62">
        <v>1927</v>
      </c>
      <c r="E35" s="62" t="s">
        <v>51</v>
      </c>
      <c r="F35" s="62" t="s">
        <v>13</v>
      </c>
      <c r="G35" s="11"/>
      <c r="H35" s="11"/>
      <c r="I35" s="11"/>
      <c r="J35" s="8"/>
      <c r="K35" s="64"/>
      <c r="L35" s="64"/>
      <c r="M35" s="64" t="s">
        <v>52</v>
      </c>
      <c r="N35" s="58"/>
      <c r="O35" s="58"/>
      <c r="P35" s="58"/>
      <c r="Q35" s="58"/>
      <c r="R35" s="58"/>
      <c r="S35" s="58"/>
      <c r="T35" s="58"/>
      <c r="U35" s="58"/>
      <c r="V35" s="58"/>
      <c r="W35" s="8"/>
      <c r="X35" s="8"/>
      <c r="Y35" s="8"/>
      <c r="Z35" s="8"/>
      <c r="AA35" s="8"/>
      <c r="AB35" s="8"/>
      <c r="AC35" s="8"/>
      <c r="AD35" s="9"/>
      <c r="AF35" s="56" t="s">
        <v>53</v>
      </c>
    </row>
    <row r="36" spans="2:32" ht="60" hidden="1" customHeight="1">
      <c r="B36" s="121">
        <v>1928</v>
      </c>
      <c r="D36" s="126" t="s">
        <v>54</v>
      </c>
      <c r="E36" s="61" t="s">
        <v>55</v>
      </c>
      <c r="F36" s="126" t="s">
        <v>56</v>
      </c>
      <c r="G36" s="5">
        <v>300000</v>
      </c>
      <c r="H36" s="5"/>
      <c r="I36" s="5"/>
      <c r="J36" s="124"/>
      <c r="K36" s="63"/>
      <c r="L36" s="63"/>
      <c r="M36" s="63"/>
      <c r="N36" s="55"/>
      <c r="O36" s="55"/>
      <c r="P36" s="55"/>
      <c r="Q36" s="55"/>
      <c r="R36" s="55"/>
      <c r="S36" s="55"/>
      <c r="T36" s="55"/>
      <c r="U36" s="55"/>
      <c r="V36" s="55"/>
      <c r="W36" s="124"/>
      <c r="X36" s="124"/>
      <c r="Y36" s="124"/>
      <c r="Z36" s="124"/>
      <c r="AA36" s="124"/>
      <c r="AB36" s="124"/>
      <c r="AC36" s="124"/>
    </row>
    <row r="37" spans="2:32" ht="30" hidden="1" customHeight="1">
      <c r="B37" s="121"/>
      <c r="D37" s="126" t="s">
        <v>57</v>
      </c>
      <c r="E37" s="126" t="s">
        <v>58</v>
      </c>
      <c r="F37" s="61" t="s">
        <v>18</v>
      </c>
      <c r="G37" s="5">
        <v>3000000</v>
      </c>
      <c r="H37" s="5"/>
      <c r="I37" s="5"/>
      <c r="J37" s="124"/>
      <c r="K37" s="63"/>
      <c r="L37" s="63"/>
      <c r="M37" s="63"/>
      <c r="N37" s="55"/>
      <c r="O37" s="55"/>
      <c r="P37" s="55"/>
      <c r="Q37" s="55"/>
      <c r="R37" s="55"/>
      <c r="S37" s="55"/>
      <c r="T37" s="55"/>
      <c r="U37" s="55"/>
      <c r="V37" s="55"/>
      <c r="W37" s="124"/>
      <c r="X37" s="124"/>
      <c r="Y37" s="124"/>
      <c r="Z37" s="124"/>
      <c r="AA37" s="124"/>
      <c r="AB37" s="124"/>
      <c r="AC37" s="124"/>
    </row>
    <row r="38" spans="2:32" ht="15" hidden="1" customHeight="1">
      <c r="B38" s="121">
        <v>1929</v>
      </c>
      <c r="D38" s="126">
        <v>1929</v>
      </c>
      <c r="E38" s="126" t="s">
        <v>59</v>
      </c>
      <c r="F38" s="61" t="s">
        <v>18</v>
      </c>
      <c r="G38" s="5">
        <v>2000000</v>
      </c>
      <c r="H38" s="5"/>
      <c r="I38" s="5"/>
      <c r="J38" s="124"/>
      <c r="K38" s="63"/>
      <c r="L38" s="63"/>
      <c r="M38" s="63"/>
      <c r="N38" s="55"/>
      <c r="O38" s="55"/>
      <c r="P38" s="55"/>
      <c r="Q38" s="55"/>
      <c r="R38" s="55"/>
      <c r="S38" s="55"/>
      <c r="T38" s="55"/>
      <c r="U38" s="55"/>
      <c r="V38" s="55"/>
      <c r="W38" s="124"/>
      <c r="X38" s="124"/>
      <c r="Y38" s="124"/>
      <c r="Z38" s="124"/>
      <c r="AA38" s="124"/>
      <c r="AB38" s="124"/>
      <c r="AC38" s="124"/>
    </row>
    <row r="39" spans="2:32" ht="15" hidden="1" customHeight="1">
      <c r="B39" s="121">
        <v>1930</v>
      </c>
      <c r="D39" s="126"/>
      <c r="E39" s="126"/>
      <c r="F39" s="61"/>
      <c r="G39" s="5"/>
      <c r="H39" s="5"/>
      <c r="I39" s="5"/>
      <c r="J39" s="124"/>
      <c r="K39" s="63"/>
      <c r="L39" s="63"/>
      <c r="M39" s="63"/>
      <c r="N39" s="55"/>
      <c r="O39" s="55"/>
      <c r="P39" s="55"/>
      <c r="Q39" s="55"/>
      <c r="R39" s="55"/>
      <c r="S39" s="55"/>
      <c r="T39" s="55"/>
      <c r="U39" s="55"/>
      <c r="V39" s="55"/>
      <c r="W39" s="124"/>
      <c r="X39" s="124"/>
      <c r="Y39" s="124"/>
      <c r="Z39" s="124"/>
      <c r="AA39" s="124"/>
      <c r="AB39" s="124"/>
      <c r="AC39" s="124"/>
    </row>
    <row r="40" spans="2:32" ht="15" hidden="1" customHeight="1">
      <c r="B40" s="121">
        <v>1931</v>
      </c>
      <c r="D40" s="126"/>
      <c r="E40" s="126"/>
      <c r="F40" s="61"/>
      <c r="G40" s="5"/>
      <c r="H40" s="5"/>
      <c r="I40" s="5"/>
      <c r="J40" s="124"/>
      <c r="K40" s="63"/>
      <c r="L40" s="63"/>
      <c r="M40" s="63"/>
      <c r="N40" s="55"/>
      <c r="O40" s="55"/>
      <c r="P40" s="55"/>
      <c r="Q40" s="55"/>
      <c r="R40" s="55"/>
      <c r="S40" s="55"/>
      <c r="T40" s="55"/>
      <c r="U40" s="55"/>
      <c r="V40" s="55"/>
      <c r="W40" s="124"/>
      <c r="X40" s="124"/>
      <c r="Y40" s="124"/>
      <c r="Z40" s="124"/>
      <c r="AA40" s="124"/>
      <c r="AB40" s="124"/>
      <c r="AC40" s="124"/>
    </row>
    <row r="41" spans="2:32" ht="75" hidden="1" customHeight="1">
      <c r="B41" s="121">
        <v>1932</v>
      </c>
      <c r="D41" s="126" t="s">
        <v>60</v>
      </c>
      <c r="E41" s="126" t="s">
        <v>61</v>
      </c>
      <c r="F41" s="61" t="s">
        <v>62</v>
      </c>
      <c r="G41" s="7" t="s">
        <v>63</v>
      </c>
      <c r="H41" s="7"/>
      <c r="I41" s="7"/>
      <c r="J41" s="124"/>
      <c r="K41" s="63"/>
      <c r="L41" s="63"/>
      <c r="M41" s="63"/>
      <c r="N41" s="55"/>
      <c r="O41" s="55"/>
      <c r="P41" s="55"/>
      <c r="Q41" s="55"/>
      <c r="R41" s="55"/>
      <c r="S41" s="55"/>
      <c r="T41" s="55"/>
      <c r="U41" s="55"/>
      <c r="V41" s="55"/>
      <c r="W41" s="124"/>
      <c r="X41" s="124"/>
      <c r="Y41" s="124"/>
      <c r="Z41" s="124"/>
      <c r="AA41" s="124"/>
      <c r="AB41" s="124"/>
      <c r="AC41" s="124"/>
    </row>
    <row r="42" spans="2:32" ht="15" hidden="1" customHeight="1">
      <c r="B42" s="121">
        <v>1933</v>
      </c>
      <c r="D42" s="126"/>
      <c r="E42" s="126"/>
      <c r="F42" s="61"/>
      <c r="G42" s="7"/>
      <c r="H42" s="7"/>
      <c r="I42" s="7"/>
      <c r="J42" s="124"/>
      <c r="K42" s="63"/>
      <c r="L42" s="63"/>
      <c r="M42" s="63"/>
      <c r="N42" s="55"/>
      <c r="O42" s="55"/>
      <c r="P42" s="55"/>
      <c r="Q42" s="55"/>
      <c r="R42" s="55"/>
      <c r="S42" s="55"/>
      <c r="T42" s="55"/>
      <c r="U42" s="55"/>
      <c r="V42" s="55"/>
      <c r="W42" s="124"/>
      <c r="X42" s="124"/>
      <c r="Y42" s="124"/>
      <c r="Z42" s="124"/>
      <c r="AA42" s="124"/>
      <c r="AB42" s="124"/>
      <c r="AC42" s="124"/>
    </row>
    <row r="43" spans="2:32" ht="15" hidden="1" customHeight="1">
      <c r="B43" s="121">
        <v>1934</v>
      </c>
      <c r="D43" s="126"/>
      <c r="E43" s="126"/>
      <c r="F43" s="61"/>
      <c r="G43" s="7"/>
      <c r="H43" s="7"/>
      <c r="I43" s="7"/>
      <c r="J43" s="124"/>
      <c r="K43" s="63"/>
      <c r="L43" s="63"/>
      <c r="M43" s="63"/>
      <c r="N43" s="55"/>
      <c r="O43" s="55"/>
      <c r="P43" s="55"/>
      <c r="Q43" s="55"/>
      <c r="R43" s="55"/>
      <c r="S43" s="55"/>
      <c r="T43" s="55"/>
      <c r="U43" s="55"/>
      <c r="V43" s="55"/>
      <c r="W43" s="124"/>
      <c r="X43" s="124"/>
      <c r="Y43" s="124"/>
      <c r="Z43" s="124"/>
      <c r="AA43" s="124"/>
      <c r="AB43" s="124"/>
      <c r="AC43" s="124"/>
    </row>
    <row r="44" spans="2:32" ht="15" hidden="1" customHeight="1">
      <c r="B44" s="121">
        <v>1935</v>
      </c>
      <c r="D44" s="126"/>
      <c r="E44" s="126"/>
      <c r="F44" s="61"/>
      <c r="G44" s="7"/>
      <c r="H44" s="7"/>
      <c r="I44" s="7"/>
      <c r="J44" s="124"/>
      <c r="K44" s="63"/>
      <c r="L44" s="63"/>
      <c r="M44" s="63"/>
      <c r="N44" s="55"/>
      <c r="O44" s="55"/>
      <c r="P44" s="55"/>
      <c r="Q44" s="55"/>
      <c r="R44" s="55"/>
      <c r="S44" s="55"/>
      <c r="T44" s="55"/>
      <c r="U44" s="55"/>
      <c r="V44" s="55"/>
      <c r="W44" s="124"/>
      <c r="X44" s="124"/>
      <c r="Y44" s="124"/>
      <c r="Z44" s="124"/>
      <c r="AA44" s="124"/>
      <c r="AB44" s="124"/>
      <c r="AC44" s="124"/>
    </row>
    <row r="45" spans="2:32" ht="15" hidden="1" customHeight="1">
      <c r="B45" s="121">
        <v>1936</v>
      </c>
      <c r="D45" s="126">
        <v>1936</v>
      </c>
      <c r="E45" s="126"/>
      <c r="F45" s="61" t="s">
        <v>18</v>
      </c>
      <c r="G45" s="6">
        <v>5000000</v>
      </c>
      <c r="H45" s="6"/>
      <c r="I45" s="6"/>
      <c r="J45" s="8"/>
      <c r="K45" s="63"/>
      <c r="L45" s="63"/>
      <c r="M45" s="63"/>
      <c r="N45" s="55"/>
      <c r="O45" s="55"/>
      <c r="P45" s="55"/>
      <c r="Q45" s="55"/>
      <c r="R45" s="55"/>
      <c r="S45" s="55"/>
      <c r="T45" s="55"/>
      <c r="U45" s="55"/>
      <c r="V45" s="55"/>
      <c r="W45" s="124"/>
      <c r="X45" s="124"/>
      <c r="Y45" s="124"/>
      <c r="Z45" s="124"/>
      <c r="AA45" s="124"/>
      <c r="AB45" s="124"/>
      <c r="AC45" s="124"/>
    </row>
    <row r="46" spans="2:32" ht="15" hidden="1" customHeight="1">
      <c r="B46" s="121">
        <v>1937</v>
      </c>
      <c r="D46" s="126"/>
      <c r="E46" s="126"/>
      <c r="F46" s="61"/>
      <c r="G46" s="7"/>
      <c r="H46" s="7"/>
      <c r="I46" s="7"/>
      <c r="J46" s="8"/>
      <c r="K46" s="63"/>
      <c r="L46" s="63"/>
      <c r="M46" s="63"/>
      <c r="N46" s="55"/>
      <c r="O46" s="55"/>
      <c r="P46" s="55"/>
      <c r="Q46" s="55"/>
      <c r="R46" s="55"/>
      <c r="S46" s="55"/>
      <c r="T46" s="55"/>
      <c r="U46" s="55"/>
      <c r="V46" s="55"/>
      <c r="W46" s="124"/>
      <c r="X46" s="124"/>
      <c r="Y46" s="124"/>
      <c r="Z46" s="124"/>
      <c r="AA46" s="124"/>
      <c r="AB46" s="124"/>
      <c r="AC46" s="124"/>
    </row>
    <row r="47" spans="2:32" ht="15" hidden="1" customHeight="1">
      <c r="B47" s="121">
        <v>1938</v>
      </c>
      <c r="D47" s="126"/>
      <c r="E47" s="126"/>
      <c r="F47" s="61"/>
      <c r="G47" s="7"/>
      <c r="H47" s="7"/>
      <c r="I47" s="7"/>
      <c r="J47" s="8"/>
      <c r="K47" s="63"/>
      <c r="L47" s="63"/>
      <c r="M47" s="63"/>
      <c r="N47" s="55"/>
      <c r="O47" s="55"/>
      <c r="P47" s="55"/>
      <c r="Q47" s="55"/>
      <c r="R47" s="55"/>
      <c r="S47" s="55"/>
      <c r="T47" s="55"/>
      <c r="U47" s="55"/>
      <c r="V47" s="55"/>
      <c r="W47" s="124"/>
      <c r="X47" s="124"/>
      <c r="Y47" s="124"/>
      <c r="Z47" s="124"/>
      <c r="AA47" s="124"/>
      <c r="AB47" s="124"/>
      <c r="AC47" s="124"/>
    </row>
    <row r="48" spans="2:32" ht="15" hidden="1" customHeight="1">
      <c r="B48" s="121">
        <v>1939</v>
      </c>
      <c r="D48" s="126"/>
      <c r="E48" s="126"/>
      <c r="F48" s="61"/>
      <c r="G48" s="7"/>
      <c r="H48" s="7"/>
      <c r="I48" s="7"/>
      <c r="J48" s="8"/>
      <c r="K48" s="63"/>
      <c r="L48" s="63"/>
      <c r="M48" s="63"/>
      <c r="N48" s="55"/>
      <c r="O48" s="55"/>
      <c r="P48" s="55"/>
      <c r="Q48" s="55"/>
      <c r="R48" s="55"/>
      <c r="S48" s="55"/>
      <c r="T48" s="55"/>
      <c r="U48" s="55"/>
      <c r="V48" s="55"/>
      <c r="W48" s="124"/>
      <c r="X48" s="124"/>
      <c r="Y48" s="124"/>
      <c r="Z48" s="124"/>
      <c r="AA48" s="124"/>
      <c r="AB48" s="124"/>
      <c r="AC48" s="124"/>
    </row>
    <row r="49" spans="1:40" ht="30" hidden="1" customHeight="1">
      <c r="B49" s="121">
        <v>1940</v>
      </c>
      <c r="D49" s="126" t="s">
        <v>64</v>
      </c>
      <c r="E49" s="61" t="s">
        <v>65</v>
      </c>
      <c r="F49" s="61" t="s">
        <v>66</v>
      </c>
      <c r="G49" s="5">
        <v>112000</v>
      </c>
      <c r="H49" s="5"/>
      <c r="I49" s="5"/>
      <c r="J49" s="124"/>
      <c r="K49" s="63"/>
      <c r="L49" s="63"/>
      <c r="M49" s="63"/>
      <c r="N49" s="55"/>
      <c r="O49" s="55"/>
      <c r="P49" s="55"/>
      <c r="Q49" s="55"/>
      <c r="R49" s="55"/>
      <c r="S49" s="55"/>
      <c r="T49" s="55"/>
      <c r="U49" s="55"/>
      <c r="V49" s="55"/>
      <c r="W49" s="124"/>
      <c r="X49" s="124"/>
      <c r="Y49" s="124"/>
      <c r="Z49" s="124"/>
      <c r="AA49" s="124"/>
      <c r="AB49" s="124"/>
      <c r="AC49" s="124"/>
    </row>
    <row r="50" spans="1:40" ht="15" hidden="1" customHeight="1">
      <c r="B50" s="121">
        <v>1941</v>
      </c>
      <c r="D50" s="126" t="s">
        <v>67</v>
      </c>
      <c r="E50" s="126" t="s">
        <v>68</v>
      </c>
      <c r="F50" s="61" t="s">
        <v>30</v>
      </c>
      <c r="G50" s="5">
        <v>1000000</v>
      </c>
      <c r="H50" s="5"/>
      <c r="I50" s="5"/>
      <c r="J50" s="124"/>
      <c r="K50" s="63"/>
      <c r="L50" s="63"/>
      <c r="M50" s="63"/>
      <c r="N50" s="55"/>
      <c r="O50" s="55"/>
      <c r="P50" s="55"/>
      <c r="Q50" s="55"/>
      <c r="R50" s="55"/>
      <c r="S50" s="55"/>
      <c r="T50" s="55"/>
      <c r="U50" s="55"/>
      <c r="V50" s="55"/>
      <c r="W50" s="124"/>
      <c r="X50" s="124"/>
      <c r="Y50" s="124"/>
      <c r="Z50" s="124"/>
      <c r="AA50" s="124"/>
      <c r="AB50" s="124"/>
      <c r="AC50" s="124"/>
    </row>
    <row r="51" spans="1:40" ht="15" hidden="1" customHeight="1">
      <c r="B51" s="121"/>
      <c r="D51" s="126" t="s">
        <v>69</v>
      </c>
      <c r="E51" s="126" t="s">
        <v>70</v>
      </c>
      <c r="F51" s="61" t="s">
        <v>71</v>
      </c>
      <c r="G51" s="5">
        <v>300000</v>
      </c>
      <c r="H51" s="5"/>
      <c r="I51" s="5"/>
      <c r="J51" s="124"/>
      <c r="K51" s="63"/>
      <c r="L51" s="63"/>
      <c r="M51" s="63"/>
      <c r="N51" s="55"/>
      <c r="O51" s="55"/>
      <c r="P51" s="55"/>
      <c r="Q51" s="55"/>
      <c r="R51" s="55"/>
      <c r="S51" s="55"/>
      <c r="T51" s="55"/>
      <c r="U51" s="55"/>
      <c r="V51" s="55"/>
      <c r="W51" s="124"/>
      <c r="X51" s="124"/>
      <c r="Y51" s="124"/>
      <c r="Z51" s="124"/>
      <c r="AA51" s="124"/>
      <c r="AB51" s="124"/>
      <c r="AC51" s="124"/>
    </row>
    <row r="52" spans="1:40" ht="15" hidden="1" customHeight="1">
      <c r="A52" s="9"/>
      <c r="B52" s="121">
        <v>1942</v>
      </c>
      <c r="C52" s="9"/>
      <c r="D52" s="62" t="s">
        <v>72</v>
      </c>
      <c r="E52" s="62" t="s">
        <v>13</v>
      </c>
      <c r="F52" s="62" t="s">
        <v>13</v>
      </c>
      <c r="G52" s="11"/>
      <c r="H52" s="11"/>
      <c r="I52" s="11"/>
      <c r="J52" s="8"/>
      <c r="K52" s="64"/>
      <c r="L52" s="64" t="s">
        <v>73</v>
      </c>
      <c r="M52" s="64"/>
      <c r="N52" s="58"/>
      <c r="O52" s="58"/>
      <c r="P52" s="58"/>
      <c r="Q52" s="58"/>
      <c r="R52" s="58"/>
      <c r="S52" s="58"/>
      <c r="T52" s="58"/>
      <c r="U52" s="58"/>
      <c r="V52" s="58"/>
      <c r="W52" s="8"/>
      <c r="X52" s="8"/>
      <c r="Y52" s="8"/>
      <c r="Z52" s="8"/>
      <c r="AA52" s="8"/>
      <c r="AB52" s="8"/>
      <c r="AC52" s="8"/>
      <c r="AD52" s="9"/>
      <c r="AE52" s="9"/>
      <c r="AF52" s="57"/>
      <c r="AG52" s="9"/>
      <c r="AH52" s="9"/>
      <c r="AI52" s="9"/>
      <c r="AJ52" s="9"/>
      <c r="AK52" s="9"/>
      <c r="AL52" s="9"/>
      <c r="AM52" s="9"/>
      <c r="AN52" s="9"/>
    </row>
    <row r="53" spans="1:40" ht="15" hidden="1" customHeight="1">
      <c r="B53" s="121">
        <v>1943</v>
      </c>
      <c r="D53" s="126">
        <v>1943</v>
      </c>
      <c r="E53" s="126" t="s">
        <v>74</v>
      </c>
      <c r="F53" s="61" t="s">
        <v>18</v>
      </c>
      <c r="G53" s="5">
        <v>5000000</v>
      </c>
      <c r="H53" s="5"/>
      <c r="I53" s="5"/>
      <c r="J53" s="124"/>
      <c r="K53" s="63"/>
      <c r="L53" s="63"/>
      <c r="M53" s="63"/>
      <c r="N53" s="55"/>
      <c r="O53" s="55"/>
      <c r="P53" s="55"/>
      <c r="Q53" s="55"/>
      <c r="R53" s="55"/>
      <c r="S53" s="55"/>
      <c r="T53" s="55"/>
      <c r="U53" s="55"/>
      <c r="V53" s="55"/>
      <c r="W53" s="124"/>
      <c r="X53" s="124"/>
      <c r="Y53" s="124"/>
      <c r="Z53" s="124"/>
      <c r="AA53" s="124"/>
      <c r="AB53" s="124"/>
      <c r="AC53" s="124"/>
    </row>
    <row r="54" spans="1:40" ht="30" hidden="1" customHeight="1">
      <c r="B54" s="121"/>
      <c r="D54" s="126">
        <v>1943</v>
      </c>
      <c r="E54" s="61" t="s">
        <v>75</v>
      </c>
      <c r="F54" s="61" t="s">
        <v>76</v>
      </c>
      <c r="G54" s="124" t="s">
        <v>77</v>
      </c>
      <c r="H54" s="124"/>
      <c r="I54" s="124"/>
      <c r="J54" s="124"/>
      <c r="K54" s="63"/>
      <c r="L54" s="63"/>
      <c r="M54" s="63"/>
      <c r="N54" s="55"/>
      <c r="O54" s="55"/>
      <c r="P54" s="55"/>
      <c r="Q54" s="55"/>
      <c r="R54" s="55"/>
      <c r="S54" s="55"/>
      <c r="T54" s="55"/>
      <c r="U54" s="55"/>
      <c r="V54" s="55"/>
      <c r="W54" s="124"/>
      <c r="X54" s="124"/>
      <c r="Y54" s="124"/>
      <c r="Z54" s="124"/>
      <c r="AA54" s="124"/>
      <c r="AB54" s="124"/>
      <c r="AC54" s="124"/>
    </row>
    <row r="55" spans="1:40" ht="60" hidden="1" customHeight="1">
      <c r="B55" s="121"/>
      <c r="D55" s="126">
        <v>1943</v>
      </c>
      <c r="E55" s="61" t="s">
        <v>78</v>
      </c>
      <c r="F55" s="126" t="s">
        <v>56</v>
      </c>
      <c r="G55" s="5">
        <v>300000</v>
      </c>
      <c r="H55" s="5"/>
      <c r="I55" s="5"/>
      <c r="J55" s="124"/>
      <c r="K55" s="63"/>
      <c r="L55" s="63"/>
      <c r="M55" s="63"/>
      <c r="N55" s="55"/>
      <c r="O55" s="55"/>
      <c r="P55" s="55"/>
      <c r="Q55" s="55"/>
      <c r="R55" s="55"/>
      <c r="S55" s="55"/>
      <c r="T55" s="55"/>
      <c r="U55" s="55"/>
      <c r="V55" s="55"/>
      <c r="W55" s="124"/>
      <c r="X55" s="124"/>
      <c r="Y55" s="124"/>
      <c r="Z55" s="124"/>
      <c r="AA55" s="124"/>
      <c r="AB55" s="124"/>
      <c r="AC55" s="124"/>
    </row>
    <row r="56" spans="1:40" ht="30" hidden="1" customHeight="1">
      <c r="B56" s="121">
        <v>1944</v>
      </c>
      <c r="D56" s="126">
        <v>1944</v>
      </c>
      <c r="E56" s="126" t="s">
        <v>79</v>
      </c>
      <c r="F56" s="61" t="s">
        <v>80</v>
      </c>
      <c r="G56" s="5">
        <v>20000</v>
      </c>
      <c r="H56" s="5"/>
      <c r="I56" s="5"/>
      <c r="J56" s="124"/>
      <c r="K56" s="63"/>
      <c r="L56" s="63"/>
      <c r="M56" s="63"/>
      <c r="N56" s="55"/>
      <c r="O56" s="55"/>
      <c r="P56" s="55"/>
      <c r="Q56" s="55"/>
      <c r="R56" s="55"/>
      <c r="S56" s="55"/>
      <c r="T56" s="55"/>
      <c r="U56" s="55"/>
      <c r="V56" s="55"/>
      <c r="W56" s="124"/>
      <c r="X56" s="124"/>
      <c r="Y56" s="124"/>
      <c r="Z56" s="124"/>
      <c r="AA56" s="124"/>
      <c r="AB56" s="124"/>
      <c r="AC56" s="124"/>
    </row>
    <row r="57" spans="1:40" ht="30" hidden="1" customHeight="1">
      <c r="B57" s="121">
        <v>1945</v>
      </c>
      <c r="D57" s="126">
        <v>1945</v>
      </c>
      <c r="E57" s="61" t="s">
        <v>81</v>
      </c>
      <c r="F57" s="61" t="s">
        <v>82</v>
      </c>
      <c r="G57" s="124" t="s">
        <v>83</v>
      </c>
      <c r="H57" s="124"/>
      <c r="I57" s="124"/>
      <c r="J57" s="124"/>
      <c r="K57" s="63"/>
      <c r="L57" s="63"/>
      <c r="M57" s="63"/>
      <c r="N57" s="55"/>
      <c r="O57" s="55"/>
      <c r="P57" s="55"/>
      <c r="Q57" s="55"/>
      <c r="R57" s="55"/>
      <c r="S57" s="55"/>
      <c r="T57" s="55"/>
      <c r="U57" s="55"/>
      <c r="V57" s="55"/>
      <c r="W57" s="124"/>
      <c r="X57" s="124"/>
      <c r="Y57" s="124"/>
      <c r="Z57" s="124"/>
      <c r="AA57" s="124"/>
      <c r="AB57" s="124"/>
      <c r="AC57" s="124"/>
    </row>
    <row r="58" spans="1:40" ht="15" hidden="1" customHeight="1">
      <c r="B58" s="121">
        <v>1946</v>
      </c>
      <c r="D58" s="126"/>
      <c r="E58" s="61"/>
      <c r="F58" s="61"/>
      <c r="G58" s="124"/>
      <c r="H58" s="124"/>
      <c r="I58" s="124"/>
      <c r="J58" s="124"/>
      <c r="K58" s="63"/>
      <c r="L58" s="63"/>
      <c r="M58" s="63"/>
      <c r="N58" s="55"/>
      <c r="O58" s="55"/>
      <c r="P58" s="55"/>
      <c r="Q58" s="55"/>
      <c r="R58" s="55"/>
      <c r="S58" s="55"/>
      <c r="T58" s="55"/>
      <c r="U58" s="55"/>
      <c r="V58" s="55"/>
      <c r="W58" s="124"/>
      <c r="X58" s="124"/>
      <c r="Y58" s="124"/>
      <c r="Z58" s="124"/>
      <c r="AA58" s="124"/>
      <c r="AB58" s="124"/>
      <c r="AC58" s="124"/>
    </row>
    <row r="59" spans="1:40" ht="30" hidden="1" customHeight="1">
      <c r="B59" s="121">
        <v>1947</v>
      </c>
      <c r="D59" s="126">
        <v>1947</v>
      </c>
      <c r="E59" s="61" t="s">
        <v>84</v>
      </c>
      <c r="F59" s="61" t="s">
        <v>85</v>
      </c>
      <c r="G59" s="124" t="s">
        <v>86</v>
      </c>
      <c r="H59" s="124"/>
      <c r="I59" s="124"/>
      <c r="J59" s="124"/>
      <c r="K59" s="63"/>
      <c r="L59" s="63"/>
      <c r="M59" s="63"/>
      <c r="N59" s="55"/>
      <c r="O59" s="55"/>
      <c r="P59" s="55"/>
      <c r="Q59" s="55"/>
      <c r="R59" s="55"/>
      <c r="S59" s="55"/>
      <c r="T59" s="55"/>
      <c r="U59" s="55"/>
      <c r="V59" s="55"/>
      <c r="W59" s="124"/>
      <c r="X59" s="124"/>
      <c r="Y59" s="124"/>
      <c r="Z59" s="124"/>
      <c r="AA59" s="124"/>
      <c r="AB59" s="124"/>
      <c r="AC59" s="124"/>
    </row>
    <row r="60" spans="1:40" ht="15" hidden="1" customHeight="1">
      <c r="B60" s="121">
        <v>1948</v>
      </c>
      <c r="D60" s="126"/>
      <c r="E60" s="61"/>
      <c r="F60" s="61"/>
      <c r="G60" s="124"/>
      <c r="H60" s="124"/>
      <c r="I60" s="124"/>
      <c r="J60" s="124"/>
      <c r="K60" s="63"/>
      <c r="L60" s="63"/>
      <c r="M60" s="63"/>
      <c r="N60" s="55"/>
      <c r="O60" s="55"/>
      <c r="P60" s="55"/>
      <c r="Q60" s="55"/>
      <c r="R60" s="55"/>
      <c r="S60" s="55"/>
      <c r="T60" s="55"/>
      <c r="U60" s="55"/>
      <c r="V60" s="55"/>
      <c r="W60" s="124"/>
      <c r="X60" s="124"/>
      <c r="Y60" s="124"/>
      <c r="Z60" s="124"/>
      <c r="AA60" s="124"/>
      <c r="AB60" s="124"/>
      <c r="AC60" s="124"/>
    </row>
    <row r="61" spans="1:40" ht="15" hidden="1" customHeight="1">
      <c r="B61" s="121">
        <v>1949</v>
      </c>
      <c r="D61" s="126"/>
      <c r="E61" s="61"/>
      <c r="F61" s="61"/>
      <c r="G61" s="124"/>
      <c r="H61" s="124"/>
      <c r="I61" s="124"/>
      <c r="J61" s="124"/>
      <c r="K61" s="63"/>
      <c r="L61" s="63"/>
      <c r="M61" s="63"/>
      <c r="N61" s="55"/>
      <c r="O61" s="55"/>
      <c r="P61" s="55"/>
      <c r="Q61" s="55"/>
      <c r="R61" s="55"/>
      <c r="S61" s="55"/>
      <c r="T61" s="55"/>
      <c r="U61" s="55"/>
      <c r="V61" s="55"/>
      <c r="W61" s="124"/>
      <c r="X61" s="124"/>
      <c r="Y61" s="124"/>
      <c r="Z61" s="124"/>
      <c r="AA61" s="124"/>
      <c r="AB61" s="124"/>
      <c r="AC61" s="124"/>
    </row>
    <row r="62" spans="1:40" ht="15" hidden="1" customHeight="1">
      <c r="B62" s="121">
        <v>1950</v>
      </c>
      <c r="D62" s="126"/>
      <c r="E62" s="61"/>
      <c r="F62" s="61"/>
      <c r="G62" s="124"/>
      <c r="H62" s="124"/>
      <c r="I62" s="124"/>
      <c r="J62" s="124"/>
      <c r="K62" s="63"/>
      <c r="L62" s="63"/>
      <c r="M62" s="63"/>
      <c r="N62" s="55"/>
      <c r="O62" s="55"/>
      <c r="P62" s="55"/>
      <c r="Q62" s="55"/>
      <c r="R62" s="55"/>
      <c r="S62" s="55"/>
      <c r="T62" s="55"/>
      <c r="U62" s="55"/>
      <c r="V62" s="55"/>
      <c r="W62" s="124"/>
      <c r="X62" s="124"/>
      <c r="Y62" s="124"/>
      <c r="Z62" s="124"/>
      <c r="AA62" s="124"/>
      <c r="AB62" s="124"/>
      <c r="AC62" s="124"/>
    </row>
    <row r="63" spans="1:40" ht="15" hidden="1" customHeight="1">
      <c r="B63" s="121">
        <v>1951</v>
      </c>
      <c r="D63" s="126"/>
      <c r="E63" s="61"/>
      <c r="F63" s="61"/>
      <c r="G63" s="124"/>
      <c r="H63" s="124"/>
      <c r="I63" s="124"/>
      <c r="J63" s="124"/>
      <c r="K63" s="63"/>
      <c r="L63" s="63"/>
      <c r="M63" s="63"/>
      <c r="N63" s="55"/>
      <c r="O63" s="55"/>
      <c r="P63" s="55"/>
      <c r="Q63" s="55"/>
      <c r="R63" s="55"/>
      <c r="S63" s="55"/>
      <c r="T63" s="55"/>
      <c r="U63" s="55"/>
      <c r="V63" s="55"/>
      <c r="W63" s="124"/>
      <c r="X63" s="124"/>
      <c r="Y63" s="124"/>
      <c r="Z63" s="124"/>
      <c r="AA63" s="124"/>
      <c r="AB63" s="124"/>
      <c r="AC63" s="124"/>
    </row>
    <row r="64" spans="1:40" ht="15" hidden="1" customHeight="1">
      <c r="B64" s="121">
        <v>1952</v>
      </c>
      <c r="D64" s="126"/>
      <c r="E64" s="61"/>
      <c r="F64" s="61"/>
      <c r="G64" s="124"/>
      <c r="H64" s="124"/>
      <c r="I64" s="124"/>
      <c r="J64" s="124"/>
      <c r="K64" s="63"/>
      <c r="L64" s="63"/>
      <c r="M64" s="63"/>
      <c r="N64" s="55"/>
      <c r="O64" s="55"/>
      <c r="P64" s="55"/>
      <c r="Q64" s="55"/>
      <c r="R64" s="55"/>
      <c r="S64" s="55"/>
      <c r="T64" s="55"/>
      <c r="U64" s="55"/>
      <c r="V64" s="55"/>
      <c r="W64" s="124"/>
      <c r="X64" s="124"/>
      <c r="Y64" s="124"/>
      <c r="Z64" s="124"/>
      <c r="AA64" s="124"/>
      <c r="AB64" s="124"/>
      <c r="AC64" s="124"/>
    </row>
    <row r="65" spans="2:35" ht="15" hidden="1" customHeight="1">
      <c r="B65" s="121">
        <v>1953</v>
      </c>
      <c r="D65" s="126"/>
      <c r="E65" s="61"/>
      <c r="F65" s="61"/>
      <c r="G65" s="124"/>
      <c r="H65" s="124"/>
      <c r="I65" s="124"/>
      <c r="J65" s="124"/>
      <c r="K65" s="63"/>
      <c r="L65" s="63"/>
      <c r="M65" s="63"/>
      <c r="N65" s="55"/>
      <c r="O65" s="55"/>
      <c r="P65" s="55"/>
      <c r="Q65" s="55"/>
      <c r="R65" s="55"/>
      <c r="S65" s="55"/>
      <c r="T65" s="55"/>
      <c r="U65" s="55"/>
      <c r="V65" s="55"/>
      <c r="W65" s="124"/>
      <c r="X65" s="124"/>
      <c r="Y65" s="124"/>
      <c r="Z65" s="124"/>
      <c r="AA65" s="124"/>
      <c r="AB65" s="124"/>
      <c r="AC65" s="124"/>
    </row>
    <row r="66" spans="2:35" ht="15" hidden="1" customHeight="1">
      <c r="B66" s="121">
        <v>1954</v>
      </c>
      <c r="D66" s="126"/>
      <c r="E66" s="61"/>
      <c r="F66" s="61"/>
      <c r="G66" s="124"/>
      <c r="H66" s="124"/>
      <c r="I66" s="124"/>
      <c r="J66" s="124"/>
      <c r="K66" s="63"/>
      <c r="L66" s="63"/>
      <c r="M66" s="63"/>
      <c r="N66" s="55"/>
      <c r="O66" s="55"/>
      <c r="P66" s="55"/>
      <c r="Q66" s="55"/>
      <c r="R66" s="55"/>
      <c r="S66" s="55"/>
      <c r="T66" s="55"/>
      <c r="U66" s="55"/>
      <c r="V66" s="55"/>
      <c r="W66" s="124"/>
      <c r="X66" s="124"/>
      <c r="Y66" s="124"/>
      <c r="Z66" s="124"/>
      <c r="AA66" s="124"/>
      <c r="AB66" s="124"/>
      <c r="AC66" s="124"/>
    </row>
    <row r="67" spans="2:35" ht="15" hidden="1" customHeight="1">
      <c r="B67" s="121">
        <v>1955</v>
      </c>
      <c r="D67" s="126"/>
      <c r="E67" s="61"/>
      <c r="F67" s="61"/>
      <c r="G67" s="124"/>
      <c r="H67" s="124"/>
      <c r="I67" s="124"/>
      <c r="J67" s="124"/>
      <c r="K67" s="63"/>
      <c r="L67" s="63"/>
      <c r="M67" s="63"/>
      <c r="N67" s="55"/>
      <c r="O67" s="55"/>
      <c r="P67" s="55"/>
      <c r="Q67" s="55"/>
      <c r="R67" s="55"/>
      <c r="S67" s="55"/>
      <c r="T67" s="55"/>
      <c r="U67" s="55"/>
      <c r="V67" s="55"/>
      <c r="W67" s="124"/>
      <c r="X67" s="124"/>
      <c r="Y67" s="124"/>
      <c r="Z67" s="124"/>
      <c r="AA67" s="124"/>
      <c r="AB67" s="124"/>
      <c r="AC67" s="124"/>
    </row>
    <row r="68" spans="2:35" ht="15" hidden="1" customHeight="1">
      <c r="B68" s="121">
        <v>1956</v>
      </c>
      <c r="D68" s="126"/>
      <c r="E68" s="61"/>
      <c r="F68" s="61"/>
      <c r="G68" s="124"/>
      <c r="H68" s="124"/>
      <c r="I68" s="124"/>
      <c r="J68" s="124"/>
      <c r="K68" s="63"/>
      <c r="L68" s="63"/>
      <c r="M68" s="63"/>
      <c r="N68" s="55"/>
      <c r="O68" s="55"/>
      <c r="P68" s="55"/>
      <c r="Q68" s="55"/>
      <c r="R68" s="55"/>
      <c r="S68" s="55"/>
      <c r="T68" s="55"/>
      <c r="U68" s="55"/>
      <c r="V68" s="55"/>
      <c r="W68" s="124"/>
      <c r="X68" s="124"/>
      <c r="Y68" s="124"/>
      <c r="Z68" s="124"/>
      <c r="AA68" s="124"/>
      <c r="AB68" s="124"/>
      <c r="AC68" s="124"/>
    </row>
    <row r="69" spans="2:35" ht="15" hidden="1" customHeight="1">
      <c r="B69" s="121">
        <v>1957</v>
      </c>
      <c r="D69" s="126"/>
      <c r="E69" s="61"/>
      <c r="F69" s="61"/>
      <c r="G69" s="124"/>
      <c r="H69" s="124"/>
      <c r="I69" s="124"/>
      <c r="J69" s="124"/>
      <c r="K69" s="63"/>
      <c r="L69" s="63"/>
      <c r="M69" s="63"/>
      <c r="N69" s="55"/>
      <c r="O69" s="55"/>
      <c r="P69" s="55"/>
      <c r="Q69" s="55"/>
      <c r="R69" s="55"/>
      <c r="S69" s="55"/>
      <c r="T69" s="55"/>
      <c r="U69" s="55"/>
      <c r="V69" s="55"/>
      <c r="W69" s="124"/>
      <c r="X69" s="124"/>
      <c r="Y69" s="124"/>
      <c r="Z69" s="124"/>
      <c r="AA69" s="124"/>
      <c r="AB69" s="124"/>
      <c r="AC69" s="124"/>
    </row>
    <row r="70" spans="2:35" ht="30" hidden="1" customHeight="1">
      <c r="B70" s="121">
        <v>1958</v>
      </c>
      <c r="D70" s="126">
        <v>1958</v>
      </c>
      <c r="E70" s="61" t="s">
        <v>87</v>
      </c>
      <c r="F70" s="61" t="s">
        <v>88</v>
      </c>
      <c r="G70" s="5" t="s">
        <v>89</v>
      </c>
      <c r="H70" s="5"/>
      <c r="I70" s="5"/>
      <c r="J70" s="124"/>
      <c r="K70" s="63"/>
      <c r="L70" s="63"/>
      <c r="M70" s="63"/>
      <c r="N70" s="55"/>
      <c r="O70" s="55"/>
      <c r="P70" s="55"/>
      <c r="Q70" s="55"/>
      <c r="R70" s="55"/>
      <c r="S70" s="55"/>
      <c r="T70" s="55"/>
      <c r="U70" s="55"/>
      <c r="V70" s="55"/>
      <c r="W70" s="124"/>
      <c r="X70" s="124"/>
      <c r="Y70" s="124"/>
      <c r="Z70" s="124"/>
      <c r="AA70" s="124"/>
      <c r="AB70" s="124"/>
      <c r="AC70" s="124"/>
    </row>
    <row r="71" spans="2:35" ht="45" hidden="1" customHeight="1">
      <c r="B71" s="121">
        <v>1959</v>
      </c>
      <c r="D71" s="126" t="s">
        <v>90</v>
      </c>
      <c r="E71" s="61" t="s">
        <v>91</v>
      </c>
      <c r="F71" s="61" t="s">
        <v>18</v>
      </c>
      <c r="G71" s="7" t="s">
        <v>92</v>
      </c>
      <c r="H71" s="7"/>
      <c r="I71" s="7"/>
      <c r="J71" s="124"/>
      <c r="K71" s="63"/>
      <c r="L71" s="63"/>
      <c r="M71" s="63"/>
      <c r="N71" s="55"/>
      <c r="O71" s="55"/>
      <c r="P71" s="55"/>
      <c r="Q71" s="55"/>
      <c r="R71" s="55"/>
      <c r="S71" s="55"/>
      <c r="T71" s="55"/>
      <c r="U71" s="55"/>
      <c r="V71" s="55"/>
      <c r="W71" s="124"/>
      <c r="X71" s="124"/>
      <c r="Y71" s="124"/>
      <c r="Z71" s="124"/>
      <c r="AA71" s="124"/>
      <c r="AB71" s="124"/>
      <c r="AC71" s="124"/>
    </row>
    <row r="72" spans="2:35" ht="15" hidden="1" customHeight="1">
      <c r="B72" s="121">
        <v>1960</v>
      </c>
      <c r="D72" s="126"/>
      <c r="E72" s="62" t="s">
        <v>93</v>
      </c>
      <c r="F72" s="61"/>
      <c r="G72" s="7"/>
      <c r="H72" s="7"/>
      <c r="I72" s="7"/>
      <c r="J72" s="124"/>
      <c r="K72" s="63"/>
      <c r="L72" s="63"/>
      <c r="M72" s="63"/>
      <c r="N72" s="55"/>
      <c r="O72" s="55"/>
      <c r="P72" s="55"/>
      <c r="Q72" s="55"/>
      <c r="R72" s="55"/>
      <c r="S72" s="55"/>
      <c r="T72" s="55"/>
      <c r="U72" s="55"/>
      <c r="V72" s="55"/>
      <c r="W72" s="124"/>
      <c r="X72" s="124"/>
      <c r="Y72" s="124"/>
      <c r="Z72" s="124"/>
      <c r="AA72" s="124"/>
      <c r="AB72" s="124"/>
      <c r="AC72" s="124"/>
    </row>
    <row r="73" spans="2:35">
      <c r="B73" s="12">
        <v>1966</v>
      </c>
      <c r="D73" s="161">
        <v>1966</v>
      </c>
      <c r="E73" s="164" t="s">
        <v>94</v>
      </c>
      <c r="F73" s="164" t="s">
        <v>88</v>
      </c>
      <c r="G73" s="146" t="s">
        <v>95</v>
      </c>
      <c r="H73" s="146">
        <f>(45000+60000)/2</f>
        <v>52500</v>
      </c>
      <c r="I73" s="143">
        <f>H73/AE73*100</f>
        <v>0.20474911077461191</v>
      </c>
      <c r="J73" s="124"/>
      <c r="K73" s="154"/>
      <c r="L73" s="154"/>
      <c r="M73" s="154" t="s">
        <v>96</v>
      </c>
      <c r="N73" s="151">
        <v>1</v>
      </c>
      <c r="O73" s="151">
        <v>1</v>
      </c>
      <c r="P73" s="151"/>
      <c r="Q73" s="151"/>
      <c r="R73" s="151" t="s">
        <v>434</v>
      </c>
      <c r="S73" s="151">
        <v>1</v>
      </c>
      <c r="T73" s="174"/>
      <c r="U73" s="174"/>
      <c r="V73" s="168" t="s">
        <v>434</v>
      </c>
      <c r="W73" s="151"/>
      <c r="X73" s="174"/>
      <c r="Y73" s="174"/>
      <c r="Z73" s="168">
        <v>2.5498154874162506</v>
      </c>
      <c r="AA73" s="151"/>
      <c r="AB73" s="151"/>
      <c r="AC73" s="151"/>
      <c r="AD73" s="149" t="s">
        <v>97</v>
      </c>
      <c r="AE73" s="149">
        <v>25641137</v>
      </c>
      <c r="AF73" s="59" t="s">
        <v>98</v>
      </c>
      <c r="AG73" s="24"/>
    </row>
    <row r="74" spans="2:35">
      <c r="B74" s="12"/>
      <c r="D74" s="162"/>
      <c r="E74" s="165"/>
      <c r="F74" s="165"/>
      <c r="G74" s="147"/>
      <c r="H74" s="147"/>
      <c r="I74" s="144"/>
      <c r="J74" s="124"/>
      <c r="K74" s="155"/>
      <c r="L74" s="155"/>
      <c r="M74" s="155"/>
      <c r="N74" s="152"/>
      <c r="O74" s="152"/>
      <c r="P74" s="152"/>
      <c r="Q74" s="152"/>
      <c r="R74" s="152"/>
      <c r="S74" s="152"/>
      <c r="T74" s="175"/>
      <c r="U74" s="175"/>
      <c r="V74" s="169"/>
      <c r="W74" s="152"/>
      <c r="X74" s="175"/>
      <c r="Y74" s="175"/>
      <c r="Z74" s="169"/>
      <c r="AA74" s="152"/>
      <c r="AB74" s="152"/>
      <c r="AC74" s="152"/>
      <c r="AD74" s="149"/>
      <c r="AE74" s="149"/>
      <c r="AF74" s="59" t="s">
        <v>99</v>
      </c>
      <c r="AG74" s="24"/>
    </row>
    <row r="75" spans="2:35">
      <c r="B75" s="12"/>
      <c r="D75" s="163"/>
      <c r="E75" s="166"/>
      <c r="F75" s="166"/>
      <c r="G75" s="148"/>
      <c r="H75" s="148"/>
      <c r="I75" s="145"/>
      <c r="J75" s="124"/>
      <c r="K75" s="156"/>
      <c r="L75" s="156"/>
      <c r="M75" s="156"/>
      <c r="N75" s="153"/>
      <c r="O75" s="153"/>
      <c r="P75" s="153"/>
      <c r="Q75" s="153"/>
      <c r="R75" s="153"/>
      <c r="S75" s="153"/>
      <c r="T75" s="176"/>
      <c r="U75" s="176"/>
      <c r="V75" s="170"/>
      <c r="W75" s="153"/>
      <c r="X75" s="176"/>
      <c r="Y75" s="176"/>
      <c r="Z75" s="170"/>
      <c r="AA75" s="153"/>
      <c r="AB75" s="153"/>
      <c r="AC75" s="153"/>
      <c r="AD75" s="149"/>
      <c r="AE75" s="149"/>
      <c r="AF75" s="59"/>
      <c r="AG75" s="24"/>
    </row>
    <row r="76" spans="2:35" ht="14.5" customHeight="1">
      <c r="B76" s="12">
        <v>1967</v>
      </c>
      <c r="D76" s="161" t="s">
        <v>100</v>
      </c>
      <c r="E76" s="164" t="s">
        <v>101</v>
      </c>
      <c r="F76" s="164" t="s">
        <v>13</v>
      </c>
      <c r="G76" s="146">
        <v>1000000</v>
      </c>
      <c r="H76" s="146">
        <v>1000000</v>
      </c>
      <c r="I76" s="143">
        <f>H76/AE76*100</f>
        <v>1.9059020335097983</v>
      </c>
      <c r="J76" s="124"/>
      <c r="K76" s="154" t="s">
        <v>102</v>
      </c>
      <c r="L76" s="154" t="s">
        <v>103</v>
      </c>
      <c r="M76" s="154" t="s">
        <v>104</v>
      </c>
      <c r="N76" s="151" t="s">
        <v>434</v>
      </c>
      <c r="O76" s="151" t="s">
        <v>434</v>
      </c>
      <c r="P76" s="151"/>
      <c r="Q76" s="151"/>
      <c r="R76" s="151">
        <v>1</v>
      </c>
      <c r="S76" s="151">
        <v>1</v>
      </c>
      <c r="T76" s="174"/>
      <c r="U76" s="174"/>
      <c r="V76" s="168">
        <v>4.7262778390386293</v>
      </c>
      <c r="W76" s="151"/>
      <c r="X76" s="174"/>
      <c r="Y76" s="174"/>
      <c r="Z76" s="168">
        <v>2.2194341916977334</v>
      </c>
      <c r="AA76" s="151"/>
      <c r="AB76" s="151"/>
      <c r="AC76" s="151"/>
      <c r="AD76" s="149" t="s">
        <v>105</v>
      </c>
      <c r="AE76" s="149">
        <v>52468594</v>
      </c>
      <c r="AF76" s="59" t="s">
        <v>106</v>
      </c>
    </row>
    <row r="77" spans="2:35">
      <c r="B77" s="12"/>
      <c r="D77" s="162"/>
      <c r="E77" s="165"/>
      <c r="F77" s="165"/>
      <c r="G77" s="147"/>
      <c r="H77" s="147"/>
      <c r="I77" s="144"/>
      <c r="J77" s="124"/>
      <c r="K77" s="155"/>
      <c r="L77" s="155"/>
      <c r="M77" s="155"/>
      <c r="N77" s="152"/>
      <c r="O77" s="152"/>
      <c r="P77" s="152"/>
      <c r="Q77" s="152"/>
      <c r="R77" s="152"/>
      <c r="S77" s="152"/>
      <c r="T77" s="175"/>
      <c r="U77" s="175"/>
      <c r="V77" s="169"/>
      <c r="W77" s="152"/>
      <c r="X77" s="175"/>
      <c r="Y77" s="175"/>
      <c r="Z77" s="169"/>
      <c r="AA77" s="152"/>
      <c r="AB77" s="152"/>
      <c r="AC77" s="152"/>
      <c r="AD77" s="149"/>
      <c r="AE77" s="149"/>
      <c r="AF77" s="59" t="s">
        <v>99</v>
      </c>
      <c r="AI77" s="23"/>
    </row>
    <row r="78" spans="2:35">
      <c r="B78" s="12"/>
      <c r="D78" s="162"/>
      <c r="E78" s="165"/>
      <c r="F78" s="165"/>
      <c r="G78" s="147"/>
      <c r="H78" s="147"/>
      <c r="I78" s="144"/>
      <c r="J78" s="124"/>
      <c r="K78" s="155"/>
      <c r="L78" s="155"/>
      <c r="M78" s="155"/>
      <c r="N78" s="152"/>
      <c r="O78" s="152"/>
      <c r="P78" s="152"/>
      <c r="Q78" s="152"/>
      <c r="R78" s="152"/>
      <c r="S78" s="152"/>
      <c r="T78" s="175"/>
      <c r="U78" s="175"/>
      <c r="V78" s="169"/>
      <c r="W78" s="152"/>
      <c r="X78" s="175"/>
      <c r="Y78" s="175"/>
      <c r="Z78" s="169"/>
      <c r="AA78" s="152"/>
      <c r="AB78" s="152"/>
      <c r="AC78" s="152"/>
      <c r="AD78" s="149"/>
      <c r="AE78" s="149"/>
      <c r="AF78" s="59" t="s">
        <v>107</v>
      </c>
      <c r="AI78" s="23"/>
    </row>
    <row r="79" spans="2:35">
      <c r="B79" s="12"/>
      <c r="D79" s="163"/>
      <c r="E79" s="166"/>
      <c r="F79" s="166"/>
      <c r="G79" s="148"/>
      <c r="H79" s="148"/>
      <c r="I79" s="145"/>
      <c r="J79" s="124"/>
      <c r="K79" s="156"/>
      <c r="L79" s="156"/>
      <c r="M79" s="156"/>
      <c r="N79" s="153"/>
      <c r="O79" s="153"/>
      <c r="P79" s="153"/>
      <c r="Q79" s="153"/>
      <c r="R79" s="153"/>
      <c r="S79" s="153"/>
      <c r="T79" s="176"/>
      <c r="U79" s="176"/>
      <c r="V79" s="170"/>
      <c r="W79" s="153"/>
      <c r="X79" s="176"/>
      <c r="Y79" s="176"/>
      <c r="Z79" s="170"/>
      <c r="AA79" s="153"/>
      <c r="AB79" s="153"/>
      <c r="AC79" s="153"/>
      <c r="AD79" s="149"/>
      <c r="AE79" s="149"/>
      <c r="AF79" s="16" t="s">
        <v>108</v>
      </c>
      <c r="AI79" s="23"/>
    </row>
    <row r="80" spans="2:35" ht="14.5" customHeight="1">
      <c r="B80" s="12">
        <v>1968</v>
      </c>
      <c r="D80" s="161" t="s">
        <v>109</v>
      </c>
      <c r="E80" s="164" t="s">
        <v>110</v>
      </c>
      <c r="F80" s="127" t="s">
        <v>435</v>
      </c>
      <c r="G80" s="146">
        <v>101000</v>
      </c>
      <c r="H80" s="146">
        <v>101000</v>
      </c>
      <c r="I80" s="143">
        <f>H80/AE80*100</f>
        <v>0.51120699869713082</v>
      </c>
      <c r="J80" s="124"/>
      <c r="K80" s="154" t="s">
        <v>112</v>
      </c>
      <c r="L80" s="154" t="s">
        <v>113</v>
      </c>
      <c r="M80" s="154" t="s">
        <v>114</v>
      </c>
      <c r="N80" s="131" t="s">
        <v>434</v>
      </c>
      <c r="O80" s="177">
        <v>1</v>
      </c>
      <c r="P80" s="131"/>
      <c r="Q80" s="131"/>
      <c r="R80" s="151" t="s">
        <v>434</v>
      </c>
      <c r="S80" s="131"/>
      <c r="T80" s="75"/>
      <c r="U80" s="75"/>
      <c r="V80" s="130">
        <v>5.2151977688741953</v>
      </c>
      <c r="W80" s="131"/>
      <c r="X80" s="75"/>
      <c r="Y80" s="75"/>
      <c r="Z80" s="130">
        <v>3.0174016509258572</v>
      </c>
      <c r="AA80" s="131"/>
      <c r="AB80" s="131"/>
      <c r="AC80" s="131"/>
      <c r="AD80" s="149" t="s">
        <v>111</v>
      </c>
      <c r="AE80" s="149">
        <f>1083646+5565670+3500777+4173030+5434040</f>
        <v>19757163</v>
      </c>
      <c r="AF80" s="59" t="s">
        <v>106</v>
      </c>
    </row>
    <row r="81" spans="2:35" ht="15">
      <c r="B81" s="12"/>
      <c r="D81" s="162"/>
      <c r="E81" s="165"/>
      <c r="F81" s="128" t="s">
        <v>436</v>
      </c>
      <c r="G81" s="147"/>
      <c r="H81" s="147"/>
      <c r="I81" s="144"/>
      <c r="J81" s="124"/>
      <c r="K81" s="155"/>
      <c r="L81" s="155"/>
      <c r="M81" s="155"/>
      <c r="N81" s="131">
        <v>1</v>
      </c>
      <c r="O81" s="177"/>
      <c r="P81" s="131"/>
      <c r="Q81" s="131"/>
      <c r="R81" s="152"/>
      <c r="S81" s="131"/>
      <c r="T81" s="75"/>
      <c r="U81" s="75"/>
      <c r="V81" s="130">
        <v>4.0187214521601096</v>
      </c>
      <c r="W81" s="131"/>
      <c r="X81" s="75"/>
      <c r="Y81" s="75"/>
      <c r="Z81" s="130">
        <v>1.2006274702593742</v>
      </c>
      <c r="AA81" s="131"/>
      <c r="AB81" s="131"/>
      <c r="AC81" s="131"/>
      <c r="AD81" s="149"/>
      <c r="AE81" s="149"/>
      <c r="AF81" s="59" t="s">
        <v>99</v>
      </c>
      <c r="AI81" s="23"/>
    </row>
    <row r="82" spans="2:35" ht="15">
      <c r="B82" s="12"/>
      <c r="D82" s="162"/>
      <c r="E82" s="165"/>
      <c r="F82" s="128" t="s">
        <v>437</v>
      </c>
      <c r="G82" s="147"/>
      <c r="H82" s="147"/>
      <c r="I82" s="144"/>
      <c r="J82" s="124"/>
      <c r="K82" s="155"/>
      <c r="L82" s="155"/>
      <c r="M82" s="155"/>
      <c r="N82" s="131">
        <v>1</v>
      </c>
      <c r="O82" s="177"/>
      <c r="P82" s="131"/>
      <c r="Q82" s="131"/>
      <c r="R82" s="152"/>
      <c r="S82" s="131">
        <v>1</v>
      </c>
      <c r="T82" s="75"/>
      <c r="U82" s="75"/>
      <c r="V82" s="130">
        <v>4.8646168150483744</v>
      </c>
      <c r="W82" s="131"/>
      <c r="X82" s="75"/>
      <c r="Y82" s="75"/>
      <c r="Z82" s="130">
        <v>1.8854546365370972</v>
      </c>
      <c r="AA82" s="131"/>
      <c r="AB82" s="131"/>
      <c r="AC82" s="131"/>
      <c r="AD82" s="149"/>
      <c r="AE82" s="149"/>
      <c r="AF82" s="59" t="s">
        <v>115</v>
      </c>
      <c r="AI82" s="23"/>
    </row>
    <row r="83" spans="2:35" s="1" customFormat="1" ht="15">
      <c r="B83" s="12"/>
      <c r="D83" s="162"/>
      <c r="E83" s="165"/>
      <c r="F83" s="128" t="s">
        <v>250</v>
      </c>
      <c r="G83" s="147"/>
      <c r="H83" s="147"/>
      <c r="I83" s="144"/>
      <c r="J83" s="120"/>
      <c r="K83" s="155"/>
      <c r="L83" s="155"/>
      <c r="M83" s="155"/>
      <c r="N83" s="131">
        <v>1</v>
      </c>
      <c r="O83" s="177"/>
      <c r="P83" s="131"/>
      <c r="Q83" s="131"/>
      <c r="R83" s="152"/>
      <c r="S83" s="131"/>
      <c r="T83" s="75"/>
      <c r="U83" s="75"/>
      <c r="V83" s="130">
        <v>5.1054995115325381</v>
      </c>
      <c r="W83" s="131"/>
      <c r="X83" s="75"/>
      <c r="Y83" s="75"/>
      <c r="Z83" s="130">
        <v>2.882044362305169</v>
      </c>
      <c r="AA83" s="131"/>
      <c r="AB83" s="131"/>
      <c r="AC83" s="131"/>
      <c r="AD83" s="149"/>
      <c r="AE83" s="149"/>
      <c r="AF83" s="16" t="s">
        <v>116</v>
      </c>
      <c r="AI83" s="23"/>
    </row>
    <row r="84" spans="2:35" s="1" customFormat="1" ht="15">
      <c r="B84" s="12"/>
      <c r="D84" s="163"/>
      <c r="E84" s="166"/>
      <c r="F84" s="128" t="s">
        <v>438</v>
      </c>
      <c r="G84" s="148"/>
      <c r="H84" s="148"/>
      <c r="I84" s="145"/>
      <c r="J84" s="122"/>
      <c r="K84" s="156"/>
      <c r="L84" s="156"/>
      <c r="M84" s="156"/>
      <c r="N84" s="131">
        <v>1</v>
      </c>
      <c r="O84" s="177"/>
      <c r="P84" s="131"/>
      <c r="Q84" s="131"/>
      <c r="R84" s="153"/>
      <c r="S84" s="131"/>
      <c r="T84" s="75"/>
      <c r="U84" s="75"/>
      <c r="V84" s="130">
        <v>4.4293290736782973</v>
      </c>
      <c r="W84" s="131"/>
      <c r="X84" s="75"/>
      <c r="Y84" s="75"/>
      <c r="Z84" s="130">
        <v>1.6901134872153996</v>
      </c>
      <c r="AA84" s="131"/>
      <c r="AB84" s="131"/>
      <c r="AC84" s="131"/>
      <c r="AD84" s="123"/>
      <c r="AE84" s="123"/>
      <c r="AF84" s="16"/>
      <c r="AI84" s="23"/>
    </row>
    <row r="85" spans="2:35" s="1" customFormat="1">
      <c r="B85" s="12">
        <v>1972</v>
      </c>
      <c r="D85" s="161">
        <v>1972</v>
      </c>
      <c r="E85" s="164" t="s">
        <v>117</v>
      </c>
      <c r="F85" s="164" t="s">
        <v>118</v>
      </c>
      <c r="G85" s="146">
        <v>100000</v>
      </c>
      <c r="H85" s="146">
        <v>100000</v>
      </c>
      <c r="I85" s="143">
        <f>H85/AE85*100</f>
        <v>1.7217667228095195E-2</v>
      </c>
      <c r="J85" s="124"/>
      <c r="K85" s="154"/>
      <c r="L85" s="154" t="s">
        <v>119</v>
      </c>
      <c r="M85" s="154" t="s">
        <v>120</v>
      </c>
      <c r="N85" s="151">
        <v>1</v>
      </c>
      <c r="O85" s="151">
        <v>1</v>
      </c>
      <c r="P85" s="151"/>
      <c r="Q85" s="151"/>
      <c r="R85" s="151" t="s">
        <v>434</v>
      </c>
      <c r="S85" s="151" t="s">
        <v>434</v>
      </c>
      <c r="T85" s="174"/>
      <c r="U85" s="174"/>
      <c r="V85" s="168">
        <v>4.7876467250532064</v>
      </c>
      <c r="W85" s="151"/>
      <c r="X85" s="174"/>
      <c r="Y85" s="174"/>
      <c r="Z85" s="168">
        <v>2.3053868603201577</v>
      </c>
      <c r="AA85" s="151"/>
      <c r="AB85" s="151"/>
      <c r="AC85" s="151"/>
      <c r="AD85" s="149" t="s">
        <v>121</v>
      </c>
      <c r="AE85" s="149">
        <v>580798773</v>
      </c>
      <c r="AF85" s="59" t="s">
        <v>99</v>
      </c>
      <c r="AG85" s="24"/>
    </row>
    <row r="86" spans="2:35" s="1" customFormat="1">
      <c r="B86" s="12"/>
      <c r="D86" s="162"/>
      <c r="E86" s="165"/>
      <c r="F86" s="165"/>
      <c r="G86" s="147"/>
      <c r="H86" s="147"/>
      <c r="I86" s="144"/>
      <c r="J86" s="124"/>
      <c r="K86" s="155"/>
      <c r="L86" s="155"/>
      <c r="M86" s="155"/>
      <c r="N86" s="152"/>
      <c r="O86" s="152"/>
      <c r="P86" s="152"/>
      <c r="Q86" s="152"/>
      <c r="R86" s="152"/>
      <c r="S86" s="152"/>
      <c r="T86" s="175"/>
      <c r="U86" s="175"/>
      <c r="V86" s="169"/>
      <c r="W86" s="152"/>
      <c r="X86" s="175"/>
      <c r="Y86" s="175"/>
      <c r="Z86" s="169"/>
      <c r="AA86" s="152"/>
      <c r="AB86" s="152"/>
      <c r="AC86" s="152"/>
      <c r="AD86" s="149"/>
      <c r="AE86" s="149"/>
      <c r="AF86" s="59" t="s">
        <v>122</v>
      </c>
      <c r="AG86" s="24"/>
    </row>
    <row r="87" spans="2:35" s="1" customFormat="1">
      <c r="B87" s="12"/>
      <c r="D87" s="163"/>
      <c r="E87" s="166"/>
      <c r="F87" s="166"/>
      <c r="G87" s="148"/>
      <c r="H87" s="148"/>
      <c r="I87" s="145"/>
      <c r="J87" s="124"/>
      <c r="K87" s="156"/>
      <c r="L87" s="156"/>
      <c r="M87" s="156"/>
      <c r="N87" s="153"/>
      <c r="O87" s="153"/>
      <c r="P87" s="153"/>
      <c r="Q87" s="153"/>
      <c r="R87" s="153"/>
      <c r="S87" s="153"/>
      <c r="T87" s="176"/>
      <c r="U87" s="176"/>
      <c r="V87" s="170"/>
      <c r="W87" s="153"/>
      <c r="X87" s="176"/>
      <c r="Y87" s="176"/>
      <c r="Z87" s="170"/>
      <c r="AA87" s="153"/>
      <c r="AB87" s="153"/>
      <c r="AC87" s="153"/>
      <c r="AD87" s="149"/>
      <c r="AE87" s="149"/>
      <c r="AF87" s="59"/>
      <c r="AG87" s="24"/>
    </row>
    <row r="88" spans="2:35" s="1" customFormat="1">
      <c r="B88" s="12"/>
      <c r="D88" s="161" t="s">
        <v>123</v>
      </c>
      <c r="E88" s="164" t="s">
        <v>124</v>
      </c>
      <c r="F88" s="164" t="s">
        <v>88</v>
      </c>
      <c r="G88" s="146" t="s">
        <v>125</v>
      </c>
      <c r="H88" s="146">
        <f>(200000+500000)/2</f>
        <v>350000</v>
      </c>
      <c r="I88" s="143">
        <f>H88/AE88*100</f>
        <v>1.1614197207940353</v>
      </c>
      <c r="J88" s="124"/>
      <c r="K88" s="154" t="s">
        <v>126</v>
      </c>
      <c r="L88" s="154" t="s">
        <v>127</v>
      </c>
      <c r="M88" s="154" t="s">
        <v>128</v>
      </c>
      <c r="N88" s="171">
        <v>1</v>
      </c>
      <c r="O88" s="151">
        <v>1</v>
      </c>
      <c r="P88" s="151"/>
      <c r="Q88" s="151"/>
      <c r="R88" s="151" t="s">
        <v>434</v>
      </c>
      <c r="S88" s="151">
        <v>1</v>
      </c>
      <c r="T88" s="174"/>
      <c r="U88" s="174"/>
      <c r="V88" s="168" t="s">
        <v>434</v>
      </c>
      <c r="W88" s="151"/>
      <c r="X88" s="174"/>
      <c r="Y88" s="174"/>
      <c r="Z88" s="168">
        <v>3.0275067051735598</v>
      </c>
      <c r="AA88" s="151"/>
      <c r="AB88" s="151"/>
      <c r="AC88" s="151"/>
      <c r="AD88" s="149" t="s">
        <v>129</v>
      </c>
      <c r="AE88" s="149">
        <v>30135531</v>
      </c>
      <c r="AF88" s="59" t="s">
        <v>106</v>
      </c>
      <c r="AG88" s="24"/>
    </row>
    <row r="89" spans="2:35" s="1" customFormat="1">
      <c r="B89" s="12"/>
      <c r="D89" s="162"/>
      <c r="E89" s="165"/>
      <c r="F89" s="165"/>
      <c r="G89" s="147"/>
      <c r="H89" s="147"/>
      <c r="I89" s="144"/>
      <c r="J89" s="124"/>
      <c r="K89" s="155"/>
      <c r="L89" s="155"/>
      <c r="M89" s="155"/>
      <c r="N89" s="172"/>
      <c r="O89" s="152"/>
      <c r="P89" s="152"/>
      <c r="Q89" s="152"/>
      <c r="R89" s="152"/>
      <c r="S89" s="152"/>
      <c r="T89" s="175"/>
      <c r="U89" s="175"/>
      <c r="V89" s="169"/>
      <c r="W89" s="152"/>
      <c r="X89" s="175"/>
      <c r="Y89" s="175"/>
      <c r="Z89" s="169"/>
      <c r="AA89" s="152"/>
      <c r="AB89" s="152"/>
      <c r="AC89" s="152"/>
      <c r="AD89" s="149"/>
      <c r="AE89" s="149"/>
      <c r="AF89" s="59" t="s">
        <v>99</v>
      </c>
      <c r="AG89" s="24"/>
    </row>
    <row r="90" spans="2:35" s="1" customFormat="1">
      <c r="B90" s="12"/>
      <c r="D90" s="163"/>
      <c r="E90" s="166"/>
      <c r="F90" s="166"/>
      <c r="G90" s="148"/>
      <c r="H90" s="148"/>
      <c r="I90" s="145"/>
      <c r="J90" s="124"/>
      <c r="K90" s="156"/>
      <c r="L90" s="156"/>
      <c r="M90" s="156"/>
      <c r="N90" s="173"/>
      <c r="O90" s="153"/>
      <c r="P90" s="153"/>
      <c r="Q90" s="153"/>
      <c r="R90" s="153"/>
      <c r="S90" s="153"/>
      <c r="T90" s="176"/>
      <c r="U90" s="176"/>
      <c r="V90" s="170"/>
      <c r="W90" s="153"/>
      <c r="X90" s="176"/>
      <c r="Y90" s="176"/>
      <c r="Z90" s="170"/>
      <c r="AA90" s="153"/>
      <c r="AB90" s="153"/>
      <c r="AC90" s="153"/>
      <c r="AD90" s="149"/>
      <c r="AE90" s="149"/>
      <c r="AF90" s="59" t="s">
        <v>98</v>
      </c>
      <c r="AG90" s="24"/>
    </row>
    <row r="91" spans="2:35" s="1" customFormat="1">
      <c r="B91" s="12">
        <v>1974</v>
      </c>
      <c r="D91" s="161" t="s">
        <v>130</v>
      </c>
      <c r="E91" s="164" t="s">
        <v>131</v>
      </c>
      <c r="F91" s="164" t="s">
        <v>131</v>
      </c>
      <c r="G91" s="146">
        <v>20000</v>
      </c>
      <c r="H91" s="146">
        <v>20000</v>
      </c>
      <c r="I91" s="143">
        <f>H91/AE91*100</f>
        <v>0.54876128116003753</v>
      </c>
      <c r="J91" s="124"/>
      <c r="K91" s="154" t="s">
        <v>132</v>
      </c>
      <c r="L91" s="154" t="s">
        <v>133</v>
      </c>
      <c r="M91" s="154" t="s">
        <v>134</v>
      </c>
      <c r="N91" s="151">
        <v>1</v>
      </c>
      <c r="O91" s="151">
        <v>1</v>
      </c>
      <c r="P91" s="151"/>
      <c r="Q91" s="151"/>
      <c r="R91" s="151" t="s">
        <v>434</v>
      </c>
      <c r="S91" s="151" t="s">
        <v>434</v>
      </c>
      <c r="T91" s="174"/>
      <c r="U91" s="174"/>
      <c r="V91" s="168">
        <v>4.8685126381025148</v>
      </c>
      <c r="W91" s="151"/>
      <c r="X91" s="174"/>
      <c r="Y91" s="174"/>
      <c r="Z91" s="168">
        <v>2.2100853939280203</v>
      </c>
      <c r="AA91" s="151"/>
      <c r="AB91" s="151"/>
      <c r="AC91" s="151"/>
      <c r="AD91" s="149" t="s">
        <v>135</v>
      </c>
      <c r="AE91" s="149">
        <v>3644572</v>
      </c>
      <c r="AF91" s="59" t="s">
        <v>99</v>
      </c>
      <c r="AG91" s="24"/>
    </row>
    <row r="92" spans="2:35" s="1" customFormat="1">
      <c r="B92" s="12"/>
      <c r="D92" s="162"/>
      <c r="E92" s="165"/>
      <c r="F92" s="165"/>
      <c r="G92" s="147"/>
      <c r="H92" s="147"/>
      <c r="I92" s="144"/>
      <c r="J92" s="124"/>
      <c r="K92" s="155"/>
      <c r="L92" s="155"/>
      <c r="M92" s="155"/>
      <c r="N92" s="152"/>
      <c r="O92" s="152"/>
      <c r="P92" s="152"/>
      <c r="Q92" s="152"/>
      <c r="R92" s="152"/>
      <c r="S92" s="152"/>
      <c r="T92" s="175"/>
      <c r="U92" s="175"/>
      <c r="V92" s="169"/>
      <c r="W92" s="152"/>
      <c r="X92" s="175"/>
      <c r="Y92" s="175"/>
      <c r="Z92" s="169"/>
      <c r="AA92" s="152"/>
      <c r="AB92" s="152"/>
      <c r="AC92" s="152"/>
      <c r="AD92" s="149"/>
      <c r="AE92" s="149"/>
      <c r="AF92" s="59" t="s">
        <v>136</v>
      </c>
      <c r="AG92" s="24"/>
    </row>
    <row r="93" spans="2:35" s="1" customFormat="1">
      <c r="B93" s="12"/>
      <c r="D93" s="163"/>
      <c r="E93" s="166"/>
      <c r="F93" s="166"/>
      <c r="G93" s="148"/>
      <c r="H93" s="148"/>
      <c r="I93" s="145"/>
      <c r="J93" s="124"/>
      <c r="K93" s="156"/>
      <c r="L93" s="156"/>
      <c r="M93" s="156"/>
      <c r="N93" s="153"/>
      <c r="O93" s="153"/>
      <c r="P93" s="153"/>
      <c r="Q93" s="153"/>
      <c r="R93" s="153"/>
      <c r="S93" s="153"/>
      <c r="T93" s="176"/>
      <c r="U93" s="176"/>
      <c r="V93" s="170"/>
      <c r="W93" s="153"/>
      <c r="X93" s="176"/>
      <c r="Y93" s="176"/>
      <c r="Z93" s="170"/>
      <c r="AA93" s="153"/>
      <c r="AB93" s="153"/>
      <c r="AC93" s="153"/>
      <c r="AD93" s="149"/>
      <c r="AE93" s="149"/>
      <c r="AF93" s="59"/>
      <c r="AG93" s="24"/>
    </row>
    <row r="94" spans="2:35" s="1" customFormat="1">
      <c r="B94" s="12"/>
      <c r="D94" s="161">
        <v>1974</v>
      </c>
      <c r="E94" s="164" t="s">
        <v>137</v>
      </c>
      <c r="F94" s="164" t="s">
        <v>138</v>
      </c>
      <c r="G94" s="146">
        <v>1500000</v>
      </c>
      <c r="H94" s="146">
        <v>1500000</v>
      </c>
      <c r="I94" s="143">
        <f>H94/AE94*100</f>
        <v>2.116157254241382</v>
      </c>
      <c r="J94" s="124"/>
      <c r="K94" s="154" t="s">
        <v>139</v>
      </c>
      <c r="L94" s="154" t="s">
        <v>140</v>
      </c>
      <c r="M94" s="154" t="s">
        <v>141</v>
      </c>
      <c r="N94" s="151">
        <v>1</v>
      </c>
      <c r="O94" s="151" t="s">
        <v>434</v>
      </c>
      <c r="P94" s="151"/>
      <c r="Q94" s="151"/>
      <c r="R94" s="151">
        <v>1</v>
      </c>
      <c r="S94" s="171" t="s">
        <v>434</v>
      </c>
      <c r="T94" s="174"/>
      <c r="U94" s="174"/>
      <c r="V94" s="168">
        <v>4.8120155597562819</v>
      </c>
      <c r="W94" s="151"/>
      <c r="X94" s="174"/>
      <c r="Y94" s="174"/>
      <c r="Z94" s="168">
        <v>1.56636753025277</v>
      </c>
      <c r="AA94" s="151"/>
      <c r="AB94" s="151"/>
      <c r="AC94" s="151"/>
      <c r="AD94" s="141" t="s">
        <v>142</v>
      </c>
      <c r="AE94" s="141">
        <v>70883201</v>
      </c>
      <c r="AF94" s="59" t="s">
        <v>99</v>
      </c>
      <c r="AG94" s="24"/>
    </row>
    <row r="95" spans="2:35" s="1" customFormat="1">
      <c r="B95" s="12"/>
      <c r="D95" s="162"/>
      <c r="E95" s="165"/>
      <c r="F95" s="165"/>
      <c r="G95" s="147"/>
      <c r="H95" s="147"/>
      <c r="I95" s="144"/>
      <c r="J95" s="124"/>
      <c r="K95" s="155"/>
      <c r="L95" s="155"/>
      <c r="M95" s="155"/>
      <c r="N95" s="152"/>
      <c r="O95" s="152"/>
      <c r="P95" s="152"/>
      <c r="Q95" s="152"/>
      <c r="R95" s="152"/>
      <c r="S95" s="172"/>
      <c r="T95" s="175"/>
      <c r="U95" s="175"/>
      <c r="V95" s="169"/>
      <c r="W95" s="152"/>
      <c r="X95" s="175"/>
      <c r="Y95" s="175"/>
      <c r="Z95" s="169"/>
      <c r="AA95" s="152"/>
      <c r="AB95" s="152"/>
      <c r="AC95" s="152"/>
      <c r="AD95" s="141"/>
      <c r="AE95" s="141"/>
      <c r="AF95" s="59" t="s">
        <v>143</v>
      </c>
      <c r="AG95" s="24"/>
    </row>
    <row r="96" spans="2:35" s="1" customFormat="1">
      <c r="B96" s="12"/>
      <c r="D96" s="163"/>
      <c r="E96" s="166"/>
      <c r="F96" s="166"/>
      <c r="G96" s="148"/>
      <c r="H96" s="148"/>
      <c r="I96" s="145"/>
      <c r="J96" s="124"/>
      <c r="K96" s="156"/>
      <c r="L96" s="156"/>
      <c r="M96" s="156"/>
      <c r="N96" s="153"/>
      <c r="O96" s="153"/>
      <c r="P96" s="153"/>
      <c r="Q96" s="153"/>
      <c r="R96" s="153"/>
      <c r="S96" s="173"/>
      <c r="T96" s="176"/>
      <c r="U96" s="176"/>
      <c r="V96" s="170"/>
      <c r="W96" s="153"/>
      <c r="X96" s="176"/>
      <c r="Y96" s="176"/>
      <c r="Z96" s="170"/>
      <c r="AA96" s="153"/>
      <c r="AB96" s="153"/>
      <c r="AC96" s="153"/>
      <c r="AD96" s="141"/>
      <c r="AE96" s="141"/>
      <c r="AF96" s="59" t="s">
        <v>144</v>
      </c>
      <c r="AG96" s="24"/>
    </row>
    <row r="97" spans="2:33" s="1" customFormat="1">
      <c r="B97" s="12">
        <v>1975</v>
      </c>
      <c r="D97" s="161" t="s">
        <v>145</v>
      </c>
      <c r="E97" s="164" t="s">
        <v>146</v>
      </c>
      <c r="F97" s="164" t="s">
        <v>147</v>
      </c>
      <c r="G97" s="146" t="s">
        <v>148</v>
      </c>
      <c r="H97" s="146">
        <f>(1500000+2000000)/2</f>
        <v>1750000</v>
      </c>
      <c r="I97" s="143">
        <f>H97/AE97*100</f>
        <v>23.125774878642542</v>
      </c>
      <c r="J97" s="124"/>
      <c r="K97" s="154" t="s">
        <v>149</v>
      </c>
      <c r="L97" s="154" t="s">
        <v>150</v>
      </c>
      <c r="M97" s="154" t="s">
        <v>151</v>
      </c>
      <c r="N97" s="151" t="s">
        <v>434</v>
      </c>
      <c r="O97" s="151" t="s">
        <v>434</v>
      </c>
      <c r="P97" s="151"/>
      <c r="Q97" s="151"/>
      <c r="R97" s="151">
        <v>1</v>
      </c>
      <c r="S97" s="151">
        <v>1</v>
      </c>
      <c r="T97" s="174"/>
      <c r="U97" s="174"/>
      <c r="V97" s="168">
        <v>4.4480842784437851</v>
      </c>
      <c r="W97" s="151"/>
      <c r="X97" s="174"/>
      <c r="Y97" s="174"/>
      <c r="Z97" s="168">
        <v>0.48453859524965093</v>
      </c>
      <c r="AA97" s="151"/>
      <c r="AB97" s="151"/>
      <c r="AC97" s="151"/>
      <c r="AD97" s="141"/>
      <c r="AE97" s="141">
        <v>7567314</v>
      </c>
      <c r="AF97" s="59" t="s">
        <v>99</v>
      </c>
      <c r="AG97" s="24"/>
    </row>
    <row r="98" spans="2:33" s="1" customFormat="1">
      <c r="B98" s="12"/>
      <c r="D98" s="162"/>
      <c r="E98" s="165"/>
      <c r="F98" s="165"/>
      <c r="G98" s="147"/>
      <c r="H98" s="147"/>
      <c r="I98" s="144"/>
      <c r="J98" s="124"/>
      <c r="K98" s="155"/>
      <c r="L98" s="155"/>
      <c r="M98" s="155"/>
      <c r="N98" s="152"/>
      <c r="O98" s="152"/>
      <c r="P98" s="152"/>
      <c r="Q98" s="152"/>
      <c r="R98" s="152"/>
      <c r="S98" s="152"/>
      <c r="T98" s="175"/>
      <c r="U98" s="175"/>
      <c r="V98" s="169"/>
      <c r="W98" s="152"/>
      <c r="X98" s="175"/>
      <c r="Y98" s="175"/>
      <c r="Z98" s="169"/>
      <c r="AA98" s="152"/>
      <c r="AB98" s="152"/>
      <c r="AC98" s="152"/>
      <c r="AD98" s="141"/>
      <c r="AE98" s="141"/>
      <c r="AF98" s="59" t="s">
        <v>152</v>
      </c>
      <c r="AG98" s="24"/>
    </row>
    <row r="99" spans="2:33" s="1" customFormat="1">
      <c r="B99" s="12"/>
      <c r="D99" s="163"/>
      <c r="E99" s="166"/>
      <c r="F99" s="166"/>
      <c r="G99" s="148"/>
      <c r="H99" s="148"/>
      <c r="I99" s="145"/>
      <c r="J99" s="124"/>
      <c r="K99" s="156"/>
      <c r="L99" s="156"/>
      <c r="M99" s="156"/>
      <c r="N99" s="153"/>
      <c r="O99" s="153"/>
      <c r="P99" s="153"/>
      <c r="Q99" s="153"/>
      <c r="R99" s="153"/>
      <c r="S99" s="153"/>
      <c r="T99" s="176"/>
      <c r="U99" s="176"/>
      <c r="V99" s="170"/>
      <c r="W99" s="153"/>
      <c r="X99" s="176"/>
      <c r="Y99" s="176"/>
      <c r="Z99" s="170"/>
      <c r="AA99" s="153"/>
      <c r="AB99" s="153"/>
      <c r="AC99" s="153"/>
      <c r="AD99" s="141"/>
      <c r="AE99" s="141"/>
      <c r="AF99" s="59"/>
      <c r="AG99" s="24"/>
    </row>
    <row r="100" spans="2:33" s="1" customFormat="1" ht="14.5" customHeight="1">
      <c r="B100" s="12">
        <v>1980</v>
      </c>
      <c r="D100" s="161" t="s">
        <v>153</v>
      </c>
      <c r="E100" s="164" t="s">
        <v>154</v>
      </c>
      <c r="F100" s="164" t="s">
        <v>155</v>
      </c>
      <c r="G100" s="146" t="s">
        <v>156</v>
      </c>
      <c r="H100" s="146">
        <f>(30000+50000)/2</f>
        <v>40000</v>
      </c>
      <c r="I100" s="143">
        <f>H100/AE100*100</f>
        <v>0.31873071230975464</v>
      </c>
      <c r="J100" s="124"/>
      <c r="K100" s="154" t="s">
        <v>157</v>
      </c>
      <c r="L100" s="154" t="s">
        <v>158</v>
      </c>
      <c r="M100" s="154" t="s">
        <v>159</v>
      </c>
      <c r="N100" s="151">
        <v>1</v>
      </c>
      <c r="O100" s="151">
        <v>1</v>
      </c>
      <c r="P100" s="151"/>
      <c r="Q100" s="151"/>
      <c r="R100" s="151">
        <v>1</v>
      </c>
      <c r="S100" s="151">
        <v>1</v>
      </c>
      <c r="T100" s="174"/>
      <c r="U100" s="174"/>
      <c r="V100" s="168">
        <v>5.0291007183035124</v>
      </c>
      <c r="W100" s="151"/>
      <c r="X100" s="174"/>
      <c r="Y100" s="174"/>
      <c r="Z100" s="168">
        <v>3.0954291857386971</v>
      </c>
      <c r="AA100" s="151"/>
      <c r="AB100" s="151"/>
      <c r="AC100" s="151"/>
      <c r="AD100" s="141" t="s">
        <v>160</v>
      </c>
      <c r="AE100" s="141">
        <v>12549779</v>
      </c>
      <c r="AF100" s="59" t="s">
        <v>161</v>
      </c>
      <c r="AG100" s="24"/>
    </row>
    <row r="101" spans="2:33" s="1" customFormat="1">
      <c r="B101" s="12"/>
      <c r="D101" s="162"/>
      <c r="E101" s="165"/>
      <c r="F101" s="165"/>
      <c r="G101" s="147"/>
      <c r="H101" s="147"/>
      <c r="I101" s="144"/>
      <c r="J101" s="124"/>
      <c r="K101" s="155"/>
      <c r="L101" s="155"/>
      <c r="M101" s="155"/>
      <c r="N101" s="152"/>
      <c r="O101" s="152"/>
      <c r="P101" s="152"/>
      <c r="Q101" s="152"/>
      <c r="R101" s="152"/>
      <c r="S101" s="152"/>
      <c r="T101" s="175"/>
      <c r="U101" s="175"/>
      <c r="V101" s="169"/>
      <c r="W101" s="152"/>
      <c r="X101" s="175"/>
      <c r="Y101" s="175"/>
      <c r="Z101" s="169"/>
      <c r="AA101" s="152"/>
      <c r="AB101" s="152"/>
      <c r="AC101" s="152"/>
      <c r="AD101" s="141"/>
      <c r="AE101" s="141"/>
      <c r="AF101" s="59" t="s">
        <v>99</v>
      </c>
      <c r="AG101" s="24"/>
    </row>
    <row r="102" spans="2:33" s="1" customFormat="1">
      <c r="B102" s="12"/>
      <c r="D102" s="163"/>
      <c r="E102" s="166"/>
      <c r="F102" s="166"/>
      <c r="G102" s="148"/>
      <c r="H102" s="148"/>
      <c r="I102" s="145"/>
      <c r="J102" s="124"/>
      <c r="K102" s="156"/>
      <c r="L102" s="156"/>
      <c r="M102" s="156"/>
      <c r="N102" s="153"/>
      <c r="O102" s="153"/>
      <c r="P102" s="153"/>
      <c r="Q102" s="153"/>
      <c r="R102" s="153"/>
      <c r="S102" s="153"/>
      <c r="T102" s="176"/>
      <c r="U102" s="176"/>
      <c r="V102" s="170"/>
      <c r="W102" s="153"/>
      <c r="X102" s="176"/>
      <c r="Y102" s="176"/>
      <c r="Z102" s="170"/>
      <c r="AA102" s="153"/>
      <c r="AB102" s="153"/>
      <c r="AC102" s="153"/>
      <c r="AD102" s="141"/>
      <c r="AE102" s="141"/>
      <c r="AF102" s="59" t="s">
        <v>162</v>
      </c>
      <c r="AG102" s="24"/>
    </row>
    <row r="103" spans="2:33" s="1" customFormat="1">
      <c r="B103" s="12">
        <v>1982</v>
      </c>
      <c r="D103" s="161" t="s">
        <v>163</v>
      </c>
      <c r="E103" s="164" t="s">
        <v>48</v>
      </c>
      <c r="F103" s="164" t="s">
        <v>48</v>
      </c>
      <c r="G103" s="146">
        <v>100000</v>
      </c>
      <c r="H103" s="146">
        <v>100000</v>
      </c>
      <c r="I103" s="143">
        <f>H103/AE103*100</f>
        <v>0.78559168290942938</v>
      </c>
      <c r="J103" s="124"/>
      <c r="K103" s="154" t="s">
        <v>164</v>
      </c>
      <c r="L103" s="154" t="s">
        <v>165</v>
      </c>
      <c r="M103" s="154" t="s">
        <v>166</v>
      </c>
      <c r="N103" s="151">
        <v>1</v>
      </c>
      <c r="O103" s="151">
        <v>1</v>
      </c>
      <c r="P103" s="151"/>
      <c r="Q103" s="151"/>
      <c r="R103" s="151">
        <v>1</v>
      </c>
      <c r="S103" s="151">
        <v>1</v>
      </c>
      <c r="T103" s="174"/>
      <c r="U103" s="174"/>
      <c r="V103" s="168">
        <v>7.044404825126513</v>
      </c>
      <c r="W103" s="151"/>
      <c r="X103" s="174"/>
      <c r="Y103" s="174"/>
      <c r="Z103" s="168">
        <v>2.4182355579560362</v>
      </c>
      <c r="AA103" s="151"/>
      <c r="AB103" s="151"/>
      <c r="AC103" s="151"/>
      <c r="AD103" s="141"/>
      <c r="AE103" s="141">
        <v>12729259</v>
      </c>
      <c r="AF103" s="59" t="s">
        <v>99</v>
      </c>
      <c r="AG103" s="24"/>
    </row>
    <row r="104" spans="2:33" s="1" customFormat="1">
      <c r="B104" s="12"/>
      <c r="D104" s="162"/>
      <c r="E104" s="165"/>
      <c r="F104" s="165"/>
      <c r="G104" s="147"/>
      <c r="H104" s="147"/>
      <c r="I104" s="144"/>
      <c r="J104" s="124"/>
      <c r="K104" s="155"/>
      <c r="L104" s="155"/>
      <c r="M104" s="155"/>
      <c r="N104" s="152"/>
      <c r="O104" s="152"/>
      <c r="P104" s="152"/>
      <c r="Q104" s="152"/>
      <c r="R104" s="152"/>
      <c r="S104" s="152"/>
      <c r="T104" s="175"/>
      <c r="U104" s="175"/>
      <c r="V104" s="169"/>
      <c r="W104" s="152"/>
      <c r="X104" s="175"/>
      <c r="Y104" s="175"/>
      <c r="Z104" s="169"/>
      <c r="AA104" s="152"/>
      <c r="AB104" s="152"/>
      <c r="AC104" s="152"/>
      <c r="AD104" s="141"/>
      <c r="AE104" s="141"/>
      <c r="AF104" s="59" t="s">
        <v>167</v>
      </c>
      <c r="AG104" s="24"/>
    </row>
    <row r="105" spans="2:33" s="1" customFormat="1">
      <c r="B105" s="12"/>
      <c r="D105" s="163"/>
      <c r="E105" s="166"/>
      <c r="F105" s="166"/>
      <c r="G105" s="148"/>
      <c r="H105" s="148"/>
      <c r="I105" s="145"/>
      <c r="J105" s="124"/>
      <c r="K105" s="156"/>
      <c r="L105" s="156"/>
      <c r="M105" s="156"/>
      <c r="N105" s="153"/>
      <c r="O105" s="153"/>
      <c r="P105" s="153"/>
      <c r="Q105" s="153"/>
      <c r="R105" s="153"/>
      <c r="S105" s="153"/>
      <c r="T105" s="176"/>
      <c r="U105" s="176"/>
      <c r="V105" s="170"/>
      <c r="W105" s="153"/>
      <c r="X105" s="176"/>
      <c r="Y105" s="176"/>
      <c r="Z105" s="170"/>
      <c r="AA105" s="153"/>
      <c r="AB105" s="153"/>
      <c r="AC105" s="153"/>
      <c r="AD105" s="141"/>
      <c r="AE105" s="141"/>
      <c r="AF105" s="59"/>
      <c r="AG105" s="24"/>
    </row>
    <row r="106" spans="2:33" s="1" customFormat="1">
      <c r="B106" s="12">
        <v>1984</v>
      </c>
      <c r="D106" s="161" t="s">
        <v>168</v>
      </c>
      <c r="E106" s="164" t="s">
        <v>169</v>
      </c>
      <c r="F106" s="164" t="s">
        <v>170</v>
      </c>
      <c r="G106" s="146">
        <v>250000</v>
      </c>
      <c r="H106" s="146">
        <v>250000</v>
      </c>
      <c r="I106" s="143">
        <f>H106/AE106*100</f>
        <v>1.5099073780536896</v>
      </c>
      <c r="J106" s="124"/>
      <c r="K106" s="154" t="s">
        <v>171</v>
      </c>
      <c r="L106" s="154" t="s">
        <v>172</v>
      </c>
      <c r="M106" s="154" t="s">
        <v>173</v>
      </c>
      <c r="N106" s="151">
        <v>1</v>
      </c>
      <c r="O106" s="151">
        <v>1</v>
      </c>
      <c r="P106" s="151"/>
      <c r="Q106" s="151"/>
      <c r="R106" s="151">
        <v>1</v>
      </c>
      <c r="S106" s="151">
        <v>1</v>
      </c>
      <c r="T106" s="174"/>
      <c r="U106" s="174"/>
      <c r="V106" s="168">
        <v>6.3574265948364319</v>
      </c>
      <c r="W106" s="151"/>
      <c r="X106" s="174"/>
      <c r="Y106" s="174"/>
      <c r="Z106" s="168">
        <v>3.5176927692107887</v>
      </c>
      <c r="AA106" s="151"/>
      <c r="AB106" s="151"/>
      <c r="AC106" s="151"/>
      <c r="AD106" s="141" t="s">
        <v>174</v>
      </c>
      <c r="AE106" s="141">
        <v>16557307</v>
      </c>
      <c r="AF106" s="59" t="s">
        <v>99</v>
      </c>
      <c r="AG106" s="24"/>
    </row>
    <row r="107" spans="2:33" s="1" customFormat="1">
      <c r="B107" s="12"/>
      <c r="D107" s="162"/>
      <c r="E107" s="165"/>
      <c r="F107" s="165"/>
      <c r="G107" s="147"/>
      <c r="H107" s="147"/>
      <c r="I107" s="144"/>
      <c r="J107" s="124"/>
      <c r="K107" s="155"/>
      <c r="L107" s="155"/>
      <c r="M107" s="155"/>
      <c r="N107" s="152"/>
      <c r="O107" s="152"/>
      <c r="P107" s="152"/>
      <c r="Q107" s="152"/>
      <c r="R107" s="152"/>
      <c r="S107" s="152"/>
      <c r="T107" s="175"/>
      <c r="U107" s="175"/>
      <c r="V107" s="169"/>
      <c r="W107" s="152"/>
      <c r="X107" s="175"/>
      <c r="Y107" s="175"/>
      <c r="Z107" s="169"/>
      <c r="AA107" s="152"/>
      <c r="AB107" s="152"/>
      <c r="AC107" s="152"/>
      <c r="AD107" s="141"/>
      <c r="AE107" s="141"/>
      <c r="AF107" s="59" t="s">
        <v>175</v>
      </c>
      <c r="AG107" s="24"/>
    </row>
    <row r="108" spans="2:33" s="1" customFormat="1">
      <c r="B108" s="12"/>
      <c r="D108" s="163"/>
      <c r="E108" s="166"/>
      <c r="F108" s="166"/>
      <c r="G108" s="148"/>
      <c r="H108" s="148"/>
      <c r="I108" s="145"/>
      <c r="J108" s="124"/>
      <c r="K108" s="156"/>
      <c r="L108" s="156"/>
      <c r="M108" s="156"/>
      <c r="N108" s="153"/>
      <c r="O108" s="153"/>
      <c r="P108" s="153"/>
      <c r="Q108" s="153"/>
      <c r="R108" s="153"/>
      <c r="S108" s="153"/>
      <c r="T108" s="176"/>
      <c r="U108" s="176"/>
      <c r="V108" s="170"/>
      <c r="W108" s="153"/>
      <c r="X108" s="176"/>
      <c r="Y108" s="176"/>
      <c r="Z108" s="170"/>
      <c r="AA108" s="153"/>
      <c r="AB108" s="153"/>
      <c r="AC108" s="153"/>
      <c r="AD108" s="141"/>
      <c r="AE108" s="141"/>
      <c r="AF108" s="59"/>
      <c r="AG108" s="24"/>
    </row>
    <row r="109" spans="2:33" s="1" customFormat="1">
      <c r="B109" s="12"/>
      <c r="D109" s="161" t="s">
        <v>168</v>
      </c>
      <c r="E109" s="164" t="s">
        <v>176</v>
      </c>
      <c r="F109" s="164" t="s">
        <v>88</v>
      </c>
      <c r="G109" s="146">
        <v>1000000</v>
      </c>
      <c r="H109" s="146">
        <v>1000000</v>
      </c>
      <c r="I109" s="143">
        <f>H109/AE109*100</f>
        <v>2.5320551856363598</v>
      </c>
      <c r="J109" s="124"/>
      <c r="K109" s="154" t="s">
        <v>177</v>
      </c>
      <c r="L109" s="154" t="s">
        <v>178</v>
      </c>
      <c r="M109" s="154" t="s">
        <v>179</v>
      </c>
      <c r="N109" s="151">
        <v>1</v>
      </c>
      <c r="O109" s="151">
        <v>1</v>
      </c>
      <c r="P109" s="151"/>
      <c r="Q109" s="151"/>
      <c r="R109" s="151">
        <v>1</v>
      </c>
      <c r="S109" s="151">
        <v>1</v>
      </c>
      <c r="T109" s="174"/>
      <c r="U109" s="174"/>
      <c r="V109" s="168">
        <v>5.3491980447901062</v>
      </c>
      <c r="W109" s="151"/>
      <c r="X109" s="174"/>
      <c r="Y109" s="174"/>
      <c r="Z109" s="168">
        <v>3.2114994346677084</v>
      </c>
      <c r="AA109" s="151"/>
      <c r="AB109" s="151"/>
      <c r="AC109" s="151"/>
      <c r="AD109" s="141"/>
      <c r="AE109" s="141">
        <v>39493610</v>
      </c>
      <c r="AF109" s="59" t="s">
        <v>99</v>
      </c>
      <c r="AG109" s="24"/>
    </row>
    <row r="110" spans="2:33" s="1" customFormat="1">
      <c r="B110" s="12"/>
      <c r="D110" s="162"/>
      <c r="E110" s="165"/>
      <c r="F110" s="165"/>
      <c r="G110" s="147"/>
      <c r="H110" s="147"/>
      <c r="I110" s="144"/>
      <c r="J110" s="124"/>
      <c r="K110" s="155"/>
      <c r="L110" s="155"/>
      <c r="M110" s="155"/>
      <c r="N110" s="152"/>
      <c r="O110" s="152"/>
      <c r="P110" s="152"/>
      <c r="Q110" s="152"/>
      <c r="R110" s="152"/>
      <c r="S110" s="152"/>
      <c r="T110" s="175"/>
      <c r="U110" s="175"/>
      <c r="V110" s="169"/>
      <c r="W110" s="152"/>
      <c r="X110" s="175"/>
      <c r="Y110" s="175"/>
      <c r="Z110" s="169"/>
      <c r="AA110" s="152"/>
      <c r="AB110" s="152"/>
      <c r="AC110" s="152"/>
      <c r="AD110" s="141"/>
      <c r="AE110" s="141"/>
      <c r="AF110" s="59" t="s">
        <v>107</v>
      </c>
      <c r="AG110" s="24"/>
    </row>
    <row r="111" spans="2:33" s="1" customFormat="1">
      <c r="B111" s="12"/>
      <c r="D111" s="163"/>
      <c r="E111" s="166"/>
      <c r="F111" s="166"/>
      <c r="G111" s="148"/>
      <c r="H111" s="148"/>
      <c r="I111" s="145"/>
      <c r="J111" s="124"/>
      <c r="K111" s="156"/>
      <c r="L111" s="156"/>
      <c r="M111" s="156"/>
      <c r="N111" s="153"/>
      <c r="O111" s="153"/>
      <c r="P111" s="153"/>
      <c r="Q111" s="153"/>
      <c r="R111" s="153"/>
      <c r="S111" s="153"/>
      <c r="T111" s="176"/>
      <c r="U111" s="176"/>
      <c r="V111" s="170"/>
      <c r="W111" s="153"/>
      <c r="X111" s="176"/>
      <c r="Y111" s="176"/>
      <c r="Z111" s="170"/>
      <c r="AA111" s="153"/>
      <c r="AB111" s="153"/>
      <c r="AC111" s="153"/>
      <c r="AD111" s="141"/>
      <c r="AE111" s="141"/>
      <c r="AF111" s="59"/>
      <c r="AG111" s="24"/>
    </row>
    <row r="112" spans="2:33" s="1" customFormat="1" ht="14.5" customHeight="1">
      <c r="B112" s="12">
        <v>1988</v>
      </c>
      <c r="D112" s="161">
        <v>1988</v>
      </c>
      <c r="E112" s="164" t="s">
        <v>180</v>
      </c>
      <c r="F112" s="164" t="s">
        <v>170</v>
      </c>
      <c r="G112" s="146">
        <v>250000</v>
      </c>
      <c r="H112" s="146">
        <v>250000</v>
      </c>
      <c r="I112" s="143">
        <f>H112/AE112*100</f>
        <v>1.3381710178278636</v>
      </c>
      <c r="J112" s="124"/>
      <c r="K112" s="154" t="s">
        <v>181</v>
      </c>
      <c r="L112" s="154" t="s">
        <v>182</v>
      </c>
      <c r="M112" s="154" t="s">
        <v>183</v>
      </c>
      <c r="N112" s="151">
        <v>1</v>
      </c>
      <c r="O112" s="151">
        <v>1</v>
      </c>
      <c r="P112" s="151"/>
      <c r="Q112" s="151"/>
      <c r="R112" s="151">
        <v>1</v>
      </c>
      <c r="S112" s="151">
        <v>1</v>
      </c>
      <c r="T112" s="174"/>
      <c r="U112" s="174"/>
      <c r="V112" s="168">
        <v>6.8557286959777821</v>
      </c>
      <c r="W112" s="151"/>
      <c r="X112" s="174"/>
      <c r="Y112" s="174"/>
      <c r="Z112" s="168">
        <v>3.0053474576396217</v>
      </c>
      <c r="AA112" s="151"/>
      <c r="AB112" s="151"/>
      <c r="AC112" s="151"/>
      <c r="AD112" s="141" t="s">
        <v>184</v>
      </c>
      <c r="AE112" s="141">
        <v>18682216</v>
      </c>
      <c r="AF112" s="59" t="s">
        <v>99</v>
      </c>
      <c r="AG112" s="24"/>
    </row>
    <row r="113" spans="2:33" s="1" customFormat="1">
      <c r="B113" s="12"/>
      <c r="D113" s="162"/>
      <c r="E113" s="165"/>
      <c r="F113" s="165"/>
      <c r="G113" s="147"/>
      <c r="H113" s="147"/>
      <c r="I113" s="144"/>
      <c r="J113" s="124"/>
      <c r="K113" s="155"/>
      <c r="L113" s="155"/>
      <c r="M113" s="155"/>
      <c r="N113" s="152"/>
      <c r="O113" s="152"/>
      <c r="P113" s="152"/>
      <c r="Q113" s="152"/>
      <c r="R113" s="152"/>
      <c r="S113" s="152"/>
      <c r="T113" s="175"/>
      <c r="U113" s="175"/>
      <c r="V113" s="169"/>
      <c r="W113" s="152"/>
      <c r="X113" s="175"/>
      <c r="Y113" s="175"/>
      <c r="Z113" s="169"/>
      <c r="AA113" s="152"/>
      <c r="AB113" s="152"/>
      <c r="AC113" s="152"/>
      <c r="AD113" s="141"/>
      <c r="AE113" s="141"/>
      <c r="AF113" s="59" t="s">
        <v>185</v>
      </c>
      <c r="AG113" s="24"/>
    </row>
    <row r="114" spans="2:33" s="1" customFormat="1">
      <c r="B114" s="12"/>
      <c r="D114" s="163"/>
      <c r="E114" s="166"/>
      <c r="F114" s="166"/>
      <c r="G114" s="148"/>
      <c r="H114" s="148"/>
      <c r="I114" s="145"/>
      <c r="J114" s="124"/>
      <c r="K114" s="156"/>
      <c r="L114" s="156"/>
      <c r="M114" s="156"/>
      <c r="N114" s="153"/>
      <c r="O114" s="153"/>
      <c r="P114" s="153"/>
      <c r="Q114" s="153"/>
      <c r="R114" s="153"/>
      <c r="S114" s="153"/>
      <c r="T114" s="176"/>
      <c r="U114" s="176"/>
      <c r="V114" s="170"/>
      <c r="W114" s="153"/>
      <c r="X114" s="176"/>
      <c r="Y114" s="176"/>
      <c r="Z114" s="170"/>
      <c r="AA114" s="153"/>
      <c r="AB114" s="153"/>
      <c r="AC114" s="153"/>
      <c r="AD114" s="141"/>
      <c r="AE114" s="141"/>
      <c r="AF114" s="59" t="s">
        <v>186</v>
      </c>
      <c r="AG114" s="24"/>
    </row>
    <row r="115" spans="2:33" s="1" customFormat="1" ht="14.5" customHeight="1">
      <c r="B115" s="12">
        <v>1991</v>
      </c>
      <c r="D115" s="161" t="s">
        <v>187</v>
      </c>
      <c r="E115" s="164" t="s">
        <v>188</v>
      </c>
      <c r="F115" s="164" t="s">
        <v>131</v>
      </c>
      <c r="G115" s="146">
        <v>300000</v>
      </c>
      <c r="H115" s="146">
        <v>300000</v>
      </c>
      <c r="I115" s="143">
        <f>H115/AE115*100</f>
        <v>4.7471877264309645</v>
      </c>
      <c r="J115" s="124"/>
      <c r="K115" s="154" t="s">
        <v>189</v>
      </c>
      <c r="L115" s="154" t="s">
        <v>190</v>
      </c>
      <c r="M115" s="154" t="s">
        <v>191</v>
      </c>
      <c r="N115" s="171">
        <v>1</v>
      </c>
      <c r="O115" s="151">
        <v>1</v>
      </c>
      <c r="P115" s="151"/>
      <c r="Q115" s="151"/>
      <c r="R115" s="151">
        <v>1</v>
      </c>
      <c r="S115" s="151">
        <v>1</v>
      </c>
      <c r="T115" s="151">
        <v>1</v>
      </c>
      <c r="U115" s="151">
        <v>1</v>
      </c>
      <c r="V115" s="168">
        <v>5.0675343122208458</v>
      </c>
      <c r="W115" s="151"/>
      <c r="X115" s="174"/>
      <c r="Y115" s="174"/>
      <c r="Z115" s="168">
        <v>0.27106227455891824</v>
      </c>
      <c r="AA115" s="151"/>
      <c r="AB115" s="151"/>
      <c r="AC115" s="151"/>
      <c r="AD115" s="141" t="s">
        <v>192</v>
      </c>
      <c r="AE115" s="141">
        <v>6319531</v>
      </c>
      <c r="AF115" s="59" t="s">
        <v>99</v>
      </c>
      <c r="AG115" s="24"/>
    </row>
    <row r="116" spans="2:33" s="1" customFormat="1">
      <c r="B116" s="12"/>
      <c r="D116" s="162"/>
      <c r="E116" s="165"/>
      <c r="F116" s="165"/>
      <c r="G116" s="147"/>
      <c r="H116" s="147"/>
      <c r="I116" s="144"/>
      <c r="J116" s="124"/>
      <c r="K116" s="155"/>
      <c r="L116" s="155"/>
      <c r="M116" s="155"/>
      <c r="N116" s="172"/>
      <c r="O116" s="152"/>
      <c r="P116" s="152"/>
      <c r="Q116" s="152"/>
      <c r="R116" s="152"/>
      <c r="S116" s="152"/>
      <c r="T116" s="152"/>
      <c r="U116" s="152"/>
      <c r="V116" s="169"/>
      <c r="W116" s="152"/>
      <c r="X116" s="175"/>
      <c r="Y116" s="175"/>
      <c r="Z116" s="169"/>
      <c r="AA116" s="152"/>
      <c r="AB116" s="152"/>
      <c r="AC116" s="152"/>
      <c r="AD116" s="141"/>
      <c r="AE116" s="141"/>
      <c r="AF116" s="59" t="s">
        <v>193</v>
      </c>
      <c r="AG116" s="24"/>
    </row>
    <row r="117" spans="2:33" s="1" customFormat="1">
      <c r="B117" s="12"/>
      <c r="D117" s="163"/>
      <c r="E117" s="166"/>
      <c r="F117" s="166"/>
      <c r="G117" s="148"/>
      <c r="H117" s="148"/>
      <c r="I117" s="145"/>
      <c r="J117" s="124"/>
      <c r="K117" s="156"/>
      <c r="L117" s="156"/>
      <c r="M117" s="156"/>
      <c r="N117" s="173"/>
      <c r="O117" s="153"/>
      <c r="P117" s="153"/>
      <c r="Q117" s="153"/>
      <c r="R117" s="153"/>
      <c r="S117" s="153"/>
      <c r="T117" s="153"/>
      <c r="U117" s="153"/>
      <c r="V117" s="170"/>
      <c r="W117" s="153"/>
      <c r="X117" s="176"/>
      <c r="Y117" s="176"/>
      <c r="Z117" s="170"/>
      <c r="AA117" s="153"/>
      <c r="AB117" s="153"/>
      <c r="AC117" s="153"/>
      <c r="AD117" s="141"/>
      <c r="AE117" s="141"/>
      <c r="AF117" s="59" t="s">
        <v>194</v>
      </c>
      <c r="AG117" s="24"/>
    </row>
    <row r="118" spans="2:33" s="1" customFormat="1">
      <c r="B118" s="12">
        <v>1996</v>
      </c>
      <c r="D118" s="161">
        <v>1996</v>
      </c>
      <c r="E118" s="164" t="s">
        <v>195</v>
      </c>
      <c r="F118" s="164" t="s">
        <v>196</v>
      </c>
      <c r="G118" s="146" t="s">
        <v>197</v>
      </c>
      <c r="H118" s="146">
        <f>(200000+3500000)/2</f>
        <v>1850000</v>
      </c>
      <c r="I118" s="143">
        <f>H118/AE118*100</f>
        <v>8.402781947626778</v>
      </c>
      <c r="J118" s="124"/>
      <c r="K118" s="154" t="s">
        <v>198</v>
      </c>
      <c r="L118" s="154" t="s">
        <v>199</v>
      </c>
      <c r="M118" s="154" t="s">
        <v>200</v>
      </c>
      <c r="N118" s="151" t="s">
        <v>434</v>
      </c>
      <c r="O118" s="151" t="s">
        <v>434</v>
      </c>
      <c r="P118" s="151"/>
      <c r="Q118" s="151"/>
      <c r="R118" s="151" t="s">
        <v>434</v>
      </c>
      <c r="S118" s="151" t="s">
        <v>434</v>
      </c>
      <c r="T118" s="151" t="s">
        <v>434</v>
      </c>
      <c r="U118" s="151" t="s">
        <v>434</v>
      </c>
      <c r="V118" s="168"/>
      <c r="W118" s="151"/>
      <c r="X118" s="167">
        <v>-1.9361580076960203</v>
      </c>
      <c r="Y118" s="167">
        <v>-1.9082413961517761</v>
      </c>
      <c r="Z118" s="168">
        <v>1.2523330250568101</v>
      </c>
      <c r="AA118" s="151"/>
      <c r="AB118" s="151"/>
      <c r="AC118" s="151"/>
      <c r="AD118" s="141" t="s">
        <v>201</v>
      </c>
      <c r="AE118" s="141">
        <v>22016518</v>
      </c>
      <c r="AF118" s="59" t="s">
        <v>202</v>
      </c>
      <c r="AG118" s="24"/>
    </row>
    <row r="119" spans="2:33" s="1" customFormat="1">
      <c r="B119" s="12"/>
      <c r="D119" s="162"/>
      <c r="E119" s="165"/>
      <c r="F119" s="165"/>
      <c r="G119" s="147"/>
      <c r="H119" s="147"/>
      <c r="I119" s="144"/>
      <c r="J119" s="124"/>
      <c r="K119" s="155"/>
      <c r="L119" s="155"/>
      <c r="M119" s="155"/>
      <c r="N119" s="152"/>
      <c r="O119" s="152"/>
      <c r="P119" s="152"/>
      <c r="Q119" s="152"/>
      <c r="R119" s="152"/>
      <c r="S119" s="152"/>
      <c r="T119" s="152"/>
      <c r="U119" s="152"/>
      <c r="V119" s="169"/>
      <c r="W119" s="152"/>
      <c r="X119" s="167"/>
      <c r="Y119" s="167"/>
      <c r="Z119" s="169"/>
      <c r="AA119" s="152"/>
      <c r="AB119" s="152"/>
      <c r="AC119" s="152"/>
      <c r="AD119" s="141"/>
      <c r="AE119" s="141"/>
      <c r="AF119" s="59" t="s">
        <v>203</v>
      </c>
      <c r="AG119" s="24"/>
    </row>
    <row r="120" spans="2:33" s="1" customFormat="1">
      <c r="B120" s="12"/>
      <c r="D120" s="163"/>
      <c r="E120" s="166"/>
      <c r="F120" s="166"/>
      <c r="G120" s="148"/>
      <c r="H120" s="148"/>
      <c r="I120" s="145"/>
      <c r="J120" s="124"/>
      <c r="K120" s="156"/>
      <c r="L120" s="156"/>
      <c r="M120" s="156"/>
      <c r="N120" s="153"/>
      <c r="O120" s="153"/>
      <c r="P120" s="153"/>
      <c r="Q120" s="153"/>
      <c r="R120" s="153"/>
      <c r="S120" s="153"/>
      <c r="T120" s="153"/>
      <c r="U120" s="153"/>
      <c r="V120" s="170"/>
      <c r="W120" s="153"/>
      <c r="X120" s="167"/>
      <c r="Y120" s="167"/>
      <c r="Z120" s="170"/>
      <c r="AA120" s="153"/>
      <c r="AB120" s="153"/>
      <c r="AC120" s="153"/>
      <c r="AD120" s="141"/>
      <c r="AE120" s="141"/>
      <c r="AF120" s="59"/>
      <c r="AG120" s="24"/>
    </row>
    <row r="121" spans="2:33" s="1" customFormat="1">
      <c r="B121" s="12">
        <v>1998</v>
      </c>
      <c r="D121" s="161">
        <v>1998</v>
      </c>
      <c r="E121" s="164" t="s">
        <v>204</v>
      </c>
      <c r="F121" s="164" t="s">
        <v>170</v>
      </c>
      <c r="G121" s="146">
        <v>70000</v>
      </c>
      <c r="H121" s="146">
        <v>70000</v>
      </c>
      <c r="I121" s="143">
        <f>H121/AE121*100</f>
        <v>0.26423816193216682</v>
      </c>
      <c r="J121" s="124"/>
      <c r="K121" s="154" t="s">
        <v>205</v>
      </c>
      <c r="L121" s="154" t="s">
        <v>206</v>
      </c>
      <c r="M121" s="154"/>
      <c r="N121" s="151">
        <v>1</v>
      </c>
      <c r="O121" s="151">
        <v>1</v>
      </c>
      <c r="P121" s="151"/>
      <c r="Q121" s="151"/>
      <c r="R121" s="151">
        <v>1</v>
      </c>
      <c r="S121" s="151">
        <v>1</v>
      </c>
      <c r="T121" s="151">
        <v>1</v>
      </c>
      <c r="U121" s="151">
        <v>1</v>
      </c>
      <c r="V121" s="168">
        <v>6.013448817030981</v>
      </c>
      <c r="W121" s="151"/>
      <c r="X121" s="167">
        <v>-1.8130265525621452</v>
      </c>
      <c r="Y121" s="167">
        <v>-1.2162899162574661</v>
      </c>
      <c r="Z121" s="168">
        <v>2.4308890057131332</v>
      </c>
      <c r="AA121" s="151"/>
      <c r="AB121" s="151"/>
      <c r="AC121" s="151"/>
      <c r="AD121" s="141"/>
      <c r="AE121" s="141">
        <v>26491253</v>
      </c>
      <c r="AF121" s="59" t="s">
        <v>207</v>
      </c>
      <c r="AG121" s="25"/>
    </row>
    <row r="122" spans="2:33" s="1" customFormat="1">
      <c r="B122" s="12"/>
      <c r="D122" s="162"/>
      <c r="E122" s="165"/>
      <c r="F122" s="165"/>
      <c r="G122" s="147"/>
      <c r="H122" s="147"/>
      <c r="I122" s="144"/>
      <c r="J122" s="124"/>
      <c r="K122" s="155"/>
      <c r="L122" s="155"/>
      <c r="M122" s="155"/>
      <c r="N122" s="152"/>
      <c r="O122" s="152"/>
      <c r="P122" s="152"/>
      <c r="Q122" s="152"/>
      <c r="R122" s="152"/>
      <c r="S122" s="152"/>
      <c r="T122" s="152"/>
      <c r="U122" s="152"/>
      <c r="V122" s="169"/>
      <c r="W122" s="152"/>
      <c r="X122" s="167"/>
      <c r="Y122" s="167"/>
      <c r="Z122" s="169"/>
      <c r="AA122" s="152"/>
      <c r="AB122" s="152"/>
      <c r="AC122" s="152"/>
      <c r="AD122" s="141"/>
      <c r="AE122" s="141"/>
      <c r="AF122" s="14" t="s">
        <v>208</v>
      </c>
      <c r="AG122" s="24"/>
    </row>
    <row r="123" spans="2:33" s="1" customFormat="1">
      <c r="B123" s="12"/>
      <c r="D123" s="163"/>
      <c r="E123" s="166"/>
      <c r="F123" s="166"/>
      <c r="G123" s="148"/>
      <c r="H123" s="148"/>
      <c r="I123" s="145"/>
      <c r="J123" s="124"/>
      <c r="K123" s="156"/>
      <c r="L123" s="156"/>
      <c r="M123" s="156"/>
      <c r="N123" s="153"/>
      <c r="O123" s="153"/>
      <c r="P123" s="153"/>
      <c r="Q123" s="153"/>
      <c r="R123" s="153"/>
      <c r="S123" s="153"/>
      <c r="T123" s="153"/>
      <c r="U123" s="153"/>
      <c r="V123" s="170"/>
      <c r="W123" s="153"/>
      <c r="X123" s="167"/>
      <c r="Y123" s="167"/>
      <c r="Z123" s="170"/>
      <c r="AA123" s="153"/>
      <c r="AB123" s="153"/>
      <c r="AC123" s="153"/>
      <c r="AD123" s="141"/>
      <c r="AE123" s="141"/>
      <c r="AF123" s="59"/>
      <c r="AG123" s="24"/>
    </row>
    <row r="124" spans="2:33" s="1" customFormat="1">
      <c r="B124" s="12"/>
      <c r="D124" s="161" t="s">
        <v>209</v>
      </c>
      <c r="E124" s="164" t="s">
        <v>210</v>
      </c>
      <c r="F124" s="164" t="s">
        <v>88</v>
      </c>
      <c r="G124" s="146" t="s">
        <v>211</v>
      </c>
      <c r="H124" s="146">
        <f>(19900+100000)/2</f>
        <v>59950</v>
      </c>
      <c r="I124" s="143">
        <f>H124/AE124*100</f>
        <v>9.6144683202226411E-2</v>
      </c>
      <c r="J124" s="124"/>
      <c r="K124" s="154"/>
      <c r="L124" s="154" t="s">
        <v>212</v>
      </c>
      <c r="M124" s="154" t="s">
        <v>213</v>
      </c>
      <c r="N124" s="151">
        <v>1</v>
      </c>
      <c r="O124" s="151">
        <v>1</v>
      </c>
      <c r="P124" s="151"/>
      <c r="Q124" s="151"/>
      <c r="R124" s="151">
        <v>1</v>
      </c>
      <c r="S124" s="151">
        <v>1</v>
      </c>
      <c r="T124" s="151">
        <v>1</v>
      </c>
      <c r="U124" s="151" t="s">
        <v>434</v>
      </c>
      <c r="V124" s="168">
        <v>4.9410529540615427</v>
      </c>
      <c r="W124" s="151"/>
      <c r="X124" s="167">
        <v>-0.97476110805506877</v>
      </c>
      <c r="Y124" s="167">
        <v>-0.93778373938999604</v>
      </c>
      <c r="Z124" s="168">
        <v>3.0084323900678869</v>
      </c>
      <c r="AA124" s="151"/>
      <c r="AB124" s="151"/>
      <c r="AC124" s="151"/>
      <c r="AD124" s="141" t="s">
        <v>214</v>
      </c>
      <c r="AE124" s="141">
        <v>62353942</v>
      </c>
      <c r="AF124" s="59" t="s">
        <v>215</v>
      </c>
      <c r="AG124" s="24"/>
    </row>
    <row r="125" spans="2:33" s="1" customFormat="1">
      <c r="B125" s="12"/>
      <c r="D125" s="162"/>
      <c r="E125" s="165"/>
      <c r="F125" s="165"/>
      <c r="G125" s="147"/>
      <c r="H125" s="147"/>
      <c r="I125" s="144"/>
      <c r="J125" s="124"/>
      <c r="K125" s="155"/>
      <c r="L125" s="155"/>
      <c r="M125" s="155"/>
      <c r="N125" s="152"/>
      <c r="O125" s="152"/>
      <c r="P125" s="152"/>
      <c r="Q125" s="152"/>
      <c r="R125" s="152"/>
      <c r="S125" s="152"/>
      <c r="T125" s="152"/>
      <c r="U125" s="152"/>
      <c r="V125" s="169"/>
      <c r="W125" s="152"/>
      <c r="X125" s="167"/>
      <c r="Y125" s="167"/>
      <c r="Z125" s="169"/>
      <c r="AA125" s="152"/>
      <c r="AB125" s="152"/>
      <c r="AC125" s="152"/>
      <c r="AD125" s="141"/>
      <c r="AE125" s="141"/>
      <c r="AF125" s="59" t="s">
        <v>216</v>
      </c>
      <c r="AG125" s="24"/>
    </row>
    <row r="126" spans="2:33" s="1" customFormat="1">
      <c r="B126" s="12"/>
      <c r="D126" s="163"/>
      <c r="E126" s="166"/>
      <c r="F126" s="166"/>
      <c r="G126" s="148"/>
      <c r="H126" s="148"/>
      <c r="I126" s="145"/>
      <c r="J126" s="124"/>
      <c r="K126" s="156"/>
      <c r="L126" s="156"/>
      <c r="M126" s="156"/>
      <c r="N126" s="153"/>
      <c r="O126" s="153"/>
      <c r="P126" s="153"/>
      <c r="Q126" s="153"/>
      <c r="R126" s="153"/>
      <c r="S126" s="153"/>
      <c r="T126" s="153"/>
      <c r="U126" s="153"/>
      <c r="V126" s="170"/>
      <c r="W126" s="153"/>
      <c r="X126" s="167"/>
      <c r="Y126" s="167"/>
      <c r="Z126" s="170"/>
      <c r="AA126" s="153"/>
      <c r="AB126" s="153"/>
      <c r="AC126" s="153"/>
      <c r="AD126" s="141"/>
      <c r="AE126" s="141"/>
      <c r="AF126" s="59" t="s">
        <v>107</v>
      </c>
      <c r="AG126" s="24"/>
    </row>
    <row r="127" spans="2:33" s="1" customFormat="1" ht="15">
      <c r="B127" s="12"/>
      <c r="D127" s="161" t="s">
        <v>217</v>
      </c>
      <c r="E127" s="164" t="s">
        <v>218</v>
      </c>
      <c r="F127" s="127" t="s">
        <v>383</v>
      </c>
      <c r="G127" s="146" t="s">
        <v>220</v>
      </c>
      <c r="H127" s="146">
        <f>(3800000+5400000)/2</f>
        <v>4600000</v>
      </c>
      <c r="I127" s="143">
        <f>H127/AE127*100</f>
        <v>8.8239922200011556</v>
      </c>
      <c r="J127" s="124"/>
      <c r="K127" s="154" t="s">
        <v>221</v>
      </c>
      <c r="L127" s="154" t="s">
        <v>222</v>
      </c>
      <c r="M127" s="154" t="s">
        <v>223</v>
      </c>
      <c r="N127" s="131" t="s">
        <v>434</v>
      </c>
      <c r="O127" s="151" t="s">
        <v>434</v>
      </c>
      <c r="P127" s="131"/>
      <c r="Q127" s="131"/>
      <c r="R127" s="151">
        <v>1</v>
      </c>
      <c r="S127" s="131">
        <v>1</v>
      </c>
      <c r="T127" s="131">
        <v>1</v>
      </c>
      <c r="U127" s="131">
        <v>1</v>
      </c>
      <c r="V127" s="130">
        <v>4.9180752666905931</v>
      </c>
      <c r="W127" s="131"/>
      <c r="X127" s="71">
        <v>-1.8799709830349784</v>
      </c>
      <c r="Y127" s="71">
        <v>-1.9740552049912541</v>
      </c>
      <c r="Z127" s="130">
        <v>2.1315272703518047</v>
      </c>
      <c r="AA127" s="131"/>
      <c r="AB127" s="131"/>
      <c r="AC127" s="131"/>
      <c r="AD127" s="141"/>
      <c r="AE127" s="141">
        <f>44960941+7169658</f>
        <v>52130599</v>
      </c>
      <c r="AF127" s="59" t="s">
        <v>224</v>
      </c>
      <c r="AG127" s="24"/>
    </row>
    <row r="128" spans="2:33" s="1" customFormat="1" ht="15">
      <c r="B128" s="12"/>
      <c r="D128" s="162"/>
      <c r="E128" s="165"/>
      <c r="F128" s="128" t="s">
        <v>439</v>
      </c>
      <c r="G128" s="147"/>
      <c r="H128" s="147"/>
      <c r="I128" s="144"/>
      <c r="J128" s="124"/>
      <c r="K128" s="155"/>
      <c r="L128" s="155"/>
      <c r="M128" s="155"/>
      <c r="N128" s="151">
        <v>1</v>
      </c>
      <c r="O128" s="152"/>
      <c r="P128" s="151"/>
      <c r="Q128" s="151"/>
      <c r="R128" s="152"/>
      <c r="S128" s="151">
        <v>1</v>
      </c>
      <c r="T128" s="151" t="s">
        <v>434</v>
      </c>
      <c r="U128" s="151">
        <v>1</v>
      </c>
      <c r="V128" s="168">
        <v>5.5779294828859483</v>
      </c>
      <c r="W128" s="151"/>
      <c r="X128" s="167">
        <v>-1.3096189034326364</v>
      </c>
      <c r="Y128" s="167">
        <v>-0.91767578390473659</v>
      </c>
      <c r="Z128" s="168">
        <v>10.456761234995762</v>
      </c>
      <c r="AA128" s="151"/>
      <c r="AB128" s="151"/>
      <c r="AC128" s="151"/>
      <c r="AD128" s="141"/>
      <c r="AE128" s="141"/>
      <c r="AF128" s="59" t="s">
        <v>225</v>
      </c>
      <c r="AG128" s="24"/>
    </row>
    <row r="129" spans="2:33" s="1" customFormat="1">
      <c r="B129" s="12"/>
      <c r="D129" s="163"/>
      <c r="E129" s="166"/>
      <c r="F129" s="129"/>
      <c r="G129" s="148"/>
      <c r="H129" s="148"/>
      <c r="I129" s="145"/>
      <c r="J129" s="124"/>
      <c r="K129" s="156"/>
      <c r="L129" s="156"/>
      <c r="M129" s="156"/>
      <c r="N129" s="153"/>
      <c r="O129" s="153"/>
      <c r="P129" s="153"/>
      <c r="Q129" s="153"/>
      <c r="R129" s="153"/>
      <c r="S129" s="153"/>
      <c r="T129" s="153"/>
      <c r="U129" s="153"/>
      <c r="V129" s="170"/>
      <c r="W129" s="153"/>
      <c r="X129" s="167"/>
      <c r="Y129" s="167"/>
      <c r="Z129" s="170"/>
      <c r="AA129" s="153"/>
      <c r="AB129" s="153"/>
      <c r="AC129" s="153"/>
      <c r="AD129" s="141"/>
      <c r="AE129" s="141"/>
      <c r="AF129" s="59"/>
      <c r="AG129" s="24"/>
    </row>
    <row r="130" spans="2:33" s="1" customFormat="1">
      <c r="B130" s="12">
        <v>2000</v>
      </c>
      <c r="D130" s="161" t="s">
        <v>226</v>
      </c>
      <c r="E130" s="164" t="s">
        <v>227</v>
      </c>
      <c r="F130" s="164" t="s">
        <v>228</v>
      </c>
      <c r="G130" s="146"/>
      <c r="H130" s="146"/>
      <c r="I130" s="143"/>
      <c r="J130" s="124"/>
      <c r="K130" s="154" t="s">
        <v>229</v>
      </c>
      <c r="L130" s="154" t="s">
        <v>230</v>
      </c>
      <c r="M130" s="154" t="s">
        <v>231</v>
      </c>
      <c r="N130" s="151">
        <v>1</v>
      </c>
      <c r="O130" s="151">
        <v>1</v>
      </c>
      <c r="P130" s="151"/>
      <c r="Q130" s="151"/>
      <c r="R130" s="151"/>
      <c r="S130" s="151" t="s">
        <v>434</v>
      </c>
      <c r="T130" s="151" t="s">
        <v>434</v>
      </c>
      <c r="U130" s="151" t="s">
        <v>434</v>
      </c>
      <c r="V130" s="168">
        <v>6.2865202516463681</v>
      </c>
      <c r="W130" s="151"/>
      <c r="X130" s="167">
        <v>-1.1054763608040976</v>
      </c>
      <c r="Y130" s="167">
        <v>-0.77933770055866614</v>
      </c>
      <c r="Z130" s="168">
        <v>1.1208634858334354</v>
      </c>
      <c r="AA130" s="151"/>
      <c r="AB130" s="151"/>
      <c r="AC130" s="151"/>
      <c r="AD130" s="141" t="s">
        <v>232</v>
      </c>
      <c r="AE130" s="141"/>
      <c r="AF130" s="59" t="s">
        <v>233</v>
      </c>
      <c r="AG130" s="24"/>
    </row>
    <row r="131" spans="2:33" s="1" customFormat="1">
      <c r="B131" s="12"/>
      <c r="D131" s="162"/>
      <c r="E131" s="165"/>
      <c r="F131" s="165"/>
      <c r="G131" s="147"/>
      <c r="H131" s="147"/>
      <c r="I131" s="144"/>
      <c r="J131" s="124"/>
      <c r="K131" s="155"/>
      <c r="L131" s="155"/>
      <c r="M131" s="155"/>
      <c r="N131" s="152"/>
      <c r="O131" s="152"/>
      <c r="P131" s="152"/>
      <c r="Q131" s="152"/>
      <c r="R131" s="152"/>
      <c r="S131" s="152"/>
      <c r="T131" s="152"/>
      <c r="U131" s="152"/>
      <c r="V131" s="169"/>
      <c r="W131" s="152"/>
      <c r="X131" s="167"/>
      <c r="Y131" s="167"/>
      <c r="Z131" s="169"/>
      <c r="AA131" s="152"/>
      <c r="AB131" s="152"/>
      <c r="AC131" s="152"/>
      <c r="AD131" s="141"/>
      <c r="AE131" s="141"/>
      <c r="AF131" s="59"/>
      <c r="AG131" s="24"/>
    </row>
    <row r="132" spans="2:33" s="1" customFormat="1">
      <c r="B132" s="12"/>
      <c r="D132" s="163"/>
      <c r="E132" s="166"/>
      <c r="F132" s="166"/>
      <c r="G132" s="148"/>
      <c r="H132" s="148"/>
      <c r="I132" s="145"/>
      <c r="J132" s="124"/>
      <c r="K132" s="156"/>
      <c r="L132" s="156"/>
      <c r="M132" s="156"/>
      <c r="N132" s="153"/>
      <c r="O132" s="153"/>
      <c r="P132" s="153"/>
      <c r="Q132" s="153"/>
      <c r="R132" s="153"/>
      <c r="S132" s="153"/>
      <c r="T132" s="153"/>
      <c r="U132" s="153"/>
      <c r="V132" s="170"/>
      <c r="W132" s="153"/>
      <c r="X132" s="167"/>
      <c r="Y132" s="167"/>
      <c r="Z132" s="170"/>
      <c r="AA132" s="153"/>
      <c r="AB132" s="153"/>
      <c r="AC132" s="153"/>
      <c r="AD132" s="141"/>
      <c r="AE132" s="141"/>
      <c r="AF132" s="59"/>
      <c r="AG132" s="24"/>
    </row>
    <row r="133" spans="2:33" s="1" customFormat="1">
      <c r="B133" s="12">
        <v>2003</v>
      </c>
      <c r="D133" s="161" t="s">
        <v>234</v>
      </c>
      <c r="E133" s="164" t="s">
        <v>235</v>
      </c>
      <c r="F133" s="164" t="s">
        <v>170</v>
      </c>
      <c r="G133" s="146"/>
      <c r="H133" s="146"/>
      <c r="I133" s="143"/>
      <c r="J133" s="124"/>
      <c r="K133" s="154" t="s">
        <v>236</v>
      </c>
      <c r="L133" s="154"/>
      <c r="M133" s="154" t="s">
        <v>237</v>
      </c>
      <c r="N133" s="171">
        <v>1</v>
      </c>
      <c r="O133" s="171">
        <v>1</v>
      </c>
      <c r="P133" s="151"/>
      <c r="Q133" s="151"/>
      <c r="R133" s="151">
        <v>1</v>
      </c>
      <c r="S133" s="151">
        <v>1</v>
      </c>
      <c r="T133" s="151">
        <v>1</v>
      </c>
      <c r="U133" s="151">
        <v>1</v>
      </c>
      <c r="V133" s="168">
        <v>6.2486399165250335</v>
      </c>
      <c r="W133" s="151"/>
      <c r="X133" s="167">
        <v>-1.4392028794185161</v>
      </c>
      <c r="Y133" s="167">
        <v>-1.2517301099914413</v>
      </c>
      <c r="Z133" s="168">
        <v>2.706487224637689</v>
      </c>
      <c r="AA133" s="151"/>
      <c r="AB133" s="151"/>
      <c r="AC133" s="151"/>
      <c r="AD133" s="141" t="s">
        <v>238</v>
      </c>
      <c r="AE133" s="141"/>
      <c r="AF133" s="59" t="s">
        <v>239</v>
      </c>
      <c r="AG133" s="24"/>
    </row>
    <row r="134" spans="2:33" s="1" customFormat="1">
      <c r="B134" s="12"/>
      <c r="D134" s="162"/>
      <c r="E134" s="165"/>
      <c r="F134" s="165"/>
      <c r="G134" s="147"/>
      <c r="H134" s="147"/>
      <c r="I134" s="144"/>
      <c r="J134" s="124"/>
      <c r="K134" s="155"/>
      <c r="L134" s="155"/>
      <c r="M134" s="155"/>
      <c r="N134" s="172"/>
      <c r="O134" s="172"/>
      <c r="P134" s="152"/>
      <c r="Q134" s="152"/>
      <c r="R134" s="152"/>
      <c r="S134" s="152"/>
      <c r="T134" s="152"/>
      <c r="U134" s="152"/>
      <c r="V134" s="169"/>
      <c r="W134" s="152"/>
      <c r="X134" s="167"/>
      <c r="Y134" s="167"/>
      <c r="Z134" s="169"/>
      <c r="AA134" s="152"/>
      <c r="AB134" s="152"/>
      <c r="AC134" s="152"/>
      <c r="AD134" s="141"/>
      <c r="AE134" s="141"/>
      <c r="AF134" s="59"/>
      <c r="AG134" s="24"/>
    </row>
    <row r="135" spans="2:33" s="1" customFormat="1">
      <c r="B135" s="12"/>
      <c r="D135" s="163"/>
      <c r="E135" s="166"/>
      <c r="F135" s="166"/>
      <c r="G135" s="148"/>
      <c r="H135" s="148"/>
      <c r="I135" s="145"/>
      <c r="J135" s="124"/>
      <c r="K135" s="156"/>
      <c r="L135" s="156"/>
      <c r="M135" s="156"/>
      <c r="N135" s="173"/>
      <c r="O135" s="173"/>
      <c r="P135" s="153"/>
      <c r="Q135" s="153"/>
      <c r="R135" s="153"/>
      <c r="S135" s="153"/>
      <c r="T135" s="153"/>
      <c r="U135" s="153"/>
      <c r="V135" s="170"/>
      <c r="W135" s="153"/>
      <c r="X135" s="167"/>
      <c r="Y135" s="167"/>
      <c r="Z135" s="170"/>
      <c r="AA135" s="153"/>
      <c r="AB135" s="153"/>
      <c r="AC135" s="153"/>
      <c r="AD135" s="141"/>
      <c r="AE135" s="141"/>
      <c r="AF135" s="59"/>
      <c r="AG135" s="24"/>
    </row>
    <row r="136" spans="2:33" s="1" customFormat="1" ht="14.5" customHeight="1">
      <c r="B136" s="12">
        <v>2005</v>
      </c>
      <c r="D136" s="161" t="s">
        <v>240</v>
      </c>
      <c r="E136" s="164" t="s">
        <v>241</v>
      </c>
      <c r="F136" s="164" t="s">
        <v>242</v>
      </c>
      <c r="G136" s="146"/>
      <c r="H136" s="146"/>
      <c r="I136" s="143"/>
      <c r="J136" s="124"/>
      <c r="K136" s="154" t="s">
        <v>243</v>
      </c>
      <c r="L136" s="154" t="s">
        <v>244</v>
      </c>
      <c r="M136" s="154" t="s">
        <v>245</v>
      </c>
      <c r="N136" s="151">
        <v>1</v>
      </c>
      <c r="O136" s="151">
        <v>1</v>
      </c>
      <c r="P136" s="151"/>
      <c r="Q136" s="151"/>
      <c r="R136" s="151"/>
      <c r="S136" s="151" t="s">
        <v>434</v>
      </c>
      <c r="T136" s="151" t="s">
        <v>434</v>
      </c>
      <c r="U136" s="151" t="s">
        <v>434</v>
      </c>
      <c r="V136" s="168">
        <v>5.3308367690166785</v>
      </c>
      <c r="W136" s="151"/>
      <c r="X136" s="167">
        <v>-0.47822569713631741</v>
      </c>
      <c r="Y136" s="167">
        <v>-0.79973218658618961</v>
      </c>
      <c r="Z136" s="168">
        <v>2.8026049088880804</v>
      </c>
      <c r="AA136" s="151"/>
      <c r="AB136" s="151"/>
      <c r="AC136" s="151"/>
      <c r="AD136" s="141" t="s">
        <v>246</v>
      </c>
      <c r="AE136" s="141"/>
      <c r="AF136" s="59" t="s">
        <v>107</v>
      </c>
      <c r="AG136" s="24"/>
    </row>
    <row r="137" spans="2:33" s="1" customFormat="1">
      <c r="B137" s="12"/>
      <c r="D137" s="162"/>
      <c r="E137" s="165"/>
      <c r="F137" s="165"/>
      <c r="G137" s="147"/>
      <c r="H137" s="147"/>
      <c r="I137" s="144"/>
      <c r="J137" s="124"/>
      <c r="K137" s="155"/>
      <c r="L137" s="155"/>
      <c r="M137" s="155"/>
      <c r="N137" s="152"/>
      <c r="O137" s="152"/>
      <c r="P137" s="152"/>
      <c r="Q137" s="152"/>
      <c r="R137" s="152"/>
      <c r="S137" s="152"/>
      <c r="T137" s="152"/>
      <c r="U137" s="152"/>
      <c r="V137" s="169"/>
      <c r="W137" s="152"/>
      <c r="X137" s="167"/>
      <c r="Y137" s="167"/>
      <c r="Z137" s="169"/>
      <c r="AA137" s="152"/>
      <c r="AB137" s="152"/>
      <c r="AC137" s="152"/>
      <c r="AD137" s="141"/>
      <c r="AE137" s="141"/>
      <c r="AF137" s="59" t="s">
        <v>247</v>
      </c>
      <c r="AG137" s="24"/>
    </row>
    <row r="138" spans="2:33" s="1" customFormat="1">
      <c r="B138" s="12"/>
      <c r="D138" s="163"/>
      <c r="E138" s="166"/>
      <c r="F138" s="166"/>
      <c r="G138" s="148"/>
      <c r="H138" s="148"/>
      <c r="I138" s="145"/>
      <c r="J138" s="124"/>
      <c r="K138" s="156"/>
      <c r="L138" s="156"/>
      <c r="M138" s="156"/>
      <c r="N138" s="153"/>
      <c r="O138" s="153"/>
      <c r="P138" s="153"/>
      <c r="Q138" s="153"/>
      <c r="R138" s="153"/>
      <c r="S138" s="153"/>
      <c r="T138" s="153"/>
      <c r="U138" s="153"/>
      <c r="V138" s="170"/>
      <c r="W138" s="153"/>
      <c r="X138" s="167"/>
      <c r="Y138" s="167"/>
      <c r="Z138" s="170"/>
      <c r="AA138" s="153"/>
      <c r="AB138" s="153"/>
      <c r="AC138" s="153"/>
      <c r="AD138" s="141"/>
      <c r="AE138" s="141"/>
      <c r="AF138" s="59"/>
      <c r="AG138" s="24"/>
    </row>
    <row r="139" spans="2:33" s="1" customFormat="1">
      <c r="B139" s="12"/>
      <c r="D139" s="161" t="s">
        <v>248</v>
      </c>
      <c r="E139" s="164" t="s">
        <v>249</v>
      </c>
      <c r="F139" s="164" t="s">
        <v>250</v>
      </c>
      <c r="G139" s="146"/>
      <c r="H139" s="146"/>
      <c r="I139" s="143"/>
      <c r="J139" s="124"/>
      <c r="K139" s="154" t="s">
        <v>251</v>
      </c>
      <c r="L139" s="154" t="s">
        <v>252</v>
      </c>
      <c r="M139" s="154" t="s">
        <v>253</v>
      </c>
      <c r="N139" s="151">
        <v>1</v>
      </c>
      <c r="O139" s="151">
        <v>1</v>
      </c>
      <c r="P139" s="151"/>
      <c r="Q139" s="151"/>
      <c r="R139" s="151"/>
      <c r="S139" s="151" t="s">
        <v>434</v>
      </c>
      <c r="T139" s="151" t="s">
        <v>434</v>
      </c>
      <c r="U139" s="151" t="s">
        <v>434</v>
      </c>
      <c r="V139" s="168">
        <v>5.4807718168204644</v>
      </c>
      <c r="W139" s="151"/>
      <c r="X139" s="167">
        <v>-0.29942159472943597</v>
      </c>
      <c r="Y139" s="167">
        <v>-0.78861405735764345</v>
      </c>
      <c r="Z139" s="168">
        <v>3.7936794722393592</v>
      </c>
      <c r="AA139" s="151"/>
      <c r="AB139" s="151"/>
      <c r="AC139" s="151"/>
      <c r="AD139" s="141" t="s">
        <v>254</v>
      </c>
      <c r="AE139" s="141"/>
      <c r="AF139" s="59" t="s">
        <v>255</v>
      </c>
      <c r="AG139" s="24"/>
    </row>
    <row r="140" spans="2:33" s="1" customFormat="1">
      <c r="B140" s="12"/>
      <c r="D140" s="162"/>
      <c r="E140" s="165"/>
      <c r="F140" s="165"/>
      <c r="G140" s="147"/>
      <c r="H140" s="147"/>
      <c r="I140" s="144"/>
      <c r="J140" s="124"/>
      <c r="K140" s="155"/>
      <c r="L140" s="155"/>
      <c r="M140" s="155"/>
      <c r="N140" s="152"/>
      <c r="O140" s="152"/>
      <c r="P140" s="152"/>
      <c r="Q140" s="152"/>
      <c r="R140" s="152"/>
      <c r="S140" s="152"/>
      <c r="T140" s="152"/>
      <c r="U140" s="152"/>
      <c r="V140" s="169"/>
      <c r="W140" s="152"/>
      <c r="X140" s="167"/>
      <c r="Y140" s="167"/>
      <c r="Z140" s="169"/>
      <c r="AA140" s="152"/>
      <c r="AB140" s="152"/>
      <c r="AC140" s="152"/>
      <c r="AD140" s="141"/>
      <c r="AE140" s="141"/>
      <c r="AF140" s="59" t="s">
        <v>256</v>
      </c>
      <c r="AG140" s="24"/>
    </row>
    <row r="141" spans="2:33" s="1" customFormat="1">
      <c r="B141" s="12"/>
      <c r="D141" s="163"/>
      <c r="E141" s="166"/>
      <c r="F141" s="166"/>
      <c r="G141" s="148"/>
      <c r="H141" s="148"/>
      <c r="I141" s="145"/>
      <c r="J141" s="124"/>
      <c r="K141" s="156"/>
      <c r="L141" s="156"/>
      <c r="M141" s="156"/>
      <c r="N141" s="153"/>
      <c r="O141" s="153"/>
      <c r="P141" s="153"/>
      <c r="Q141" s="153"/>
      <c r="R141" s="153"/>
      <c r="S141" s="153"/>
      <c r="T141" s="153"/>
      <c r="U141" s="153"/>
      <c r="V141" s="170"/>
      <c r="W141" s="153"/>
      <c r="X141" s="167"/>
      <c r="Y141" s="167"/>
      <c r="Z141" s="170"/>
      <c r="AA141" s="153"/>
      <c r="AB141" s="153"/>
      <c r="AC141" s="153"/>
      <c r="AD141" s="141"/>
      <c r="AE141" s="141"/>
      <c r="AF141" s="59" t="s">
        <v>257</v>
      </c>
      <c r="AG141" s="24"/>
    </row>
    <row r="142" spans="2:33" s="1" customFormat="1" ht="15" customHeight="1">
      <c r="B142" s="12">
        <v>2006</v>
      </c>
      <c r="D142" s="161">
        <v>2006</v>
      </c>
      <c r="E142" s="164" t="s">
        <v>258</v>
      </c>
      <c r="F142" s="127" t="s">
        <v>440</v>
      </c>
      <c r="G142" s="146"/>
      <c r="H142" s="146"/>
      <c r="I142" s="143"/>
      <c r="J142" s="124"/>
      <c r="K142" s="154"/>
      <c r="L142" s="154"/>
      <c r="M142" s="154"/>
      <c r="N142" s="131">
        <v>1</v>
      </c>
      <c r="O142" s="151">
        <v>1</v>
      </c>
      <c r="P142" s="131"/>
      <c r="Q142" s="131"/>
      <c r="R142" s="151">
        <v>1</v>
      </c>
      <c r="S142" s="131" t="s">
        <v>434</v>
      </c>
      <c r="T142" s="131" t="s">
        <v>434</v>
      </c>
      <c r="U142" s="131" t="s">
        <v>434</v>
      </c>
      <c r="V142" s="130" t="s">
        <v>434</v>
      </c>
      <c r="W142" s="131"/>
      <c r="X142" s="71">
        <v>-1.0965366097298921</v>
      </c>
      <c r="Y142" s="71">
        <v>-0.89747668470628972</v>
      </c>
      <c r="Z142" s="130" t="s">
        <v>434</v>
      </c>
      <c r="AA142" s="131"/>
      <c r="AB142" s="131"/>
      <c r="AC142" s="131"/>
      <c r="AD142" s="141"/>
      <c r="AE142" s="141"/>
      <c r="AF142" s="59"/>
      <c r="AG142" s="24"/>
    </row>
    <row r="143" spans="2:33" s="1" customFormat="1" ht="15" customHeight="1">
      <c r="B143" s="12"/>
      <c r="D143" s="162"/>
      <c r="E143" s="165"/>
      <c r="F143" s="128" t="s">
        <v>441</v>
      </c>
      <c r="G143" s="147"/>
      <c r="H143" s="147"/>
      <c r="I143" s="144"/>
      <c r="J143" s="124"/>
      <c r="K143" s="155"/>
      <c r="L143" s="155"/>
      <c r="M143" s="155"/>
      <c r="N143" s="131" t="s">
        <v>434</v>
      </c>
      <c r="O143" s="152"/>
      <c r="P143" s="131"/>
      <c r="Q143" s="131"/>
      <c r="R143" s="152"/>
      <c r="S143" s="131" t="s">
        <v>434</v>
      </c>
      <c r="T143" s="131" t="s">
        <v>434</v>
      </c>
      <c r="U143" s="131" t="s">
        <v>434</v>
      </c>
      <c r="V143" s="130">
        <v>5.458598139358787</v>
      </c>
      <c r="W143" s="131"/>
      <c r="X143" s="71">
        <v>-2.0270089915048448</v>
      </c>
      <c r="Y143" s="71">
        <v>-1.3089702303764048</v>
      </c>
      <c r="Z143" s="130">
        <v>3.9600499151006039</v>
      </c>
      <c r="AA143" s="131"/>
      <c r="AB143" s="131"/>
      <c r="AC143" s="131"/>
      <c r="AD143" s="141"/>
      <c r="AE143" s="141"/>
      <c r="AF143" s="59"/>
      <c r="AG143" s="24"/>
    </row>
    <row r="144" spans="2:33" s="1" customFormat="1" ht="15" customHeight="1">
      <c r="B144" s="12"/>
      <c r="D144" s="162"/>
      <c r="E144" s="165"/>
      <c r="F144" s="128" t="s">
        <v>88</v>
      </c>
      <c r="G144" s="147"/>
      <c r="H144" s="147"/>
      <c r="I144" s="144"/>
      <c r="J144" s="124"/>
      <c r="K144" s="155"/>
      <c r="L144" s="155"/>
      <c r="M144" s="155"/>
      <c r="N144" s="131">
        <v>1</v>
      </c>
      <c r="O144" s="152"/>
      <c r="P144" s="131"/>
      <c r="Q144" s="131"/>
      <c r="R144" s="152"/>
      <c r="S144" s="125">
        <v>1</v>
      </c>
      <c r="T144" s="131">
        <v>1</v>
      </c>
      <c r="U144" s="131">
        <v>1</v>
      </c>
      <c r="V144" s="130">
        <v>5.0873317909232023</v>
      </c>
      <c r="W144" s="131"/>
      <c r="X144" s="71">
        <v>-1.1565611747237086</v>
      </c>
      <c r="Y144" s="71">
        <v>-0.57403969117156395</v>
      </c>
      <c r="Z144" s="130">
        <v>2.8518440415160251</v>
      </c>
      <c r="AA144" s="131"/>
      <c r="AB144" s="131"/>
      <c r="AC144" s="131"/>
      <c r="AD144" s="141"/>
      <c r="AE144" s="141"/>
      <c r="AF144" s="59"/>
      <c r="AG144" s="24"/>
    </row>
    <row r="145" spans="2:33" s="1" customFormat="1" ht="15">
      <c r="B145" s="12"/>
      <c r="D145" s="162"/>
      <c r="E145" s="165"/>
      <c r="F145" s="128" t="s">
        <v>442</v>
      </c>
      <c r="G145" s="147"/>
      <c r="H145" s="147"/>
      <c r="I145" s="144"/>
      <c r="J145" s="124"/>
      <c r="K145" s="155"/>
      <c r="L145" s="155"/>
      <c r="M145" s="155"/>
      <c r="N145" s="131">
        <v>1</v>
      </c>
      <c r="O145" s="152"/>
      <c r="P145" s="131"/>
      <c r="Q145" s="131"/>
      <c r="R145" s="152"/>
      <c r="S145" s="131" t="s">
        <v>434</v>
      </c>
      <c r="T145" s="131">
        <v>1</v>
      </c>
      <c r="U145" s="131" t="s">
        <v>434</v>
      </c>
      <c r="V145" s="130">
        <v>6.2711797137398007</v>
      </c>
      <c r="W145" s="131"/>
      <c r="X145" s="71">
        <v>-0.13755314082452144</v>
      </c>
      <c r="Y145" s="71">
        <v>-0.58386120573955902</v>
      </c>
      <c r="Z145" s="130">
        <v>2.7600312172326564</v>
      </c>
      <c r="AA145" s="131"/>
      <c r="AB145" s="131"/>
      <c r="AC145" s="131"/>
      <c r="AD145" s="141"/>
      <c r="AE145" s="141"/>
      <c r="AF145" s="59"/>
      <c r="AG145" s="24"/>
    </row>
    <row r="146" spans="2:33" s="1" customFormat="1" ht="15">
      <c r="B146" s="12"/>
      <c r="D146" s="163"/>
      <c r="E146" s="166"/>
      <c r="F146" s="129" t="s">
        <v>131</v>
      </c>
      <c r="G146" s="148"/>
      <c r="H146" s="148"/>
      <c r="I146" s="145"/>
      <c r="J146" s="124"/>
      <c r="K146" s="156"/>
      <c r="L146" s="156"/>
      <c r="M146" s="156"/>
      <c r="N146" s="131">
        <v>1</v>
      </c>
      <c r="O146" s="153"/>
      <c r="P146" s="131"/>
      <c r="Q146" s="131"/>
      <c r="R146" s="153"/>
      <c r="S146" s="131">
        <v>1</v>
      </c>
      <c r="T146" s="131">
        <v>1</v>
      </c>
      <c r="U146" s="131" t="s">
        <v>434</v>
      </c>
      <c r="V146" s="130" t="s">
        <v>434</v>
      </c>
      <c r="W146" s="131"/>
      <c r="X146" s="71">
        <v>-1.8335552732896612</v>
      </c>
      <c r="Y146" s="71">
        <v>-2.3148681048983004</v>
      </c>
      <c r="Z146" s="130">
        <v>2.6527748905601416</v>
      </c>
      <c r="AA146" s="131"/>
      <c r="AB146" s="131"/>
      <c r="AC146" s="131"/>
      <c r="AD146" s="141"/>
      <c r="AE146" s="141"/>
      <c r="AF146" s="59"/>
      <c r="AG146" s="24"/>
    </row>
    <row r="147" spans="2:33" s="1" customFormat="1" ht="15">
      <c r="B147" s="12">
        <v>2011</v>
      </c>
      <c r="D147" s="161" t="s">
        <v>260</v>
      </c>
      <c r="E147" s="164" t="s">
        <v>188</v>
      </c>
      <c r="F147" s="127" t="s">
        <v>131</v>
      </c>
      <c r="G147" s="146">
        <v>258000</v>
      </c>
      <c r="H147" s="146"/>
      <c r="I147" s="143"/>
      <c r="J147" s="124"/>
      <c r="K147" s="154"/>
      <c r="L147" s="154"/>
      <c r="M147" s="154"/>
      <c r="N147" s="131">
        <v>1</v>
      </c>
      <c r="O147" s="151">
        <v>1</v>
      </c>
      <c r="P147" s="131"/>
      <c r="Q147" s="131"/>
      <c r="R147" s="151">
        <v>1</v>
      </c>
      <c r="S147" s="131">
        <v>1</v>
      </c>
      <c r="T147" s="131">
        <v>1</v>
      </c>
      <c r="U147" s="131">
        <v>1</v>
      </c>
      <c r="V147" s="130" t="s">
        <v>434</v>
      </c>
      <c r="W147" s="131"/>
      <c r="X147" s="71">
        <v>-2.0686947938303946</v>
      </c>
      <c r="Y147" s="71">
        <v>-2.1551992242310485</v>
      </c>
      <c r="Z147" s="130">
        <v>2.8091738769199477</v>
      </c>
      <c r="AA147" s="131"/>
      <c r="AB147" s="131"/>
      <c r="AC147" s="131"/>
      <c r="AD147" s="141"/>
      <c r="AE147" s="141" t="s">
        <v>262</v>
      </c>
      <c r="AF147" s="59" t="s">
        <v>263</v>
      </c>
      <c r="AG147" s="24"/>
    </row>
    <row r="148" spans="2:33" s="1" customFormat="1" ht="15">
      <c r="B148" s="12"/>
      <c r="D148" s="162"/>
      <c r="E148" s="165"/>
      <c r="F148" s="128" t="s">
        <v>88</v>
      </c>
      <c r="G148" s="147"/>
      <c r="H148" s="147"/>
      <c r="I148" s="144"/>
      <c r="J148" s="124"/>
      <c r="K148" s="155"/>
      <c r="L148" s="155"/>
      <c r="M148" s="155"/>
      <c r="N148" s="131">
        <v>1</v>
      </c>
      <c r="O148" s="152"/>
      <c r="P148" s="131"/>
      <c r="Q148" s="131"/>
      <c r="R148" s="152"/>
      <c r="S148" s="125">
        <v>1</v>
      </c>
      <c r="T148" s="131">
        <v>1</v>
      </c>
      <c r="U148" s="131" t="s">
        <v>434</v>
      </c>
      <c r="V148" s="130">
        <v>5.8806838992064323</v>
      </c>
      <c r="W148" s="131"/>
      <c r="X148" s="71">
        <v>-1.3263511224067261</v>
      </c>
      <c r="Y148" s="71">
        <v>-0.46720630969970828</v>
      </c>
      <c r="Z148" s="130">
        <v>2.6845454170836969</v>
      </c>
      <c r="AA148" s="131"/>
      <c r="AB148" s="131"/>
      <c r="AC148" s="131"/>
      <c r="AD148" s="141"/>
      <c r="AE148" s="141"/>
      <c r="AF148" s="59"/>
      <c r="AG148" s="24"/>
    </row>
    <row r="149" spans="2:33" s="1" customFormat="1" ht="15">
      <c r="B149" s="12"/>
      <c r="D149" s="163"/>
      <c r="E149" s="166"/>
      <c r="F149" s="129" t="s">
        <v>442</v>
      </c>
      <c r="G149" s="148"/>
      <c r="H149" s="148"/>
      <c r="I149" s="145"/>
      <c r="J149" s="124"/>
      <c r="K149" s="156"/>
      <c r="L149" s="156"/>
      <c r="M149" s="156"/>
      <c r="N149" s="131">
        <v>1</v>
      </c>
      <c r="O149" s="153"/>
      <c r="P149" s="131"/>
      <c r="Q149" s="131"/>
      <c r="R149" s="153"/>
      <c r="S149" s="131" t="s">
        <v>434</v>
      </c>
      <c r="T149" s="131">
        <v>1</v>
      </c>
      <c r="U149" s="131">
        <v>1</v>
      </c>
      <c r="V149" s="130">
        <v>6.673009571258298</v>
      </c>
      <c r="W149" s="131"/>
      <c r="X149" s="71">
        <v>-0.27579515544152683</v>
      </c>
      <c r="Y149" s="71">
        <v>-0.56748570923585795</v>
      </c>
      <c r="Z149" s="130">
        <v>2.7660661838946621</v>
      </c>
      <c r="AA149" s="131"/>
      <c r="AB149" s="131"/>
      <c r="AC149" s="131"/>
      <c r="AD149" s="141"/>
      <c r="AE149" s="141"/>
      <c r="AF149" s="59"/>
      <c r="AG149" s="24"/>
    </row>
    <row r="150" spans="2:33" s="1" customFormat="1" ht="15" customHeight="1">
      <c r="B150" s="157">
        <v>2012</v>
      </c>
      <c r="C150" s="4"/>
      <c r="D150" s="160">
        <v>2012</v>
      </c>
      <c r="E150" s="161" t="s">
        <v>264</v>
      </c>
      <c r="F150" s="127" t="s">
        <v>443</v>
      </c>
      <c r="G150" s="146"/>
      <c r="H150" s="146"/>
      <c r="I150" s="146"/>
      <c r="J150" s="143"/>
      <c r="K150" s="154"/>
      <c r="L150" s="154"/>
      <c r="M150" s="154"/>
      <c r="N150" s="131">
        <v>1</v>
      </c>
      <c r="O150" s="151">
        <v>1</v>
      </c>
      <c r="P150" s="131"/>
      <c r="Q150" s="131"/>
      <c r="R150" s="151">
        <v>1</v>
      </c>
      <c r="S150" s="131">
        <v>2011</v>
      </c>
      <c r="T150" s="131" t="s">
        <v>434</v>
      </c>
      <c r="U150" s="131" t="s">
        <v>434</v>
      </c>
      <c r="V150" s="130">
        <v>6.9443189059643924</v>
      </c>
      <c r="W150" s="131"/>
      <c r="X150" s="71">
        <v>-5.485743201135005E-2</v>
      </c>
      <c r="Y150" s="71">
        <v>-0.45707411560485495</v>
      </c>
      <c r="Z150" s="130">
        <v>2.9551133101297093</v>
      </c>
      <c r="AA150" s="131"/>
      <c r="AB150" s="131"/>
      <c r="AC150" s="131"/>
      <c r="AF150" s="55"/>
    </row>
    <row r="151" spans="2:33" s="1" customFormat="1" ht="15" customHeight="1">
      <c r="B151" s="158"/>
      <c r="C151" s="4"/>
      <c r="D151" s="160"/>
      <c r="E151" s="162"/>
      <c r="F151" s="128" t="s">
        <v>444</v>
      </c>
      <c r="G151" s="147"/>
      <c r="H151" s="147"/>
      <c r="I151" s="147"/>
      <c r="J151" s="144"/>
      <c r="K151" s="155"/>
      <c r="L151" s="155"/>
      <c r="M151" s="155"/>
      <c r="N151" s="131">
        <v>1</v>
      </c>
      <c r="O151" s="152"/>
      <c r="P151" s="131"/>
      <c r="Q151" s="131"/>
      <c r="R151" s="152"/>
      <c r="S151" s="131" t="s">
        <v>434</v>
      </c>
      <c r="T151" s="131" t="s">
        <v>434</v>
      </c>
      <c r="U151" s="131" t="s">
        <v>434</v>
      </c>
      <c r="V151" s="130">
        <v>6.2943417739974521</v>
      </c>
      <c r="W151" s="131"/>
      <c r="X151" s="71">
        <v>-1.2525314648612471</v>
      </c>
      <c r="Y151" s="71">
        <v>-0.51296186266175647</v>
      </c>
      <c r="Z151" s="130">
        <v>3.2743322614798451</v>
      </c>
      <c r="AA151" s="131"/>
      <c r="AB151" s="131"/>
      <c r="AC151" s="131"/>
      <c r="AF151" s="55"/>
    </row>
    <row r="152" spans="2:33" s="1" customFormat="1" ht="15" customHeight="1">
      <c r="B152" s="158"/>
      <c r="C152" s="4"/>
      <c r="D152" s="160"/>
      <c r="E152" s="162"/>
      <c r="F152" s="128" t="s">
        <v>250</v>
      </c>
      <c r="G152" s="147"/>
      <c r="H152" s="147"/>
      <c r="I152" s="147"/>
      <c r="J152" s="144"/>
      <c r="K152" s="155"/>
      <c r="L152" s="155"/>
      <c r="M152" s="155"/>
      <c r="N152" s="131">
        <v>1</v>
      </c>
      <c r="O152" s="152"/>
      <c r="P152" s="131"/>
      <c r="Q152" s="131"/>
      <c r="R152" s="152"/>
      <c r="S152" s="131" t="s">
        <v>260</v>
      </c>
      <c r="T152" s="131" t="s">
        <v>434</v>
      </c>
      <c r="U152" s="131" t="s">
        <v>434</v>
      </c>
      <c r="V152" s="130">
        <v>5.8642378456378932</v>
      </c>
      <c r="W152" s="131"/>
      <c r="X152" s="71">
        <v>-0.39507959952575356</v>
      </c>
      <c r="Y152" s="71">
        <v>-0.70399601649343657</v>
      </c>
      <c r="Z152" s="130">
        <v>3.9486313356093219</v>
      </c>
      <c r="AA152" s="131"/>
      <c r="AB152" s="131"/>
      <c r="AC152" s="131"/>
      <c r="AF152" s="55"/>
    </row>
    <row r="153" spans="2:33" s="1" customFormat="1" ht="15" customHeight="1">
      <c r="B153" s="158"/>
      <c r="C153" s="4"/>
      <c r="D153" s="160"/>
      <c r="E153" s="162"/>
      <c r="F153" s="128" t="s">
        <v>435</v>
      </c>
      <c r="G153" s="147"/>
      <c r="H153" s="147"/>
      <c r="I153" s="147"/>
      <c r="J153" s="144"/>
      <c r="K153" s="155"/>
      <c r="L153" s="155"/>
      <c r="M153" s="155"/>
      <c r="N153" s="131">
        <v>1</v>
      </c>
      <c r="O153" s="152"/>
      <c r="P153" s="131"/>
      <c r="Q153" s="131"/>
      <c r="R153" s="152"/>
      <c r="S153" s="131" t="s">
        <v>260</v>
      </c>
      <c r="T153" s="131" t="s">
        <v>434</v>
      </c>
      <c r="U153" s="131" t="s">
        <v>434</v>
      </c>
      <c r="V153" s="130">
        <v>6.9879112315981802</v>
      </c>
      <c r="W153" s="131"/>
      <c r="X153" s="71">
        <v>-0.94198275359209416</v>
      </c>
      <c r="Y153" s="71">
        <v>-0.9123813322451213</v>
      </c>
      <c r="Z153" s="130">
        <v>2.6547484597180322</v>
      </c>
      <c r="AA153" s="131"/>
      <c r="AB153" s="131"/>
      <c r="AC153" s="131"/>
      <c r="AF153" s="55"/>
    </row>
    <row r="154" spans="2:33" s="1" customFormat="1" ht="15" customHeight="1">
      <c r="B154" s="158"/>
      <c r="C154" s="4"/>
      <c r="D154" s="160"/>
      <c r="E154" s="162"/>
      <c r="F154" s="128" t="s">
        <v>436</v>
      </c>
      <c r="G154" s="147"/>
      <c r="H154" s="147"/>
      <c r="I154" s="147"/>
      <c r="J154" s="144"/>
      <c r="K154" s="155"/>
      <c r="L154" s="155"/>
      <c r="M154" s="155"/>
      <c r="N154" s="131">
        <v>1</v>
      </c>
      <c r="O154" s="152"/>
      <c r="P154" s="131"/>
      <c r="Q154" s="131"/>
      <c r="R154" s="152"/>
      <c r="S154" s="131">
        <v>2012</v>
      </c>
      <c r="T154" s="131">
        <v>2012</v>
      </c>
      <c r="U154" s="131" t="s">
        <v>434</v>
      </c>
      <c r="V154" s="130">
        <v>6.5591513354116344</v>
      </c>
      <c r="W154" s="131"/>
      <c r="X154" s="71">
        <v>-0.54678503894798436</v>
      </c>
      <c r="Y154" s="71">
        <v>-0.98866028673950701</v>
      </c>
      <c r="Z154" s="130">
        <v>3.161819758193936</v>
      </c>
      <c r="AA154" s="131"/>
      <c r="AB154" s="131"/>
      <c r="AC154" s="131"/>
      <c r="AF154" s="55"/>
    </row>
    <row r="155" spans="2:33" s="1" customFormat="1" ht="15">
      <c r="B155" s="159"/>
      <c r="C155" s="65"/>
      <c r="D155" s="160"/>
      <c r="E155" s="163"/>
      <c r="F155" s="129" t="s">
        <v>438</v>
      </c>
      <c r="G155" s="148"/>
      <c r="H155" s="148"/>
      <c r="I155" s="148"/>
      <c r="J155" s="145"/>
      <c r="K155" s="156"/>
      <c r="L155" s="156"/>
      <c r="M155" s="156"/>
      <c r="N155" s="73">
        <v>1</v>
      </c>
      <c r="O155" s="153"/>
      <c r="P155" s="73"/>
      <c r="Q155" s="73"/>
      <c r="R155" s="153"/>
      <c r="S155" s="73" t="s">
        <v>434</v>
      </c>
      <c r="T155" s="73" t="s">
        <v>434</v>
      </c>
      <c r="U155" s="73" t="s">
        <v>434</v>
      </c>
      <c r="V155" s="74">
        <v>6.4306947829382297</v>
      </c>
      <c r="W155" s="73"/>
      <c r="X155" s="71">
        <v>-0.34532467437041109</v>
      </c>
      <c r="Y155" s="71">
        <v>-0.63266125667306916</v>
      </c>
      <c r="Z155" s="130">
        <v>2.9822721705850697</v>
      </c>
      <c r="AA155" s="73"/>
      <c r="AB155" s="73"/>
      <c r="AC155" s="73"/>
      <c r="AF155" s="124"/>
    </row>
    <row r="156" spans="2:33">
      <c r="X156" s="70"/>
      <c r="Y156" s="70"/>
    </row>
    <row r="158" spans="2:33">
      <c r="D158" s="18" t="s">
        <v>106</v>
      </c>
      <c r="E158" s="18" t="s">
        <v>398</v>
      </c>
      <c r="F158" s="18"/>
    </row>
    <row r="159" spans="2:33">
      <c r="D159" s="18" t="s">
        <v>161</v>
      </c>
      <c r="E159" s="18" t="s">
        <v>399</v>
      </c>
      <c r="F159" s="19" t="s">
        <v>400</v>
      </c>
    </row>
    <row r="160" spans="2:33">
      <c r="D160" s="18" t="s">
        <v>99</v>
      </c>
      <c r="E160" s="18" t="s">
        <v>401</v>
      </c>
      <c r="F160" s="17" t="s">
        <v>402</v>
      </c>
    </row>
    <row r="161" spans="4:6">
      <c r="D161" s="18" t="s">
        <v>107</v>
      </c>
      <c r="E161" s="18" t="s">
        <v>403</v>
      </c>
      <c r="F161" s="17"/>
    </row>
  </sheetData>
  <mergeCells count="627">
    <mergeCell ref="V2:Y2"/>
    <mergeCell ref="D73:D75"/>
    <mergeCell ref="E73:E75"/>
    <mergeCell ref="F73:F75"/>
    <mergeCell ref="G73:G75"/>
    <mergeCell ref="H73:H75"/>
    <mergeCell ref="I73:I75"/>
    <mergeCell ref="K73:K75"/>
    <mergeCell ref="L73:L75"/>
    <mergeCell ref="M73:M75"/>
    <mergeCell ref="I2:I3"/>
    <mergeCell ref="K2:K3"/>
    <mergeCell ref="L2:L3"/>
    <mergeCell ref="M2:M3"/>
    <mergeCell ref="N2:P2"/>
    <mergeCell ref="R2:U2"/>
    <mergeCell ref="Q73:Q75"/>
    <mergeCell ref="T73:T75"/>
    <mergeCell ref="B2:B3"/>
    <mergeCell ref="D2:D3"/>
    <mergeCell ref="E2:E3"/>
    <mergeCell ref="F2:F3"/>
    <mergeCell ref="G2:G3"/>
    <mergeCell ref="H2:H3"/>
    <mergeCell ref="N76:N79"/>
    <mergeCell ref="O76:O79"/>
    <mergeCell ref="Q76:Q79"/>
    <mergeCell ref="AA73:AA75"/>
    <mergeCell ref="AB73:AB75"/>
    <mergeCell ref="AC73:AC75"/>
    <mergeCell ref="AD73:AD75"/>
    <mergeCell ref="AE73:AE75"/>
    <mergeCell ref="D76:D79"/>
    <mergeCell ref="E76:E79"/>
    <mergeCell ref="F76:F79"/>
    <mergeCell ref="G76:G79"/>
    <mergeCell ref="H76:H79"/>
    <mergeCell ref="U73:U75"/>
    <mergeCell ref="V73:V75"/>
    <mergeCell ref="W73:W75"/>
    <mergeCell ref="X73:X75"/>
    <mergeCell ref="Y73:Y75"/>
    <mergeCell ref="Z73:Z75"/>
    <mergeCell ref="N73:N75"/>
    <mergeCell ref="O73:O75"/>
    <mergeCell ref="P73:P75"/>
    <mergeCell ref="R73:R75"/>
    <mergeCell ref="S73:S75"/>
    <mergeCell ref="AC76:AC79"/>
    <mergeCell ref="AD76:AD79"/>
    <mergeCell ref="AE76:AE79"/>
    <mergeCell ref="Y76:Y79"/>
    <mergeCell ref="Z76:Z79"/>
    <mergeCell ref="AA76:AA79"/>
    <mergeCell ref="AB76:AB79"/>
    <mergeCell ref="P76:P79"/>
    <mergeCell ref="T76:T79"/>
    <mergeCell ref="U76:U79"/>
    <mergeCell ref="V76:V79"/>
    <mergeCell ref="I76:I79"/>
    <mergeCell ref="K76:K79"/>
    <mergeCell ref="L76:L79"/>
    <mergeCell ref="M76:M79"/>
    <mergeCell ref="W76:W79"/>
    <mergeCell ref="X76:X79"/>
    <mergeCell ref="R76:R79"/>
    <mergeCell ref="S76:S79"/>
    <mergeCell ref="AD80:AD83"/>
    <mergeCell ref="AE80:AE83"/>
    <mergeCell ref="D85:D87"/>
    <mergeCell ref="E85:E87"/>
    <mergeCell ref="F85:F87"/>
    <mergeCell ref="G85:G87"/>
    <mergeCell ref="H85:H87"/>
    <mergeCell ref="AD85:AD87"/>
    <mergeCell ref="AE85:AE87"/>
    <mergeCell ref="Y85:Y87"/>
    <mergeCell ref="Z85:Z87"/>
    <mergeCell ref="AA85:AA87"/>
    <mergeCell ref="AB85:AB87"/>
    <mergeCell ref="D80:D84"/>
    <mergeCell ref="E80:E84"/>
    <mergeCell ref="G80:G84"/>
    <mergeCell ref="H80:H84"/>
    <mergeCell ref="I80:I84"/>
    <mergeCell ref="K80:K84"/>
    <mergeCell ref="L80:L84"/>
    <mergeCell ref="M80:M84"/>
    <mergeCell ref="O80:O84"/>
    <mergeCell ref="R80:R84"/>
    <mergeCell ref="AC85:AC87"/>
    <mergeCell ref="F88:F90"/>
    <mergeCell ref="G88:G90"/>
    <mergeCell ref="H88:H90"/>
    <mergeCell ref="I88:I90"/>
    <mergeCell ref="K88:K90"/>
    <mergeCell ref="W85:W87"/>
    <mergeCell ref="X85:X87"/>
    <mergeCell ref="P85:P87"/>
    <mergeCell ref="R85:R87"/>
    <mergeCell ref="S85:S87"/>
    <mergeCell ref="T85:T87"/>
    <mergeCell ref="U85:U87"/>
    <mergeCell ref="V85:V87"/>
    <mergeCell ref="I85:I87"/>
    <mergeCell ref="K85:K87"/>
    <mergeCell ref="L85:L87"/>
    <mergeCell ref="W88:W90"/>
    <mergeCell ref="X88:X90"/>
    <mergeCell ref="L88:L90"/>
    <mergeCell ref="M88:M90"/>
    <mergeCell ref="N88:N90"/>
    <mergeCell ref="O88:O90"/>
    <mergeCell ref="Q85:Q87"/>
    <mergeCell ref="M85:M87"/>
    <mergeCell ref="N85:N87"/>
    <mergeCell ref="O85:O87"/>
    <mergeCell ref="I94:I96"/>
    <mergeCell ref="M94:M96"/>
    <mergeCell ref="N94:N96"/>
    <mergeCell ref="O94:O96"/>
    <mergeCell ref="W94:W96"/>
    <mergeCell ref="X94:X96"/>
    <mergeCell ref="P94:P96"/>
    <mergeCell ref="R94:R96"/>
    <mergeCell ref="S94:S96"/>
    <mergeCell ref="T94:T96"/>
    <mergeCell ref="K94:K96"/>
    <mergeCell ref="L94:L96"/>
    <mergeCell ref="AE88:AE90"/>
    <mergeCell ref="D91:D93"/>
    <mergeCell ref="E91:E93"/>
    <mergeCell ref="F91:F93"/>
    <mergeCell ref="G91:G93"/>
    <mergeCell ref="H91:H93"/>
    <mergeCell ref="I91:I93"/>
    <mergeCell ref="K91:K93"/>
    <mergeCell ref="L91:L93"/>
    <mergeCell ref="M91:M93"/>
    <mergeCell ref="Y88:Y90"/>
    <mergeCell ref="Z88:Z90"/>
    <mergeCell ref="AA88:AA90"/>
    <mergeCell ref="AB88:AB90"/>
    <mergeCell ref="AC88:AC90"/>
    <mergeCell ref="AD88:AD90"/>
    <mergeCell ref="S88:S90"/>
    <mergeCell ref="T88:T90"/>
    <mergeCell ref="U88:U90"/>
    <mergeCell ref="V88:V90"/>
    <mergeCell ref="P88:P90"/>
    <mergeCell ref="R88:R90"/>
    <mergeCell ref="D88:D90"/>
    <mergeCell ref="E88:E90"/>
    <mergeCell ref="AD91:AD93"/>
    <mergeCell ref="AE91:AE93"/>
    <mergeCell ref="AA91:AA93"/>
    <mergeCell ref="AC94:AC96"/>
    <mergeCell ref="AD94:AD96"/>
    <mergeCell ref="AB97:AB99"/>
    <mergeCell ref="AC97:AC99"/>
    <mergeCell ref="AD97:AD99"/>
    <mergeCell ref="Y91:Y93"/>
    <mergeCell ref="Z91:Z93"/>
    <mergeCell ref="D94:D96"/>
    <mergeCell ref="E94:E96"/>
    <mergeCell ref="F94:F96"/>
    <mergeCell ref="AB91:AB93"/>
    <mergeCell ref="AC91:AC93"/>
    <mergeCell ref="AE94:AE96"/>
    <mergeCell ref="Y94:Y96"/>
    <mergeCell ref="Z94:Z96"/>
    <mergeCell ref="AA94:AA96"/>
    <mergeCell ref="AB94:AB96"/>
    <mergeCell ref="G94:G96"/>
    <mergeCell ref="H94:H96"/>
    <mergeCell ref="U91:U93"/>
    <mergeCell ref="V91:V93"/>
    <mergeCell ref="W91:W93"/>
    <mergeCell ref="X91:X93"/>
    <mergeCell ref="N91:N93"/>
    <mergeCell ref="O91:O93"/>
    <mergeCell ref="P91:P93"/>
    <mergeCell ref="R91:R93"/>
    <mergeCell ref="S91:S93"/>
    <mergeCell ref="T91:T93"/>
    <mergeCell ref="U94:U96"/>
    <mergeCell ref="V94:V96"/>
    <mergeCell ref="D97:D99"/>
    <mergeCell ref="E97:E99"/>
    <mergeCell ref="F97:F99"/>
    <mergeCell ref="G97:G99"/>
    <mergeCell ref="H97:H99"/>
    <mergeCell ref="I97:I99"/>
    <mergeCell ref="K97:K99"/>
    <mergeCell ref="U100:U102"/>
    <mergeCell ref="V100:V102"/>
    <mergeCell ref="N97:N99"/>
    <mergeCell ref="O97:O99"/>
    <mergeCell ref="P97:P99"/>
    <mergeCell ref="R97:R99"/>
    <mergeCell ref="L97:L99"/>
    <mergeCell ref="M97:M99"/>
    <mergeCell ref="S97:S99"/>
    <mergeCell ref="T97:T99"/>
    <mergeCell ref="U97:U99"/>
    <mergeCell ref="D100:D102"/>
    <mergeCell ref="E100:E102"/>
    <mergeCell ref="F100:F102"/>
    <mergeCell ref="G100:G102"/>
    <mergeCell ref="H100:H102"/>
    <mergeCell ref="I100:I102"/>
    <mergeCell ref="K100:K102"/>
    <mergeCell ref="L100:L102"/>
    <mergeCell ref="M100:M102"/>
    <mergeCell ref="W100:W102"/>
    <mergeCell ref="X100:X102"/>
    <mergeCell ref="N100:N102"/>
    <mergeCell ref="O100:O102"/>
    <mergeCell ref="P100:P102"/>
    <mergeCell ref="R100:R102"/>
    <mergeCell ref="S100:S102"/>
    <mergeCell ref="T100:T102"/>
    <mergeCell ref="V97:V99"/>
    <mergeCell ref="W97:W99"/>
    <mergeCell ref="X97:X99"/>
    <mergeCell ref="AC100:AC102"/>
    <mergeCell ref="AE103:AE105"/>
    <mergeCell ref="Y103:Y105"/>
    <mergeCell ref="Z103:Z105"/>
    <mergeCell ref="AA103:AA105"/>
    <mergeCell ref="AB103:AB105"/>
    <mergeCell ref="W103:W105"/>
    <mergeCell ref="X103:X105"/>
    <mergeCell ref="AA100:AA102"/>
    <mergeCell ref="AE97:AE99"/>
    <mergeCell ref="Y97:Y99"/>
    <mergeCell ref="Z97:Z99"/>
    <mergeCell ref="AA97:AA99"/>
    <mergeCell ref="AE106:AE108"/>
    <mergeCell ref="Y106:Y108"/>
    <mergeCell ref="Z106:Z108"/>
    <mergeCell ref="AA106:AA108"/>
    <mergeCell ref="AE100:AE102"/>
    <mergeCell ref="AD100:AD102"/>
    <mergeCell ref="AC103:AC105"/>
    <mergeCell ref="AD103:AD105"/>
    <mergeCell ref="Y100:Y102"/>
    <mergeCell ref="Z100:Z102"/>
    <mergeCell ref="AB100:AB102"/>
    <mergeCell ref="D103:D105"/>
    <mergeCell ref="E103:E105"/>
    <mergeCell ref="F103:F105"/>
    <mergeCell ref="G103:G105"/>
    <mergeCell ref="H103:H105"/>
    <mergeCell ref="I103:I105"/>
    <mergeCell ref="M103:M105"/>
    <mergeCell ref="N103:N105"/>
    <mergeCell ref="O103:O105"/>
    <mergeCell ref="AD109:AD111"/>
    <mergeCell ref="AB109:AB111"/>
    <mergeCell ref="AC109:AC111"/>
    <mergeCell ref="D106:D108"/>
    <mergeCell ref="E106:E108"/>
    <mergeCell ref="F106:F108"/>
    <mergeCell ref="G106:G108"/>
    <mergeCell ref="H106:H108"/>
    <mergeCell ref="I106:I108"/>
    <mergeCell ref="K106:K108"/>
    <mergeCell ref="AB106:AB108"/>
    <mergeCell ref="AC106:AC108"/>
    <mergeCell ref="AD106:AD108"/>
    <mergeCell ref="S106:S108"/>
    <mergeCell ref="T106:T108"/>
    <mergeCell ref="U106:U108"/>
    <mergeCell ref="V106:V108"/>
    <mergeCell ref="W106:W108"/>
    <mergeCell ref="X106:X108"/>
    <mergeCell ref="R109:R111"/>
    <mergeCell ref="S109:S111"/>
    <mergeCell ref="T109:T111"/>
    <mergeCell ref="W109:W111"/>
    <mergeCell ref="X109:X111"/>
    <mergeCell ref="D109:D111"/>
    <mergeCell ref="E109:E111"/>
    <mergeCell ref="F109:F111"/>
    <mergeCell ref="G109:G111"/>
    <mergeCell ref="H109:H111"/>
    <mergeCell ref="I109:I111"/>
    <mergeCell ref="K109:K111"/>
    <mergeCell ref="L109:L111"/>
    <mergeCell ref="M109:M111"/>
    <mergeCell ref="U109:U111"/>
    <mergeCell ref="V109:V111"/>
    <mergeCell ref="N109:N111"/>
    <mergeCell ref="O109:O111"/>
    <mergeCell ref="P109:P111"/>
    <mergeCell ref="K103:K105"/>
    <mergeCell ref="L103:L105"/>
    <mergeCell ref="N106:N108"/>
    <mergeCell ref="O106:O108"/>
    <mergeCell ref="P106:P108"/>
    <mergeCell ref="R106:R108"/>
    <mergeCell ref="L106:L108"/>
    <mergeCell ref="M106:M108"/>
    <mergeCell ref="P103:P105"/>
    <mergeCell ref="R103:R105"/>
    <mergeCell ref="S103:S105"/>
    <mergeCell ref="T103:T105"/>
    <mergeCell ref="U103:U105"/>
    <mergeCell ref="V103:V105"/>
    <mergeCell ref="D112:D114"/>
    <mergeCell ref="E112:E114"/>
    <mergeCell ref="F112:F114"/>
    <mergeCell ref="G112:G114"/>
    <mergeCell ref="H112:H114"/>
    <mergeCell ref="U112:U114"/>
    <mergeCell ref="V112:V114"/>
    <mergeCell ref="I112:I114"/>
    <mergeCell ref="D115:D117"/>
    <mergeCell ref="E115:E117"/>
    <mergeCell ref="F115:F117"/>
    <mergeCell ref="G115:G117"/>
    <mergeCell ref="H115:H117"/>
    <mergeCell ref="I115:I117"/>
    <mergeCell ref="K115:K117"/>
    <mergeCell ref="AD112:AD114"/>
    <mergeCell ref="AE112:AE114"/>
    <mergeCell ref="Y112:Y114"/>
    <mergeCell ref="Z112:Z114"/>
    <mergeCell ref="AA112:AA114"/>
    <mergeCell ref="AB112:AB114"/>
    <mergeCell ref="AB115:AB117"/>
    <mergeCell ref="AC115:AC117"/>
    <mergeCell ref="AD115:AD117"/>
    <mergeCell ref="K112:K114"/>
    <mergeCell ref="AE109:AE111"/>
    <mergeCell ref="Y109:Y111"/>
    <mergeCell ref="Z109:Z111"/>
    <mergeCell ref="AA109:AA111"/>
    <mergeCell ref="I118:I120"/>
    <mergeCell ref="K118:K120"/>
    <mergeCell ref="L118:L120"/>
    <mergeCell ref="M118:M120"/>
    <mergeCell ref="N115:N117"/>
    <mergeCell ref="O115:O117"/>
    <mergeCell ref="P115:P117"/>
    <mergeCell ref="R115:R117"/>
    <mergeCell ref="L115:L117"/>
    <mergeCell ref="M115:M117"/>
    <mergeCell ref="AE118:AE120"/>
    <mergeCell ref="Y118:Y120"/>
    <mergeCell ref="Z118:Z120"/>
    <mergeCell ref="Q115:Q117"/>
    <mergeCell ref="AE115:AE117"/>
    <mergeCell ref="Y115:Y117"/>
    <mergeCell ref="Z115:Z117"/>
    <mergeCell ref="AA115:AA117"/>
    <mergeCell ref="AC112:AC114"/>
    <mergeCell ref="X112:X114"/>
    <mergeCell ref="P112:P114"/>
    <mergeCell ref="R112:R114"/>
    <mergeCell ref="S112:S114"/>
    <mergeCell ref="T112:T114"/>
    <mergeCell ref="S115:S117"/>
    <mergeCell ref="T115:T117"/>
    <mergeCell ref="U115:U117"/>
    <mergeCell ref="V115:V117"/>
    <mergeCell ref="W115:W117"/>
    <mergeCell ref="X115:X117"/>
    <mergeCell ref="W112:W114"/>
    <mergeCell ref="V121:V123"/>
    <mergeCell ref="U118:U120"/>
    <mergeCell ref="D121:D123"/>
    <mergeCell ref="E121:E123"/>
    <mergeCell ref="F121:F123"/>
    <mergeCell ref="G121:G123"/>
    <mergeCell ref="H121:H123"/>
    <mergeCell ref="L121:L123"/>
    <mergeCell ref="M121:M123"/>
    <mergeCell ref="N121:N123"/>
    <mergeCell ref="O121:O123"/>
    <mergeCell ref="I121:I123"/>
    <mergeCell ref="K121:K123"/>
    <mergeCell ref="D118:D120"/>
    <mergeCell ref="E118:E120"/>
    <mergeCell ref="F118:F120"/>
    <mergeCell ref="G118:G120"/>
    <mergeCell ref="H118:H120"/>
    <mergeCell ref="N118:N120"/>
    <mergeCell ref="O118:O120"/>
    <mergeCell ref="P118:P120"/>
    <mergeCell ref="R118:R120"/>
    <mergeCell ref="S118:S120"/>
    <mergeCell ref="T118:T120"/>
    <mergeCell ref="AE124:AE126"/>
    <mergeCell ref="Y124:Y126"/>
    <mergeCell ref="Z124:Z126"/>
    <mergeCell ref="AA124:AA126"/>
    <mergeCell ref="AB124:AB126"/>
    <mergeCell ref="AC124:AC126"/>
    <mergeCell ref="AD124:AD126"/>
    <mergeCell ref="L112:L114"/>
    <mergeCell ref="M112:M114"/>
    <mergeCell ref="N112:N114"/>
    <mergeCell ref="O112:O114"/>
    <mergeCell ref="AE121:AE123"/>
    <mergeCell ref="Y121:Y123"/>
    <mergeCell ref="Z121:Z123"/>
    <mergeCell ref="AA121:AA123"/>
    <mergeCell ref="AB121:AB123"/>
    <mergeCell ref="AC121:AC123"/>
    <mergeCell ref="AD121:AD123"/>
    <mergeCell ref="AA118:AA120"/>
    <mergeCell ref="AB118:AB120"/>
    <mergeCell ref="AC118:AC120"/>
    <mergeCell ref="AD118:AD120"/>
    <mergeCell ref="W121:W123"/>
    <mergeCell ref="X121:X123"/>
    <mergeCell ref="P128:P129"/>
    <mergeCell ref="S128:S129"/>
    <mergeCell ref="T128:T129"/>
    <mergeCell ref="U128:U129"/>
    <mergeCell ref="Q121:Q123"/>
    <mergeCell ref="L124:L126"/>
    <mergeCell ref="M124:M126"/>
    <mergeCell ref="Z128:Z129"/>
    <mergeCell ref="V118:V120"/>
    <mergeCell ref="W118:W120"/>
    <mergeCell ref="X118:X120"/>
    <mergeCell ref="T124:T126"/>
    <mergeCell ref="U124:U126"/>
    <mergeCell ref="S124:S126"/>
    <mergeCell ref="P124:P126"/>
    <mergeCell ref="R124:R126"/>
    <mergeCell ref="V124:V126"/>
    <mergeCell ref="W124:W126"/>
    <mergeCell ref="X124:X126"/>
    <mergeCell ref="P121:P123"/>
    <mergeCell ref="R121:R123"/>
    <mergeCell ref="S121:S123"/>
    <mergeCell ref="T121:T123"/>
    <mergeCell ref="U121:U123"/>
    <mergeCell ref="AA128:AA129"/>
    <mergeCell ref="AB128:AB129"/>
    <mergeCell ref="N124:N126"/>
    <mergeCell ref="O124:O126"/>
    <mergeCell ref="AC128:AC129"/>
    <mergeCell ref="R127:R129"/>
    <mergeCell ref="Q124:Q126"/>
    <mergeCell ref="D127:D129"/>
    <mergeCell ref="E127:E129"/>
    <mergeCell ref="G127:G129"/>
    <mergeCell ref="H127:H129"/>
    <mergeCell ref="I127:I129"/>
    <mergeCell ref="K127:K129"/>
    <mergeCell ref="L127:L129"/>
    <mergeCell ref="M127:M129"/>
    <mergeCell ref="O127:O129"/>
    <mergeCell ref="D124:D126"/>
    <mergeCell ref="E124:E126"/>
    <mergeCell ref="F124:F126"/>
    <mergeCell ref="G124:G126"/>
    <mergeCell ref="H124:H126"/>
    <mergeCell ref="I124:I126"/>
    <mergeCell ref="K124:K126"/>
    <mergeCell ref="N128:N129"/>
    <mergeCell ref="AD127:AD129"/>
    <mergeCell ref="AE127:AE129"/>
    <mergeCell ref="M130:M132"/>
    <mergeCell ref="N130:N132"/>
    <mergeCell ref="O130:O132"/>
    <mergeCell ref="P130:P132"/>
    <mergeCell ref="D130:D132"/>
    <mergeCell ref="E130:E132"/>
    <mergeCell ref="F130:F132"/>
    <mergeCell ref="G130:G132"/>
    <mergeCell ref="H130:H132"/>
    <mergeCell ref="I130:I132"/>
    <mergeCell ref="AD130:AD132"/>
    <mergeCell ref="AE130:AE132"/>
    <mergeCell ref="Y130:Y132"/>
    <mergeCell ref="Z130:Z132"/>
    <mergeCell ref="AA130:AA132"/>
    <mergeCell ref="AB130:AB132"/>
    <mergeCell ref="AC130:AC132"/>
    <mergeCell ref="V128:V129"/>
    <mergeCell ref="W128:W129"/>
    <mergeCell ref="Q128:Q129"/>
    <mergeCell ref="X128:X129"/>
    <mergeCell ref="Y128:Y129"/>
    <mergeCell ref="D133:D135"/>
    <mergeCell ref="E133:E135"/>
    <mergeCell ref="F133:F135"/>
    <mergeCell ref="G133:G135"/>
    <mergeCell ref="H133:H135"/>
    <mergeCell ref="I133:I135"/>
    <mergeCell ref="K133:K135"/>
    <mergeCell ref="L133:L135"/>
    <mergeCell ref="X130:X132"/>
    <mergeCell ref="R130:R132"/>
    <mergeCell ref="S130:S132"/>
    <mergeCell ref="T130:T132"/>
    <mergeCell ref="U130:U132"/>
    <mergeCell ref="V130:V132"/>
    <mergeCell ref="W130:W132"/>
    <mergeCell ref="K130:K132"/>
    <mergeCell ref="L130:L132"/>
    <mergeCell ref="Q130:Q132"/>
    <mergeCell ref="AC133:AC135"/>
    <mergeCell ref="AD133:AD135"/>
    <mergeCell ref="AE133:AE135"/>
    <mergeCell ref="T133:T135"/>
    <mergeCell ref="U133:U135"/>
    <mergeCell ref="V133:V135"/>
    <mergeCell ref="W133:W135"/>
    <mergeCell ref="X133:X135"/>
    <mergeCell ref="Y133:Y135"/>
    <mergeCell ref="E136:E138"/>
    <mergeCell ref="F136:F138"/>
    <mergeCell ref="G136:G138"/>
    <mergeCell ref="H136:H138"/>
    <mergeCell ref="I136:I138"/>
    <mergeCell ref="Z133:Z135"/>
    <mergeCell ref="AA133:AA135"/>
    <mergeCell ref="AB133:AB135"/>
    <mergeCell ref="M133:M135"/>
    <mergeCell ref="N133:N135"/>
    <mergeCell ref="O133:O135"/>
    <mergeCell ref="P133:P135"/>
    <mergeCell ref="R133:R135"/>
    <mergeCell ref="S133:S135"/>
    <mergeCell ref="T136:T138"/>
    <mergeCell ref="U136:U138"/>
    <mergeCell ref="V136:V138"/>
    <mergeCell ref="W136:W138"/>
    <mergeCell ref="K136:K138"/>
    <mergeCell ref="L136:L138"/>
    <mergeCell ref="M136:M138"/>
    <mergeCell ref="N136:N138"/>
    <mergeCell ref="O136:O138"/>
    <mergeCell ref="Q133:Q135"/>
    <mergeCell ref="AD136:AD138"/>
    <mergeCell ref="AE136:AE138"/>
    <mergeCell ref="Y136:Y138"/>
    <mergeCell ref="Z136:Z138"/>
    <mergeCell ref="AA136:AA138"/>
    <mergeCell ref="AB136:AB138"/>
    <mergeCell ref="AC136:AC138"/>
    <mergeCell ref="Z139:Z141"/>
    <mergeCell ref="AA139:AA141"/>
    <mergeCell ref="AB139:AB141"/>
    <mergeCell ref="AC139:AC141"/>
    <mergeCell ref="AD139:AD141"/>
    <mergeCell ref="AE139:AE141"/>
    <mergeCell ref="Y139:Y141"/>
    <mergeCell ref="D139:D141"/>
    <mergeCell ref="E139:E141"/>
    <mergeCell ref="F139:F141"/>
    <mergeCell ref="G139:G141"/>
    <mergeCell ref="H139:H141"/>
    <mergeCell ref="I139:I141"/>
    <mergeCell ref="K139:K141"/>
    <mergeCell ref="L139:L141"/>
    <mergeCell ref="X136:X138"/>
    <mergeCell ref="R136:R138"/>
    <mergeCell ref="S136:S138"/>
    <mergeCell ref="T139:T141"/>
    <mergeCell ref="U139:U141"/>
    <mergeCell ref="V139:V141"/>
    <mergeCell ref="W139:W141"/>
    <mergeCell ref="X139:X141"/>
    <mergeCell ref="P136:P138"/>
    <mergeCell ref="M139:M141"/>
    <mergeCell ref="N139:N141"/>
    <mergeCell ref="O139:O141"/>
    <mergeCell ref="P139:P141"/>
    <mergeCell ref="R139:R141"/>
    <mergeCell ref="S139:S141"/>
    <mergeCell ref="D136:D138"/>
    <mergeCell ref="L142:L146"/>
    <mergeCell ref="M142:M146"/>
    <mergeCell ref="O142:O146"/>
    <mergeCell ref="R142:R146"/>
    <mergeCell ref="AD142:AD146"/>
    <mergeCell ref="AE142:AE146"/>
    <mergeCell ref="D142:D146"/>
    <mergeCell ref="E142:E146"/>
    <mergeCell ref="G142:G146"/>
    <mergeCell ref="H142:H146"/>
    <mergeCell ref="I142:I146"/>
    <mergeCell ref="K142:K146"/>
    <mergeCell ref="L147:L149"/>
    <mergeCell ref="M147:M149"/>
    <mergeCell ref="O147:O149"/>
    <mergeCell ref="R147:R149"/>
    <mergeCell ref="AD147:AD149"/>
    <mergeCell ref="AE147:AE149"/>
    <mergeCell ref="D147:D149"/>
    <mergeCell ref="E147:E149"/>
    <mergeCell ref="G147:G149"/>
    <mergeCell ref="H147:H149"/>
    <mergeCell ref="I147:I149"/>
    <mergeCell ref="K147:K149"/>
    <mergeCell ref="J150:J155"/>
    <mergeCell ref="K150:K155"/>
    <mergeCell ref="L150:L155"/>
    <mergeCell ref="M150:M155"/>
    <mergeCell ref="O150:O155"/>
    <mergeCell ref="R150:R155"/>
    <mergeCell ref="B150:B155"/>
    <mergeCell ref="D150:D155"/>
    <mergeCell ref="E150:E155"/>
    <mergeCell ref="G150:G155"/>
    <mergeCell ref="H150:H155"/>
    <mergeCell ref="I150:I155"/>
    <mergeCell ref="Q136:Q138"/>
    <mergeCell ref="Q139:Q141"/>
    <mergeCell ref="Q88:Q90"/>
    <mergeCell ref="Q91:Q93"/>
    <mergeCell ref="Q94:Q96"/>
    <mergeCell ref="Q97:Q99"/>
    <mergeCell ref="Q100:Q102"/>
    <mergeCell ref="Q103:Q105"/>
    <mergeCell ref="Q106:Q108"/>
    <mergeCell ref="Q109:Q111"/>
    <mergeCell ref="Q112:Q114"/>
    <mergeCell ref="Q118:Q120"/>
  </mergeCells>
  <phoneticPr fontId="20"/>
  <hyperlinks>
    <hyperlink ref="AF124" r:id="rId1" xr:uid="{00000000-0004-0000-0400-000000000000}"/>
    <hyperlink ref="AF79" r:id="rId2" xr:uid="{00000000-0004-0000-0400-000001000000}"/>
    <hyperlink ref="AF82" r:id="rId3" xr:uid="{00000000-0004-0000-0400-000002000000}"/>
    <hyperlink ref="AF83" r:id="rId4" xr:uid="{00000000-0004-0000-0400-000003000000}"/>
    <hyperlink ref="AF86" r:id="rId5" xr:uid="{00000000-0004-0000-0400-000004000000}"/>
    <hyperlink ref="AF92" r:id="rId6" xr:uid="{00000000-0004-0000-0400-000005000000}"/>
    <hyperlink ref="AF95" r:id="rId7" xr:uid="{00000000-0004-0000-0400-000006000000}"/>
    <hyperlink ref="AF96" r:id="rId8" xr:uid="{00000000-0004-0000-0400-000007000000}"/>
    <hyperlink ref="AF98" r:id="rId9" xr:uid="{00000000-0004-0000-0400-000008000000}"/>
    <hyperlink ref="AF102" r:id="rId10" xr:uid="{00000000-0004-0000-0400-000009000000}"/>
    <hyperlink ref="AF113" r:id="rId11" xr:uid="{00000000-0004-0000-0400-00000A000000}"/>
    <hyperlink ref="AF116" r:id="rId12" xr:uid="{00000000-0004-0000-0400-00000B000000}"/>
    <hyperlink ref="AF117" r:id="rId13" display="http://www.fews.net/docs/Publications/Lives Lost, Lives Saved.pdf" xr:uid="{00000000-0004-0000-0400-00000C000000}"/>
    <hyperlink ref="AF118" r:id="rId14" xr:uid="{00000000-0004-0000-0400-00000D000000}"/>
    <hyperlink ref="AF121" r:id="rId15" xr:uid="{00000000-0004-0000-0400-00000E000000}"/>
    <hyperlink ref="AF122" r:id="rId16" xr:uid="{00000000-0004-0000-0400-00000F000000}"/>
    <hyperlink ref="AF125" r:id="rId17" display="http://onlinelibrary.wiley.com/doi/10.1111/j.0361-3666.2005.00286.x/pdf" xr:uid="{00000000-0004-0000-0400-000010000000}"/>
    <hyperlink ref="AF127" r:id="rId18" xr:uid="{00000000-0004-0000-0400-000011000000}"/>
    <hyperlink ref="AF128" r:id="rId19" xr:uid="{00000000-0004-0000-0400-000012000000}"/>
    <hyperlink ref="AF130" r:id="rId20" xr:uid="{00000000-0004-0000-0400-000013000000}"/>
    <hyperlink ref="AF137" r:id="rId21" xr:uid="{00000000-0004-0000-0400-000014000000}"/>
    <hyperlink ref="AF147" r:id="rId22" xr:uid="{00000000-0004-0000-0400-000015000000}"/>
    <hyperlink ref="AF133" r:id="rId23" xr:uid="{00000000-0004-0000-0400-000016000000}"/>
    <hyperlink ref="AF139" r:id="rId24" xr:uid="{00000000-0004-0000-0400-000017000000}"/>
    <hyperlink ref="AF140" r:id="rId25" xr:uid="{00000000-0004-0000-0400-000018000000}"/>
    <hyperlink ref="AF141" r:id="rId26" xr:uid="{00000000-0004-0000-0400-000019000000}"/>
    <hyperlink ref="F159" r:id="rId27" location="v=onepage&amp;q&amp;f=false" display="http://books.google.co.jp/books/p/princeton?id=LoN2XkjJio4C&amp;printsec=frontcover&amp;hl=en&amp;source=gbs_ViewAPI&amp;redir_esc=y - v=onepage&amp;q&amp;f=false" xr:uid="{00000000-0004-0000-0400-00001A000000}"/>
    <hyperlink ref="F160" r:id="rId28" xr:uid="{00000000-0004-0000-0400-00001B000000}"/>
  </hyperlinks>
  <pageMargins left="0.5" right="0.5" top="0.25" bottom="0.25" header="0.3" footer="0.3"/>
  <pageSetup paperSize="9" scale="40" fitToWidth="0" orientation="landscape" r:id="rId2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pageSetUpPr fitToPage="1"/>
  </sheetPr>
  <dimension ref="A1:AM161"/>
  <sheetViews>
    <sheetView zoomScale="80" zoomScaleNormal="80" workbookViewId="0">
      <pane xSplit="6" ySplit="72" topLeftCell="G73" activePane="bottomRight" state="frozen"/>
      <selection pane="topRight" activeCell="G1" sqref="G1"/>
      <selection pane="bottomLeft" activeCell="A72" sqref="A72"/>
      <selection pane="bottomRight" activeCell="R121" sqref="R121:R123"/>
    </sheetView>
  </sheetViews>
  <sheetFormatPr baseColWidth="10" defaultColWidth="8.83203125" defaultRowHeight="14"/>
  <cols>
    <col min="1" max="1" width="2.6640625" style="1" customWidth="1"/>
    <col min="2" max="2" width="5.5" style="1" customWidth="1"/>
    <col min="3" max="3" width="2.6640625" style="1" hidden="1" customWidth="1"/>
    <col min="4" max="4" width="11.6640625" style="1" customWidth="1"/>
    <col min="5" max="5" width="18" style="1" customWidth="1"/>
    <col min="6" max="8" width="10.83203125" style="1" customWidth="1"/>
    <col min="9" max="9" width="12.1640625" style="1" customWidth="1"/>
    <col min="10" max="10" width="3" style="1" hidden="1" customWidth="1"/>
    <col min="11" max="13" width="11.6640625" style="56" customWidth="1"/>
    <col min="14" max="21" width="13.33203125" style="56" customWidth="1"/>
    <col min="22" max="28" width="13.33203125" style="1" customWidth="1"/>
    <col min="29" max="29" width="36.5" style="1" hidden="1" customWidth="1"/>
    <col min="30" max="30" width="14.1640625" style="1" hidden="1" customWidth="1"/>
    <col min="31" max="31" width="27.5" style="56" customWidth="1"/>
    <col min="32" max="33" width="8.83203125" style="1"/>
    <col min="34" max="34" width="12.5" style="1" bestFit="1" customWidth="1"/>
    <col min="35" max="35" width="11.5" style="1" bestFit="1" customWidth="1"/>
    <col min="36" max="36" width="8.83203125" style="1"/>
    <col min="37" max="37" width="11.5" style="1" bestFit="1" customWidth="1"/>
    <col min="38" max="38" width="12.5" style="1" bestFit="1" customWidth="1"/>
    <col min="39" max="39" width="11.5" style="1" bestFit="1" customWidth="1"/>
    <col min="40" max="16384" width="8.83203125" style="25"/>
  </cols>
  <sheetData>
    <row r="1" spans="2:31">
      <c r="D1" s="2"/>
      <c r="E1" s="2"/>
      <c r="F1" s="2"/>
      <c r="G1" s="3"/>
      <c r="H1" s="2"/>
      <c r="I1" s="2"/>
      <c r="J1" s="4"/>
    </row>
    <row r="2" spans="2:31" ht="15">
      <c r="B2" s="178"/>
      <c r="D2" s="180" t="s">
        <v>0</v>
      </c>
      <c r="E2" s="180" t="s">
        <v>1</v>
      </c>
      <c r="F2" s="180" t="s">
        <v>2</v>
      </c>
      <c r="G2" s="140" t="s">
        <v>3</v>
      </c>
      <c r="H2" s="140" t="s">
        <v>4</v>
      </c>
      <c r="I2" s="140" t="s">
        <v>5</v>
      </c>
      <c r="J2" s="124"/>
      <c r="K2" s="185" t="s">
        <v>6</v>
      </c>
      <c r="L2" s="185" t="s">
        <v>7</v>
      </c>
      <c r="M2" s="185" t="s">
        <v>8</v>
      </c>
      <c r="N2" s="187" t="s">
        <v>269</v>
      </c>
      <c r="O2" s="188"/>
      <c r="P2" s="189"/>
      <c r="Q2" s="187" t="s">
        <v>419</v>
      </c>
      <c r="R2" s="188"/>
      <c r="S2" s="188"/>
      <c r="T2" s="188"/>
      <c r="U2" s="182"/>
      <c r="V2" s="183"/>
      <c r="W2" s="183"/>
      <c r="X2" s="184"/>
      <c r="Y2" s="77"/>
      <c r="Z2" s="77"/>
      <c r="AA2" s="77"/>
      <c r="AB2" s="78"/>
      <c r="AC2" s="1" t="s">
        <v>9</v>
      </c>
      <c r="AD2" s="1" t="s">
        <v>10</v>
      </c>
      <c r="AE2" s="55" t="s">
        <v>11</v>
      </c>
    </row>
    <row r="3" spans="2:31" ht="30">
      <c r="B3" s="179"/>
      <c r="D3" s="181"/>
      <c r="E3" s="181"/>
      <c r="F3" s="181"/>
      <c r="G3" s="142"/>
      <c r="H3" s="142"/>
      <c r="I3" s="142"/>
      <c r="J3" s="124"/>
      <c r="K3" s="186"/>
      <c r="L3" s="186"/>
      <c r="M3" s="186"/>
      <c r="N3" s="76" t="s">
        <v>420</v>
      </c>
      <c r="O3" s="76" t="s">
        <v>421</v>
      </c>
      <c r="P3" s="76" t="s">
        <v>445</v>
      </c>
      <c r="Q3" s="76" t="s">
        <v>423</v>
      </c>
      <c r="R3" s="76" t="s">
        <v>424</v>
      </c>
      <c r="S3" s="76" t="s">
        <v>425</v>
      </c>
      <c r="T3" s="76" t="s">
        <v>426</v>
      </c>
      <c r="U3" s="76" t="s">
        <v>427</v>
      </c>
      <c r="V3" s="76" t="s">
        <v>428</v>
      </c>
      <c r="W3" s="76" t="s">
        <v>429</v>
      </c>
      <c r="X3" s="76" t="s">
        <v>430</v>
      </c>
      <c r="Y3" s="79" t="s">
        <v>272</v>
      </c>
      <c r="Z3" s="79" t="s">
        <v>431</v>
      </c>
      <c r="AA3" s="79" t="s">
        <v>432</v>
      </c>
      <c r="AB3" s="79" t="s">
        <v>433</v>
      </c>
      <c r="AC3" s="1" t="s">
        <v>9</v>
      </c>
      <c r="AD3" s="1" t="s">
        <v>10</v>
      </c>
      <c r="AE3" s="55"/>
    </row>
    <row r="4" spans="2:31" ht="15" hidden="1" customHeight="1">
      <c r="B4" s="121">
        <v>1901</v>
      </c>
      <c r="D4" s="126"/>
      <c r="E4" s="126"/>
      <c r="F4" s="126"/>
      <c r="G4" s="124"/>
      <c r="H4" s="124"/>
      <c r="I4" s="124"/>
      <c r="J4" s="124"/>
      <c r="K4" s="63"/>
      <c r="L4" s="63"/>
      <c r="M4" s="63"/>
      <c r="N4" s="55"/>
      <c r="O4" s="55"/>
      <c r="P4" s="55"/>
      <c r="Q4" s="55"/>
      <c r="R4" s="55"/>
      <c r="S4" s="55"/>
      <c r="T4" s="55"/>
      <c r="U4" s="55"/>
      <c r="V4" s="124"/>
      <c r="W4" s="124"/>
      <c r="X4" s="124"/>
      <c r="Y4" s="124"/>
      <c r="Z4" s="124"/>
      <c r="AA4" s="124"/>
      <c r="AB4" s="124"/>
    </row>
    <row r="5" spans="2:31" ht="15" hidden="1" customHeight="1">
      <c r="B5" s="121">
        <v>1902</v>
      </c>
      <c r="D5" s="126"/>
      <c r="E5" s="126"/>
      <c r="F5" s="126"/>
      <c r="G5" s="124"/>
      <c r="H5" s="124"/>
      <c r="I5" s="124"/>
      <c r="J5" s="124"/>
      <c r="K5" s="63"/>
      <c r="L5" s="63"/>
      <c r="M5" s="63"/>
      <c r="N5" s="55"/>
      <c r="O5" s="55"/>
      <c r="P5" s="55"/>
      <c r="Q5" s="55"/>
      <c r="R5" s="55"/>
      <c r="S5" s="55"/>
      <c r="T5" s="55"/>
      <c r="U5" s="55"/>
      <c r="V5" s="124"/>
      <c r="W5" s="124"/>
      <c r="X5" s="124"/>
      <c r="Y5" s="124"/>
      <c r="Z5" s="124"/>
      <c r="AA5" s="124"/>
      <c r="AB5" s="124"/>
    </row>
    <row r="6" spans="2:31" ht="15" hidden="1" customHeight="1">
      <c r="B6" s="121">
        <v>1903</v>
      </c>
      <c r="D6" s="126" t="s">
        <v>12</v>
      </c>
      <c r="E6" s="126" t="s">
        <v>13</v>
      </c>
      <c r="F6" s="126" t="s">
        <v>13</v>
      </c>
      <c r="G6" s="5">
        <v>5000</v>
      </c>
      <c r="H6" s="5"/>
      <c r="I6" s="5"/>
      <c r="J6" s="124"/>
      <c r="K6" s="63"/>
      <c r="L6" s="63"/>
      <c r="M6" s="63"/>
      <c r="N6" s="55"/>
      <c r="O6" s="55"/>
      <c r="P6" s="55"/>
      <c r="Q6" s="55"/>
      <c r="R6" s="55"/>
      <c r="S6" s="55"/>
      <c r="T6" s="55"/>
      <c r="U6" s="55"/>
      <c r="V6" s="124"/>
      <c r="W6" s="124"/>
      <c r="X6" s="124"/>
      <c r="Y6" s="124"/>
      <c r="Z6" s="124"/>
      <c r="AA6" s="124"/>
      <c r="AB6" s="124"/>
    </row>
    <row r="7" spans="2:31" ht="15" hidden="1" customHeight="1">
      <c r="B7" s="121">
        <v>1904</v>
      </c>
      <c r="D7" s="126"/>
      <c r="E7" s="126"/>
      <c r="F7" s="126"/>
      <c r="G7" s="5"/>
      <c r="H7" s="5"/>
      <c r="I7" s="5"/>
      <c r="J7" s="124"/>
      <c r="K7" s="63"/>
      <c r="L7" s="63"/>
      <c r="M7" s="63"/>
      <c r="N7" s="55"/>
      <c r="O7" s="55"/>
      <c r="P7" s="55"/>
      <c r="Q7" s="55"/>
      <c r="R7" s="55"/>
      <c r="S7" s="55"/>
      <c r="T7" s="55"/>
      <c r="U7" s="55"/>
      <c r="V7" s="124"/>
      <c r="W7" s="124"/>
      <c r="X7" s="124"/>
      <c r="Y7" s="124"/>
      <c r="Z7" s="124"/>
      <c r="AA7" s="124"/>
      <c r="AB7" s="124"/>
    </row>
    <row r="8" spans="2:31" ht="15" hidden="1" customHeight="1">
      <c r="B8" s="121">
        <v>1905</v>
      </c>
      <c r="D8" s="126"/>
      <c r="E8" s="126"/>
      <c r="F8" s="126"/>
      <c r="G8" s="5"/>
      <c r="H8" s="5"/>
      <c r="I8" s="5"/>
      <c r="J8" s="124"/>
      <c r="K8" s="63"/>
      <c r="L8" s="63"/>
      <c r="M8" s="63"/>
      <c r="N8" s="55"/>
      <c r="O8" s="55"/>
      <c r="P8" s="55"/>
      <c r="Q8" s="55"/>
      <c r="R8" s="55"/>
      <c r="S8" s="55"/>
      <c r="T8" s="55"/>
      <c r="U8" s="55"/>
      <c r="V8" s="124"/>
      <c r="W8" s="124"/>
      <c r="X8" s="124"/>
      <c r="Y8" s="124"/>
      <c r="Z8" s="124"/>
      <c r="AA8" s="124"/>
      <c r="AB8" s="124"/>
    </row>
    <row r="9" spans="2:31" ht="15" hidden="1" customHeight="1">
      <c r="B9" s="121">
        <v>1906</v>
      </c>
      <c r="D9" s="126">
        <v>1906</v>
      </c>
      <c r="E9" s="126" t="s">
        <v>14</v>
      </c>
      <c r="F9" s="60" t="s">
        <v>15</v>
      </c>
      <c r="G9" s="6">
        <v>37500</v>
      </c>
      <c r="H9" s="6"/>
      <c r="I9" s="6"/>
      <c r="J9" s="124"/>
      <c r="K9" s="63"/>
      <c r="L9" s="63"/>
      <c r="M9" s="63"/>
      <c r="N9" s="55"/>
      <c r="O9" s="55"/>
      <c r="P9" s="55"/>
      <c r="Q9" s="55"/>
      <c r="R9" s="55"/>
      <c r="S9" s="55"/>
      <c r="T9" s="55"/>
      <c r="U9" s="55"/>
      <c r="V9" s="124"/>
      <c r="W9" s="124"/>
      <c r="X9" s="124"/>
      <c r="Y9" s="124"/>
      <c r="Z9" s="124"/>
      <c r="AA9" s="124"/>
      <c r="AB9" s="124"/>
    </row>
    <row r="10" spans="2:31" ht="30" hidden="1" customHeight="1">
      <c r="B10" s="121">
        <v>1907</v>
      </c>
      <c r="D10" s="126" t="s">
        <v>16</v>
      </c>
      <c r="E10" s="126" t="s">
        <v>17</v>
      </c>
      <c r="F10" s="61" t="s">
        <v>18</v>
      </c>
      <c r="G10" s="5">
        <v>25000000</v>
      </c>
      <c r="H10" s="5"/>
      <c r="I10" s="5"/>
      <c r="J10" s="124"/>
      <c r="K10" s="63"/>
      <c r="L10" s="63"/>
      <c r="M10" s="63"/>
      <c r="N10" s="55"/>
      <c r="O10" s="55"/>
      <c r="P10" s="55"/>
      <c r="Q10" s="55"/>
      <c r="R10" s="55"/>
      <c r="S10" s="55"/>
      <c r="T10" s="55"/>
      <c r="U10" s="55"/>
      <c r="V10" s="124"/>
      <c r="W10" s="124"/>
      <c r="X10" s="124"/>
      <c r="Y10" s="124"/>
      <c r="Z10" s="124"/>
      <c r="AA10" s="124"/>
      <c r="AB10" s="124"/>
    </row>
    <row r="11" spans="2:31" ht="15" hidden="1" customHeight="1">
      <c r="B11" s="121">
        <v>1908</v>
      </c>
      <c r="D11" s="126"/>
      <c r="E11" s="126"/>
      <c r="F11" s="61"/>
      <c r="G11" s="124"/>
      <c r="H11" s="124"/>
      <c r="I11" s="124"/>
      <c r="J11" s="124"/>
      <c r="K11" s="63"/>
      <c r="L11" s="63"/>
      <c r="M11" s="63"/>
      <c r="N11" s="55"/>
      <c r="O11" s="55"/>
      <c r="P11" s="55"/>
      <c r="Q11" s="55"/>
      <c r="R11" s="55"/>
      <c r="S11" s="55"/>
      <c r="T11" s="55"/>
      <c r="U11" s="55"/>
      <c r="V11" s="124"/>
      <c r="W11" s="124"/>
      <c r="X11" s="124"/>
      <c r="Y11" s="124"/>
      <c r="Z11" s="124"/>
      <c r="AA11" s="124"/>
      <c r="AB11" s="124"/>
    </row>
    <row r="12" spans="2:31" ht="15" hidden="1" customHeight="1">
      <c r="B12" s="121">
        <v>1909</v>
      </c>
      <c r="D12" s="126"/>
      <c r="E12" s="126"/>
      <c r="F12" s="61"/>
      <c r="G12" s="124"/>
      <c r="H12" s="124"/>
      <c r="I12" s="124"/>
      <c r="J12" s="124"/>
      <c r="K12" s="63"/>
      <c r="L12" s="63"/>
      <c r="M12" s="63"/>
      <c r="N12" s="55"/>
      <c r="O12" s="55"/>
      <c r="P12" s="55"/>
      <c r="Q12" s="55"/>
      <c r="R12" s="55"/>
      <c r="S12" s="55"/>
      <c r="T12" s="55"/>
      <c r="U12" s="55"/>
      <c r="V12" s="124"/>
      <c r="W12" s="124"/>
      <c r="X12" s="124"/>
      <c r="Y12" s="124"/>
      <c r="Z12" s="124"/>
      <c r="AA12" s="124"/>
      <c r="AB12" s="124"/>
    </row>
    <row r="13" spans="2:31" ht="15" hidden="1" customHeight="1">
      <c r="B13" s="121">
        <v>1910</v>
      </c>
      <c r="D13" s="126"/>
      <c r="E13" s="126"/>
      <c r="F13" s="61"/>
      <c r="G13" s="124"/>
      <c r="H13" s="124"/>
      <c r="I13" s="124"/>
      <c r="J13" s="124"/>
      <c r="K13" s="63"/>
      <c r="L13" s="63"/>
      <c r="M13" s="63"/>
      <c r="N13" s="55"/>
      <c r="O13" s="55"/>
      <c r="P13" s="55"/>
      <c r="Q13" s="55"/>
      <c r="R13" s="55"/>
      <c r="S13" s="55"/>
      <c r="T13" s="55"/>
      <c r="U13" s="55"/>
      <c r="V13" s="124"/>
      <c r="W13" s="124"/>
      <c r="X13" s="124"/>
      <c r="Y13" s="124"/>
      <c r="Z13" s="124"/>
      <c r="AA13" s="124"/>
      <c r="AB13" s="124"/>
    </row>
    <row r="14" spans="2:31" ht="15" hidden="1" customHeight="1">
      <c r="B14" s="121">
        <v>1911</v>
      </c>
      <c r="D14" s="126"/>
      <c r="E14" s="126"/>
      <c r="F14" s="61"/>
      <c r="G14" s="124"/>
      <c r="H14" s="124"/>
      <c r="I14" s="124"/>
      <c r="J14" s="124"/>
      <c r="K14" s="63"/>
      <c r="L14" s="63"/>
      <c r="M14" s="63"/>
      <c r="N14" s="55"/>
      <c r="O14" s="55"/>
      <c r="P14" s="55"/>
      <c r="Q14" s="55"/>
      <c r="R14" s="55"/>
      <c r="S14" s="55"/>
      <c r="T14" s="55"/>
      <c r="U14" s="55"/>
      <c r="V14" s="124"/>
      <c r="W14" s="124"/>
      <c r="X14" s="124"/>
      <c r="Y14" s="124"/>
      <c r="Z14" s="124"/>
      <c r="AA14" s="124"/>
      <c r="AB14" s="124"/>
    </row>
    <row r="15" spans="2:31" ht="15" hidden="1" customHeight="1">
      <c r="B15" s="121">
        <v>1912</v>
      </c>
      <c r="D15" s="126"/>
      <c r="E15" s="126"/>
      <c r="F15" s="61"/>
      <c r="G15" s="124"/>
      <c r="H15" s="124"/>
      <c r="I15" s="124"/>
      <c r="J15" s="124"/>
      <c r="K15" s="63"/>
      <c r="L15" s="63"/>
      <c r="M15" s="63"/>
      <c r="N15" s="55"/>
      <c r="O15" s="55"/>
      <c r="P15" s="55"/>
      <c r="Q15" s="55"/>
      <c r="R15" s="55"/>
      <c r="S15" s="55"/>
      <c r="T15" s="55"/>
      <c r="U15" s="55"/>
      <c r="V15" s="124"/>
      <c r="W15" s="124"/>
      <c r="X15" s="124"/>
      <c r="Y15" s="124"/>
      <c r="Z15" s="124"/>
      <c r="AA15" s="124"/>
      <c r="AB15" s="124"/>
    </row>
    <row r="16" spans="2:31" ht="30" hidden="1" customHeight="1">
      <c r="B16" s="121">
        <v>1913</v>
      </c>
      <c r="D16" s="126" t="s">
        <v>19</v>
      </c>
      <c r="E16" s="126" t="s">
        <v>20</v>
      </c>
      <c r="F16" s="61" t="s">
        <v>21</v>
      </c>
      <c r="G16" s="5">
        <v>125000</v>
      </c>
      <c r="H16" s="5"/>
      <c r="I16" s="5"/>
      <c r="J16" s="124"/>
      <c r="K16" s="63"/>
      <c r="L16" s="63"/>
      <c r="M16" s="63"/>
      <c r="N16" s="55"/>
      <c r="O16" s="55"/>
      <c r="P16" s="55"/>
      <c r="Q16" s="55"/>
      <c r="R16" s="55"/>
      <c r="S16" s="55"/>
      <c r="T16" s="55"/>
      <c r="U16" s="55"/>
      <c r="V16" s="124"/>
      <c r="W16" s="124"/>
      <c r="X16" s="124"/>
      <c r="Y16" s="124"/>
      <c r="Z16" s="124"/>
      <c r="AA16" s="124"/>
      <c r="AB16" s="124"/>
    </row>
    <row r="17" spans="2:30" ht="75" hidden="1" customHeight="1">
      <c r="B17" s="121">
        <v>1914</v>
      </c>
      <c r="D17" s="126" t="s">
        <v>22</v>
      </c>
      <c r="E17" s="126" t="s">
        <v>23</v>
      </c>
      <c r="F17" s="61" t="s">
        <v>24</v>
      </c>
      <c r="G17" s="124" t="s">
        <v>25</v>
      </c>
      <c r="H17" s="124"/>
      <c r="I17" s="124"/>
      <c r="J17" s="124"/>
      <c r="K17" s="63"/>
      <c r="L17" s="63"/>
      <c r="M17" s="63"/>
      <c r="N17" s="55"/>
      <c r="O17" s="55"/>
      <c r="P17" s="55"/>
      <c r="Q17" s="55"/>
      <c r="R17" s="55"/>
      <c r="S17" s="55"/>
      <c r="T17" s="55"/>
      <c r="U17" s="55"/>
      <c r="V17" s="124"/>
      <c r="W17" s="124"/>
      <c r="X17" s="124"/>
      <c r="Y17" s="124"/>
      <c r="Z17" s="124"/>
      <c r="AA17" s="124"/>
      <c r="AB17" s="124"/>
    </row>
    <row r="18" spans="2:30" ht="15" hidden="1" customHeight="1">
      <c r="B18" s="121">
        <v>1915</v>
      </c>
      <c r="D18" s="126"/>
      <c r="E18" s="126"/>
      <c r="F18" s="61"/>
      <c r="G18" s="124"/>
      <c r="H18" s="124"/>
      <c r="I18" s="124"/>
      <c r="J18" s="124"/>
      <c r="K18" s="63"/>
      <c r="L18" s="63"/>
      <c r="M18" s="63"/>
      <c r="N18" s="55"/>
      <c r="O18" s="55"/>
      <c r="P18" s="55"/>
      <c r="Q18" s="55"/>
      <c r="R18" s="55"/>
      <c r="S18" s="55"/>
      <c r="T18" s="55"/>
      <c r="U18" s="55"/>
      <c r="V18" s="124"/>
      <c r="W18" s="124"/>
      <c r="X18" s="124"/>
      <c r="Y18" s="124"/>
      <c r="Z18" s="124"/>
      <c r="AA18" s="124"/>
      <c r="AB18" s="124"/>
    </row>
    <row r="19" spans="2:30" ht="45" hidden="1" customHeight="1">
      <c r="B19" s="121">
        <v>1916</v>
      </c>
      <c r="D19" s="126" t="s">
        <v>26</v>
      </c>
      <c r="E19" s="61" t="s">
        <v>27</v>
      </c>
      <c r="F19" s="61" t="s">
        <v>28</v>
      </c>
      <c r="G19" s="124"/>
      <c r="H19" s="124"/>
      <c r="I19" s="124"/>
      <c r="J19" s="124"/>
      <c r="K19" s="63"/>
      <c r="L19" s="63"/>
      <c r="M19" s="63"/>
      <c r="N19" s="55"/>
      <c r="O19" s="55"/>
      <c r="P19" s="55"/>
      <c r="Q19" s="55"/>
      <c r="R19" s="55"/>
      <c r="S19" s="55"/>
      <c r="T19" s="55"/>
      <c r="U19" s="55"/>
      <c r="V19" s="124"/>
      <c r="W19" s="124"/>
      <c r="X19" s="124"/>
      <c r="Y19" s="124"/>
      <c r="Z19" s="124"/>
      <c r="AA19" s="124"/>
      <c r="AB19" s="124"/>
    </row>
    <row r="20" spans="2:30" ht="30" hidden="1" customHeight="1">
      <c r="B20" s="121"/>
      <c r="D20" s="126" t="s">
        <v>26</v>
      </c>
      <c r="E20" s="61" t="s">
        <v>29</v>
      </c>
      <c r="F20" s="61" t="s">
        <v>30</v>
      </c>
      <c r="G20" s="124"/>
      <c r="H20" s="124"/>
      <c r="I20" s="124"/>
      <c r="J20" s="124"/>
      <c r="K20" s="63"/>
      <c r="L20" s="63"/>
      <c r="M20" s="63"/>
      <c r="N20" s="55"/>
      <c r="O20" s="55"/>
      <c r="P20" s="55"/>
      <c r="Q20" s="55"/>
      <c r="R20" s="55"/>
      <c r="S20" s="55"/>
      <c r="T20" s="55"/>
      <c r="U20" s="55"/>
      <c r="V20" s="124"/>
      <c r="W20" s="124"/>
      <c r="X20" s="124"/>
      <c r="Y20" s="124"/>
      <c r="Z20" s="124"/>
      <c r="AA20" s="124"/>
      <c r="AB20" s="124"/>
    </row>
    <row r="21" spans="2:30" ht="30" hidden="1" customHeight="1">
      <c r="B21" s="121">
        <v>1917</v>
      </c>
      <c r="D21" s="126" t="s">
        <v>31</v>
      </c>
      <c r="E21" s="126" t="s">
        <v>32</v>
      </c>
      <c r="F21" s="61" t="s">
        <v>33</v>
      </c>
      <c r="G21" s="124" t="s">
        <v>34</v>
      </c>
      <c r="H21" s="124"/>
      <c r="I21" s="124"/>
      <c r="J21" s="124"/>
      <c r="K21" s="63"/>
      <c r="L21" s="63"/>
      <c r="M21" s="63"/>
      <c r="N21" s="55"/>
      <c r="O21" s="55"/>
      <c r="P21" s="55"/>
      <c r="Q21" s="55"/>
      <c r="R21" s="55"/>
      <c r="S21" s="55"/>
      <c r="T21" s="55"/>
      <c r="U21" s="55"/>
      <c r="V21" s="124"/>
      <c r="W21" s="124"/>
      <c r="X21" s="124"/>
      <c r="Y21" s="124"/>
      <c r="Z21" s="124"/>
      <c r="AA21" s="124"/>
      <c r="AB21" s="124"/>
    </row>
    <row r="22" spans="2:30" ht="15" hidden="1" customHeight="1">
      <c r="B22" s="121"/>
      <c r="D22" s="126" t="s">
        <v>35</v>
      </c>
      <c r="E22" s="126" t="s">
        <v>36</v>
      </c>
      <c r="F22" s="61" t="s">
        <v>15</v>
      </c>
      <c r="G22" s="5">
        <v>30000</v>
      </c>
      <c r="H22" s="5"/>
      <c r="I22" s="5"/>
      <c r="J22" s="124"/>
      <c r="K22" s="63"/>
      <c r="L22" s="63"/>
      <c r="M22" s="63"/>
      <c r="N22" s="55"/>
      <c r="O22" s="55"/>
      <c r="P22" s="55"/>
      <c r="Q22" s="55"/>
      <c r="R22" s="55"/>
      <c r="S22" s="55"/>
      <c r="T22" s="55"/>
      <c r="U22" s="55"/>
      <c r="V22" s="124"/>
      <c r="W22" s="124"/>
      <c r="X22" s="124"/>
      <c r="Y22" s="124"/>
      <c r="Z22" s="124"/>
      <c r="AA22" s="124"/>
      <c r="AB22" s="124"/>
    </row>
    <row r="23" spans="2:30" ht="120" hidden="1" customHeight="1">
      <c r="B23" s="121"/>
      <c r="D23" s="126" t="s">
        <v>37</v>
      </c>
      <c r="E23" s="126" t="s">
        <v>38</v>
      </c>
      <c r="F23" s="61" t="s">
        <v>39</v>
      </c>
      <c r="G23" s="124" t="s">
        <v>40</v>
      </c>
      <c r="H23" s="124"/>
      <c r="I23" s="124"/>
      <c r="J23" s="124"/>
      <c r="K23" s="63"/>
      <c r="L23" s="63"/>
      <c r="M23" s="63"/>
      <c r="N23" s="55"/>
      <c r="O23" s="55"/>
      <c r="P23" s="55"/>
      <c r="Q23" s="55"/>
      <c r="R23" s="55"/>
      <c r="S23" s="55"/>
      <c r="T23" s="55"/>
      <c r="U23" s="55"/>
      <c r="V23" s="124"/>
      <c r="W23" s="124"/>
      <c r="X23" s="124"/>
      <c r="Y23" s="124"/>
      <c r="Z23" s="124"/>
      <c r="AA23" s="124"/>
      <c r="AB23" s="124"/>
    </row>
    <row r="24" spans="2:30" ht="15" hidden="1" customHeight="1">
      <c r="B24" s="121">
        <v>1918</v>
      </c>
      <c r="D24" s="126"/>
      <c r="E24" s="126"/>
      <c r="F24" s="61"/>
      <c r="G24" s="124"/>
      <c r="H24" s="124"/>
      <c r="I24" s="124"/>
      <c r="J24" s="124"/>
      <c r="K24" s="63"/>
      <c r="L24" s="63"/>
      <c r="M24" s="63"/>
      <c r="N24" s="55"/>
      <c r="O24" s="55"/>
      <c r="P24" s="55"/>
      <c r="Q24" s="55"/>
      <c r="R24" s="55"/>
      <c r="S24" s="55"/>
      <c r="T24" s="55"/>
      <c r="U24" s="55"/>
      <c r="V24" s="124"/>
      <c r="W24" s="124"/>
      <c r="X24" s="124"/>
      <c r="Y24" s="124"/>
      <c r="Z24" s="124"/>
      <c r="AA24" s="124"/>
      <c r="AB24" s="124"/>
    </row>
    <row r="25" spans="2:30" ht="15" hidden="1" customHeight="1">
      <c r="B25" s="121">
        <v>1919</v>
      </c>
      <c r="D25" s="126"/>
      <c r="E25" s="126"/>
      <c r="F25" s="61"/>
      <c r="G25" s="124"/>
      <c r="H25" s="124"/>
      <c r="I25" s="124"/>
      <c r="J25" s="124"/>
      <c r="K25" s="63"/>
      <c r="L25" s="63"/>
      <c r="M25" s="63"/>
      <c r="N25" s="55"/>
      <c r="O25" s="55"/>
      <c r="P25" s="55"/>
      <c r="Q25" s="55"/>
      <c r="R25" s="55"/>
      <c r="S25" s="55"/>
      <c r="T25" s="55"/>
      <c r="U25" s="55"/>
      <c r="V25" s="124"/>
      <c r="W25" s="124"/>
      <c r="X25" s="124"/>
      <c r="Y25" s="124"/>
      <c r="Z25" s="124"/>
      <c r="AA25" s="124"/>
      <c r="AB25" s="124"/>
    </row>
    <row r="26" spans="2:30" ht="30" hidden="1" customHeight="1">
      <c r="B26" s="121">
        <v>1920</v>
      </c>
      <c r="D26" s="126" t="s">
        <v>41</v>
      </c>
      <c r="E26" s="126" t="s">
        <v>42</v>
      </c>
      <c r="F26" s="61" t="s">
        <v>18</v>
      </c>
      <c r="G26" s="5">
        <v>500000</v>
      </c>
      <c r="H26" s="5"/>
      <c r="I26" s="5"/>
      <c r="J26" s="124"/>
      <c r="K26" s="63"/>
      <c r="L26" s="63"/>
      <c r="M26" s="63"/>
      <c r="N26" s="55"/>
      <c r="O26" s="55"/>
      <c r="P26" s="55"/>
      <c r="Q26" s="55"/>
      <c r="R26" s="55"/>
      <c r="S26" s="55"/>
      <c r="T26" s="55"/>
      <c r="U26" s="55"/>
      <c r="V26" s="124"/>
      <c r="W26" s="124"/>
      <c r="X26" s="124"/>
      <c r="Y26" s="124"/>
      <c r="Z26" s="124"/>
      <c r="AA26" s="124"/>
      <c r="AB26" s="124"/>
    </row>
    <row r="27" spans="2:30" ht="30" hidden="1" customHeight="1">
      <c r="B27" s="121">
        <v>1921</v>
      </c>
      <c r="D27" s="126">
        <v>1921</v>
      </c>
      <c r="E27" s="61" t="s">
        <v>43</v>
      </c>
      <c r="F27" s="61" t="s">
        <v>30</v>
      </c>
      <c r="G27" s="6">
        <v>5000000</v>
      </c>
      <c r="H27" s="6"/>
      <c r="I27" s="6"/>
      <c r="J27" s="124"/>
      <c r="K27" s="63"/>
      <c r="L27" s="63"/>
      <c r="M27" s="63"/>
      <c r="N27" s="55"/>
      <c r="O27" s="55"/>
      <c r="P27" s="55"/>
      <c r="Q27" s="55"/>
      <c r="R27" s="55"/>
      <c r="S27" s="55"/>
      <c r="T27" s="55"/>
      <c r="U27" s="55"/>
      <c r="V27" s="124"/>
      <c r="W27" s="124"/>
      <c r="X27" s="124"/>
      <c r="Y27" s="124"/>
      <c r="Z27" s="124"/>
      <c r="AA27" s="124"/>
      <c r="AB27" s="124"/>
    </row>
    <row r="28" spans="2:30" ht="60" hidden="1" customHeight="1">
      <c r="B28" s="121"/>
      <c r="D28" s="126" t="s">
        <v>44</v>
      </c>
      <c r="E28" s="126" t="s">
        <v>45</v>
      </c>
      <c r="F28" s="61" t="s">
        <v>30</v>
      </c>
      <c r="G28" s="124" t="s">
        <v>46</v>
      </c>
      <c r="H28" s="124"/>
      <c r="I28" s="124"/>
      <c r="J28" s="124"/>
      <c r="K28" s="63"/>
      <c r="L28" s="63"/>
      <c r="M28" s="63"/>
      <c r="N28" s="55"/>
      <c r="O28" s="55"/>
      <c r="P28" s="55"/>
      <c r="Q28" s="55"/>
      <c r="R28" s="55"/>
      <c r="S28" s="55"/>
      <c r="T28" s="55"/>
      <c r="U28" s="55"/>
      <c r="V28" s="124"/>
      <c r="W28" s="124"/>
      <c r="X28" s="124"/>
      <c r="Y28" s="124"/>
      <c r="Z28" s="124"/>
      <c r="AA28" s="124"/>
      <c r="AB28" s="124"/>
    </row>
    <row r="29" spans="2:30" ht="45" hidden="1" customHeight="1">
      <c r="B29" s="121">
        <v>1922</v>
      </c>
      <c r="D29" s="62">
        <v>1922</v>
      </c>
      <c r="E29" s="62" t="s">
        <v>47</v>
      </c>
      <c r="F29" s="62" t="s">
        <v>48</v>
      </c>
      <c r="G29" s="8"/>
      <c r="H29" s="8"/>
      <c r="I29" s="8" t="s">
        <v>49</v>
      </c>
      <c r="J29" s="8"/>
      <c r="K29" s="64"/>
      <c r="L29" s="64"/>
      <c r="M29" s="64"/>
      <c r="N29" s="58"/>
      <c r="O29" s="58"/>
      <c r="P29" s="58"/>
      <c r="Q29" s="58"/>
      <c r="R29" s="58"/>
      <c r="S29" s="58"/>
      <c r="T29" s="58"/>
      <c r="U29" s="58"/>
      <c r="V29" s="8"/>
      <c r="W29" s="8"/>
      <c r="X29" s="8"/>
      <c r="Y29" s="8"/>
      <c r="Z29" s="8"/>
      <c r="AA29" s="8"/>
      <c r="AB29" s="8"/>
      <c r="AC29" s="9"/>
      <c r="AD29" s="9"/>
    </row>
    <row r="30" spans="2:30" ht="15" hidden="1" customHeight="1">
      <c r="B30" s="121">
        <v>1923</v>
      </c>
      <c r="D30" s="126"/>
      <c r="E30" s="126"/>
      <c r="F30" s="61"/>
      <c r="G30" s="124"/>
      <c r="H30" s="124"/>
      <c r="I30" s="124"/>
      <c r="J30" s="124"/>
      <c r="K30" s="63"/>
      <c r="L30" s="63"/>
      <c r="M30" s="63"/>
      <c r="N30" s="55"/>
      <c r="O30" s="55"/>
      <c r="P30" s="55"/>
      <c r="Q30" s="55"/>
      <c r="R30" s="55"/>
      <c r="S30" s="55"/>
      <c r="T30" s="55"/>
      <c r="U30" s="55"/>
      <c r="V30" s="124"/>
      <c r="W30" s="124"/>
      <c r="X30" s="124"/>
      <c r="Y30" s="124"/>
      <c r="Z30" s="124"/>
      <c r="AA30" s="124"/>
      <c r="AB30" s="124"/>
    </row>
    <row r="31" spans="2:30" ht="15" hidden="1" customHeight="1">
      <c r="B31" s="121">
        <v>1924</v>
      </c>
      <c r="D31" s="126"/>
      <c r="E31" s="126"/>
      <c r="F31" s="61"/>
      <c r="G31" s="124"/>
      <c r="H31" s="124"/>
      <c r="I31" s="124"/>
      <c r="J31" s="124"/>
      <c r="K31" s="63"/>
      <c r="L31" s="63"/>
      <c r="M31" s="63"/>
      <c r="N31" s="55"/>
      <c r="O31" s="55"/>
      <c r="P31" s="55"/>
      <c r="Q31" s="55"/>
      <c r="R31" s="55"/>
      <c r="S31" s="55"/>
      <c r="T31" s="55"/>
      <c r="U31" s="55"/>
      <c r="V31" s="124"/>
      <c r="W31" s="124"/>
      <c r="X31" s="124"/>
      <c r="Y31" s="124"/>
      <c r="Z31" s="124"/>
      <c r="AA31" s="124"/>
      <c r="AB31" s="124"/>
    </row>
    <row r="32" spans="2:30" ht="15" hidden="1" customHeight="1">
      <c r="B32" s="121">
        <v>1925</v>
      </c>
      <c r="D32" s="126"/>
      <c r="E32" s="126"/>
      <c r="F32" s="61"/>
      <c r="G32" s="124"/>
      <c r="H32" s="124"/>
      <c r="I32" s="124"/>
      <c r="J32" s="124"/>
      <c r="K32" s="63"/>
      <c r="L32" s="63"/>
      <c r="M32" s="63"/>
      <c r="N32" s="55"/>
      <c r="O32" s="55"/>
      <c r="P32" s="55"/>
      <c r="Q32" s="55"/>
      <c r="R32" s="55"/>
      <c r="S32" s="55"/>
      <c r="T32" s="55"/>
      <c r="U32" s="55"/>
      <c r="V32" s="124"/>
      <c r="W32" s="124"/>
      <c r="X32" s="124"/>
      <c r="Y32" s="124"/>
      <c r="Z32" s="124"/>
      <c r="AA32" s="124"/>
      <c r="AB32" s="124"/>
    </row>
    <row r="33" spans="2:31" ht="15" hidden="1" customHeight="1">
      <c r="B33" s="121">
        <v>1926</v>
      </c>
      <c r="D33" s="126"/>
      <c r="E33" s="126"/>
      <c r="F33" s="61"/>
      <c r="G33" s="124"/>
      <c r="H33" s="124"/>
      <c r="I33" s="124"/>
      <c r="J33" s="124"/>
      <c r="K33" s="63"/>
      <c r="L33" s="63"/>
      <c r="M33" s="63"/>
      <c r="N33" s="55"/>
      <c r="O33" s="55"/>
      <c r="P33" s="55"/>
      <c r="Q33" s="55"/>
      <c r="R33" s="55"/>
      <c r="S33" s="55"/>
      <c r="T33" s="55"/>
      <c r="U33" s="55"/>
      <c r="V33" s="124"/>
      <c r="W33" s="124"/>
      <c r="X33" s="124"/>
      <c r="Y33" s="124"/>
      <c r="Z33" s="124"/>
      <c r="AA33" s="124"/>
      <c r="AB33" s="124"/>
    </row>
    <row r="34" spans="2:31" ht="15" hidden="1" customHeight="1">
      <c r="B34" s="121">
        <v>1927</v>
      </c>
      <c r="D34" s="126">
        <v>1927</v>
      </c>
      <c r="E34" s="126" t="s">
        <v>50</v>
      </c>
      <c r="F34" s="61" t="s">
        <v>18</v>
      </c>
      <c r="G34" s="5">
        <v>6000000</v>
      </c>
      <c r="H34" s="5"/>
      <c r="I34" s="5"/>
      <c r="J34" s="124"/>
      <c r="K34" s="63"/>
      <c r="L34" s="63"/>
      <c r="M34" s="63"/>
      <c r="N34" s="55"/>
      <c r="O34" s="55"/>
      <c r="P34" s="55"/>
      <c r="Q34" s="55"/>
      <c r="R34" s="55"/>
      <c r="S34" s="55"/>
      <c r="T34" s="55"/>
      <c r="U34" s="55"/>
      <c r="V34" s="124"/>
      <c r="W34" s="124"/>
      <c r="X34" s="124"/>
      <c r="Y34" s="124"/>
      <c r="Z34" s="124"/>
      <c r="AA34" s="124"/>
      <c r="AB34" s="124"/>
    </row>
    <row r="35" spans="2:31" ht="30" hidden="1" customHeight="1">
      <c r="B35" s="10"/>
      <c r="C35" s="9"/>
      <c r="D35" s="62">
        <v>1927</v>
      </c>
      <c r="E35" s="62" t="s">
        <v>51</v>
      </c>
      <c r="F35" s="62" t="s">
        <v>13</v>
      </c>
      <c r="G35" s="11"/>
      <c r="H35" s="11"/>
      <c r="I35" s="11"/>
      <c r="J35" s="8"/>
      <c r="K35" s="64"/>
      <c r="L35" s="64"/>
      <c r="M35" s="64" t="s">
        <v>52</v>
      </c>
      <c r="N35" s="58"/>
      <c r="O35" s="58"/>
      <c r="P35" s="58"/>
      <c r="Q35" s="58"/>
      <c r="R35" s="58"/>
      <c r="S35" s="58"/>
      <c r="T35" s="58"/>
      <c r="U35" s="58"/>
      <c r="V35" s="8"/>
      <c r="W35" s="8"/>
      <c r="X35" s="8"/>
      <c r="Y35" s="8"/>
      <c r="Z35" s="8"/>
      <c r="AA35" s="8"/>
      <c r="AB35" s="8"/>
      <c r="AC35" s="9"/>
      <c r="AE35" s="56" t="s">
        <v>53</v>
      </c>
    </row>
    <row r="36" spans="2:31" ht="60" hidden="1" customHeight="1">
      <c r="B36" s="121">
        <v>1928</v>
      </c>
      <c r="D36" s="126" t="s">
        <v>54</v>
      </c>
      <c r="E36" s="61" t="s">
        <v>55</v>
      </c>
      <c r="F36" s="126" t="s">
        <v>56</v>
      </c>
      <c r="G36" s="5">
        <v>300000</v>
      </c>
      <c r="H36" s="5"/>
      <c r="I36" s="5"/>
      <c r="J36" s="124"/>
      <c r="K36" s="63"/>
      <c r="L36" s="63"/>
      <c r="M36" s="63"/>
      <c r="N36" s="55"/>
      <c r="O36" s="55"/>
      <c r="P36" s="55"/>
      <c r="Q36" s="55"/>
      <c r="R36" s="55"/>
      <c r="S36" s="55"/>
      <c r="T36" s="55"/>
      <c r="U36" s="55"/>
      <c r="V36" s="124"/>
      <c r="W36" s="124"/>
      <c r="X36" s="124"/>
      <c r="Y36" s="124"/>
      <c r="Z36" s="124"/>
      <c r="AA36" s="124"/>
      <c r="AB36" s="124"/>
    </row>
    <row r="37" spans="2:31" ht="30" hidden="1" customHeight="1">
      <c r="B37" s="121"/>
      <c r="D37" s="126" t="s">
        <v>57</v>
      </c>
      <c r="E37" s="126" t="s">
        <v>58</v>
      </c>
      <c r="F37" s="61" t="s">
        <v>18</v>
      </c>
      <c r="G37" s="5">
        <v>3000000</v>
      </c>
      <c r="H37" s="5"/>
      <c r="I37" s="5"/>
      <c r="J37" s="124"/>
      <c r="K37" s="63"/>
      <c r="L37" s="63"/>
      <c r="M37" s="63"/>
      <c r="N37" s="55"/>
      <c r="O37" s="55"/>
      <c r="P37" s="55"/>
      <c r="Q37" s="55"/>
      <c r="R37" s="55"/>
      <c r="S37" s="55"/>
      <c r="T37" s="55"/>
      <c r="U37" s="55"/>
      <c r="V37" s="124"/>
      <c r="W37" s="124"/>
      <c r="X37" s="124"/>
      <c r="Y37" s="124"/>
      <c r="Z37" s="124"/>
      <c r="AA37" s="124"/>
      <c r="AB37" s="124"/>
    </row>
    <row r="38" spans="2:31" ht="15" hidden="1" customHeight="1">
      <c r="B38" s="121">
        <v>1929</v>
      </c>
      <c r="D38" s="126">
        <v>1929</v>
      </c>
      <c r="E38" s="126" t="s">
        <v>59</v>
      </c>
      <c r="F38" s="61" t="s">
        <v>18</v>
      </c>
      <c r="G38" s="5">
        <v>2000000</v>
      </c>
      <c r="H38" s="5"/>
      <c r="I38" s="5"/>
      <c r="J38" s="124"/>
      <c r="K38" s="63"/>
      <c r="L38" s="63"/>
      <c r="M38" s="63"/>
      <c r="N38" s="55"/>
      <c r="O38" s="55"/>
      <c r="P38" s="55"/>
      <c r="Q38" s="55"/>
      <c r="R38" s="55"/>
      <c r="S38" s="55"/>
      <c r="T38" s="55"/>
      <c r="U38" s="55"/>
      <c r="V38" s="124"/>
      <c r="W38" s="124"/>
      <c r="X38" s="124"/>
      <c r="Y38" s="124"/>
      <c r="Z38" s="124"/>
      <c r="AA38" s="124"/>
      <c r="AB38" s="124"/>
    </row>
    <row r="39" spans="2:31" ht="15" hidden="1" customHeight="1">
      <c r="B39" s="121">
        <v>1930</v>
      </c>
      <c r="D39" s="126"/>
      <c r="E39" s="126"/>
      <c r="F39" s="61"/>
      <c r="G39" s="5"/>
      <c r="H39" s="5"/>
      <c r="I39" s="5"/>
      <c r="J39" s="124"/>
      <c r="K39" s="63"/>
      <c r="L39" s="63"/>
      <c r="M39" s="63"/>
      <c r="N39" s="55"/>
      <c r="O39" s="55"/>
      <c r="P39" s="55"/>
      <c r="Q39" s="55"/>
      <c r="R39" s="55"/>
      <c r="S39" s="55"/>
      <c r="T39" s="55"/>
      <c r="U39" s="55"/>
      <c r="V39" s="124"/>
      <c r="W39" s="124"/>
      <c r="X39" s="124"/>
      <c r="Y39" s="124"/>
      <c r="Z39" s="124"/>
      <c r="AA39" s="124"/>
      <c r="AB39" s="124"/>
    </row>
    <row r="40" spans="2:31" ht="15" hidden="1" customHeight="1">
      <c r="B40" s="121">
        <v>1931</v>
      </c>
      <c r="D40" s="126"/>
      <c r="E40" s="126"/>
      <c r="F40" s="61"/>
      <c r="G40" s="5"/>
      <c r="H40" s="5"/>
      <c r="I40" s="5"/>
      <c r="J40" s="124"/>
      <c r="K40" s="63"/>
      <c r="L40" s="63"/>
      <c r="M40" s="63"/>
      <c r="N40" s="55"/>
      <c r="O40" s="55"/>
      <c r="P40" s="55"/>
      <c r="Q40" s="55"/>
      <c r="R40" s="55"/>
      <c r="S40" s="55"/>
      <c r="T40" s="55"/>
      <c r="U40" s="55"/>
      <c r="V40" s="124"/>
      <c r="W40" s="124"/>
      <c r="X40" s="124"/>
      <c r="Y40" s="124"/>
      <c r="Z40" s="124"/>
      <c r="AA40" s="124"/>
      <c r="AB40" s="124"/>
    </row>
    <row r="41" spans="2:31" ht="75" hidden="1" customHeight="1">
      <c r="B41" s="121">
        <v>1932</v>
      </c>
      <c r="D41" s="126" t="s">
        <v>60</v>
      </c>
      <c r="E41" s="126" t="s">
        <v>61</v>
      </c>
      <c r="F41" s="61" t="s">
        <v>62</v>
      </c>
      <c r="G41" s="7" t="s">
        <v>63</v>
      </c>
      <c r="H41" s="7"/>
      <c r="I41" s="7"/>
      <c r="J41" s="124"/>
      <c r="K41" s="63"/>
      <c r="L41" s="63"/>
      <c r="M41" s="63"/>
      <c r="N41" s="55"/>
      <c r="O41" s="55"/>
      <c r="P41" s="55"/>
      <c r="Q41" s="55"/>
      <c r="R41" s="55"/>
      <c r="S41" s="55"/>
      <c r="T41" s="55"/>
      <c r="U41" s="55"/>
      <c r="V41" s="124"/>
      <c r="W41" s="124"/>
      <c r="X41" s="124"/>
      <c r="Y41" s="124"/>
      <c r="Z41" s="124"/>
      <c r="AA41" s="124"/>
      <c r="AB41" s="124"/>
    </row>
    <row r="42" spans="2:31" ht="15" hidden="1" customHeight="1">
      <c r="B42" s="121">
        <v>1933</v>
      </c>
      <c r="D42" s="126"/>
      <c r="E42" s="126"/>
      <c r="F42" s="61"/>
      <c r="G42" s="7"/>
      <c r="H42" s="7"/>
      <c r="I42" s="7"/>
      <c r="J42" s="124"/>
      <c r="K42" s="63"/>
      <c r="L42" s="63"/>
      <c r="M42" s="63"/>
      <c r="N42" s="55"/>
      <c r="O42" s="55"/>
      <c r="P42" s="55"/>
      <c r="Q42" s="55"/>
      <c r="R42" s="55"/>
      <c r="S42" s="55"/>
      <c r="T42" s="55"/>
      <c r="U42" s="55"/>
      <c r="V42" s="124"/>
      <c r="W42" s="124"/>
      <c r="X42" s="124"/>
      <c r="Y42" s="124"/>
      <c r="Z42" s="124"/>
      <c r="AA42" s="124"/>
      <c r="AB42" s="124"/>
    </row>
    <row r="43" spans="2:31" ht="15" hidden="1" customHeight="1">
      <c r="B43" s="121">
        <v>1934</v>
      </c>
      <c r="D43" s="126"/>
      <c r="E43" s="126"/>
      <c r="F43" s="61"/>
      <c r="G43" s="7"/>
      <c r="H43" s="7"/>
      <c r="I43" s="7"/>
      <c r="J43" s="124"/>
      <c r="K43" s="63"/>
      <c r="L43" s="63"/>
      <c r="M43" s="63"/>
      <c r="N43" s="55"/>
      <c r="O43" s="55"/>
      <c r="P43" s="55"/>
      <c r="Q43" s="55"/>
      <c r="R43" s="55"/>
      <c r="S43" s="55"/>
      <c r="T43" s="55"/>
      <c r="U43" s="55"/>
      <c r="V43" s="124"/>
      <c r="W43" s="124"/>
      <c r="X43" s="124"/>
      <c r="Y43" s="124"/>
      <c r="Z43" s="124"/>
      <c r="AA43" s="124"/>
      <c r="AB43" s="124"/>
    </row>
    <row r="44" spans="2:31" ht="15" hidden="1" customHeight="1">
      <c r="B44" s="121">
        <v>1935</v>
      </c>
      <c r="D44" s="126"/>
      <c r="E44" s="126"/>
      <c r="F44" s="61"/>
      <c r="G44" s="7"/>
      <c r="H44" s="7"/>
      <c r="I44" s="7"/>
      <c r="J44" s="124"/>
      <c r="K44" s="63"/>
      <c r="L44" s="63"/>
      <c r="M44" s="63"/>
      <c r="N44" s="55"/>
      <c r="O44" s="55"/>
      <c r="P44" s="55"/>
      <c r="Q44" s="55"/>
      <c r="R44" s="55"/>
      <c r="S44" s="55"/>
      <c r="T44" s="55"/>
      <c r="U44" s="55"/>
      <c r="V44" s="124"/>
      <c r="W44" s="124"/>
      <c r="X44" s="124"/>
      <c r="Y44" s="124"/>
      <c r="Z44" s="124"/>
      <c r="AA44" s="124"/>
      <c r="AB44" s="124"/>
    </row>
    <row r="45" spans="2:31" ht="15" hidden="1" customHeight="1">
      <c r="B45" s="121">
        <v>1936</v>
      </c>
      <c r="D45" s="126">
        <v>1936</v>
      </c>
      <c r="E45" s="126"/>
      <c r="F45" s="61" t="s">
        <v>18</v>
      </c>
      <c r="G45" s="6">
        <v>5000000</v>
      </c>
      <c r="H45" s="6"/>
      <c r="I45" s="6"/>
      <c r="J45" s="8"/>
      <c r="K45" s="63"/>
      <c r="L45" s="63"/>
      <c r="M45" s="63"/>
      <c r="N45" s="55"/>
      <c r="O45" s="55"/>
      <c r="P45" s="55"/>
      <c r="Q45" s="55"/>
      <c r="R45" s="55"/>
      <c r="S45" s="55"/>
      <c r="T45" s="55"/>
      <c r="U45" s="55"/>
      <c r="V45" s="124"/>
      <c r="W45" s="124"/>
      <c r="X45" s="124"/>
      <c r="Y45" s="124"/>
      <c r="Z45" s="124"/>
      <c r="AA45" s="124"/>
      <c r="AB45" s="124"/>
    </row>
    <row r="46" spans="2:31" ht="15" hidden="1" customHeight="1">
      <c r="B46" s="121">
        <v>1937</v>
      </c>
      <c r="D46" s="126"/>
      <c r="E46" s="126"/>
      <c r="F46" s="61"/>
      <c r="G46" s="7"/>
      <c r="H46" s="7"/>
      <c r="I46" s="7"/>
      <c r="J46" s="8"/>
      <c r="K46" s="63"/>
      <c r="L46" s="63"/>
      <c r="M46" s="63"/>
      <c r="N46" s="55"/>
      <c r="O46" s="55"/>
      <c r="P46" s="55"/>
      <c r="Q46" s="55"/>
      <c r="R46" s="55"/>
      <c r="S46" s="55"/>
      <c r="T46" s="55"/>
      <c r="U46" s="55"/>
      <c r="V46" s="124"/>
      <c r="W46" s="124"/>
      <c r="X46" s="124"/>
      <c r="Y46" s="124"/>
      <c r="Z46" s="124"/>
      <c r="AA46" s="124"/>
      <c r="AB46" s="124"/>
    </row>
    <row r="47" spans="2:31" ht="15" hidden="1" customHeight="1">
      <c r="B47" s="121">
        <v>1938</v>
      </c>
      <c r="D47" s="126"/>
      <c r="E47" s="126"/>
      <c r="F47" s="61"/>
      <c r="G47" s="7"/>
      <c r="H47" s="7"/>
      <c r="I47" s="7"/>
      <c r="J47" s="8"/>
      <c r="K47" s="63"/>
      <c r="L47" s="63"/>
      <c r="M47" s="63"/>
      <c r="N47" s="55"/>
      <c r="O47" s="55"/>
      <c r="P47" s="55"/>
      <c r="Q47" s="55"/>
      <c r="R47" s="55"/>
      <c r="S47" s="55"/>
      <c r="T47" s="55"/>
      <c r="U47" s="55"/>
      <c r="V47" s="124"/>
      <c r="W47" s="124"/>
      <c r="X47" s="124"/>
      <c r="Y47" s="124"/>
      <c r="Z47" s="124"/>
      <c r="AA47" s="124"/>
      <c r="AB47" s="124"/>
    </row>
    <row r="48" spans="2:31" ht="15" hidden="1" customHeight="1">
      <c r="B48" s="121">
        <v>1939</v>
      </c>
      <c r="D48" s="126"/>
      <c r="E48" s="126"/>
      <c r="F48" s="61"/>
      <c r="G48" s="7"/>
      <c r="H48" s="7"/>
      <c r="I48" s="7"/>
      <c r="J48" s="8"/>
      <c r="K48" s="63"/>
      <c r="L48" s="63"/>
      <c r="M48" s="63"/>
      <c r="N48" s="55"/>
      <c r="O48" s="55"/>
      <c r="P48" s="55"/>
      <c r="Q48" s="55"/>
      <c r="R48" s="55"/>
      <c r="S48" s="55"/>
      <c r="T48" s="55"/>
      <c r="U48" s="55"/>
      <c r="V48" s="124"/>
      <c r="W48" s="124"/>
      <c r="X48" s="124"/>
      <c r="Y48" s="124"/>
      <c r="Z48" s="124"/>
      <c r="AA48" s="124"/>
      <c r="AB48" s="124"/>
    </row>
    <row r="49" spans="1:39" ht="30" hidden="1" customHeight="1">
      <c r="B49" s="121">
        <v>1940</v>
      </c>
      <c r="D49" s="126" t="s">
        <v>64</v>
      </c>
      <c r="E49" s="61" t="s">
        <v>65</v>
      </c>
      <c r="F49" s="61" t="s">
        <v>66</v>
      </c>
      <c r="G49" s="5">
        <v>112000</v>
      </c>
      <c r="H49" s="5"/>
      <c r="I49" s="5"/>
      <c r="J49" s="124"/>
      <c r="K49" s="63"/>
      <c r="L49" s="63"/>
      <c r="M49" s="63"/>
      <c r="N49" s="55"/>
      <c r="O49" s="55"/>
      <c r="P49" s="55"/>
      <c r="Q49" s="55"/>
      <c r="R49" s="55"/>
      <c r="S49" s="55"/>
      <c r="T49" s="55"/>
      <c r="U49" s="55"/>
      <c r="V49" s="124"/>
      <c r="W49" s="124"/>
      <c r="X49" s="124"/>
      <c r="Y49" s="124"/>
      <c r="Z49" s="124"/>
      <c r="AA49" s="124"/>
      <c r="AB49" s="124"/>
    </row>
    <row r="50" spans="1:39" ht="15" hidden="1" customHeight="1">
      <c r="B50" s="121">
        <v>1941</v>
      </c>
      <c r="D50" s="126" t="s">
        <v>67</v>
      </c>
      <c r="E50" s="126" t="s">
        <v>68</v>
      </c>
      <c r="F50" s="61" t="s">
        <v>30</v>
      </c>
      <c r="G50" s="5">
        <v>1000000</v>
      </c>
      <c r="H50" s="5"/>
      <c r="I50" s="5"/>
      <c r="J50" s="124"/>
      <c r="K50" s="63"/>
      <c r="L50" s="63"/>
      <c r="M50" s="63"/>
      <c r="N50" s="55"/>
      <c r="O50" s="55"/>
      <c r="P50" s="55"/>
      <c r="Q50" s="55"/>
      <c r="R50" s="55"/>
      <c r="S50" s="55"/>
      <c r="T50" s="55"/>
      <c r="U50" s="55"/>
      <c r="V50" s="124"/>
      <c r="W50" s="124"/>
      <c r="X50" s="124"/>
      <c r="Y50" s="124"/>
      <c r="Z50" s="124"/>
      <c r="AA50" s="124"/>
      <c r="AB50" s="124"/>
    </row>
    <row r="51" spans="1:39" ht="15" hidden="1" customHeight="1">
      <c r="B51" s="121"/>
      <c r="D51" s="126" t="s">
        <v>69</v>
      </c>
      <c r="E51" s="126" t="s">
        <v>70</v>
      </c>
      <c r="F51" s="61" t="s">
        <v>71</v>
      </c>
      <c r="G51" s="5">
        <v>300000</v>
      </c>
      <c r="H51" s="5"/>
      <c r="I51" s="5"/>
      <c r="J51" s="124"/>
      <c r="K51" s="63"/>
      <c r="L51" s="63"/>
      <c r="M51" s="63"/>
      <c r="N51" s="55"/>
      <c r="O51" s="55"/>
      <c r="P51" s="55"/>
      <c r="Q51" s="55"/>
      <c r="R51" s="55"/>
      <c r="S51" s="55"/>
      <c r="T51" s="55"/>
      <c r="U51" s="55"/>
      <c r="V51" s="124"/>
      <c r="W51" s="124"/>
      <c r="X51" s="124"/>
      <c r="Y51" s="124"/>
      <c r="Z51" s="124"/>
      <c r="AA51" s="124"/>
      <c r="AB51" s="124"/>
    </row>
    <row r="52" spans="1:39" ht="15" hidden="1" customHeight="1">
      <c r="A52" s="9"/>
      <c r="B52" s="121">
        <v>1942</v>
      </c>
      <c r="C52" s="9"/>
      <c r="D52" s="62" t="s">
        <v>72</v>
      </c>
      <c r="E52" s="62" t="s">
        <v>13</v>
      </c>
      <c r="F52" s="62" t="s">
        <v>13</v>
      </c>
      <c r="G52" s="11"/>
      <c r="H52" s="11"/>
      <c r="I52" s="11"/>
      <c r="J52" s="8"/>
      <c r="K52" s="64"/>
      <c r="L52" s="64" t="s">
        <v>73</v>
      </c>
      <c r="M52" s="64"/>
      <c r="N52" s="58"/>
      <c r="O52" s="58"/>
      <c r="P52" s="58"/>
      <c r="Q52" s="58"/>
      <c r="R52" s="58"/>
      <c r="S52" s="58"/>
      <c r="T52" s="58"/>
      <c r="U52" s="58"/>
      <c r="V52" s="8"/>
      <c r="W52" s="8"/>
      <c r="X52" s="8"/>
      <c r="Y52" s="8"/>
      <c r="Z52" s="8"/>
      <c r="AA52" s="8"/>
      <c r="AB52" s="8"/>
      <c r="AC52" s="9"/>
      <c r="AD52" s="9"/>
      <c r="AE52" s="57"/>
      <c r="AF52" s="9"/>
      <c r="AG52" s="9"/>
      <c r="AH52" s="9"/>
      <c r="AI52" s="9"/>
      <c r="AJ52" s="9"/>
      <c r="AK52" s="9"/>
      <c r="AL52" s="9"/>
      <c r="AM52" s="9"/>
    </row>
    <row r="53" spans="1:39" ht="15" hidden="1" customHeight="1">
      <c r="B53" s="121">
        <v>1943</v>
      </c>
      <c r="D53" s="126">
        <v>1943</v>
      </c>
      <c r="E53" s="126" t="s">
        <v>74</v>
      </c>
      <c r="F53" s="61" t="s">
        <v>18</v>
      </c>
      <c r="G53" s="5">
        <v>5000000</v>
      </c>
      <c r="H53" s="5"/>
      <c r="I53" s="5"/>
      <c r="J53" s="124"/>
      <c r="K53" s="63"/>
      <c r="L53" s="63"/>
      <c r="M53" s="63"/>
      <c r="N53" s="55"/>
      <c r="O53" s="55"/>
      <c r="P53" s="55"/>
      <c r="Q53" s="55"/>
      <c r="R53" s="55"/>
      <c r="S53" s="55"/>
      <c r="T53" s="55"/>
      <c r="U53" s="55"/>
      <c r="V53" s="124"/>
      <c r="W53" s="124"/>
      <c r="X53" s="124"/>
      <c r="Y53" s="124"/>
      <c r="Z53" s="124"/>
      <c r="AA53" s="124"/>
      <c r="AB53" s="124"/>
    </row>
    <row r="54" spans="1:39" ht="30" hidden="1" customHeight="1">
      <c r="B54" s="121"/>
      <c r="D54" s="126">
        <v>1943</v>
      </c>
      <c r="E54" s="61" t="s">
        <v>75</v>
      </c>
      <c r="F54" s="61" t="s">
        <v>76</v>
      </c>
      <c r="G54" s="124" t="s">
        <v>77</v>
      </c>
      <c r="H54" s="124"/>
      <c r="I54" s="124"/>
      <c r="J54" s="124"/>
      <c r="K54" s="63"/>
      <c r="L54" s="63"/>
      <c r="M54" s="63"/>
      <c r="N54" s="55"/>
      <c r="O54" s="55"/>
      <c r="P54" s="55"/>
      <c r="Q54" s="55"/>
      <c r="R54" s="55"/>
      <c r="S54" s="55"/>
      <c r="T54" s="55"/>
      <c r="U54" s="55"/>
      <c r="V54" s="124"/>
      <c r="W54" s="124"/>
      <c r="X54" s="124"/>
      <c r="Y54" s="124"/>
      <c r="Z54" s="124"/>
      <c r="AA54" s="124"/>
      <c r="AB54" s="124"/>
    </row>
    <row r="55" spans="1:39" ht="60" hidden="1" customHeight="1">
      <c r="B55" s="121"/>
      <c r="D55" s="126">
        <v>1943</v>
      </c>
      <c r="E55" s="61" t="s">
        <v>78</v>
      </c>
      <c r="F55" s="126" t="s">
        <v>56</v>
      </c>
      <c r="G55" s="5">
        <v>300000</v>
      </c>
      <c r="H55" s="5"/>
      <c r="I55" s="5"/>
      <c r="J55" s="124"/>
      <c r="K55" s="63"/>
      <c r="L55" s="63"/>
      <c r="M55" s="63"/>
      <c r="N55" s="55"/>
      <c r="O55" s="55"/>
      <c r="P55" s="55"/>
      <c r="Q55" s="55"/>
      <c r="R55" s="55"/>
      <c r="S55" s="55"/>
      <c r="T55" s="55"/>
      <c r="U55" s="55"/>
      <c r="V55" s="124"/>
      <c r="W55" s="124"/>
      <c r="X55" s="124"/>
      <c r="Y55" s="124"/>
      <c r="Z55" s="124"/>
      <c r="AA55" s="124"/>
      <c r="AB55" s="124"/>
    </row>
    <row r="56" spans="1:39" ht="30" hidden="1" customHeight="1">
      <c r="B56" s="121">
        <v>1944</v>
      </c>
      <c r="D56" s="126">
        <v>1944</v>
      </c>
      <c r="E56" s="126" t="s">
        <v>79</v>
      </c>
      <c r="F56" s="61" t="s">
        <v>80</v>
      </c>
      <c r="G56" s="5">
        <v>20000</v>
      </c>
      <c r="H56" s="5"/>
      <c r="I56" s="5"/>
      <c r="J56" s="124"/>
      <c r="K56" s="63"/>
      <c r="L56" s="63"/>
      <c r="M56" s="63"/>
      <c r="N56" s="55"/>
      <c r="O56" s="55"/>
      <c r="P56" s="55"/>
      <c r="Q56" s="55"/>
      <c r="R56" s="55"/>
      <c r="S56" s="55"/>
      <c r="T56" s="55"/>
      <c r="U56" s="55"/>
      <c r="V56" s="124"/>
      <c r="W56" s="124"/>
      <c r="X56" s="124"/>
      <c r="Y56" s="124"/>
      <c r="Z56" s="124"/>
      <c r="AA56" s="124"/>
      <c r="AB56" s="124"/>
    </row>
    <row r="57" spans="1:39" ht="30" hidden="1" customHeight="1">
      <c r="B57" s="121">
        <v>1945</v>
      </c>
      <c r="D57" s="126">
        <v>1945</v>
      </c>
      <c r="E57" s="61" t="s">
        <v>81</v>
      </c>
      <c r="F57" s="61" t="s">
        <v>82</v>
      </c>
      <c r="G57" s="124" t="s">
        <v>83</v>
      </c>
      <c r="H57" s="124"/>
      <c r="I57" s="124"/>
      <c r="J57" s="124"/>
      <c r="K57" s="63"/>
      <c r="L57" s="63"/>
      <c r="M57" s="63"/>
      <c r="N57" s="55"/>
      <c r="O57" s="55"/>
      <c r="P57" s="55"/>
      <c r="Q57" s="55"/>
      <c r="R57" s="55"/>
      <c r="S57" s="55"/>
      <c r="T57" s="55"/>
      <c r="U57" s="55"/>
      <c r="V57" s="124"/>
      <c r="W57" s="124"/>
      <c r="X57" s="124"/>
      <c r="Y57" s="124"/>
      <c r="Z57" s="124"/>
      <c r="AA57" s="124"/>
      <c r="AB57" s="124"/>
    </row>
    <row r="58" spans="1:39" ht="15" hidden="1" customHeight="1">
      <c r="B58" s="121">
        <v>1946</v>
      </c>
      <c r="D58" s="126"/>
      <c r="E58" s="61"/>
      <c r="F58" s="61"/>
      <c r="G58" s="124"/>
      <c r="H58" s="124"/>
      <c r="I58" s="124"/>
      <c r="J58" s="124"/>
      <c r="K58" s="63"/>
      <c r="L58" s="63"/>
      <c r="M58" s="63"/>
      <c r="N58" s="55"/>
      <c r="O58" s="55"/>
      <c r="P58" s="55"/>
      <c r="Q58" s="55"/>
      <c r="R58" s="55"/>
      <c r="S58" s="55"/>
      <c r="T58" s="55"/>
      <c r="U58" s="55"/>
      <c r="V58" s="124"/>
      <c r="W58" s="124"/>
      <c r="X58" s="124"/>
      <c r="Y58" s="124"/>
      <c r="Z58" s="124"/>
      <c r="AA58" s="124"/>
      <c r="AB58" s="124"/>
    </row>
    <row r="59" spans="1:39" ht="30" hidden="1" customHeight="1">
      <c r="B59" s="121">
        <v>1947</v>
      </c>
      <c r="D59" s="126">
        <v>1947</v>
      </c>
      <c r="E59" s="61" t="s">
        <v>84</v>
      </c>
      <c r="F59" s="61" t="s">
        <v>85</v>
      </c>
      <c r="G59" s="124" t="s">
        <v>86</v>
      </c>
      <c r="H59" s="124"/>
      <c r="I59" s="124"/>
      <c r="J59" s="124"/>
      <c r="K59" s="63"/>
      <c r="L59" s="63"/>
      <c r="M59" s="63"/>
      <c r="N59" s="55"/>
      <c r="O59" s="55"/>
      <c r="P59" s="55"/>
      <c r="Q59" s="55"/>
      <c r="R59" s="55"/>
      <c r="S59" s="55"/>
      <c r="T59" s="55"/>
      <c r="U59" s="55"/>
      <c r="V59" s="124"/>
      <c r="W59" s="124"/>
      <c r="X59" s="124"/>
      <c r="Y59" s="124"/>
      <c r="Z59" s="124"/>
      <c r="AA59" s="124"/>
      <c r="AB59" s="124"/>
    </row>
    <row r="60" spans="1:39" ht="15" hidden="1" customHeight="1">
      <c r="B60" s="121">
        <v>1948</v>
      </c>
      <c r="D60" s="126"/>
      <c r="E60" s="61"/>
      <c r="F60" s="61"/>
      <c r="G60" s="124"/>
      <c r="H60" s="124"/>
      <c r="I60" s="124"/>
      <c r="J60" s="124"/>
      <c r="K60" s="63"/>
      <c r="L60" s="63"/>
      <c r="M60" s="63"/>
      <c r="N60" s="55"/>
      <c r="O60" s="55"/>
      <c r="P60" s="55"/>
      <c r="Q60" s="55"/>
      <c r="R60" s="55"/>
      <c r="S60" s="55"/>
      <c r="T60" s="55"/>
      <c r="U60" s="55"/>
      <c r="V60" s="124"/>
      <c r="W60" s="124"/>
      <c r="X60" s="124"/>
      <c r="Y60" s="124"/>
      <c r="Z60" s="124"/>
      <c r="AA60" s="124"/>
      <c r="AB60" s="124"/>
    </row>
    <row r="61" spans="1:39" ht="15" hidden="1" customHeight="1">
      <c r="B61" s="121">
        <v>1949</v>
      </c>
      <c r="D61" s="126"/>
      <c r="E61" s="61"/>
      <c r="F61" s="61"/>
      <c r="G61" s="124"/>
      <c r="H61" s="124"/>
      <c r="I61" s="124"/>
      <c r="J61" s="124"/>
      <c r="K61" s="63"/>
      <c r="L61" s="63"/>
      <c r="M61" s="63"/>
      <c r="N61" s="55"/>
      <c r="O61" s="55"/>
      <c r="P61" s="55"/>
      <c r="Q61" s="55"/>
      <c r="R61" s="55"/>
      <c r="S61" s="55"/>
      <c r="T61" s="55"/>
      <c r="U61" s="55"/>
      <c r="V61" s="124"/>
      <c r="W61" s="124"/>
      <c r="X61" s="124"/>
      <c r="Y61" s="124"/>
      <c r="Z61" s="124"/>
      <c r="AA61" s="124"/>
      <c r="AB61" s="124"/>
    </row>
    <row r="62" spans="1:39" ht="15" hidden="1" customHeight="1">
      <c r="B62" s="121">
        <v>1950</v>
      </c>
      <c r="D62" s="126"/>
      <c r="E62" s="61"/>
      <c r="F62" s="61"/>
      <c r="G62" s="124"/>
      <c r="H62" s="124"/>
      <c r="I62" s="124"/>
      <c r="J62" s="124"/>
      <c r="K62" s="63"/>
      <c r="L62" s="63"/>
      <c r="M62" s="63"/>
      <c r="N62" s="55"/>
      <c r="O62" s="55"/>
      <c r="P62" s="55"/>
      <c r="Q62" s="55"/>
      <c r="R62" s="55"/>
      <c r="S62" s="55"/>
      <c r="T62" s="55"/>
      <c r="U62" s="55"/>
      <c r="V62" s="124"/>
      <c r="W62" s="124"/>
      <c r="X62" s="124"/>
      <c r="Y62" s="124"/>
      <c r="Z62" s="124"/>
      <c r="AA62" s="124"/>
      <c r="AB62" s="124"/>
    </row>
    <row r="63" spans="1:39" ht="15" hidden="1" customHeight="1">
      <c r="B63" s="121">
        <v>1951</v>
      </c>
      <c r="D63" s="126"/>
      <c r="E63" s="61"/>
      <c r="F63" s="61"/>
      <c r="G63" s="124"/>
      <c r="H63" s="124"/>
      <c r="I63" s="124"/>
      <c r="J63" s="124"/>
      <c r="K63" s="63"/>
      <c r="L63" s="63"/>
      <c r="M63" s="63"/>
      <c r="N63" s="55"/>
      <c r="O63" s="55"/>
      <c r="P63" s="55"/>
      <c r="Q63" s="55"/>
      <c r="R63" s="55"/>
      <c r="S63" s="55"/>
      <c r="T63" s="55"/>
      <c r="U63" s="55"/>
      <c r="V63" s="124"/>
      <c r="W63" s="124"/>
      <c r="X63" s="124"/>
      <c r="Y63" s="124"/>
      <c r="Z63" s="124"/>
      <c r="AA63" s="124"/>
      <c r="AB63" s="124"/>
    </row>
    <row r="64" spans="1:39" ht="15" hidden="1" customHeight="1">
      <c r="B64" s="121">
        <v>1952</v>
      </c>
      <c r="D64" s="126"/>
      <c r="E64" s="61"/>
      <c r="F64" s="61"/>
      <c r="G64" s="124"/>
      <c r="H64" s="124"/>
      <c r="I64" s="124"/>
      <c r="J64" s="124"/>
      <c r="K64" s="63"/>
      <c r="L64" s="63"/>
      <c r="M64" s="63"/>
      <c r="N64" s="55"/>
      <c r="O64" s="55"/>
      <c r="P64" s="55"/>
      <c r="Q64" s="55"/>
      <c r="R64" s="55"/>
      <c r="S64" s="55"/>
      <c r="T64" s="55"/>
      <c r="U64" s="55"/>
      <c r="V64" s="124"/>
      <c r="W64" s="124"/>
      <c r="X64" s="124"/>
      <c r="Y64" s="124"/>
      <c r="Z64" s="124"/>
      <c r="AA64" s="124"/>
      <c r="AB64" s="124"/>
    </row>
    <row r="65" spans="2:34" ht="15" hidden="1" customHeight="1">
      <c r="B65" s="121">
        <v>1953</v>
      </c>
      <c r="D65" s="126"/>
      <c r="E65" s="61"/>
      <c r="F65" s="61"/>
      <c r="G65" s="124"/>
      <c r="H65" s="124"/>
      <c r="I65" s="124"/>
      <c r="J65" s="124"/>
      <c r="K65" s="63"/>
      <c r="L65" s="63"/>
      <c r="M65" s="63"/>
      <c r="N65" s="55"/>
      <c r="O65" s="55"/>
      <c r="P65" s="55"/>
      <c r="Q65" s="55"/>
      <c r="R65" s="55"/>
      <c r="S65" s="55"/>
      <c r="T65" s="55"/>
      <c r="U65" s="55"/>
      <c r="V65" s="124"/>
      <c r="W65" s="124"/>
      <c r="X65" s="124"/>
      <c r="Y65" s="124"/>
      <c r="Z65" s="124"/>
      <c r="AA65" s="124"/>
      <c r="AB65" s="124"/>
    </row>
    <row r="66" spans="2:34" ht="15" hidden="1" customHeight="1">
      <c r="B66" s="121">
        <v>1954</v>
      </c>
      <c r="D66" s="126"/>
      <c r="E66" s="61"/>
      <c r="F66" s="61"/>
      <c r="G66" s="124"/>
      <c r="H66" s="124"/>
      <c r="I66" s="124"/>
      <c r="J66" s="124"/>
      <c r="K66" s="63"/>
      <c r="L66" s="63"/>
      <c r="M66" s="63"/>
      <c r="N66" s="55"/>
      <c r="O66" s="55"/>
      <c r="P66" s="55"/>
      <c r="Q66" s="55"/>
      <c r="R66" s="55"/>
      <c r="S66" s="55"/>
      <c r="T66" s="55"/>
      <c r="U66" s="55"/>
      <c r="V66" s="124"/>
      <c r="W66" s="124"/>
      <c r="X66" s="124"/>
      <c r="Y66" s="124"/>
      <c r="Z66" s="124"/>
      <c r="AA66" s="124"/>
      <c r="AB66" s="124"/>
    </row>
    <row r="67" spans="2:34" ht="15" hidden="1" customHeight="1">
      <c r="B67" s="121">
        <v>1955</v>
      </c>
      <c r="D67" s="126"/>
      <c r="E67" s="61"/>
      <c r="F67" s="61"/>
      <c r="G67" s="124"/>
      <c r="H67" s="124"/>
      <c r="I67" s="124"/>
      <c r="J67" s="124"/>
      <c r="K67" s="63"/>
      <c r="L67" s="63"/>
      <c r="M67" s="63"/>
      <c r="N67" s="55"/>
      <c r="O67" s="55"/>
      <c r="P67" s="55"/>
      <c r="Q67" s="55"/>
      <c r="R67" s="55"/>
      <c r="S67" s="55"/>
      <c r="T67" s="55"/>
      <c r="U67" s="55"/>
      <c r="V67" s="124"/>
      <c r="W67" s="124"/>
      <c r="X67" s="124"/>
      <c r="Y67" s="124"/>
      <c r="Z67" s="124"/>
      <c r="AA67" s="124"/>
      <c r="AB67" s="124"/>
    </row>
    <row r="68" spans="2:34" ht="15" hidden="1" customHeight="1">
      <c r="B68" s="121">
        <v>1956</v>
      </c>
      <c r="D68" s="126"/>
      <c r="E68" s="61"/>
      <c r="F68" s="61"/>
      <c r="G68" s="124"/>
      <c r="H68" s="124"/>
      <c r="I68" s="124"/>
      <c r="J68" s="124"/>
      <c r="K68" s="63"/>
      <c r="L68" s="63"/>
      <c r="M68" s="63"/>
      <c r="N68" s="55"/>
      <c r="O68" s="55"/>
      <c r="P68" s="55"/>
      <c r="Q68" s="55"/>
      <c r="R68" s="55"/>
      <c r="S68" s="55"/>
      <c r="T68" s="55"/>
      <c r="U68" s="55"/>
      <c r="V68" s="124"/>
      <c r="W68" s="124"/>
      <c r="X68" s="124"/>
      <c r="Y68" s="124"/>
      <c r="Z68" s="124"/>
      <c r="AA68" s="124"/>
      <c r="AB68" s="124"/>
    </row>
    <row r="69" spans="2:34" ht="15" hidden="1" customHeight="1">
      <c r="B69" s="121">
        <v>1957</v>
      </c>
      <c r="D69" s="126"/>
      <c r="E69" s="61"/>
      <c r="F69" s="61"/>
      <c r="G69" s="124"/>
      <c r="H69" s="124"/>
      <c r="I69" s="124"/>
      <c r="J69" s="124"/>
      <c r="K69" s="63"/>
      <c r="L69" s="63"/>
      <c r="M69" s="63"/>
      <c r="N69" s="55"/>
      <c r="O69" s="55"/>
      <c r="P69" s="55"/>
      <c r="Q69" s="55"/>
      <c r="R69" s="55"/>
      <c r="S69" s="55"/>
      <c r="T69" s="55"/>
      <c r="U69" s="55"/>
      <c r="V69" s="124"/>
      <c r="W69" s="124"/>
      <c r="X69" s="124"/>
      <c r="Y69" s="124"/>
      <c r="Z69" s="124"/>
      <c r="AA69" s="124"/>
      <c r="AB69" s="124"/>
    </row>
    <row r="70" spans="2:34" ht="30" hidden="1" customHeight="1">
      <c r="B70" s="121">
        <v>1958</v>
      </c>
      <c r="D70" s="126">
        <v>1958</v>
      </c>
      <c r="E70" s="61" t="s">
        <v>87</v>
      </c>
      <c r="F70" s="61" t="s">
        <v>88</v>
      </c>
      <c r="G70" s="5" t="s">
        <v>89</v>
      </c>
      <c r="H70" s="5"/>
      <c r="I70" s="5"/>
      <c r="J70" s="124"/>
      <c r="K70" s="63"/>
      <c r="L70" s="63"/>
      <c r="M70" s="63"/>
      <c r="N70" s="55"/>
      <c r="O70" s="55"/>
      <c r="P70" s="55"/>
      <c r="Q70" s="55"/>
      <c r="R70" s="55"/>
      <c r="S70" s="55"/>
      <c r="T70" s="55"/>
      <c r="U70" s="55"/>
      <c r="V70" s="124"/>
      <c r="W70" s="124"/>
      <c r="X70" s="124"/>
      <c r="Y70" s="124"/>
      <c r="Z70" s="124"/>
      <c r="AA70" s="124"/>
      <c r="AB70" s="124"/>
    </row>
    <row r="71" spans="2:34" ht="45" hidden="1" customHeight="1">
      <c r="B71" s="121">
        <v>1959</v>
      </c>
      <c r="D71" s="126" t="s">
        <v>90</v>
      </c>
      <c r="E71" s="61" t="s">
        <v>91</v>
      </c>
      <c r="F71" s="61" t="s">
        <v>18</v>
      </c>
      <c r="G71" s="7" t="s">
        <v>92</v>
      </c>
      <c r="H71" s="7"/>
      <c r="I71" s="7"/>
      <c r="J71" s="124"/>
      <c r="K71" s="63"/>
      <c r="L71" s="63"/>
      <c r="M71" s="63"/>
      <c r="N71" s="55"/>
      <c r="O71" s="55"/>
      <c r="P71" s="55"/>
      <c r="Q71" s="55"/>
      <c r="R71" s="55"/>
      <c r="S71" s="55"/>
      <c r="T71" s="55"/>
      <c r="U71" s="55"/>
      <c r="V71" s="124"/>
      <c r="W71" s="124"/>
      <c r="X71" s="124"/>
      <c r="Y71" s="124"/>
      <c r="Z71" s="124"/>
      <c r="AA71" s="124"/>
      <c r="AB71" s="124"/>
    </row>
    <row r="72" spans="2:34" ht="15" hidden="1" customHeight="1">
      <c r="B72" s="121">
        <v>1960</v>
      </c>
      <c r="D72" s="126"/>
      <c r="E72" s="62" t="s">
        <v>93</v>
      </c>
      <c r="F72" s="61"/>
      <c r="G72" s="7"/>
      <c r="H72" s="7"/>
      <c r="I72" s="7"/>
      <c r="J72" s="124"/>
      <c r="K72" s="63"/>
      <c r="L72" s="63"/>
      <c r="M72" s="63"/>
      <c r="N72" s="55"/>
      <c r="O72" s="55"/>
      <c r="P72" s="55"/>
      <c r="Q72" s="55"/>
      <c r="R72" s="55"/>
      <c r="S72" s="55"/>
      <c r="T72" s="55"/>
      <c r="U72" s="55"/>
      <c r="V72" s="124"/>
      <c r="W72" s="124"/>
      <c r="X72" s="124"/>
      <c r="Y72" s="124"/>
      <c r="Z72" s="124"/>
      <c r="AA72" s="124"/>
      <c r="AB72" s="124"/>
    </row>
    <row r="73" spans="2:34">
      <c r="B73" s="12">
        <v>1966</v>
      </c>
      <c r="D73" s="161">
        <v>1966</v>
      </c>
      <c r="E73" s="164" t="s">
        <v>94</v>
      </c>
      <c r="F73" s="164" t="s">
        <v>88</v>
      </c>
      <c r="G73" s="146" t="s">
        <v>95</v>
      </c>
      <c r="H73" s="146">
        <f>(45000+60000)/2</f>
        <v>52500</v>
      </c>
      <c r="I73" s="143">
        <f>H73/AD73*100</f>
        <v>0.20474911077461191</v>
      </c>
      <c r="J73" s="124"/>
      <c r="K73" s="154"/>
      <c r="L73" s="154"/>
      <c r="M73" s="154" t="s">
        <v>96</v>
      </c>
      <c r="N73" s="151">
        <v>1965</v>
      </c>
      <c r="O73" s="151">
        <v>1</v>
      </c>
      <c r="P73" s="151"/>
      <c r="Q73" s="151" t="s">
        <v>434</v>
      </c>
      <c r="R73" s="151">
        <v>1966</v>
      </c>
      <c r="S73" s="174"/>
      <c r="T73" s="174"/>
      <c r="U73" s="168" t="s">
        <v>434</v>
      </c>
      <c r="V73" s="151"/>
      <c r="W73" s="174"/>
      <c r="X73" s="174"/>
      <c r="Y73" s="168">
        <v>2.5498154874162506</v>
      </c>
      <c r="Z73" s="151"/>
      <c r="AA73" s="151"/>
      <c r="AB73" s="151"/>
      <c r="AC73" s="149" t="s">
        <v>97</v>
      </c>
      <c r="AD73" s="149">
        <v>25641137</v>
      </c>
      <c r="AE73" s="59" t="s">
        <v>98</v>
      </c>
      <c r="AF73" s="24"/>
    </row>
    <row r="74" spans="2:34">
      <c r="B74" s="12"/>
      <c r="D74" s="162"/>
      <c r="E74" s="165"/>
      <c r="F74" s="165"/>
      <c r="G74" s="147"/>
      <c r="H74" s="147"/>
      <c r="I74" s="144"/>
      <c r="J74" s="124"/>
      <c r="K74" s="155"/>
      <c r="L74" s="155"/>
      <c r="M74" s="155"/>
      <c r="N74" s="152"/>
      <c r="O74" s="152"/>
      <c r="P74" s="152"/>
      <c r="Q74" s="152"/>
      <c r="R74" s="152"/>
      <c r="S74" s="175"/>
      <c r="T74" s="175"/>
      <c r="U74" s="169"/>
      <c r="V74" s="152"/>
      <c r="W74" s="175"/>
      <c r="X74" s="175"/>
      <c r="Y74" s="169"/>
      <c r="Z74" s="152"/>
      <c r="AA74" s="152"/>
      <c r="AB74" s="152"/>
      <c r="AC74" s="149"/>
      <c r="AD74" s="149"/>
      <c r="AE74" s="59" t="s">
        <v>99</v>
      </c>
      <c r="AF74" s="24"/>
    </row>
    <row r="75" spans="2:34">
      <c r="B75" s="12"/>
      <c r="D75" s="163"/>
      <c r="E75" s="166"/>
      <c r="F75" s="166"/>
      <c r="G75" s="148"/>
      <c r="H75" s="148"/>
      <c r="I75" s="145"/>
      <c r="J75" s="124"/>
      <c r="K75" s="156"/>
      <c r="L75" s="156"/>
      <c r="M75" s="156"/>
      <c r="N75" s="153"/>
      <c r="O75" s="153"/>
      <c r="P75" s="153"/>
      <c r="Q75" s="153"/>
      <c r="R75" s="153"/>
      <c r="S75" s="176"/>
      <c r="T75" s="176"/>
      <c r="U75" s="170"/>
      <c r="V75" s="153"/>
      <c r="W75" s="176"/>
      <c r="X75" s="176"/>
      <c r="Y75" s="170"/>
      <c r="Z75" s="153"/>
      <c r="AA75" s="153"/>
      <c r="AB75" s="153"/>
      <c r="AC75" s="149"/>
      <c r="AD75" s="149"/>
      <c r="AE75" s="59"/>
      <c r="AF75" s="24"/>
    </row>
    <row r="76" spans="2:34" ht="14.5" customHeight="1">
      <c r="B76" s="12">
        <v>1967</v>
      </c>
      <c r="D76" s="161" t="s">
        <v>100</v>
      </c>
      <c r="E76" s="164" t="s">
        <v>101</v>
      </c>
      <c r="F76" s="164" t="s">
        <v>13</v>
      </c>
      <c r="G76" s="146">
        <v>1000000</v>
      </c>
      <c r="H76" s="146">
        <v>1000000</v>
      </c>
      <c r="I76" s="143">
        <f>H76/AD76*100</f>
        <v>1.9059020335097983</v>
      </c>
      <c r="J76" s="124"/>
      <c r="K76" s="154" t="s">
        <v>102</v>
      </c>
      <c r="L76" s="154" t="s">
        <v>103</v>
      </c>
      <c r="M76" s="154" t="s">
        <v>104</v>
      </c>
      <c r="N76" s="151" t="s">
        <v>434</v>
      </c>
      <c r="O76" s="151"/>
      <c r="P76" s="151"/>
      <c r="Q76" s="151">
        <v>1</v>
      </c>
      <c r="R76" s="151" t="s">
        <v>446</v>
      </c>
      <c r="S76" s="174"/>
      <c r="T76" s="174"/>
      <c r="U76" s="168">
        <v>4.7262778390386293</v>
      </c>
      <c r="V76" s="151"/>
      <c r="W76" s="174"/>
      <c r="X76" s="174"/>
      <c r="Y76" s="168">
        <v>2.2194341916977334</v>
      </c>
      <c r="Z76" s="151"/>
      <c r="AA76" s="151"/>
      <c r="AB76" s="151"/>
      <c r="AC76" s="149" t="s">
        <v>105</v>
      </c>
      <c r="AD76" s="149">
        <v>52468594</v>
      </c>
      <c r="AE76" s="59" t="s">
        <v>106</v>
      </c>
    </row>
    <row r="77" spans="2:34">
      <c r="B77" s="12"/>
      <c r="D77" s="162"/>
      <c r="E77" s="165"/>
      <c r="F77" s="165"/>
      <c r="G77" s="147"/>
      <c r="H77" s="147"/>
      <c r="I77" s="144"/>
      <c r="J77" s="124"/>
      <c r="K77" s="155"/>
      <c r="L77" s="155"/>
      <c r="M77" s="155"/>
      <c r="N77" s="152"/>
      <c r="O77" s="152"/>
      <c r="P77" s="152"/>
      <c r="Q77" s="152"/>
      <c r="R77" s="152"/>
      <c r="S77" s="175"/>
      <c r="T77" s="175"/>
      <c r="U77" s="169"/>
      <c r="V77" s="152"/>
      <c r="W77" s="175"/>
      <c r="X77" s="175"/>
      <c r="Y77" s="169"/>
      <c r="Z77" s="152"/>
      <c r="AA77" s="152"/>
      <c r="AB77" s="152"/>
      <c r="AC77" s="149"/>
      <c r="AD77" s="149"/>
      <c r="AE77" s="59" t="s">
        <v>99</v>
      </c>
      <c r="AH77" s="23"/>
    </row>
    <row r="78" spans="2:34">
      <c r="B78" s="12"/>
      <c r="D78" s="162"/>
      <c r="E78" s="165"/>
      <c r="F78" s="165"/>
      <c r="G78" s="147"/>
      <c r="H78" s="147"/>
      <c r="I78" s="144"/>
      <c r="J78" s="124"/>
      <c r="K78" s="155"/>
      <c r="L78" s="155"/>
      <c r="M78" s="155"/>
      <c r="N78" s="152"/>
      <c r="O78" s="152"/>
      <c r="P78" s="152"/>
      <c r="Q78" s="152"/>
      <c r="R78" s="152"/>
      <c r="S78" s="175"/>
      <c r="T78" s="175"/>
      <c r="U78" s="169"/>
      <c r="V78" s="152"/>
      <c r="W78" s="175"/>
      <c r="X78" s="175"/>
      <c r="Y78" s="169"/>
      <c r="Z78" s="152"/>
      <c r="AA78" s="152"/>
      <c r="AB78" s="152"/>
      <c r="AC78" s="149"/>
      <c r="AD78" s="149"/>
      <c r="AE78" s="59" t="s">
        <v>107</v>
      </c>
      <c r="AH78" s="23"/>
    </row>
    <row r="79" spans="2:34">
      <c r="B79" s="12"/>
      <c r="D79" s="163"/>
      <c r="E79" s="166"/>
      <c r="F79" s="166"/>
      <c r="G79" s="148"/>
      <c r="H79" s="148"/>
      <c r="I79" s="145"/>
      <c r="J79" s="124"/>
      <c r="K79" s="156"/>
      <c r="L79" s="156"/>
      <c r="M79" s="156"/>
      <c r="N79" s="153"/>
      <c r="O79" s="153"/>
      <c r="P79" s="153"/>
      <c r="Q79" s="153"/>
      <c r="R79" s="153"/>
      <c r="S79" s="176"/>
      <c r="T79" s="176"/>
      <c r="U79" s="170"/>
      <c r="V79" s="153"/>
      <c r="W79" s="176"/>
      <c r="X79" s="176"/>
      <c r="Y79" s="170"/>
      <c r="Z79" s="153"/>
      <c r="AA79" s="153"/>
      <c r="AB79" s="153"/>
      <c r="AC79" s="149"/>
      <c r="AD79" s="149"/>
      <c r="AE79" s="16" t="s">
        <v>108</v>
      </c>
      <c r="AH79" s="23"/>
    </row>
    <row r="80" spans="2:34" ht="14.5" customHeight="1">
      <c r="B80" s="12">
        <v>1968</v>
      </c>
      <c r="D80" s="161" t="s">
        <v>109</v>
      </c>
      <c r="E80" s="164" t="s">
        <v>110</v>
      </c>
      <c r="F80" s="127" t="s">
        <v>435</v>
      </c>
      <c r="G80" s="146">
        <v>101000</v>
      </c>
      <c r="H80" s="146">
        <v>101000</v>
      </c>
      <c r="I80" s="143">
        <f>H80/AD80*100</f>
        <v>0.51120699869713082</v>
      </c>
      <c r="J80" s="124"/>
      <c r="K80" s="154" t="s">
        <v>112</v>
      </c>
      <c r="L80" s="154" t="s">
        <v>113</v>
      </c>
      <c r="M80" s="154" t="s">
        <v>114</v>
      </c>
      <c r="N80" s="131" t="s">
        <v>447</v>
      </c>
      <c r="O80" s="177">
        <v>1</v>
      </c>
      <c r="P80" s="131"/>
      <c r="Q80" s="151" t="s">
        <v>434</v>
      </c>
      <c r="R80" s="131"/>
      <c r="S80" s="75"/>
      <c r="T80" s="75"/>
      <c r="U80" s="130">
        <v>5.2151977688741953</v>
      </c>
      <c r="V80" s="131"/>
      <c r="W80" s="75"/>
      <c r="X80" s="75"/>
      <c r="Y80" s="130">
        <v>3.0174016509258572</v>
      </c>
      <c r="Z80" s="131"/>
      <c r="AA80" s="131"/>
      <c r="AB80" s="131"/>
      <c r="AC80" s="149" t="s">
        <v>111</v>
      </c>
      <c r="AD80" s="149">
        <f>1083646+5565670+3500777+4173030+5434040</f>
        <v>19757163</v>
      </c>
      <c r="AE80" s="59" t="s">
        <v>106</v>
      </c>
    </row>
    <row r="81" spans="2:34" ht="15">
      <c r="B81" s="12"/>
      <c r="D81" s="162"/>
      <c r="E81" s="165"/>
      <c r="F81" s="128" t="s">
        <v>436</v>
      </c>
      <c r="G81" s="147"/>
      <c r="H81" s="147"/>
      <c r="I81" s="144"/>
      <c r="J81" s="124"/>
      <c r="K81" s="155"/>
      <c r="L81" s="155"/>
      <c r="M81" s="155"/>
      <c r="N81" s="131">
        <v>1966</v>
      </c>
      <c r="O81" s="177"/>
      <c r="P81" s="131"/>
      <c r="Q81" s="152"/>
      <c r="R81" s="131"/>
      <c r="S81" s="75"/>
      <c r="T81" s="75"/>
      <c r="U81" s="130">
        <v>4.0187214521601096</v>
      </c>
      <c r="V81" s="131"/>
      <c r="W81" s="75"/>
      <c r="X81" s="75"/>
      <c r="Y81" s="130">
        <v>1.2006274702593742</v>
      </c>
      <c r="Z81" s="131"/>
      <c r="AA81" s="131"/>
      <c r="AB81" s="131"/>
      <c r="AC81" s="149"/>
      <c r="AD81" s="149"/>
      <c r="AE81" s="59" t="s">
        <v>99</v>
      </c>
      <c r="AH81" s="23"/>
    </row>
    <row r="82" spans="2:34" ht="15">
      <c r="B82" s="12"/>
      <c r="D82" s="162"/>
      <c r="E82" s="165"/>
      <c r="F82" s="128" t="s">
        <v>437</v>
      </c>
      <c r="G82" s="147"/>
      <c r="H82" s="147"/>
      <c r="I82" s="144"/>
      <c r="J82" s="124"/>
      <c r="K82" s="155"/>
      <c r="L82" s="155"/>
      <c r="M82" s="155"/>
      <c r="N82" s="131" t="s">
        <v>448</v>
      </c>
      <c r="O82" s="177"/>
      <c r="P82" s="131"/>
      <c r="Q82" s="152"/>
      <c r="R82" s="131" t="s">
        <v>449</v>
      </c>
      <c r="S82" s="75"/>
      <c r="T82" s="75"/>
      <c r="U82" s="130">
        <v>4.8646168150483744</v>
      </c>
      <c r="V82" s="131"/>
      <c r="W82" s="75"/>
      <c r="X82" s="75"/>
      <c r="Y82" s="130">
        <v>1.8854546365370972</v>
      </c>
      <c r="Z82" s="131"/>
      <c r="AA82" s="131"/>
      <c r="AB82" s="131"/>
      <c r="AC82" s="149"/>
      <c r="AD82" s="149"/>
      <c r="AE82" s="59" t="s">
        <v>115</v>
      </c>
      <c r="AH82" s="23"/>
    </row>
    <row r="83" spans="2:34" s="1" customFormat="1" ht="15">
      <c r="B83" s="12"/>
      <c r="D83" s="162"/>
      <c r="E83" s="165"/>
      <c r="F83" s="128" t="s">
        <v>250</v>
      </c>
      <c r="G83" s="147"/>
      <c r="H83" s="147"/>
      <c r="I83" s="144"/>
      <c r="J83" s="120"/>
      <c r="K83" s="155"/>
      <c r="L83" s="155"/>
      <c r="M83" s="155"/>
      <c r="N83" s="131">
        <v>1966</v>
      </c>
      <c r="O83" s="177"/>
      <c r="P83" s="131"/>
      <c r="Q83" s="152"/>
      <c r="R83" s="131"/>
      <c r="S83" s="75"/>
      <c r="T83" s="75"/>
      <c r="U83" s="130">
        <v>5.1054995115325381</v>
      </c>
      <c r="V83" s="131"/>
      <c r="W83" s="75"/>
      <c r="X83" s="75"/>
      <c r="Y83" s="130">
        <v>2.882044362305169</v>
      </c>
      <c r="Z83" s="131"/>
      <c r="AA83" s="131"/>
      <c r="AB83" s="131"/>
      <c r="AC83" s="149"/>
      <c r="AD83" s="149"/>
      <c r="AE83" s="16" t="s">
        <v>116</v>
      </c>
      <c r="AH83" s="23"/>
    </row>
    <row r="84" spans="2:34" s="1" customFormat="1" ht="15">
      <c r="B84" s="12"/>
      <c r="D84" s="163"/>
      <c r="E84" s="166"/>
      <c r="F84" s="128" t="s">
        <v>438</v>
      </c>
      <c r="G84" s="148"/>
      <c r="H84" s="148"/>
      <c r="I84" s="145"/>
      <c r="J84" s="122"/>
      <c r="K84" s="156"/>
      <c r="L84" s="156"/>
      <c r="M84" s="156"/>
      <c r="N84" s="131" t="s">
        <v>448</v>
      </c>
      <c r="O84" s="177"/>
      <c r="P84" s="131"/>
      <c r="Q84" s="153"/>
      <c r="R84" s="131"/>
      <c r="S84" s="75"/>
      <c r="T84" s="75"/>
      <c r="U84" s="130">
        <v>4.4293290736782973</v>
      </c>
      <c r="V84" s="131"/>
      <c r="W84" s="75"/>
      <c r="X84" s="75"/>
      <c r="Y84" s="130">
        <v>1.6901134872153996</v>
      </c>
      <c r="Z84" s="131"/>
      <c r="AA84" s="131"/>
      <c r="AB84" s="131"/>
      <c r="AC84" s="123"/>
      <c r="AD84" s="123"/>
      <c r="AE84" s="16"/>
      <c r="AH84" s="23"/>
    </row>
    <row r="85" spans="2:34" s="1" customFormat="1">
      <c r="B85" s="12">
        <v>1972</v>
      </c>
      <c r="D85" s="161">
        <v>1972</v>
      </c>
      <c r="E85" s="164" t="s">
        <v>117</v>
      </c>
      <c r="F85" s="164" t="s">
        <v>118</v>
      </c>
      <c r="G85" s="146">
        <v>100000</v>
      </c>
      <c r="H85" s="146">
        <v>100000</v>
      </c>
      <c r="I85" s="143">
        <f>H85/AD85*100</f>
        <v>1.7217667228095195E-2</v>
      </c>
      <c r="J85" s="124"/>
      <c r="K85" s="154"/>
      <c r="L85" s="154" t="s">
        <v>119</v>
      </c>
      <c r="M85" s="154" t="s">
        <v>120</v>
      </c>
      <c r="N85" s="151">
        <v>1972</v>
      </c>
      <c r="O85" s="151">
        <v>1</v>
      </c>
      <c r="P85" s="151"/>
      <c r="Q85" s="151" t="s">
        <v>434</v>
      </c>
      <c r="R85" s="151" t="s">
        <v>450</v>
      </c>
      <c r="S85" s="174"/>
      <c r="T85" s="174"/>
      <c r="U85" s="168">
        <v>4.7876467250532064</v>
      </c>
      <c r="V85" s="151"/>
      <c r="W85" s="174"/>
      <c r="X85" s="174"/>
      <c r="Y85" s="168">
        <v>2.3053868603201577</v>
      </c>
      <c r="Z85" s="151"/>
      <c r="AA85" s="151"/>
      <c r="AB85" s="151"/>
      <c r="AC85" s="149" t="s">
        <v>121</v>
      </c>
      <c r="AD85" s="149">
        <v>580798773</v>
      </c>
      <c r="AE85" s="59" t="s">
        <v>99</v>
      </c>
      <c r="AF85" s="24"/>
    </row>
    <row r="86" spans="2:34" s="1" customFormat="1">
      <c r="B86" s="12"/>
      <c r="D86" s="162"/>
      <c r="E86" s="165"/>
      <c r="F86" s="165"/>
      <c r="G86" s="147"/>
      <c r="H86" s="147"/>
      <c r="I86" s="144"/>
      <c r="J86" s="124"/>
      <c r="K86" s="155"/>
      <c r="L86" s="155"/>
      <c r="M86" s="155"/>
      <c r="N86" s="152"/>
      <c r="O86" s="152"/>
      <c r="P86" s="152"/>
      <c r="Q86" s="152"/>
      <c r="R86" s="152"/>
      <c r="S86" s="175"/>
      <c r="T86" s="175"/>
      <c r="U86" s="169"/>
      <c r="V86" s="152"/>
      <c r="W86" s="175"/>
      <c r="X86" s="175"/>
      <c r="Y86" s="169"/>
      <c r="Z86" s="152"/>
      <c r="AA86" s="152"/>
      <c r="AB86" s="152"/>
      <c r="AC86" s="149"/>
      <c r="AD86" s="149"/>
      <c r="AE86" s="59" t="s">
        <v>122</v>
      </c>
      <c r="AF86" s="24"/>
    </row>
    <row r="87" spans="2:34" s="1" customFormat="1">
      <c r="B87" s="12"/>
      <c r="D87" s="163"/>
      <c r="E87" s="166"/>
      <c r="F87" s="166"/>
      <c r="G87" s="148"/>
      <c r="H87" s="148"/>
      <c r="I87" s="145"/>
      <c r="J87" s="124"/>
      <c r="K87" s="156"/>
      <c r="L87" s="156"/>
      <c r="M87" s="156"/>
      <c r="N87" s="153"/>
      <c r="O87" s="153"/>
      <c r="P87" s="153"/>
      <c r="Q87" s="153"/>
      <c r="R87" s="153"/>
      <c r="S87" s="176"/>
      <c r="T87" s="176"/>
      <c r="U87" s="170"/>
      <c r="V87" s="153"/>
      <c r="W87" s="176"/>
      <c r="X87" s="176"/>
      <c r="Y87" s="170"/>
      <c r="Z87" s="153"/>
      <c r="AA87" s="153"/>
      <c r="AB87" s="153"/>
      <c r="AC87" s="149"/>
      <c r="AD87" s="149"/>
      <c r="AE87" s="59"/>
      <c r="AF87" s="24"/>
    </row>
    <row r="88" spans="2:34" s="1" customFormat="1">
      <c r="B88" s="12"/>
      <c r="D88" s="161" t="s">
        <v>123</v>
      </c>
      <c r="E88" s="164" t="s">
        <v>124</v>
      </c>
      <c r="F88" s="164" t="s">
        <v>88</v>
      </c>
      <c r="G88" s="146" t="s">
        <v>125</v>
      </c>
      <c r="H88" s="146">
        <f>(200000+500000)/2</f>
        <v>350000</v>
      </c>
      <c r="I88" s="143">
        <f>H88/AD88*100</f>
        <v>1.1614197207940353</v>
      </c>
      <c r="J88" s="124"/>
      <c r="K88" s="154" t="s">
        <v>126</v>
      </c>
      <c r="L88" s="154" t="s">
        <v>127</v>
      </c>
      <c r="M88" s="154" t="s">
        <v>128</v>
      </c>
      <c r="N88" s="151" t="s">
        <v>451</v>
      </c>
      <c r="O88" s="151">
        <v>1</v>
      </c>
      <c r="P88" s="151"/>
      <c r="Q88" s="151" t="s">
        <v>434</v>
      </c>
      <c r="R88" s="151">
        <v>1972</v>
      </c>
      <c r="S88" s="174"/>
      <c r="T88" s="174"/>
      <c r="U88" s="168" t="s">
        <v>434</v>
      </c>
      <c r="V88" s="151"/>
      <c r="W88" s="174"/>
      <c r="X88" s="174"/>
      <c r="Y88" s="168">
        <v>3.0275067051735598</v>
      </c>
      <c r="Z88" s="151"/>
      <c r="AA88" s="151"/>
      <c r="AB88" s="151"/>
      <c r="AC88" s="149" t="s">
        <v>129</v>
      </c>
      <c r="AD88" s="149">
        <v>30135531</v>
      </c>
      <c r="AE88" s="59" t="s">
        <v>106</v>
      </c>
      <c r="AF88" s="24"/>
    </row>
    <row r="89" spans="2:34" s="1" customFormat="1">
      <c r="B89" s="12"/>
      <c r="D89" s="162"/>
      <c r="E89" s="165"/>
      <c r="F89" s="165"/>
      <c r="G89" s="147"/>
      <c r="H89" s="147"/>
      <c r="I89" s="144"/>
      <c r="J89" s="124"/>
      <c r="K89" s="155"/>
      <c r="L89" s="155"/>
      <c r="M89" s="155"/>
      <c r="N89" s="152"/>
      <c r="O89" s="152"/>
      <c r="P89" s="152"/>
      <c r="Q89" s="152"/>
      <c r="R89" s="152"/>
      <c r="S89" s="175"/>
      <c r="T89" s="175"/>
      <c r="U89" s="169"/>
      <c r="V89" s="152"/>
      <c r="W89" s="175"/>
      <c r="X89" s="175"/>
      <c r="Y89" s="169"/>
      <c r="Z89" s="152"/>
      <c r="AA89" s="152"/>
      <c r="AB89" s="152"/>
      <c r="AC89" s="149"/>
      <c r="AD89" s="149"/>
      <c r="AE89" s="59" t="s">
        <v>99</v>
      </c>
      <c r="AF89" s="24"/>
    </row>
    <row r="90" spans="2:34" s="1" customFormat="1">
      <c r="B90" s="12"/>
      <c r="D90" s="163"/>
      <c r="E90" s="166"/>
      <c r="F90" s="166"/>
      <c r="G90" s="148"/>
      <c r="H90" s="148"/>
      <c r="I90" s="145"/>
      <c r="J90" s="124"/>
      <c r="K90" s="156"/>
      <c r="L90" s="156"/>
      <c r="M90" s="156"/>
      <c r="N90" s="153"/>
      <c r="O90" s="153"/>
      <c r="P90" s="153"/>
      <c r="Q90" s="153"/>
      <c r="R90" s="153"/>
      <c r="S90" s="176"/>
      <c r="T90" s="176"/>
      <c r="U90" s="170"/>
      <c r="V90" s="153"/>
      <c r="W90" s="176"/>
      <c r="X90" s="176"/>
      <c r="Y90" s="170"/>
      <c r="Z90" s="153"/>
      <c r="AA90" s="153"/>
      <c r="AB90" s="153"/>
      <c r="AC90" s="149"/>
      <c r="AD90" s="149"/>
      <c r="AE90" s="59" t="s">
        <v>98</v>
      </c>
      <c r="AF90" s="24"/>
    </row>
    <row r="91" spans="2:34" s="1" customFormat="1">
      <c r="B91" s="12">
        <v>1974</v>
      </c>
      <c r="D91" s="161" t="s">
        <v>130</v>
      </c>
      <c r="E91" s="164" t="s">
        <v>131</v>
      </c>
      <c r="F91" s="164" t="s">
        <v>131</v>
      </c>
      <c r="G91" s="146">
        <v>20000</v>
      </c>
      <c r="H91" s="146">
        <v>20000</v>
      </c>
      <c r="I91" s="143">
        <f>H91/AD91*100</f>
        <v>0.54876128116003753</v>
      </c>
      <c r="J91" s="124"/>
      <c r="K91" s="154" t="s">
        <v>132</v>
      </c>
      <c r="L91" s="154" t="s">
        <v>133</v>
      </c>
      <c r="M91" s="154" t="s">
        <v>134</v>
      </c>
      <c r="N91" s="151">
        <v>1973</v>
      </c>
      <c r="O91" s="151">
        <v>1</v>
      </c>
      <c r="P91" s="151"/>
      <c r="Q91" s="151" t="s">
        <v>434</v>
      </c>
      <c r="R91" s="151" t="s">
        <v>434</v>
      </c>
      <c r="S91" s="174"/>
      <c r="T91" s="174"/>
      <c r="U91" s="168">
        <v>4.8685126381025148</v>
      </c>
      <c r="V91" s="151"/>
      <c r="W91" s="174"/>
      <c r="X91" s="174"/>
      <c r="Y91" s="168">
        <v>2.2100853939280203</v>
      </c>
      <c r="Z91" s="151"/>
      <c r="AA91" s="151"/>
      <c r="AB91" s="151"/>
      <c r="AC91" s="149" t="s">
        <v>135</v>
      </c>
      <c r="AD91" s="149">
        <v>3644572</v>
      </c>
      <c r="AE91" s="59" t="s">
        <v>99</v>
      </c>
      <c r="AF91" s="24"/>
    </row>
    <row r="92" spans="2:34" s="1" customFormat="1">
      <c r="B92" s="12"/>
      <c r="D92" s="162"/>
      <c r="E92" s="165"/>
      <c r="F92" s="165"/>
      <c r="G92" s="147"/>
      <c r="H92" s="147"/>
      <c r="I92" s="144"/>
      <c r="J92" s="124"/>
      <c r="K92" s="155"/>
      <c r="L92" s="155"/>
      <c r="M92" s="155"/>
      <c r="N92" s="152"/>
      <c r="O92" s="152"/>
      <c r="P92" s="152"/>
      <c r="Q92" s="152"/>
      <c r="R92" s="152"/>
      <c r="S92" s="175"/>
      <c r="T92" s="175"/>
      <c r="U92" s="169"/>
      <c r="V92" s="152"/>
      <c r="W92" s="175"/>
      <c r="X92" s="175"/>
      <c r="Y92" s="169"/>
      <c r="Z92" s="152"/>
      <c r="AA92" s="152"/>
      <c r="AB92" s="152"/>
      <c r="AC92" s="149"/>
      <c r="AD92" s="149"/>
      <c r="AE92" s="59" t="s">
        <v>136</v>
      </c>
      <c r="AF92" s="24"/>
    </row>
    <row r="93" spans="2:34" s="1" customFormat="1">
      <c r="B93" s="12"/>
      <c r="D93" s="163"/>
      <c r="E93" s="166"/>
      <c r="F93" s="166"/>
      <c r="G93" s="148"/>
      <c r="H93" s="148"/>
      <c r="I93" s="145"/>
      <c r="J93" s="124"/>
      <c r="K93" s="156"/>
      <c r="L93" s="156"/>
      <c r="M93" s="156"/>
      <c r="N93" s="153"/>
      <c r="O93" s="153"/>
      <c r="P93" s="153"/>
      <c r="Q93" s="153"/>
      <c r="R93" s="153"/>
      <c r="S93" s="176"/>
      <c r="T93" s="176"/>
      <c r="U93" s="170"/>
      <c r="V93" s="153"/>
      <c r="W93" s="176"/>
      <c r="X93" s="176"/>
      <c r="Y93" s="170"/>
      <c r="Z93" s="153"/>
      <c r="AA93" s="153"/>
      <c r="AB93" s="153"/>
      <c r="AC93" s="149"/>
      <c r="AD93" s="149"/>
      <c r="AE93" s="59"/>
      <c r="AF93" s="24"/>
    </row>
    <row r="94" spans="2:34" s="1" customFormat="1">
      <c r="B94" s="12"/>
      <c r="D94" s="161">
        <v>1974</v>
      </c>
      <c r="E94" s="164" t="s">
        <v>137</v>
      </c>
      <c r="F94" s="164" t="s">
        <v>138</v>
      </c>
      <c r="G94" s="146">
        <v>1500000</v>
      </c>
      <c r="H94" s="146">
        <v>1500000</v>
      </c>
      <c r="I94" s="143">
        <f>H94/AD94*100</f>
        <v>2.116157254241382</v>
      </c>
      <c r="J94" s="124"/>
      <c r="K94" s="154" t="s">
        <v>139</v>
      </c>
      <c r="L94" s="154" t="s">
        <v>140</v>
      </c>
      <c r="M94" s="154" t="s">
        <v>141</v>
      </c>
      <c r="N94" s="151">
        <v>1974</v>
      </c>
      <c r="O94" s="151"/>
      <c r="P94" s="151"/>
      <c r="Q94" s="151">
        <v>1</v>
      </c>
      <c r="R94" s="171" t="s">
        <v>452</v>
      </c>
      <c r="S94" s="174"/>
      <c r="T94" s="174"/>
      <c r="U94" s="168">
        <v>4.8120155597562819</v>
      </c>
      <c r="V94" s="151"/>
      <c r="W94" s="174"/>
      <c r="X94" s="174"/>
      <c r="Y94" s="168">
        <v>1.56636753025277</v>
      </c>
      <c r="Z94" s="151"/>
      <c r="AA94" s="151"/>
      <c r="AB94" s="151"/>
      <c r="AC94" s="141" t="s">
        <v>142</v>
      </c>
      <c r="AD94" s="141">
        <v>70883201</v>
      </c>
      <c r="AE94" s="59" t="s">
        <v>99</v>
      </c>
      <c r="AF94" s="24"/>
    </row>
    <row r="95" spans="2:34" s="1" customFormat="1">
      <c r="B95" s="12"/>
      <c r="D95" s="162"/>
      <c r="E95" s="165"/>
      <c r="F95" s="165"/>
      <c r="G95" s="147"/>
      <c r="H95" s="147"/>
      <c r="I95" s="144"/>
      <c r="J95" s="124"/>
      <c r="K95" s="155"/>
      <c r="L95" s="155"/>
      <c r="M95" s="155"/>
      <c r="N95" s="152"/>
      <c r="O95" s="152"/>
      <c r="P95" s="152"/>
      <c r="Q95" s="152"/>
      <c r="R95" s="172"/>
      <c r="S95" s="175"/>
      <c r="T95" s="175"/>
      <c r="U95" s="169"/>
      <c r="V95" s="152"/>
      <c r="W95" s="175"/>
      <c r="X95" s="175"/>
      <c r="Y95" s="169"/>
      <c r="Z95" s="152"/>
      <c r="AA95" s="152"/>
      <c r="AB95" s="152"/>
      <c r="AC95" s="141"/>
      <c r="AD95" s="141"/>
      <c r="AE95" s="59" t="s">
        <v>143</v>
      </c>
      <c r="AF95" s="24"/>
    </row>
    <row r="96" spans="2:34" s="1" customFormat="1">
      <c r="B96" s="12"/>
      <c r="D96" s="163"/>
      <c r="E96" s="166"/>
      <c r="F96" s="166"/>
      <c r="G96" s="148"/>
      <c r="H96" s="148"/>
      <c r="I96" s="145"/>
      <c r="J96" s="124"/>
      <c r="K96" s="156"/>
      <c r="L96" s="156"/>
      <c r="M96" s="156"/>
      <c r="N96" s="153"/>
      <c r="O96" s="153"/>
      <c r="P96" s="153"/>
      <c r="Q96" s="153"/>
      <c r="R96" s="173"/>
      <c r="S96" s="176"/>
      <c r="T96" s="176"/>
      <c r="U96" s="170"/>
      <c r="V96" s="153"/>
      <c r="W96" s="176"/>
      <c r="X96" s="176"/>
      <c r="Y96" s="170"/>
      <c r="Z96" s="153"/>
      <c r="AA96" s="153"/>
      <c r="AB96" s="153"/>
      <c r="AC96" s="141"/>
      <c r="AD96" s="141"/>
      <c r="AE96" s="59" t="s">
        <v>144</v>
      </c>
      <c r="AF96" s="24"/>
    </row>
    <row r="97" spans="2:32" s="1" customFormat="1">
      <c r="B97" s="12">
        <v>1975</v>
      </c>
      <c r="D97" s="161" t="s">
        <v>145</v>
      </c>
      <c r="E97" s="164" t="s">
        <v>146</v>
      </c>
      <c r="F97" s="164" t="s">
        <v>147</v>
      </c>
      <c r="G97" s="146" t="s">
        <v>148</v>
      </c>
      <c r="H97" s="146">
        <f>(1500000+2000000)/2</f>
        <v>1750000</v>
      </c>
      <c r="I97" s="143">
        <f>H97/AD97*100</f>
        <v>23.125774878642542</v>
      </c>
      <c r="J97" s="124"/>
      <c r="K97" s="154" t="s">
        <v>149</v>
      </c>
      <c r="L97" s="154" t="s">
        <v>150</v>
      </c>
      <c r="M97" s="154" t="s">
        <v>151</v>
      </c>
      <c r="N97" s="151" t="s">
        <v>434</v>
      </c>
      <c r="O97" s="151"/>
      <c r="P97" s="151"/>
      <c r="Q97" s="151">
        <v>1</v>
      </c>
      <c r="R97" s="151" t="s">
        <v>453</v>
      </c>
      <c r="S97" s="174"/>
      <c r="T97" s="174"/>
      <c r="U97" s="168">
        <v>4.4480842784437851</v>
      </c>
      <c r="V97" s="151"/>
      <c r="W97" s="174"/>
      <c r="X97" s="174"/>
      <c r="Y97" s="168">
        <v>0.48453859524965093</v>
      </c>
      <c r="Z97" s="151"/>
      <c r="AA97" s="151"/>
      <c r="AB97" s="151"/>
      <c r="AC97" s="141"/>
      <c r="AD97" s="141">
        <v>7567314</v>
      </c>
      <c r="AE97" s="59" t="s">
        <v>99</v>
      </c>
      <c r="AF97" s="24"/>
    </row>
    <row r="98" spans="2:32" s="1" customFormat="1">
      <c r="B98" s="12"/>
      <c r="D98" s="162"/>
      <c r="E98" s="165"/>
      <c r="F98" s="165"/>
      <c r="G98" s="147"/>
      <c r="H98" s="147"/>
      <c r="I98" s="144"/>
      <c r="J98" s="124"/>
      <c r="K98" s="155"/>
      <c r="L98" s="155"/>
      <c r="M98" s="155"/>
      <c r="N98" s="152"/>
      <c r="O98" s="152"/>
      <c r="P98" s="152"/>
      <c r="Q98" s="152"/>
      <c r="R98" s="152"/>
      <c r="S98" s="175"/>
      <c r="T98" s="175"/>
      <c r="U98" s="169"/>
      <c r="V98" s="152"/>
      <c r="W98" s="175"/>
      <c r="X98" s="175"/>
      <c r="Y98" s="169"/>
      <c r="Z98" s="152"/>
      <c r="AA98" s="152"/>
      <c r="AB98" s="152"/>
      <c r="AC98" s="141"/>
      <c r="AD98" s="141"/>
      <c r="AE98" s="59" t="s">
        <v>152</v>
      </c>
      <c r="AF98" s="24"/>
    </row>
    <row r="99" spans="2:32" s="1" customFormat="1">
      <c r="B99" s="12"/>
      <c r="D99" s="163"/>
      <c r="E99" s="166"/>
      <c r="F99" s="166"/>
      <c r="G99" s="148"/>
      <c r="H99" s="148"/>
      <c r="I99" s="145"/>
      <c r="J99" s="124"/>
      <c r="K99" s="156"/>
      <c r="L99" s="156"/>
      <c r="M99" s="156"/>
      <c r="N99" s="153"/>
      <c r="O99" s="153"/>
      <c r="P99" s="153"/>
      <c r="Q99" s="153"/>
      <c r="R99" s="153"/>
      <c r="S99" s="176"/>
      <c r="T99" s="176"/>
      <c r="U99" s="170"/>
      <c r="V99" s="153"/>
      <c r="W99" s="176"/>
      <c r="X99" s="176"/>
      <c r="Y99" s="170"/>
      <c r="Z99" s="153"/>
      <c r="AA99" s="153"/>
      <c r="AB99" s="153"/>
      <c r="AC99" s="141"/>
      <c r="AD99" s="141"/>
      <c r="AE99" s="59"/>
      <c r="AF99" s="24"/>
    </row>
    <row r="100" spans="2:32" s="1" customFormat="1" ht="14.5" customHeight="1">
      <c r="B100" s="12">
        <v>1980</v>
      </c>
      <c r="D100" s="161" t="s">
        <v>153</v>
      </c>
      <c r="E100" s="164" t="s">
        <v>154</v>
      </c>
      <c r="F100" s="164" t="s">
        <v>155</v>
      </c>
      <c r="G100" s="146" t="s">
        <v>156</v>
      </c>
      <c r="H100" s="146">
        <f>(30000+50000)/2</f>
        <v>40000</v>
      </c>
      <c r="I100" s="143">
        <f>H100/AD100*100</f>
        <v>0.31873071230975464</v>
      </c>
      <c r="J100" s="124"/>
      <c r="K100" s="154" t="s">
        <v>157</v>
      </c>
      <c r="L100" s="154" t="s">
        <v>158</v>
      </c>
      <c r="M100" s="154" t="s">
        <v>159</v>
      </c>
      <c r="N100" s="151">
        <v>1979</v>
      </c>
      <c r="O100" s="151">
        <v>1</v>
      </c>
      <c r="P100" s="151"/>
      <c r="Q100" s="151">
        <v>1</v>
      </c>
      <c r="R100" s="151" t="s">
        <v>454</v>
      </c>
      <c r="S100" s="174"/>
      <c r="T100" s="174"/>
      <c r="U100" s="168">
        <v>5.0291007183035124</v>
      </c>
      <c r="V100" s="151"/>
      <c r="W100" s="174"/>
      <c r="X100" s="174"/>
      <c r="Y100" s="168">
        <v>3.0954291857386971</v>
      </c>
      <c r="Z100" s="151"/>
      <c r="AA100" s="151"/>
      <c r="AB100" s="151"/>
      <c r="AC100" s="141" t="s">
        <v>160</v>
      </c>
      <c r="AD100" s="141">
        <v>12549779</v>
      </c>
      <c r="AE100" s="59" t="s">
        <v>161</v>
      </c>
      <c r="AF100" s="24"/>
    </row>
    <row r="101" spans="2:32" s="1" customFormat="1">
      <c r="B101" s="12"/>
      <c r="D101" s="162"/>
      <c r="E101" s="165"/>
      <c r="F101" s="165"/>
      <c r="G101" s="147"/>
      <c r="H101" s="147"/>
      <c r="I101" s="144"/>
      <c r="J101" s="124"/>
      <c r="K101" s="155"/>
      <c r="L101" s="155"/>
      <c r="M101" s="155"/>
      <c r="N101" s="152"/>
      <c r="O101" s="152"/>
      <c r="P101" s="152"/>
      <c r="Q101" s="152"/>
      <c r="R101" s="152"/>
      <c r="S101" s="175"/>
      <c r="T101" s="175"/>
      <c r="U101" s="169"/>
      <c r="V101" s="152"/>
      <c r="W101" s="175"/>
      <c r="X101" s="175"/>
      <c r="Y101" s="169"/>
      <c r="Z101" s="152"/>
      <c r="AA101" s="152"/>
      <c r="AB101" s="152"/>
      <c r="AC101" s="141"/>
      <c r="AD101" s="141"/>
      <c r="AE101" s="59" t="s">
        <v>99</v>
      </c>
      <c r="AF101" s="24"/>
    </row>
    <row r="102" spans="2:32" s="1" customFormat="1">
      <c r="B102" s="12"/>
      <c r="D102" s="163"/>
      <c r="E102" s="166"/>
      <c r="F102" s="166"/>
      <c r="G102" s="148"/>
      <c r="H102" s="148"/>
      <c r="I102" s="145"/>
      <c r="J102" s="124"/>
      <c r="K102" s="156"/>
      <c r="L102" s="156"/>
      <c r="M102" s="156"/>
      <c r="N102" s="153"/>
      <c r="O102" s="153"/>
      <c r="P102" s="153"/>
      <c r="Q102" s="153"/>
      <c r="R102" s="153"/>
      <c r="S102" s="176"/>
      <c r="T102" s="176"/>
      <c r="U102" s="170"/>
      <c r="V102" s="153"/>
      <c r="W102" s="176"/>
      <c r="X102" s="176"/>
      <c r="Y102" s="170"/>
      <c r="Z102" s="153"/>
      <c r="AA102" s="153"/>
      <c r="AB102" s="153"/>
      <c r="AC102" s="141"/>
      <c r="AD102" s="141"/>
      <c r="AE102" s="59" t="s">
        <v>162</v>
      </c>
      <c r="AF102" s="24"/>
    </row>
    <row r="103" spans="2:32" s="1" customFormat="1">
      <c r="B103" s="12">
        <v>1982</v>
      </c>
      <c r="D103" s="161" t="s">
        <v>163</v>
      </c>
      <c r="E103" s="164" t="s">
        <v>48</v>
      </c>
      <c r="F103" s="164" t="s">
        <v>48</v>
      </c>
      <c r="G103" s="146">
        <v>100000</v>
      </c>
      <c r="H103" s="146">
        <v>100000</v>
      </c>
      <c r="I103" s="143">
        <f>H103/AD103*100</f>
        <v>0.78559168290942938</v>
      </c>
      <c r="J103" s="124"/>
      <c r="K103" s="154" t="s">
        <v>164</v>
      </c>
      <c r="L103" s="154" t="s">
        <v>165</v>
      </c>
      <c r="M103" s="154" t="s">
        <v>166</v>
      </c>
      <c r="N103" s="151">
        <v>1981</v>
      </c>
      <c r="O103" s="151">
        <v>1</v>
      </c>
      <c r="P103" s="151"/>
      <c r="Q103" s="151">
        <v>1</v>
      </c>
      <c r="R103" s="151" t="s">
        <v>455</v>
      </c>
      <c r="S103" s="174"/>
      <c r="T103" s="174"/>
      <c r="U103" s="168">
        <v>7.044404825126513</v>
      </c>
      <c r="V103" s="151"/>
      <c r="W103" s="174"/>
      <c r="X103" s="174"/>
      <c r="Y103" s="168">
        <v>2.4182355579560362</v>
      </c>
      <c r="Z103" s="151"/>
      <c r="AA103" s="151"/>
      <c r="AB103" s="151"/>
      <c r="AC103" s="141"/>
      <c r="AD103" s="141">
        <v>12729259</v>
      </c>
      <c r="AE103" s="59" t="s">
        <v>99</v>
      </c>
      <c r="AF103" s="24"/>
    </row>
    <row r="104" spans="2:32" s="1" customFormat="1">
      <c r="B104" s="12"/>
      <c r="D104" s="162"/>
      <c r="E104" s="165"/>
      <c r="F104" s="165"/>
      <c r="G104" s="147"/>
      <c r="H104" s="147"/>
      <c r="I104" s="144"/>
      <c r="J104" s="124"/>
      <c r="K104" s="155"/>
      <c r="L104" s="155"/>
      <c r="M104" s="155"/>
      <c r="N104" s="152"/>
      <c r="O104" s="152"/>
      <c r="P104" s="152"/>
      <c r="Q104" s="152"/>
      <c r="R104" s="152"/>
      <c r="S104" s="175"/>
      <c r="T104" s="175"/>
      <c r="U104" s="169"/>
      <c r="V104" s="152"/>
      <c r="W104" s="175"/>
      <c r="X104" s="175"/>
      <c r="Y104" s="169"/>
      <c r="Z104" s="152"/>
      <c r="AA104" s="152"/>
      <c r="AB104" s="152"/>
      <c r="AC104" s="141"/>
      <c r="AD104" s="141"/>
      <c r="AE104" s="59" t="s">
        <v>167</v>
      </c>
      <c r="AF104" s="24"/>
    </row>
    <row r="105" spans="2:32" s="1" customFormat="1">
      <c r="B105" s="12"/>
      <c r="D105" s="163"/>
      <c r="E105" s="166"/>
      <c r="F105" s="166"/>
      <c r="G105" s="148"/>
      <c r="H105" s="148"/>
      <c r="I105" s="145"/>
      <c r="J105" s="124"/>
      <c r="K105" s="156"/>
      <c r="L105" s="156"/>
      <c r="M105" s="156"/>
      <c r="N105" s="153"/>
      <c r="O105" s="153"/>
      <c r="P105" s="153"/>
      <c r="Q105" s="153"/>
      <c r="R105" s="153"/>
      <c r="S105" s="176"/>
      <c r="T105" s="176"/>
      <c r="U105" s="170"/>
      <c r="V105" s="153"/>
      <c r="W105" s="176"/>
      <c r="X105" s="176"/>
      <c r="Y105" s="170"/>
      <c r="Z105" s="153"/>
      <c r="AA105" s="153"/>
      <c r="AB105" s="153"/>
      <c r="AC105" s="141"/>
      <c r="AD105" s="141"/>
      <c r="AE105" s="59"/>
      <c r="AF105" s="24"/>
    </row>
    <row r="106" spans="2:32" s="1" customFormat="1">
      <c r="B106" s="12">
        <v>1984</v>
      </c>
      <c r="D106" s="161" t="s">
        <v>168</v>
      </c>
      <c r="E106" s="164" t="s">
        <v>169</v>
      </c>
      <c r="F106" s="164" t="s">
        <v>170</v>
      </c>
      <c r="G106" s="146">
        <v>250000</v>
      </c>
      <c r="H106" s="146">
        <v>250000</v>
      </c>
      <c r="I106" s="143">
        <f>H106/AD106*100</f>
        <v>1.5099073780536896</v>
      </c>
      <c r="J106" s="124"/>
      <c r="K106" s="154" t="s">
        <v>171</v>
      </c>
      <c r="L106" s="154" t="s">
        <v>172</v>
      </c>
      <c r="M106" s="154" t="s">
        <v>173</v>
      </c>
      <c r="N106" s="151">
        <v>1983</v>
      </c>
      <c r="O106" s="151">
        <v>1</v>
      </c>
      <c r="P106" s="151"/>
      <c r="Q106" s="151">
        <v>1</v>
      </c>
      <c r="R106" s="151" t="s">
        <v>456</v>
      </c>
      <c r="S106" s="174"/>
      <c r="T106" s="174"/>
      <c r="U106" s="168">
        <v>6.3574265948364319</v>
      </c>
      <c r="V106" s="151"/>
      <c r="W106" s="174"/>
      <c r="X106" s="174"/>
      <c r="Y106" s="168">
        <v>3.5176927692107887</v>
      </c>
      <c r="Z106" s="151"/>
      <c r="AA106" s="151"/>
      <c r="AB106" s="151"/>
      <c r="AC106" s="141" t="s">
        <v>174</v>
      </c>
      <c r="AD106" s="141">
        <v>16557307</v>
      </c>
      <c r="AE106" s="59" t="s">
        <v>99</v>
      </c>
      <c r="AF106" s="24"/>
    </row>
    <row r="107" spans="2:32" s="1" customFormat="1">
      <c r="B107" s="12"/>
      <c r="D107" s="162"/>
      <c r="E107" s="165"/>
      <c r="F107" s="165"/>
      <c r="G107" s="147"/>
      <c r="H107" s="147"/>
      <c r="I107" s="144"/>
      <c r="J107" s="124"/>
      <c r="K107" s="155"/>
      <c r="L107" s="155"/>
      <c r="M107" s="155"/>
      <c r="N107" s="152"/>
      <c r="O107" s="152"/>
      <c r="P107" s="152"/>
      <c r="Q107" s="152"/>
      <c r="R107" s="152"/>
      <c r="S107" s="175"/>
      <c r="T107" s="175"/>
      <c r="U107" s="169"/>
      <c r="V107" s="152"/>
      <c r="W107" s="175"/>
      <c r="X107" s="175"/>
      <c r="Y107" s="169"/>
      <c r="Z107" s="152"/>
      <c r="AA107" s="152"/>
      <c r="AB107" s="152"/>
      <c r="AC107" s="141"/>
      <c r="AD107" s="141"/>
      <c r="AE107" s="59" t="s">
        <v>175</v>
      </c>
      <c r="AF107" s="24"/>
    </row>
    <row r="108" spans="2:32" s="1" customFormat="1">
      <c r="B108" s="12"/>
      <c r="D108" s="163"/>
      <c r="E108" s="166"/>
      <c r="F108" s="166"/>
      <c r="G108" s="148"/>
      <c r="H108" s="148"/>
      <c r="I108" s="145"/>
      <c r="J108" s="124"/>
      <c r="K108" s="156"/>
      <c r="L108" s="156"/>
      <c r="M108" s="156"/>
      <c r="N108" s="153"/>
      <c r="O108" s="153"/>
      <c r="P108" s="153"/>
      <c r="Q108" s="153"/>
      <c r="R108" s="153"/>
      <c r="S108" s="176"/>
      <c r="T108" s="176"/>
      <c r="U108" s="170"/>
      <c r="V108" s="153"/>
      <c r="W108" s="176"/>
      <c r="X108" s="176"/>
      <c r="Y108" s="170"/>
      <c r="Z108" s="153"/>
      <c r="AA108" s="153"/>
      <c r="AB108" s="153"/>
      <c r="AC108" s="141"/>
      <c r="AD108" s="141"/>
      <c r="AE108" s="59"/>
      <c r="AF108" s="24"/>
    </row>
    <row r="109" spans="2:32" s="1" customFormat="1">
      <c r="B109" s="12"/>
      <c r="D109" s="161" t="s">
        <v>168</v>
      </c>
      <c r="E109" s="164" t="s">
        <v>176</v>
      </c>
      <c r="F109" s="164" t="s">
        <v>88</v>
      </c>
      <c r="G109" s="146">
        <v>1000000</v>
      </c>
      <c r="H109" s="146">
        <v>1000000</v>
      </c>
      <c r="I109" s="143">
        <f>H109/AD109*100</f>
        <v>2.5320551856363598</v>
      </c>
      <c r="J109" s="124"/>
      <c r="K109" s="154" t="s">
        <v>177</v>
      </c>
      <c r="L109" s="154" t="s">
        <v>178</v>
      </c>
      <c r="M109" s="154" t="s">
        <v>179</v>
      </c>
      <c r="N109" s="151" t="s">
        <v>457</v>
      </c>
      <c r="O109" s="151">
        <v>1</v>
      </c>
      <c r="P109" s="151"/>
      <c r="Q109" s="151">
        <v>1</v>
      </c>
      <c r="R109" s="151" t="s">
        <v>458</v>
      </c>
      <c r="S109" s="174"/>
      <c r="T109" s="174"/>
      <c r="U109" s="168">
        <v>5.3491980447901062</v>
      </c>
      <c r="V109" s="151"/>
      <c r="W109" s="174"/>
      <c r="X109" s="174"/>
      <c r="Y109" s="168">
        <v>3.2114994346677084</v>
      </c>
      <c r="Z109" s="151"/>
      <c r="AA109" s="151"/>
      <c r="AB109" s="151"/>
      <c r="AC109" s="141"/>
      <c r="AD109" s="141">
        <v>39493610</v>
      </c>
      <c r="AE109" s="59" t="s">
        <v>99</v>
      </c>
      <c r="AF109" s="24"/>
    </row>
    <row r="110" spans="2:32" s="1" customFormat="1">
      <c r="B110" s="12"/>
      <c r="D110" s="162"/>
      <c r="E110" s="165"/>
      <c r="F110" s="165"/>
      <c r="G110" s="147"/>
      <c r="H110" s="147"/>
      <c r="I110" s="144"/>
      <c r="J110" s="124"/>
      <c r="K110" s="155"/>
      <c r="L110" s="155"/>
      <c r="M110" s="155"/>
      <c r="N110" s="152"/>
      <c r="O110" s="152"/>
      <c r="P110" s="152"/>
      <c r="Q110" s="152"/>
      <c r="R110" s="152"/>
      <c r="S110" s="175"/>
      <c r="T110" s="175"/>
      <c r="U110" s="169"/>
      <c r="V110" s="152"/>
      <c r="W110" s="175"/>
      <c r="X110" s="175"/>
      <c r="Y110" s="169"/>
      <c r="Z110" s="152"/>
      <c r="AA110" s="152"/>
      <c r="AB110" s="152"/>
      <c r="AC110" s="141"/>
      <c r="AD110" s="141"/>
      <c r="AE110" s="59" t="s">
        <v>107</v>
      </c>
      <c r="AF110" s="24"/>
    </row>
    <row r="111" spans="2:32" s="1" customFormat="1">
      <c r="B111" s="12"/>
      <c r="D111" s="163"/>
      <c r="E111" s="166"/>
      <c r="F111" s="166"/>
      <c r="G111" s="148"/>
      <c r="H111" s="148"/>
      <c r="I111" s="145"/>
      <c r="J111" s="124"/>
      <c r="K111" s="156"/>
      <c r="L111" s="156"/>
      <c r="M111" s="156"/>
      <c r="N111" s="153"/>
      <c r="O111" s="153"/>
      <c r="P111" s="153"/>
      <c r="Q111" s="153"/>
      <c r="R111" s="153"/>
      <c r="S111" s="176"/>
      <c r="T111" s="176"/>
      <c r="U111" s="170"/>
      <c r="V111" s="153"/>
      <c r="W111" s="176"/>
      <c r="X111" s="176"/>
      <c r="Y111" s="170"/>
      <c r="Z111" s="153"/>
      <c r="AA111" s="153"/>
      <c r="AB111" s="153"/>
      <c r="AC111" s="141"/>
      <c r="AD111" s="141"/>
      <c r="AE111" s="59"/>
      <c r="AF111" s="24"/>
    </row>
    <row r="112" spans="2:32" s="1" customFormat="1" ht="14.5" customHeight="1">
      <c r="B112" s="12">
        <v>1988</v>
      </c>
      <c r="D112" s="161">
        <v>1988</v>
      </c>
      <c r="E112" s="164" t="s">
        <v>180</v>
      </c>
      <c r="F112" s="164" t="s">
        <v>170</v>
      </c>
      <c r="G112" s="146">
        <v>250000</v>
      </c>
      <c r="H112" s="146">
        <v>250000</v>
      </c>
      <c r="I112" s="143">
        <f>H112/AD112*100</f>
        <v>1.3381710178278636</v>
      </c>
      <c r="J112" s="124"/>
      <c r="K112" s="154" t="s">
        <v>181</v>
      </c>
      <c r="L112" s="154" t="s">
        <v>182</v>
      </c>
      <c r="M112" s="154" t="s">
        <v>183</v>
      </c>
      <c r="N112" s="151" t="s">
        <v>459</v>
      </c>
      <c r="O112" s="151">
        <v>1</v>
      </c>
      <c r="P112" s="151"/>
      <c r="Q112" s="151">
        <v>1</v>
      </c>
      <c r="R112" s="151" t="s">
        <v>456</v>
      </c>
      <c r="S112" s="174"/>
      <c r="T112" s="174"/>
      <c r="U112" s="168">
        <v>6.8557286959777821</v>
      </c>
      <c r="V112" s="151"/>
      <c r="W112" s="174"/>
      <c r="X112" s="174"/>
      <c r="Y112" s="168">
        <v>3.0053474576396217</v>
      </c>
      <c r="Z112" s="151"/>
      <c r="AA112" s="151"/>
      <c r="AB112" s="151"/>
      <c r="AC112" s="141" t="s">
        <v>184</v>
      </c>
      <c r="AD112" s="141">
        <v>18682216</v>
      </c>
      <c r="AE112" s="59" t="s">
        <v>99</v>
      </c>
      <c r="AF112" s="24"/>
    </row>
    <row r="113" spans="2:32" s="1" customFormat="1">
      <c r="B113" s="12"/>
      <c r="D113" s="162"/>
      <c r="E113" s="165"/>
      <c r="F113" s="165"/>
      <c r="G113" s="147"/>
      <c r="H113" s="147"/>
      <c r="I113" s="144"/>
      <c r="J113" s="124"/>
      <c r="K113" s="155"/>
      <c r="L113" s="155"/>
      <c r="M113" s="155"/>
      <c r="N113" s="152"/>
      <c r="O113" s="152"/>
      <c r="P113" s="152"/>
      <c r="Q113" s="152"/>
      <c r="R113" s="152"/>
      <c r="S113" s="175"/>
      <c r="T113" s="175"/>
      <c r="U113" s="169"/>
      <c r="V113" s="152"/>
      <c r="W113" s="175"/>
      <c r="X113" s="175"/>
      <c r="Y113" s="169"/>
      <c r="Z113" s="152"/>
      <c r="AA113" s="152"/>
      <c r="AB113" s="152"/>
      <c r="AC113" s="141"/>
      <c r="AD113" s="141"/>
      <c r="AE113" s="59" t="s">
        <v>185</v>
      </c>
      <c r="AF113" s="24"/>
    </row>
    <row r="114" spans="2:32" s="1" customFormat="1">
      <c r="B114" s="12"/>
      <c r="D114" s="163"/>
      <c r="E114" s="166"/>
      <c r="F114" s="166"/>
      <c r="G114" s="148"/>
      <c r="H114" s="148"/>
      <c r="I114" s="145"/>
      <c r="J114" s="124"/>
      <c r="K114" s="156"/>
      <c r="L114" s="156"/>
      <c r="M114" s="156"/>
      <c r="N114" s="153"/>
      <c r="O114" s="153"/>
      <c r="P114" s="153"/>
      <c r="Q114" s="153"/>
      <c r="R114" s="153"/>
      <c r="S114" s="176"/>
      <c r="T114" s="176"/>
      <c r="U114" s="170"/>
      <c r="V114" s="153"/>
      <c r="W114" s="176"/>
      <c r="X114" s="176"/>
      <c r="Y114" s="170"/>
      <c r="Z114" s="153"/>
      <c r="AA114" s="153"/>
      <c r="AB114" s="153"/>
      <c r="AC114" s="141"/>
      <c r="AD114" s="141"/>
      <c r="AE114" s="59" t="s">
        <v>186</v>
      </c>
      <c r="AF114" s="24"/>
    </row>
    <row r="115" spans="2:32" s="1" customFormat="1" ht="14.5" customHeight="1">
      <c r="B115" s="12">
        <v>1991</v>
      </c>
      <c r="D115" s="161" t="s">
        <v>187</v>
      </c>
      <c r="E115" s="164" t="s">
        <v>188</v>
      </c>
      <c r="F115" s="164" t="s">
        <v>131</v>
      </c>
      <c r="G115" s="146">
        <v>300000</v>
      </c>
      <c r="H115" s="146">
        <v>300000</v>
      </c>
      <c r="I115" s="143">
        <f>H115/AD115*100</f>
        <v>4.7471877264309645</v>
      </c>
      <c r="J115" s="124"/>
      <c r="K115" s="154" t="s">
        <v>189</v>
      </c>
      <c r="L115" s="154" t="s">
        <v>190</v>
      </c>
      <c r="M115" s="154" t="s">
        <v>191</v>
      </c>
      <c r="N115" s="151">
        <v>1988</v>
      </c>
      <c r="O115" s="151">
        <v>1</v>
      </c>
      <c r="P115" s="151"/>
      <c r="Q115" s="151">
        <v>1</v>
      </c>
      <c r="R115" s="151" t="s">
        <v>460</v>
      </c>
      <c r="S115" s="151" t="s">
        <v>461</v>
      </c>
      <c r="T115" s="151" t="s">
        <v>462</v>
      </c>
      <c r="U115" s="168">
        <v>5.0675343122208458</v>
      </c>
      <c r="V115" s="151"/>
      <c r="W115" s="174"/>
      <c r="X115" s="174"/>
      <c r="Y115" s="168">
        <v>0.27106227455891824</v>
      </c>
      <c r="Z115" s="151"/>
      <c r="AA115" s="151"/>
      <c r="AB115" s="151"/>
      <c r="AC115" s="141" t="s">
        <v>192</v>
      </c>
      <c r="AD115" s="141">
        <v>6319531</v>
      </c>
      <c r="AE115" s="59" t="s">
        <v>99</v>
      </c>
      <c r="AF115" s="24"/>
    </row>
    <row r="116" spans="2:32" s="1" customFormat="1">
      <c r="B116" s="12"/>
      <c r="D116" s="162"/>
      <c r="E116" s="165"/>
      <c r="F116" s="165"/>
      <c r="G116" s="147"/>
      <c r="H116" s="147"/>
      <c r="I116" s="144"/>
      <c r="J116" s="124"/>
      <c r="K116" s="155"/>
      <c r="L116" s="155"/>
      <c r="M116" s="155"/>
      <c r="N116" s="152"/>
      <c r="O116" s="152"/>
      <c r="P116" s="152"/>
      <c r="Q116" s="152"/>
      <c r="R116" s="152"/>
      <c r="S116" s="152"/>
      <c r="T116" s="152"/>
      <c r="U116" s="169"/>
      <c r="V116" s="152"/>
      <c r="W116" s="175"/>
      <c r="X116" s="175"/>
      <c r="Y116" s="169"/>
      <c r="Z116" s="152"/>
      <c r="AA116" s="152"/>
      <c r="AB116" s="152"/>
      <c r="AC116" s="141"/>
      <c r="AD116" s="141"/>
      <c r="AE116" s="59" t="s">
        <v>193</v>
      </c>
      <c r="AF116" s="24"/>
    </row>
    <row r="117" spans="2:32" s="1" customFormat="1">
      <c r="B117" s="12"/>
      <c r="D117" s="163"/>
      <c r="E117" s="166"/>
      <c r="F117" s="166"/>
      <c r="G117" s="148"/>
      <c r="H117" s="148"/>
      <c r="I117" s="145"/>
      <c r="J117" s="124"/>
      <c r="K117" s="156"/>
      <c r="L117" s="156"/>
      <c r="M117" s="156"/>
      <c r="N117" s="153"/>
      <c r="O117" s="153"/>
      <c r="P117" s="153"/>
      <c r="Q117" s="153"/>
      <c r="R117" s="153"/>
      <c r="S117" s="153"/>
      <c r="T117" s="153"/>
      <c r="U117" s="170"/>
      <c r="V117" s="153"/>
      <c r="W117" s="176"/>
      <c r="X117" s="176"/>
      <c r="Y117" s="170"/>
      <c r="Z117" s="153"/>
      <c r="AA117" s="153"/>
      <c r="AB117" s="153"/>
      <c r="AC117" s="141"/>
      <c r="AD117" s="141"/>
      <c r="AE117" s="59" t="s">
        <v>194</v>
      </c>
      <c r="AF117" s="24"/>
    </row>
    <row r="118" spans="2:32" s="1" customFormat="1">
      <c r="B118" s="12">
        <v>1996</v>
      </c>
      <c r="D118" s="161">
        <v>1996</v>
      </c>
      <c r="E118" s="164" t="s">
        <v>195</v>
      </c>
      <c r="F118" s="164" t="s">
        <v>196</v>
      </c>
      <c r="G118" s="146" t="s">
        <v>197</v>
      </c>
      <c r="H118" s="146">
        <f>(200000+3500000)/2</f>
        <v>1850000</v>
      </c>
      <c r="I118" s="143">
        <f>H118/AD118*100</f>
        <v>8.402781947626778</v>
      </c>
      <c r="J118" s="124"/>
      <c r="K118" s="154" t="s">
        <v>198</v>
      </c>
      <c r="L118" s="154" t="s">
        <v>199</v>
      </c>
      <c r="M118" s="154" t="s">
        <v>200</v>
      </c>
      <c r="N118" s="151" t="s">
        <v>434</v>
      </c>
      <c r="O118" s="151"/>
      <c r="P118" s="151"/>
      <c r="Q118" s="151"/>
      <c r="R118" s="151" t="s">
        <v>434</v>
      </c>
      <c r="S118" s="151" t="s">
        <v>434</v>
      </c>
      <c r="T118" s="151" t="s">
        <v>434</v>
      </c>
      <c r="U118" s="168"/>
      <c r="V118" s="151"/>
      <c r="W118" s="167">
        <v>-1.9361580076960203</v>
      </c>
      <c r="X118" s="167">
        <v>-1.9082413961517761</v>
      </c>
      <c r="Y118" s="168">
        <v>1.2523330250568101</v>
      </c>
      <c r="Z118" s="151"/>
      <c r="AA118" s="151"/>
      <c r="AB118" s="151"/>
      <c r="AC118" s="141" t="s">
        <v>201</v>
      </c>
      <c r="AD118" s="141">
        <v>22016518</v>
      </c>
      <c r="AE118" s="59" t="s">
        <v>202</v>
      </c>
      <c r="AF118" s="24"/>
    </row>
    <row r="119" spans="2:32" s="1" customFormat="1">
      <c r="B119" s="12"/>
      <c r="D119" s="162"/>
      <c r="E119" s="165"/>
      <c r="F119" s="165"/>
      <c r="G119" s="147"/>
      <c r="H119" s="147"/>
      <c r="I119" s="144"/>
      <c r="J119" s="124"/>
      <c r="K119" s="155"/>
      <c r="L119" s="155"/>
      <c r="M119" s="155"/>
      <c r="N119" s="152"/>
      <c r="O119" s="152"/>
      <c r="P119" s="152"/>
      <c r="Q119" s="152"/>
      <c r="R119" s="152"/>
      <c r="S119" s="152"/>
      <c r="T119" s="152"/>
      <c r="U119" s="169"/>
      <c r="V119" s="152"/>
      <c r="W119" s="167"/>
      <c r="X119" s="167"/>
      <c r="Y119" s="169"/>
      <c r="Z119" s="152"/>
      <c r="AA119" s="152"/>
      <c r="AB119" s="152"/>
      <c r="AC119" s="141"/>
      <c r="AD119" s="141"/>
      <c r="AE119" s="59" t="s">
        <v>203</v>
      </c>
      <c r="AF119" s="24"/>
    </row>
    <row r="120" spans="2:32" s="1" customFormat="1">
      <c r="B120" s="12"/>
      <c r="D120" s="163"/>
      <c r="E120" s="166"/>
      <c r="F120" s="166"/>
      <c r="G120" s="148"/>
      <c r="H120" s="148"/>
      <c r="I120" s="145"/>
      <c r="J120" s="124"/>
      <c r="K120" s="156"/>
      <c r="L120" s="156"/>
      <c r="M120" s="156"/>
      <c r="N120" s="153"/>
      <c r="O120" s="153"/>
      <c r="P120" s="153"/>
      <c r="Q120" s="153"/>
      <c r="R120" s="153"/>
      <c r="S120" s="153"/>
      <c r="T120" s="153"/>
      <c r="U120" s="170"/>
      <c r="V120" s="153"/>
      <c r="W120" s="167"/>
      <c r="X120" s="167"/>
      <c r="Y120" s="170"/>
      <c r="Z120" s="153"/>
      <c r="AA120" s="153"/>
      <c r="AB120" s="153"/>
      <c r="AC120" s="141"/>
      <c r="AD120" s="141"/>
      <c r="AE120" s="59"/>
      <c r="AF120" s="24"/>
    </row>
    <row r="121" spans="2:32" s="1" customFormat="1">
      <c r="B121" s="12">
        <v>1998</v>
      </c>
      <c r="D121" s="161">
        <v>1998</v>
      </c>
      <c r="E121" s="164" t="s">
        <v>204</v>
      </c>
      <c r="F121" s="164" t="s">
        <v>170</v>
      </c>
      <c r="G121" s="146">
        <v>70000</v>
      </c>
      <c r="H121" s="146">
        <v>70000</v>
      </c>
      <c r="I121" s="143">
        <f>H121/AD121*100</f>
        <v>0.26423816193216682</v>
      </c>
      <c r="J121" s="124"/>
      <c r="K121" s="154" t="s">
        <v>205</v>
      </c>
      <c r="L121" s="154" t="s">
        <v>206</v>
      </c>
      <c r="M121" s="154"/>
      <c r="N121" s="151" t="s">
        <v>463</v>
      </c>
      <c r="O121" s="151">
        <v>1</v>
      </c>
      <c r="P121" s="151"/>
      <c r="Q121" s="151">
        <v>1</v>
      </c>
      <c r="R121" s="151" t="s">
        <v>456</v>
      </c>
      <c r="S121" s="151" t="s">
        <v>464</v>
      </c>
      <c r="T121" s="151" t="s">
        <v>465</v>
      </c>
      <c r="U121" s="168">
        <v>6.013448817030981</v>
      </c>
      <c r="V121" s="151"/>
      <c r="W121" s="167">
        <v>-1.8130265525621452</v>
      </c>
      <c r="X121" s="167">
        <v>-1.2162899162574661</v>
      </c>
      <c r="Y121" s="168">
        <v>2.4308890057131332</v>
      </c>
      <c r="Z121" s="151"/>
      <c r="AA121" s="151"/>
      <c r="AB121" s="151"/>
      <c r="AC121" s="141"/>
      <c r="AD121" s="141">
        <v>26491253</v>
      </c>
      <c r="AE121" s="59" t="s">
        <v>207</v>
      </c>
      <c r="AF121" s="25"/>
    </row>
    <row r="122" spans="2:32" s="1" customFormat="1">
      <c r="B122" s="12"/>
      <c r="D122" s="162"/>
      <c r="E122" s="165"/>
      <c r="F122" s="165"/>
      <c r="G122" s="147"/>
      <c r="H122" s="147"/>
      <c r="I122" s="144"/>
      <c r="J122" s="124"/>
      <c r="K122" s="155"/>
      <c r="L122" s="155"/>
      <c r="M122" s="155"/>
      <c r="N122" s="152"/>
      <c r="O122" s="152"/>
      <c r="P122" s="152"/>
      <c r="Q122" s="152"/>
      <c r="R122" s="152"/>
      <c r="S122" s="152"/>
      <c r="T122" s="152"/>
      <c r="U122" s="169"/>
      <c r="V122" s="152"/>
      <c r="W122" s="167"/>
      <c r="X122" s="167"/>
      <c r="Y122" s="169"/>
      <c r="Z122" s="152"/>
      <c r="AA122" s="152"/>
      <c r="AB122" s="152"/>
      <c r="AC122" s="141"/>
      <c r="AD122" s="141"/>
      <c r="AE122" s="14" t="s">
        <v>208</v>
      </c>
      <c r="AF122" s="24"/>
    </row>
    <row r="123" spans="2:32" s="1" customFormat="1">
      <c r="B123" s="12"/>
      <c r="D123" s="163"/>
      <c r="E123" s="166"/>
      <c r="F123" s="166"/>
      <c r="G123" s="148"/>
      <c r="H123" s="148"/>
      <c r="I123" s="145"/>
      <c r="J123" s="124"/>
      <c r="K123" s="156"/>
      <c r="L123" s="156"/>
      <c r="M123" s="156"/>
      <c r="N123" s="153"/>
      <c r="O123" s="153"/>
      <c r="P123" s="153"/>
      <c r="Q123" s="153"/>
      <c r="R123" s="153"/>
      <c r="S123" s="153"/>
      <c r="T123" s="153"/>
      <c r="U123" s="170"/>
      <c r="V123" s="153"/>
      <c r="W123" s="167"/>
      <c r="X123" s="167"/>
      <c r="Y123" s="170"/>
      <c r="Z123" s="153"/>
      <c r="AA123" s="153"/>
      <c r="AB123" s="153"/>
      <c r="AC123" s="141"/>
      <c r="AD123" s="141"/>
      <c r="AE123" s="59"/>
      <c r="AF123" s="24"/>
    </row>
    <row r="124" spans="2:32" s="1" customFormat="1">
      <c r="B124" s="12"/>
      <c r="D124" s="161" t="s">
        <v>209</v>
      </c>
      <c r="E124" s="164" t="s">
        <v>210</v>
      </c>
      <c r="F124" s="164" t="s">
        <v>88</v>
      </c>
      <c r="G124" s="146" t="s">
        <v>211</v>
      </c>
      <c r="H124" s="146">
        <f>(19900+100000)/2</f>
        <v>59950</v>
      </c>
      <c r="I124" s="143">
        <f>H124/AD124*100</f>
        <v>9.6144683202226411E-2</v>
      </c>
      <c r="J124" s="124"/>
      <c r="K124" s="154"/>
      <c r="L124" s="154" t="s">
        <v>212</v>
      </c>
      <c r="M124" s="154" t="s">
        <v>213</v>
      </c>
      <c r="N124" s="151" t="s">
        <v>466</v>
      </c>
      <c r="O124" s="151">
        <v>1</v>
      </c>
      <c r="P124" s="151"/>
      <c r="Q124" s="151">
        <v>1</v>
      </c>
      <c r="R124" s="151" t="s">
        <v>467</v>
      </c>
      <c r="S124" s="151" t="s">
        <v>468</v>
      </c>
      <c r="T124" s="151" t="s">
        <v>469</v>
      </c>
      <c r="U124" s="168">
        <v>4.9410529540615427</v>
      </c>
      <c r="V124" s="151"/>
      <c r="W124" s="167">
        <v>-0.97476110805506877</v>
      </c>
      <c r="X124" s="167">
        <v>-0.93778373938999604</v>
      </c>
      <c r="Y124" s="168">
        <v>3.0084323900678869</v>
      </c>
      <c r="Z124" s="151"/>
      <c r="AA124" s="151"/>
      <c r="AB124" s="151"/>
      <c r="AC124" s="141" t="s">
        <v>214</v>
      </c>
      <c r="AD124" s="141">
        <v>62353942</v>
      </c>
      <c r="AE124" s="59" t="s">
        <v>215</v>
      </c>
      <c r="AF124" s="24"/>
    </row>
    <row r="125" spans="2:32" s="1" customFormat="1">
      <c r="B125" s="12"/>
      <c r="D125" s="162"/>
      <c r="E125" s="165"/>
      <c r="F125" s="165"/>
      <c r="G125" s="147"/>
      <c r="H125" s="147"/>
      <c r="I125" s="144"/>
      <c r="J125" s="124"/>
      <c r="K125" s="155"/>
      <c r="L125" s="155"/>
      <c r="M125" s="155"/>
      <c r="N125" s="152"/>
      <c r="O125" s="152"/>
      <c r="P125" s="152"/>
      <c r="Q125" s="152"/>
      <c r="R125" s="152"/>
      <c r="S125" s="152"/>
      <c r="T125" s="152"/>
      <c r="U125" s="169"/>
      <c r="V125" s="152"/>
      <c r="W125" s="167"/>
      <c r="X125" s="167"/>
      <c r="Y125" s="169"/>
      <c r="Z125" s="152"/>
      <c r="AA125" s="152"/>
      <c r="AB125" s="152"/>
      <c r="AC125" s="141"/>
      <c r="AD125" s="141"/>
      <c r="AE125" s="59" t="s">
        <v>216</v>
      </c>
      <c r="AF125" s="24"/>
    </row>
    <row r="126" spans="2:32" s="1" customFormat="1">
      <c r="B126" s="12"/>
      <c r="D126" s="163"/>
      <c r="E126" s="166"/>
      <c r="F126" s="166"/>
      <c r="G126" s="148"/>
      <c r="H126" s="148"/>
      <c r="I126" s="145"/>
      <c r="J126" s="124"/>
      <c r="K126" s="156"/>
      <c r="L126" s="156"/>
      <c r="M126" s="156"/>
      <c r="N126" s="153"/>
      <c r="O126" s="153"/>
      <c r="P126" s="153"/>
      <c r="Q126" s="153"/>
      <c r="R126" s="153"/>
      <c r="S126" s="153"/>
      <c r="T126" s="153"/>
      <c r="U126" s="170"/>
      <c r="V126" s="153"/>
      <c r="W126" s="167"/>
      <c r="X126" s="167"/>
      <c r="Y126" s="170"/>
      <c r="Z126" s="153"/>
      <c r="AA126" s="153"/>
      <c r="AB126" s="153"/>
      <c r="AC126" s="141"/>
      <c r="AD126" s="141"/>
      <c r="AE126" s="59" t="s">
        <v>107</v>
      </c>
      <c r="AF126" s="24"/>
    </row>
    <row r="127" spans="2:32" s="1" customFormat="1" ht="15">
      <c r="B127" s="12"/>
      <c r="D127" s="161" t="s">
        <v>217</v>
      </c>
      <c r="E127" s="164" t="s">
        <v>218</v>
      </c>
      <c r="F127" s="127" t="s">
        <v>383</v>
      </c>
      <c r="G127" s="146" t="s">
        <v>220</v>
      </c>
      <c r="H127" s="146">
        <f>(3800000+5400000)/2</f>
        <v>4600000</v>
      </c>
      <c r="I127" s="143">
        <f>H127/AD127*100</f>
        <v>8.8239922200011556</v>
      </c>
      <c r="J127" s="124"/>
      <c r="K127" s="154" t="s">
        <v>221</v>
      </c>
      <c r="L127" s="154" t="s">
        <v>222</v>
      </c>
      <c r="M127" s="154" t="s">
        <v>223</v>
      </c>
      <c r="N127" s="131" t="s">
        <v>434</v>
      </c>
      <c r="O127" s="151"/>
      <c r="P127" s="131"/>
      <c r="Q127" s="151">
        <v>1</v>
      </c>
      <c r="R127" s="131" t="s">
        <v>470</v>
      </c>
      <c r="S127" s="131" t="s">
        <v>471</v>
      </c>
      <c r="T127" s="131" t="s">
        <v>465</v>
      </c>
      <c r="U127" s="130">
        <v>4.9180752666905931</v>
      </c>
      <c r="V127" s="131"/>
      <c r="W127" s="71">
        <v>-1.8799709830349784</v>
      </c>
      <c r="X127" s="71">
        <v>-1.9740552049912541</v>
      </c>
      <c r="Y127" s="130">
        <v>2.1315272703518047</v>
      </c>
      <c r="Z127" s="131"/>
      <c r="AA127" s="131"/>
      <c r="AB127" s="131"/>
      <c r="AC127" s="141"/>
      <c r="AD127" s="141">
        <f>44960941+7169658</f>
        <v>52130599</v>
      </c>
      <c r="AE127" s="59" t="s">
        <v>224</v>
      </c>
      <c r="AF127" s="24"/>
    </row>
    <row r="128" spans="2:32" s="1" customFormat="1" ht="15">
      <c r="B128" s="12"/>
      <c r="D128" s="162"/>
      <c r="E128" s="165"/>
      <c r="F128" s="128" t="s">
        <v>439</v>
      </c>
      <c r="G128" s="147"/>
      <c r="H128" s="147"/>
      <c r="I128" s="144"/>
      <c r="J128" s="124"/>
      <c r="K128" s="155"/>
      <c r="L128" s="155"/>
      <c r="M128" s="155"/>
      <c r="N128" s="151" t="s">
        <v>463</v>
      </c>
      <c r="O128" s="152"/>
      <c r="P128" s="151"/>
      <c r="Q128" s="152"/>
      <c r="R128" s="151" t="s">
        <v>472</v>
      </c>
      <c r="S128" s="151" t="s">
        <v>434</v>
      </c>
      <c r="T128" s="151" t="s">
        <v>473</v>
      </c>
      <c r="U128" s="168">
        <v>5.5779294828859483</v>
      </c>
      <c r="V128" s="151"/>
      <c r="W128" s="167">
        <v>-1.3096189034326364</v>
      </c>
      <c r="X128" s="167">
        <v>-0.91767578390473659</v>
      </c>
      <c r="Y128" s="168">
        <v>10.456761234995762</v>
      </c>
      <c r="Z128" s="151"/>
      <c r="AA128" s="151"/>
      <c r="AB128" s="151"/>
      <c r="AC128" s="141"/>
      <c r="AD128" s="141"/>
      <c r="AE128" s="59" t="s">
        <v>225</v>
      </c>
      <c r="AF128" s="24"/>
    </row>
    <row r="129" spans="2:32" s="1" customFormat="1">
      <c r="B129" s="12"/>
      <c r="D129" s="163"/>
      <c r="E129" s="166"/>
      <c r="F129" s="129"/>
      <c r="G129" s="148"/>
      <c r="H129" s="148"/>
      <c r="I129" s="145"/>
      <c r="J129" s="124"/>
      <c r="K129" s="156"/>
      <c r="L129" s="156"/>
      <c r="M129" s="156"/>
      <c r="N129" s="153"/>
      <c r="O129" s="153"/>
      <c r="P129" s="153"/>
      <c r="Q129" s="153"/>
      <c r="R129" s="153"/>
      <c r="S129" s="153"/>
      <c r="T129" s="153"/>
      <c r="U129" s="170"/>
      <c r="V129" s="153"/>
      <c r="W129" s="167"/>
      <c r="X129" s="167"/>
      <c r="Y129" s="170"/>
      <c r="Z129" s="153"/>
      <c r="AA129" s="153"/>
      <c r="AB129" s="153"/>
      <c r="AC129" s="141"/>
      <c r="AD129" s="141"/>
      <c r="AE129" s="59"/>
      <c r="AF129" s="24"/>
    </row>
    <row r="130" spans="2:32" s="1" customFormat="1">
      <c r="B130" s="12">
        <v>2000</v>
      </c>
      <c r="D130" s="161" t="s">
        <v>226</v>
      </c>
      <c r="E130" s="164" t="s">
        <v>227</v>
      </c>
      <c r="F130" s="164" t="s">
        <v>228</v>
      </c>
      <c r="G130" s="146"/>
      <c r="H130" s="146"/>
      <c r="I130" s="143"/>
      <c r="J130" s="124"/>
      <c r="K130" s="154" t="s">
        <v>229</v>
      </c>
      <c r="L130" s="154" t="s">
        <v>230</v>
      </c>
      <c r="M130" s="154" t="s">
        <v>231</v>
      </c>
      <c r="N130" s="151" t="s">
        <v>474</v>
      </c>
      <c r="O130" s="151">
        <v>1</v>
      </c>
      <c r="P130" s="151"/>
      <c r="Q130" s="151"/>
      <c r="R130" s="151" t="s">
        <v>434</v>
      </c>
      <c r="S130" s="151" t="s">
        <v>434</v>
      </c>
      <c r="T130" s="151" t="s">
        <v>434</v>
      </c>
      <c r="U130" s="168">
        <v>6.2865202516463681</v>
      </c>
      <c r="V130" s="151"/>
      <c r="W130" s="167">
        <v>-1.1054763608040976</v>
      </c>
      <c r="X130" s="167">
        <v>-0.77933770055866614</v>
      </c>
      <c r="Y130" s="168">
        <v>1.1208634858334354</v>
      </c>
      <c r="Z130" s="151"/>
      <c r="AA130" s="151"/>
      <c r="AB130" s="151"/>
      <c r="AC130" s="141" t="s">
        <v>232</v>
      </c>
      <c r="AD130" s="141"/>
      <c r="AE130" s="59" t="s">
        <v>233</v>
      </c>
      <c r="AF130" s="24"/>
    </row>
    <row r="131" spans="2:32" s="1" customFormat="1">
      <c r="B131" s="12"/>
      <c r="D131" s="162"/>
      <c r="E131" s="165"/>
      <c r="F131" s="165"/>
      <c r="G131" s="147"/>
      <c r="H131" s="147"/>
      <c r="I131" s="144"/>
      <c r="J131" s="124"/>
      <c r="K131" s="155"/>
      <c r="L131" s="155"/>
      <c r="M131" s="155"/>
      <c r="N131" s="152"/>
      <c r="O131" s="152"/>
      <c r="P131" s="152"/>
      <c r="Q131" s="152"/>
      <c r="R131" s="152"/>
      <c r="S131" s="152"/>
      <c r="T131" s="152"/>
      <c r="U131" s="169"/>
      <c r="V131" s="152"/>
      <c r="W131" s="167"/>
      <c r="X131" s="167"/>
      <c r="Y131" s="169"/>
      <c r="Z131" s="152"/>
      <c r="AA131" s="152"/>
      <c r="AB131" s="152"/>
      <c r="AC131" s="141"/>
      <c r="AD131" s="141"/>
      <c r="AE131" s="59"/>
      <c r="AF131" s="24"/>
    </row>
    <row r="132" spans="2:32" s="1" customFormat="1">
      <c r="B132" s="12"/>
      <c r="D132" s="163"/>
      <c r="E132" s="166"/>
      <c r="F132" s="166"/>
      <c r="G132" s="148"/>
      <c r="H132" s="148"/>
      <c r="I132" s="145"/>
      <c r="J132" s="124"/>
      <c r="K132" s="156"/>
      <c r="L132" s="156"/>
      <c r="M132" s="156"/>
      <c r="N132" s="153"/>
      <c r="O132" s="153"/>
      <c r="P132" s="153"/>
      <c r="Q132" s="153"/>
      <c r="R132" s="153"/>
      <c r="S132" s="153"/>
      <c r="T132" s="153"/>
      <c r="U132" s="170"/>
      <c r="V132" s="153"/>
      <c r="W132" s="167"/>
      <c r="X132" s="167"/>
      <c r="Y132" s="170"/>
      <c r="Z132" s="153"/>
      <c r="AA132" s="153"/>
      <c r="AB132" s="153"/>
      <c r="AC132" s="141"/>
      <c r="AD132" s="141"/>
      <c r="AE132" s="59"/>
      <c r="AF132" s="24"/>
    </row>
    <row r="133" spans="2:32" s="1" customFormat="1">
      <c r="B133" s="12">
        <v>2003</v>
      </c>
      <c r="D133" s="161" t="s">
        <v>234</v>
      </c>
      <c r="E133" s="164" t="s">
        <v>235</v>
      </c>
      <c r="F133" s="164" t="s">
        <v>170</v>
      </c>
      <c r="G133" s="146"/>
      <c r="H133" s="146"/>
      <c r="I133" s="143"/>
      <c r="J133" s="124"/>
      <c r="K133" s="154" t="s">
        <v>236</v>
      </c>
      <c r="L133" s="154"/>
      <c r="M133" s="154" t="s">
        <v>237</v>
      </c>
      <c r="N133" s="171">
        <v>1999</v>
      </c>
      <c r="O133" s="171">
        <v>1</v>
      </c>
      <c r="P133" s="151"/>
      <c r="Q133" s="151">
        <v>1</v>
      </c>
      <c r="R133" s="151" t="s">
        <v>456</v>
      </c>
      <c r="S133" s="151" t="s">
        <v>464</v>
      </c>
      <c r="T133" s="151" t="s">
        <v>465</v>
      </c>
      <c r="U133" s="168">
        <v>6.2486399165250335</v>
      </c>
      <c r="V133" s="151"/>
      <c r="W133" s="167">
        <v>-1.4392028794185161</v>
      </c>
      <c r="X133" s="167">
        <v>-1.2517301099914413</v>
      </c>
      <c r="Y133" s="168">
        <v>2.706487224637689</v>
      </c>
      <c r="Z133" s="151"/>
      <c r="AA133" s="151"/>
      <c r="AB133" s="151"/>
      <c r="AC133" s="141" t="s">
        <v>238</v>
      </c>
      <c r="AD133" s="141"/>
      <c r="AE133" s="59" t="s">
        <v>239</v>
      </c>
      <c r="AF133" s="24"/>
    </row>
    <row r="134" spans="2:32" s="1" customFormat="1">
      <c r="B134" s="12"/>
      <c r="D134" s="162"/>
      <c r="E134" s="165"/>
      <c r="F134" s="165"/>
      <c r="G134" s="147"/>
      <c r="H134" s="147"/>
      <c r="I134" s="144"/>
      <c r="J134" s="124"/>
      <c r="K134" s="155"/>
      <c r="L134" s="155"/>
      <c r="M134" s="155"/>
      <c r="N134" s="172"/>
      <c r="O134" s="172"/>
      <c r="P134" s="152"/>
      <c r="Q134" s="152"/>
      <c r="R134" s="152"/>
      <c r="S134" s="152"/>
      <c r="T134" s="152"/>
      <c r="U134" s="169"/>
      <c r="V134" s="152"/>
      <c r="W134" s="167"/>
      <c r="X134" s="167"/>
      <c r="Y134" s="169"/>
      <c r="Z134" s="152"/>
      <c r="AA134" s="152"/>
      <c r="AB134" s="152"/>
      <c r="AC134" s="141"/>
      <c r="AD134" s="141"/>
      <c r="AE134" s="59"/>
      <c r="AF134" s="24"/>
    </row>
    <row r="135" spans="2:32" s="1" customFormat="1">
      <c r="B135" s="12"/>
      <c r="D135" s="163"/>
      <c r="E135" s="166"/>
      <c r="F135" s="166"/>
      <c r="G135" s="148"/>
      <c r="H135" s="148"/>
      <c r="I135" s="145"/>
      <c r="J135" s="124"/>
      <c r="K135" s="156"/>
      <c r="L135" s="156"/>
      <c r="M135" s="156"/>
      <c r="N135" s="173"/>
      <c r="O135" s="173"/>
      <c r="P135" s="153"/>
      <c r="Q135" s="153"/>
      <c r="R135" s="153"/>
      <c r="S135" s="153"/>
      <c r="T135" s="153"/>
      <c r="U135" s="170"/>
      <c r="V135" s="153"/>
      <c r="W135" s="167"/>
      <c r="X135" s="167"/>
      <c r="Y135" s="170"/>
      <c r="Z135" s="153"/>
      <c r="AA135" s="153"/>
      <c r="AB135" s="153"/>
      <c r="AC135" s="141"/>
      <c r="AD135" s="141"/>
      <c r="AE135" s="59"/>
      <c r="AF135" s="24"/>
    </row>
    <row r="136" spans="2:32" s="1" customFormat="1" ht="14.5" customHeight="1">
      <c r="B136" s="12">
        <v>2005</v>
      </c>
      <c r="D136" s="161" t="s">
        <v>240</v>
      </c>
      <c r="E136" s="164" t="s">
        <v>241</v>
      </c>
      <c r="F136" s="164" t="s">
        <v>242</v>
      </c>
      <c r="G136" s="146"/>
      <c r="H136" s="146"/>
      <c r="I136" s="143"/>
      <c r="J136" s="124"/>
      <c r="K136" s="154" t="s">
        <v>243</v>
      </c>
      <c r="L136" s="154" t="s">
        <v>244</v>
      </c>
      <c r="M136" s="154" t="s">
        <v>245</v>
      </c>
      <c r="N136" s="151" t="s">
        <v>475</v>
      </c>
      <c r="O136" s="151">
        <v>1</v>
      </c>
      <c r="P136" s="151"/>
      <c r="Q136" s="151"/>
      <c r="R136" s="151" t="s">
        <v>434</v>
      </c>
      <c r="S136" s="151" t="s">
        <v>434</v>
      </c>
      <c r="T136" s="151" t="s">
        <v>434</v>
      </c>
      <c r="U136" s="168">
        <v>5.3308367690166785</v>
      </c>
      <c r="V136" s="151"/>
      <c r="W136" s="167">
        <v>-0.47822569713631741</v>
      </c>
      <c r="X136" s="167">
        <v>-0.79973218658618961</v>
      </c>
      <c r="Y136" s="168">
        <v>2.8026049088880804</v>
      </c>
      <c r="Z136" s="151"/>
      <c r="AA136" s="151"/>
      <c r="AB136" s="151"/>
      <c r="AC136" s="141" t="s">
        <v>246</v>
      </c>
      <c r="AD136" s="141"/>
      <c r="AE136" s="59" t="s">
        <v>107</v>
      </c>
      <c r="AF136" s="24"/>
    </row>
    <row r="137" spans="2:32" s="1" customFormat="1">
      <c r="B137" s="12"/>
      <c r="D137" s="162"/>
      <c r="E137" s="165"/>
      <c r="F137" s="165"/>
      <c r="G137" s="147"/>
      <c r="H137" s="147"/>
      <c r="I137" s="144"/>
      <c r="J137" s="124"/>
      <c r="K137" s="155"/>
      <c r="L137" s="155"/>
      <c r="M137" s="155"/>
      <c r="N137" s="152"/>
      <c r="O137" s="152"/>
      <c r="P137" s="152"/>
      <c r="Q137" s="152"/>
      <c r="R137" s="152"/>
      <c r="S137" s="152"/>
      <c r="T137" s="152"/>
      <c r="U137" s="169"/>
      <c r="V137" s="152"/>
      <c r="W137" s="167"/>
      <c r="X137" s="167"/>
      <c r="Y137" s="169"/>
      <c r="Z137" s="152"/>
      <c r="AA137" s="152"/>
      <c r="AB137" s="152"/>
      <c r="AC137" s="141"/>
      <c r="AD137" s="141"/>
      <c r="AE137" s="59" t="s">
        <v>247</v>
      </c>
      <c r="AF137" s="24"/>
    </row>
    <row r="138" spans="2:32" s="1" customFormat="1">
      <c r="B138" s="12"/>
      <c r="D138" s="163"/>
      <c r="E138" s="166"/>
      <c r="F138" s="166"/>
      <c r="G138" s="148"/>
      <c r="H138" s="148"/>
      <c r="I138" s="145"/>
      <c r="J138" s="124"/>
      <c r="K138" s="156"/>
      <c r="L138" s="156"/>
      <c r="M138" s="156"/>
      <c r="N138" s="153"/>
      <c r="O138" s="153"/>
      <c r="P138" s="153"/>
      <c r="Q138" s="153"/>
      <c r="R138" s="153"/>
      <c r="S138" s="153"/>
      <c r="T138" s="153"/>
      <c r="U138" s="170"/>
      <c r="V138" s="153"/>
      <c r="W138" s="167"/>
      <c r="X138" s="167"/>
      <c r="Y138" s="170"/>
      <c r="Z138" s="153"/>
      <c r="AA138" s="153"/>
      <c r="AB138" s="153"/>
      <c r="AC138" s="141"/>
      <c r="AD138" s="141"/>
      <c r="AE138" s="59"/>
      <c r="AF138" s="24"/>
    </row>
    <row r="139" spans="2:32" s="1" customFormat="1">
      <c r="B139" s="12"/>
      <c r="D139" s="161" t="s">
        <v>248</v>
      </c>
      <c r="E139" s="164" t="s">
        <v>249</v>
      </c>
      <c r="F139" s="164" t="s">
        <v>250</v>
      </c>
      <c r="G139" s="146"/>
      <c r="H139" s="146"/>
      <c r="I139" s="143"/>
      <c r="J139" s="124"/>
      <c r="K139" s="154" t="s">
        <v>251</v>
      </c>
      <c r="L139" s="154" t="s">
        <v>252</v>
      </c>
      <c r="M139" s="154" t="s">
        <v>253</v>
      </c>
      <c r="N139" s="151">
        <v>2005</v>
      </c>
      <c r="O139" s="151">
        <v>1</v>
      </c>
      <c r="P139" s="151"/>
      <c r="Q139" s="151"/>
      <c r="R139" s="151" t="s">
        <v>434</v>
      </c>
      <c r="S139" s="151" t="s">
        <v>434</v>
      </c>
      <c r="T139" s="151" t="s">
        <v>434</v>
      </c>
      <c r="U139" s="168">
        <v>5.4807718168204644</v>
      </c>
      <c r="V139" s="151"/>
      <c r="W139" s="167">
        <v>-0.29942159472943597</v>
      </c>
      <c r="X139" s="167">
        <v>-0.78861405735764345</v>
      </c>
      <c r="Y139" s="168">
        <v>3.7936794722393592</v>
      </c>
      <c r="Z139" s="151"/>
      <c r="AA139" s="151"/>
      <c r="AB139" s="151"/>
      <c r="AC139" s="141" t="s">
        <v>254</v>
      </c>
      <c r="AD139" s="141"/>
      <c r="AE139" s="59" t="s">
        <v>255</v>
      </c>
      <c r="AF139" s="24"/>
    </row>
    <row r="140" spans="2:32" s="1" customFormat="1">
      <c r="B140" s="12"/>
      <c r="D140" s="162"/>
      <c r="E140" s="165"/>
      <c r="F140" s="165"/>
      <c r="G140" s="147"/>
      <c r="H140" s="147"/>
      <c r="I140" s="144"/>
      <c r="J140" s="124"/>
      <c r="K140" s="155"/>
      <c r="L140" s="155"/>
      <c r="M140" s="155"/>
      <c r="N140" s="152"/>
      <c r="O140" s="152"/>
      <c r="P140" s="152"/>
      <c r="Q140" s="152"/>
      <c r="R140" s="152"/>
      <c r="S140" s="152"/>
      <c r="T140" s="152"/>
      <c r="U140" s="169"/>
      <c r="V140" s="152"/>
      <c r="W140" s="167"/>
      <c r="X140" s="167"/>
      <c r="Y140" s="169"/>
      <c r="Z140" s="152"/>
      <c r="AA140" s="152"/>
      <c r="AB140" s="152"/>
      <c r="AC140" s="141"/>
      <c r="AD140" s="141"/>
      <c r="AE140" s="59" t="s">
        <v>256</v>
      </c>
      <c r="AF140" s="24"/>
    </row>
    <row r="141" spans="2:32" s="1" customFormat="1">
      <c r="B141" s="12"/>
      <c r="D141" s="163"/>
      <c r="E141" s="166"/>
      <c r="F141" s="166"/>
      <c r="G141" s="148"/>
      <c r="H141" s="148"/>
      <c r="I141" s="145"/>
      <c r="J141" s="124"/>
      <c r="K141" s="156"/>
      <c r="L141" s="156"/>
      <c r="M141" s="156"/>
      <c r="N141" s="153"/>
      <c r="O141" s="153"/>
      <c r="P141" s="153"/>
      <c r="Q141" s="153"/>
      <c r="R141" s="153"/>
      <c r="S141" s="153"/>
      <c r="T141" s="153"/>
      <c r="U141" s="170"/>
      <c r="V141" s="153"/>
      <c r="W141" s="167"/>
      <c r="X141" s="167"/>
      <c r="Y141" s="170"/>
      <c r="Z141" s="153"/>
      <c r="AA141" s="153"/>
      <c r="AB141" s="153"/>
      <c r="AC141" s="141"/>
      <c r="AD141" s="141"/>
      <c r="AE141" s="59" t="s">
        <v>257</v>
      </c>
      <c r="AF141" s="24"/>
    </row>
    <row r="142" spans="2:32" s="1" customFormat="1" ht="15" customHeight="1">
      <c r="B142" s="12">
        <v>2006</v>
      </c>
      <c r="D142" s="161">
        <v>2006</v>
      </c>
      <c r="E142" s="164" t="s">
        <v>258</v>
      </c>
      <c r="F142" s="127" t="s">
        <v>440</v>
      </c>
      <c r="G142" s="146"/>
      <c r="H142" s="146"/>
      <c r="I142" s="143"/>
      <c r="J142" s="124"/>
      <c r="K142" s="154"/>
      <c r="L142" s="154"/>
      <c r="M142" s="154"/>
      <c r="N142" s="131" t="s">
        <v>476</v>
      </c>
      <c r="O142" s="151">
        <v>1</v>
      </c>
      <c r="P142" s="131"/>
      <c r="Q142" s="151">
        <v>1</v>
      </c>
      <c r="R142" s="131" t="s">
        <v>434</v>
      </c>
      <c r="S142" s="131" t="s">
        <v>434</v>
      </c>
      <c r="T142" s="131" t="s">
        <v>434</v>
      </c>
      <c r="U142" s="130" t="s">
        <v>434</v>
      </c>
      <c r="V142" s="131"/>
      <c r="W142" s="71">
        <v>-1.0965366097298921</v>
      </c>
      <c r="X142" s="71">
        <v>-0.89747668470628972</v>
      </c>
      <c r="Y142" s="130" t="s">
        <v>434</v>
      </c>
      <c r="Z142" s="131"/>
      <c r="AA142" s="131"/>
      <c r="AB142" s="131"/>
      <c r="AC142" s="141"/>
      <c r="AD142" s="141"/>
      <c r="AE142" s="59"/>
      <c r="AF142" s="24"/>
    </row>
    <row r="143" spans="2:32" s="1" customFormat="1" ht="15" customHeight="1">
      <c r="B143" s="12"/>
      <c r="D143" s="162"/>
      <c r="E143" s="165"/>
      <c r="F143" s="128" t="s">
        <v>441</v>
      </c>
      <c r="G143" s="147"/>
      <c r="H143" s="147"/>
      <c r="I143" s="144"/>
      <c r="J143" s="124"/>
      <c r="K143" s="155"/>
      <c r="L143" s="155"/>
      <c r="M143" s="155"/>
      <c r="N143" s="131">
        <v>2008</v>
      </c>
      <c r="O143" s="152"/>
      <c r="P143" s="131"/>
      <c r="Q143" s="152"/>
      <c r="R143" s="131" t="s">
        <v>434</v>
      </c>
      <c r="S143" s="131" t="s">
        <v>434</v>
      </c>
      <c r="T143" s="131" t="s">
        <v>434</v>
      </c>
      <c r="U143" s="130">
        <v>5.458598139358787</v>
      </c>
      <c r="V143" s="131"/>
      <c r="W143" s="71">
        <v>-2.0270089915048448</v>
      </c>
      <c r="X143" s="71">
        <v>-1.3089702303764048</v>
      </c>
      <c r="Y143" s="130">
        <v>3.9600499151006039</v>
      </c>
      <c r="Z143" s="131"/>
      <c r="AA143" s="131"/>
      <c r="AB143" s="131"/>
      <c r="AC143" s="141"/>
      <c r="AD143" s="141"/>
      <c r="AE143" s="59"/>
      <c r="AF143" s="24"/>
    </row>
    <row r="144" spans="2:32" s="1" customFormat="1" ht="15" customHeight="1">
      <c r="B144" s="12"/>
      <c r="D144" s="162"/>
      <c r="E144" s="165"/>
      <c r="F144" s="128" t="s">
        <v>88</v>
      </c>
      <c r="G144" s="147"/>
      <c r="H144" s="147"/>
      <c r="I144" s="144"/>
      <c r="J144" s="124"/>
      <c r="K144" s="155"/>
      <c r="L144" s="155"/>
      <c r="M144" s="155"/>
      <c r="N144" s="131" t="s">
        <v>477</v>
      </c>
      <c r="O144" s="152"/>
      <c r="P144" s="131"/>
      <c r="Q144" s="152"/>
      <c r="R144" s="125" t="s">
        <v>467</v>
      </c>
      <c r="S144" s="131" t="s">
        <v>468</v>
      </c>
      <c r="T144" s="131" t="s">
        <v>478</v>
      </c>
      <c r="U144" s="130">
        <v>5.0873317909232023</v>
      </c>
      <c r="V144" s="131"/>
      <c r="W144" s="71">
        <v>-1.1565611747237086</v>
      </c>
      <c r="X144" s="71">
        <v>-0.57403969117156395</v>
      </c>
      <c r="Y144" s="130">
        <v>2.8518440415160251</v>
      </c>
      <c r="Z144" s="131"/>
      <c r="AA144" s="131"/>
      <c r="AB144" s="131"/>
      <c r="AC144" s="141"/>
      <c r="AD144" s="141"/>
      <c r="AE144" s="59"/>
      <c r="AF144" s="24"/>
    </row>
    <row r="145" spans="2:32" s="1" customFormat="1" ht="15">
      <c r="B145" s="12"/>
      <c r="D145" s="162"/>
      <c r="E145" s="165"/>
      <c r="F145" s="128" t="s">
        <v>442</v>
      </c>
      <c r="G145" s="147"/>
      <c r="H145" s="147"/>
      <c r="I145" s="144"/>
      <c r="J145" s="124"/>
      <c r="K145" s="155"/>
      <c r="L145" s="155"/>
      <c r="M145" s="155"/>
      <c r="N145" s="131" t="s">
        <v>479</v>
      </c>
      <c r="O145" s="152"/>
      <c r="P145" s="131"/>
      <c r="Q145" s="152"/>
      <c r="R145" s="131" t="s">
        <v>434</v>
      </c>
      <c r="S145" s="131" t="s">
        <v>480</v>
      </c>
      <c r="T145" s="131" t="s">
        <v>434</v>
      </c>
      <c r="U145" s="130">
        <v>6.2711797137398007</v>
      </c>
      <c r="V145" s="131"/>
      <c r="W145" s="71">
        <v>-0.13755314082452144</v>
      </c>
      <c r="X145" s="71">
        <v>-0.58386120573955902</v>
      </c>
      <c r="Y145" s="130">
        <v>2.7600312172326564</v>
      </c>
      <c r="Z145" s="131"/>
      <c r="AA145" s="131"/>
      <c r="AB145" s="131"/>
      <c r="AC145" s="141"/>
      <c r="AD145" s="141"/>
      <c r="AE145" s="59"/>
      <c r="AF145" s="24"/>
    </row>
    <row r="146" spans="2:32" s="1" customFormat="1" ht="15">
      <c r="B146" s="12"/>
      <c r="D146" s="163"/>
      <c r="E146" s="166"/>
      <c r="F146" s="129" t="s">
        <v>131</v>
      </c>
      <c r="G146" s="148"/>
      <c r="H146" s="148"/>
      <c r="I146" s="145"/>
      <c r="J146" s="124"/>
      <c r="K146" s="156"/>
      <c r="L146" s="156"/>
      <c r="M146" s="156"/>
      <c r="N146" s="131" t="s">
        <v>479</v>
      </c>
      <c r="O146" s="153"/>
      <c r="P146" s="131"/>
      <c r="Q146" s="153"/>
      <c r="R146" s="131" t="s">
        <v>481</v>
      </c>
      <c r="S146" s="131" t="s">
        <v>461</v>
      </c>
      <c r="T146" s="131" t="s">
        <v>434</v>
      </c>
      <c r="U146" s="130" t="s">
        <v>434</v>
      </c>
      <c r="V146" s="131"/>
      <c r="W146" s="71">
        <v>-1.8335552732896612</v>
      </c>
      <c r="X146" s="71">
        <v>-2.3148681048983004</v>
      </c>
      <c r="Y146" s="130">
        <v>2.6527748905601416</v>
      </c>
      <c r="Z146" s="131"/>
      <c r="AA146" s="131"/>
      <c r="AB146" s="131"/>
      <c r="AC146" s="141"/>
      <c r="AD146" s="141"/>
      <c r="AE146" s="59"/>
      <c r="AF146" s="24"/>
    </row>
    <row r="147" spans="2:32" s="1" customFormat="1" ht="15">
      <c r="B147" s="12">
        <v>2011</v>
      </c>
      <c r="D147" s="161" t="s">
        <v>260</v>
      </c>
      <c r="E147" s="164" t="s">
        <v>188</v>
      </c>
      <c r="F147" s="127" t="s">
        <v>131</v>
      </c>
      <c r="G147" s="146">
        <v>258000</v>
      </c>
      <c r="H147" s="146"/>
      <c r="I147" s="143"/>
      <c r="J147" s="124"/>
      <c r="K147" s="154"/>
      <c r="L147" s="154"/>
      <c r="M147" s="154"/>
      <c r="N147" s="131" t="s">
        <v>482</v>
      </c>
      <c r="O147" s="151">
        <v>1</v>
      </c>
      <c r="P147" s="131"/>
      <c r="Q147" s="151">
        <v>1</v>
      </c>
      <c r="R147" s="131" t="s">
        <v>481</v>
      </c>
      <c r="S147" s="131" t="s">
        <v>483</v>
      </c>
      <c r="T147" s="131" t="s">
        <v>484</v>
      </c>
      <c r="U147" s="130" t="s">
        <v>434</v>
      </c>
      <c r="V147" s="131"/>
      <c r="W147" s="71">
        <v>-2.0686947938303946</v>
      </c>
      <c r="X147" s="71">
        <v>-2.1551992242310485</v>
      </c>
      <c r="Y147" s="130">
        <v>2.8091738769199477</v>
      </c>
      <c r="Z147" s="131"/>
      <c r="AA147" s="131"/>
      <c r="AB147" s="131"/>
      <c r="AC147" s="141"/>
      <c r="AD147" s="141" t="s">
        <v>262</v>
      </c>
      <c r="AE147" s="59" t="s">
        <v>263</v>
      </c>
      <c r="AF147" s="24"/>
    </row>
    <row r="148" spans="2:32" s="1" customFormat="1" ht="15">
      <c r="B148" s="12"/>
      <c r="D148" s="162"/>
      <c r="E148" s="165"/>
      <c r="F148" s="128" t="s">
        <v>88</v>
      </c>
      <c r="G148" s="147"/>
      <c r="H148" s="147"/>
      <c r="I148" s="144"/>
      <c r="J148" s="124"/>
      <c r="K148" s="155"/>
      <c r="L148" s="155"/>
      <c r="M148" s="155"/>
      <c r="N148" s="131" t="s">
        <v>485</v>
      </c>
      <c r="O148" s="152"/>
      <c r="P148" s="131"/>
      <c r="Q148" s="152"/>
      <c r="R148" s="125" t="s">
        <v>467</v>
      </c>
      <c r="S148" s="131" t="s">
        <v>468</v>
      </c>
      <c r="T148" s="131" t="s">
        <v>434</v>
      </c>
      <c r="U148" s="130">
        <v>5.8806838992064323</v>
      </c>
      <c r="V148" s="131"/>
      <c r="W148" s="71">
        <v>-1.3263511224067261</v>
      </c>
      <c r="X148" s="71">
        <v>-0.46720630969970828</v>
      </c>
      <c r="Y148" s="130">
        <v>2.6845454170836969</v>
      </c>
      <c r="Z148" s="131"/>
      <c r="AA148" s="131"/>
      <c r="AB148" s="131"/>
      <c r="AC148" s="141"/>
      <c r="AD148" s="141"/>
      <c r="AE148" s="59"/>
      <c r="AF148" s="24"/>
    </row>
    <row r="149" spans="2:32" s="1" customFormat="1" ht="15">
      <c r="B149" s="12"/>
      <c r="D149" s="163"/>
      <c r="E149" s="166"/>
      <c r="F149" s="129" t="s">
        <v>442</v>
      </c>
      <c r="G149" s="148"/>
      <c r="H149" s="148"/>
      <c r="I149" s="145"/>
      <c r="J149" s="124"/>
      <c r="K149" s="156"/>
      <c r="L149" s="156"/>
      <c r="M149" s="156"/>
      <c r="N149" s="131" t="s">
        <v>482</v>
      </c>
      <c r="O149" s="153"/>
      <c r="P149" s="131"/>
      <c r="Q149" s="153"/>
      <c r="R149" s="131" t="s">
        <v>434</v>
      </c>
      <c r="S149" s="131" t="s">
        <v>480</v>
      </c>
      <c r="T149" s="72" t="s">
        <v>486</v>
      </c>
      <c r="U149" s="130">
        <v>6.673009571258298</v>
      </c>
      <c r="V149" s="131"/>
      <c r="W149" s="71">
        <v>-0.27579515544152683</v>
      </c>
      <c r="X149" s="71">
        <v>-0.56748570923585795</v>
      </c>
      <c r="Y149" s="130">
        <v>2.7660661838946621</v>
      </c>
      <c r="Z149" s="131"/>
      <c r="AA149" s="131"/>
      <c r="AB149" s="131"/>
      <c r="AC149" s="141"/>
      <c r="AD149" s="141"/>
      <c r="AE149" s="59"/>
      <c r="AF149" s="24"/>
    </row>
    <row r="150" spans="2:32" s="1" customFormat="1" ht="15" customHeight="1">
      <c r="B150" s="157">
        <v>2012</v>
      </c>
      <c r="C150" s="4"/>
      <c r="D150" s="160">
        <v>2012</v>
      </c>
      <c r="E150" s="161" t="s">
        <v>264</v>
      </c>
      <c r="F150" s="127" t="s">
        <v>443</v>
      </c>
      <c r="G150" s="146"/>
      <c r="H150" s="146"/>
      <c r="I150" s="146"/>
      <c r="J150" s="143"/>
      <c r="K150" s="154"/>
      <c r="L150" s="154"/>
      <c r="M150" s="154"/>
      <c r="N150" s="131">
        <v>2011</v>
      </c>
      <c r="O150" s="151">
        <v>1</v>
      </c>
      <c r="P150" s="131"/>
      <c r="Q150" s="151">
        <v>1</v>
      </c>
      <c r="R150" s="131">
        <v>2011</v>
      </c>
      <c r="S150" s="131" t="s">
        <v>434</v>
      </c>
      <c r="T150" s="131" t="s">
        <v>434</v>
      </c>
      <c r="U150" s="130">
        <v>6.9443189059643924</v>
      </c>
      <c r="V150" s="131"/>
      <c r="W150" s="71">
        <v>-5.485743201135005E-2</v>
      </c>
      <c r="X150" s="71">
        <v>-0.45707411560485495</v>
      </c>
      <c r="Y150" s="130">
        <v>2.9551133101297093</v>
      </c>
      <c r="Z150" s="131"/>
      <c r="AA150" s="131"/>
      <c r="AB150" s="131"/>
      <c r="AE150" s="55"/>
    </row>
    <row r="151" spans="2:32" s="1" customFormat="1" ht="15" customHeight="1">
      <c r="B151" s="158"/>
      <c r="C151" s="4"/>
      <c r="D151" s="160"/>
      <c r="E151" s="162"/>
      <c r="F151" s="128" t="s">
        <v>444</v>
      </c>
      <c r="G151" s="147"/>
      <c r="H151" s="147"/>
      <c r="I151" s="147"/>
      <c r="J151" s="144"/>
      <c r="K151" s="155"/>
      <c r="L151" s="155"/>
      <c r="M151" s="155"/>
      <c r="N151" s="131">
        <v>2012</v>
      </c>
      <c r="O151" s="152"/>
      <c r="P151" s="131"/>
      <c r="Q151" s="152"/>
      <c r="R151" s="131" t="s">
        <v>434</v>
      </c>
      <c r="S151" s="131" t="s">
        <v>434</v>
      </c>
      <c r="T151" s="131" t="s">
        <v>434</v>
      </c>
      <c r="U151" s="130">
        <v>6.2943417739974521</v>
      </c>
      <c r="V151" s="131"/>
      <c r="W151" s="71">
        <v>-1.2525314648612471</v>
      </c>
      <c r="X151" s="71">
        <v>-0.51296186266175647</v>
      </c>
      <c r="Y151" s="130">
        <v>3.2743322614798451</v>
      </c>
      <c r="Z151" s="131"/>
      <c r="AA151" s="131"/>
      <c r="AB151" s="131"/>
      <c r="AE151" s="55"/>
    </row>
    <row r="152" spans="2:32" s="1" customFormat="1" ht="15" customHeight="1">
      <c r="B152" s="158"/>
      <c r="C152" s="4"/>
      <c r="D152" s="160"/>
      <c r="E152" s="162"/>
      <c r="F152" s="128" t="s">
        <v>250</v>
      </c>
      <c r="G152" s="147"/>
      <c r="H152" s="147"/>
      <c r="I152" s="147"/>
      <c r="J152" s="144"/>
      <c r="K152" s="155"/>
      <c r="L152" s="155"/>
      <c r="M152" s="155"/>
      <c r="N152" s="131" t="s">
        <v>487</v>
      </c>
      <c r="O152" s="152"/>
      <c r="P152" s="131"/>
      <c r="Q152" s="152"/>
      <c r="R152" s="131" t="s">
        <v>260</v>
      </c>
      <c r="S152" s="131" t="s">
        <v>434</v>
      </c>
      <c r="T152" s="131" t="s">
        <v>434</v>
      </c>
      <c r="U152" s="130">
        <v>5.8642378456378932</v>
      </c>
      <c r="V152" s="131"/>
      <c r="W152" s="71">
        <v>-0.39507959952575356</v>
      </c>
      <c r="X152" s="71">
        <v>-0.70399601649343657</v>
      </c>
      <c r="Y152" s="130">
        <v>3.9486313356093219</v>
      </c>
      <c r="Z152" s="131"/>
      <c r="AA152" s="131"/>
      <c r="AB152" s="131"/>
      <c r="AE152" s="55"/>
    </row>
    <row r="153" spans="2:32" s="1" customFormat="1" ht="15" customHeight="1">
      <c r="B153" s="158"/>
      <c r="C153" s="4"/>
      <c r="D153" s="160"/>
      <c r="E153" s="162"/>
      <c r="F153" s="128" t="s">
        <v>435</v>
      </c>
      <c r="G153" s="147"/>
      <c r="H153" s="147"/>
      <c r="I153" s="147"/>
      <c r="J153" s="144"/>
      <c r="K153" s="155"/>
      <c r="L153" s="155"/>
      <c r="M153" s="155"/>
      <c r="N153" s="131" t="s">
        <v>488</v>
      </c>
      <c r="O153" s="152"/>
      <c r="P153" s="131"/>
      <c r="Q153" s="152"/>
      <c r="R153" s="131" t="s">
        <v>260</v>
      </c>
      <c r="S153" s="131" t="s">
        <v>434</v>
      </c>
      <c r="T153" s="131" t="s">
        <v>434</v>
      </c>
      <c r="U153" s="130">
        <v>6.9879112315981802</v>
      </c>
      <c r="V153" s="131"/>
      <c r="W153" s="71">
        <v>-0.94198275359209416</v>
      </c>
      <c r="X153" s="71">
        <v>-0.9123813322451213</v>
      </c>
      <c r="Y153" s="130">
        <v>2.6547484597180322</v>
      </c>
      <c r="Z153" s="131"/>
      <c r="AA153" s="131"/>
      <c r="AB153" s="131"/>
      <c r="AE153" s="55"/>
    </row>
    <row r="154" spans="2:32" s="1" customFormat="1" ht="15" customHeight="1">
      <c r="B154" s="158"/>
      <c r="C154" s="4"/>
      <c r="D154" s="160"/>
      <c r="E154" s="162"/>
      <c r="F154" s="128" t="s">
        <v>436</v>
      </c>
      <c r="G154" s="147"/>
      <c r="H154" s="147"/>
      <c r="I154" s="147"/>
      <c r="J154" s="144"/>
      <c r="K154" s="155"/>
      <c r="L154" s="155"/>
      <c r="M154" s="155"/>
      <c r="N154" s="131" t="s">
        <v>488</v>
      </c>
      <c r="O154" s="152"/>
      <c r="P154" s="131"/>
      <c r="Q154" s="152"/>
      <c r="R154" s="131">
        <v>2012</v>
      </c>
      <c r="S154" s="131">
        <v>2012</v>
      </c>
      <c r="T154" s="131" t="s">
        <v>434</v>
      </c>
      <c r="U154" s="130">
        <v>6.5591513354116344</v>
      </c>
      <c r="V154" s="131"/>
      <c r="W154" s="71">
        <v>-0.54678503894798436</v>
      </c>
      <c r="X154" s="71">
        <v>-0.98866028673950701</v>
      </c>
      <c r="Y154" s="130">
        <v>3.161819758193936</v>
      </c>
      <c r="Z154" s="131"/>
      <c r="AA154" s="131"/>
      <c r="AB154" s="131"/>
      <c r="AE154" s="55"/>
    </row>
    <row r="155" spans="2:32" s="1" customFormat="1" ht="15">
      <c r="B155" s="159"/>
      <c r="C155" s="65"/>
      <c r="D155" s="160"/>
      <c r="E155" s="163"/>
      <c r="F155" s="129" t="s">
        <v>438</v>
      </c>
      <c r="G155" s="148"/>
      <c r="H155" s="148"/>
      <c r="I155" s="148"/>
      <c r="J155" s="145"/>
      <c r="K155" s="156"/>
      <c r="L155" s="156"/>
      <c r="M155" s="156"/>
      <c r="N155" s="73">
        <v>2011</v>
      </c>
      <c r="O155" s="153"/>
      <c r="P155" s="73"/>
      <c r="Q155" s="153"/>
      <c r="R155" s="73" t="s">
        <v>434</v>
      </c>
      <c r="S155" s="73" t="s">
        <v>434</v>
      </c>
      <c r="T155" s="73" t="s">
        <v>434</v>
      </c>
      <c r="U155" s="74">
        <v>6.4306947829382297</v>
      </c>
      <c r="V155" s="73"/>
      <c r="W155" s="71">
        <v>-0.34532467437041109</v>
      </c>
      <c r="X155" s="71">
        <v>-0.63266125667306916</v>
      </c>
      <c r="Y155" s="130">
        <v>2.9822721705850697</v>
      </c>
      <c r="Z155" s="73"/>
      <c r="AA155" s="73"/>
      <c r="AB155" s="73"/>
      <c r="AE155" s="124"/>
    </row>
    <row r="156" spans="2:32">
      <c r="W156" s="70"/>
      <c r="X156" s="70"/>
    </row>
    <row r="158" spans="2:32">
      <c r="D158" s="18" t="s">
        <v>106</v>
      </c>
      <c r="E158" s="18" t="s">
        <v>398</v>
      </c>
      <c r="F158" s="18"/>
    </row>
    <row r="159" spans="2:32">
      <c r="D159" s="18" t="s">
        <v>161</v>
      </c>
      <c r="E159" s="18" t="s">
        <v>399</v>
      </c>
      <c r="F159" s="19" t="s">
        <v>400</v>
      </c>
    </row>
    <row r="160" spans="2:32">
      <c r="D160" s="18" t="s">
        <v>99</v>
      </c>
      <c r="E160" s="18" t="s">
        <v>401</v>
      </c>
      <c r="F160" s="17" t="s">
        <v>402</v>
      </c>
    </row>
    <row r="161" spans="4:6">
      <c r="D161" s="18" t="s">
        <v>107</v>
      </c>
      <c r="E161" s="18" t="s">
        <v>403</v>
      </c>
      <c r="F161" s="17"/>
    </row>
  </sheetData>
  <mergeCells count="606">
    <mergeCell ref="O150:O155"/>
    <mergeCell ref="O80:O84"/>
    <mergeCell ref="K73:K75"/>
    <mergeCell ref="L73:L75"/>
    <mergeCell ref="M73:M75"/>
    <mergeCell ref="AC73:AC75"/>
    <mergeCell ref="AD73:AD75"/>
    <mergeCell ref="D76:D79"/>
    <mergeCell ref="E76:E79"/>
    <mergeCell ref="F76:F79"/>
    <mergeCell ref="G76:G79"/>
    <mergeCell ref="H76:H79"/>
    <mergeCell ref="D73:D75"/>
    <mergeCell ref="E73:E75"/>
    <mergeCell ref="F73:F75"/>
    <mergeCell ref="G73:G75"/>
    <mergeCell ref="H73:H75"/>
    <mergeCell ref="I73:I75"/>
    <mergeCell ref="O73:O75"/>
    <mergeCell ref="O76:O79"/>
    <mergeCell ref="AC80:AC83"/>
    <mergeCell ref="AD80:AD83"/>
    <mergeCell ref="D85:D87"/>
    <mergeCell ref="E85:E87"/>
    <mergeCell ref="F85:F87"/>
    <mergeCell ref="G85:G87"/>
    <mergeCell ref="H85:H87"/>
    <mergeCell ref="I76:I79"/>
    <mergeCell ref="K76:K79"/>
    <mergeCell ref="L76:L79"/>
    <mergeCell ref="M76:M79"/>
    <mergeCell ref="AC76:AC79"/>
    <mergeCell ref="AD76:AD79"/>
    <mergeCell ref="O85:O87"/>
    <mergeCell ref="I85:I87"/>
    <mergeCell ref="K85:K87"/>
    <mergeCell ref="L85:L87"/>
    <mergeCell ref="M85:M87"/>
    <mergeCell ref="AC85:AC87"/>
    <mergeCell ref="AD85:AD87"/>
    <mergeCell ref="V85:V87"/>
    <mergeCell ref="W85:W87"/>
    <mergeCell ref="Y85:Y87"/>
    <mergeCell ref="L80:L84"/>
    <mergeCell ref="M80:M84"/>
    <mergeCell ref="P85:P87"/>
    <mergeCell ref="Q85:Q87"/>
    <mergeCell ref="U85:U87"/>
    <mergeCell ref="D91:D93"/>
    <mergeCell ref="E91:E93"/>
    <mergeCell ref="F91:F93"/>
    <mergeCell ref="G91:G93"/>
    <mergeCell ref="H91:H93"/>
    <mergeCell ref="D88:D90"/>
    <mergeCell ref="E88:E90"/>
    <mergeCell ref="F88:F90"/>
    <mergeCell ref="G88:G90"/>
    <mergeCell ref="H88:H90"/>
    <mergeCell ref="I91:I93"/>
    <mergeCell ref="K91:K93"/>
    <mergeCell ref="L91:L93"/>
    <mergeCell ref="M91:M93"/>
    <mergeCell ref="AC91:AC93"/>
    <mergeCell ref="AD91:AD93"/>
    <mergeCell ref="K88:K90"/>
    <mergeCell ref="L88:L90"/>
    <mergeCell ref="M88:M90"/>
    <mergeCell ref="AC88:AC90"/>
    <mergeCell ref="AD88:AD90"/>
    <mergeCell ref="I88:I90"/>
    <mergeCell ref="O88:O90"/>
    <mergeCell ref="O91:O93"/>
    <mergeCell ref="Y88:Y90"/>
    <mergeCell ref="V91:V93"/>
    <mergeCell ref="W91:W93"/>
    <mergeCell ref="Y91:Y93"/>
    <mergeCell ref="V88:V90"/>
    <mergeCell ref="W88:W90"/>
    <mergeCell ref="P91:P93"/>
    <mergeCell ref="Q91:Q93"/>
    <mergeCell ref="U91:U93"/>
    <mergeCell ref="P88:P90"/>
    <mergeCell ref="D97:D99"/>
    <mergeCell ref="E97:E99"/>
    <mergeCell ref="F97:F99"/>
    <mergeCell ref="G97:G99"/>
    <mergeCell ref="H97:H99"/>
    <mergeCell ref="D94:D96"/>
    <mergeCell ref="E94:E96"/>
    <mergeCell ref="F94:F96"/>
    <mergeCell ref="G94:G96"/>
    <mergeCell ref="H94:H96"/>
    <mergeCell ref="I97:I99"/>
    <mergeCell ref="K97:K99"/>
    <mergeCell ref="L97:L99"/>
    <mergeCell ref="M97:M99"/>
    <mergeCell ref="AC97:AC99"/>
    <mergeCell ref="AD97:AD99"/>
    <mergeCell ref="K94:K96"/>
    <mergeCell ref="L94:L96"/>
    <mergeCell ref="M94:M96"/>
    <mergeCell ref="AC94:AC96"/>
    <mergeCell ref="AD94:AD96"/>
    <mergeCell ref="I94:I96"/>
    <mergeCell ref="O94:O96"/>
    <mergeCell ref="O97:O99"/>
    <mergeCell ref="Y94:Y96"/>
    <mergeCell ref="V97:V99"/>
    <mergeCell ref="W97:W99"/>
    <mergeCell ref="Y97:Y99"/>
    <mergeCell ref="P94:P96"/>
    <mergeCell ref="Q94:Q96"/>
    <mergeCell ref="U94:U96"/>
    <mergeCell ref="V94:V96"/>
    <mergeCell ref="W94:W96"/>
    <mergeCell ref="D103:D105"/>
    <mergeCell ref="E103:E105"/>
    <mergeCell ref="F103:F105"/>
    <mergeCell ref="G103:G105"/>
    <mergeCell ref="H103:H105"/>
    <mergeCell ref="D100:D102"/>
    <mergeCell ref="E100:E102"/>
    <mergeCell ref="F100:F102"/>
    <mergeCell ref="G100:G102"/>
    <mergeCell ref="H100:H102"/>
    <mergeCell ref="I103:I105"/>
    <mergeCell ref="K103:K105"/>
    <mergeCell ref="L103:L105"/>
    <mergeCell ref="M103:M105"/>
    <mergeCell ref="AC103:AC105"/>
    <mergeCell ref="AD103:AD105"/>
    <mergeCell ref="K100:K102"/>
    <mergeCell ref="L100:L102"/>
    <mergeCell ref="M100:M102"/>
    <mergeCell ref="AC100:AC102"/>
    <mergeCell ref="AD100:AD102"/>
    <mergeCell ref="I100:I102"/>
    <mergeCell ref="O100:O102"/>
    <mergeCell ref="O103:O105"/>
    <mergeCell ref="Z100:Z102"/>
    <mergeCell ref="AA100:AA102"/>
    <mergeCell ref="AB100:AB102"/>
    <mergeCell ref="Z103:Z105"/>
    <mergeCell ref="AA103:AA105"/>
    <mergeCell ref="AB103:AB105"/>
    <mergeCell ref="D109:D111"/>
    <mergeCell ref="E109:E111"/>
    <mergeCell ref="F109:F111"/>
    <mergeCell ref="G109:G111"/>
    <mergeCell ref="H109:H111"/>
    <mergeCell ref="D106:D108"/>
    <mergeCell ref="E106:E108"/>
    <mergeCell ref="F106:F108"/>
    <mergeCell ref="G106:G108"/>
    <mergeCell ref="H106:H108"/>
    <mergeCell ref="I109:I111"/>
    <mergeCell ref="K109:K111"/>
    <mergeCell ref="L109:L111"/>
    <mergeCell ref="M109:M111"/>
    <mergeCell ref="AC109:AC111"/>
    <mergeCell ref="AD109:AD111"/>
    <mergeCell ref="K106:K108"/>
    <mergeCell ref="L106:L108"/>
    <mergeCell ref="M106:M108"/>
    <mergeCell ref="AC106:AC108"/>
    <mergeCell ref="AD106:AD108"/>
    <mergeCell ref="I106:I108"/>
    <mergeCell ref="O106:O108"/>
    <mergeCell ref="O109:O111"/>
    <mergeCell ref="Y106:Y108"/>
    <mergeCell ref="P109:P111"/>
    <mergeCell ref="Q109:Q111"/>
    <mergeCell ref="U109:U111"/>
    <mergeCell ref="V109:V111"/>
    <mergeCell ref="W109:W111"/>
    <mergeCell ref="Y109:Y111"/>
    <mergeCell ref="P106:P108"/>
    <mergeCell ref="Q106:Q108"/>
    <mergeCell ref="AB106:AB108"/>
    <mergeCell ref="D115:D117"/>
    <mergeCell ref="E115:E117"/>
    <mergeCell ref="F115:F117"/>
    <mergeCell ref="G115:G117"/>
    <mergeCell ref="H115:H117"/>
    <mergeCell ref="D112:D114"/>
    <mergeCell ref="E112:E114"/>
    <mergeCell ref="F112:F114"/>
    <mergeCell ref="G112:G114"/>
    <mergeCell ref="H112:H114"/>
    <mergeCell ref="I115:I117"/>
    <mergeCell ref="K115:K117"/>
    <mergeCell ref="L115:L117"/>
    <mergeCell ref="M115:M117"/>
    <mergeCell ref="AC115:AC117"/>
    <mergeCell ref="AD115:AD117"/>
    <mergeCell ref="K112:K114"/>
    <mergeCell ref="L112:L114"/>
    <mergeCell ref="M112:M114"/>
    <mergeCell ref="AC112:AC114"/>
    <mergeCell ref="AD112:AD114"/>
    <mergeCell ref="I112:I114"/>
    <mergeCell ref="O112:O114"/>
    <mergeCell ref="O115:O117"/>
    <mergeCell ref="Z115:Z117"/>
    <mergeCell ref="AA115:AA117"/>
    <mergeCell ref="AB115:AB117"/>
    <mergeCell ref="V115:V117"/>
    <mergeCell ref="W115:W117"/>
    <mergeCell ref="Y115:Y117"/>
    <mergeCell ref="V112:V114"/>
    <mergeCell ref="W112:W114"/>
    <mergeCell ref="X112:X114"/>
    <mergeCell ref="X115:X117"/>
    <mergeCell ref="D121:D123"/>
    <mergeCell ref="E121:E123"/>
    <mergeCell ref="F121:F123"/>
    <mergeCell ref="G121:G123"/>
    <mergeCell ref="H121:H123"/>
    <mergeCell ref="D118:D120"/>
    <mergeCell ref="E118:E120"/>
    <mergeCell ref="F118:F120"/>
    <mergeCell ref="G118:G120"/>
    <mergeCell ref="H118:H120"/>
    <mergeCell ref="I121:I123"/>
    <mergeCell ref="K121:K123"/>
    <mergeCell ref="L121:L123"/>
    <mergeCell ref="M121:M123"/>
    <mergeCell ref="AC121:AC123"/>
    <mergeCell ref="AD121:AD123"/>
    <mergeCell ref="K118:K120"/>
    <mergeCell ref="L118:L120"/>
    <mergeCell ref="M118:M120"/>
    <mergeCell ref="AC118:AC120"/>
    <mergeCell ref="AD118:AD120"/>
    <mergeCell ref="I118:I120"/>
    <mergeCell ref="O118:O120"/>
    <mergeCell ref="O121:O123"/>
    <mergeCell ref="Y118:Y120"/>
    <mergeCell ref="P121:P123"/>
    <mergeCell ref="Q121:Q123"/>
    <mergeCell ref="U121:U123"/>
    <mergeCell ref="V121:V123"/>
    <mergeCell ref="W121:W123"/>
    <mergeCell ref="Y121:Y123"/>
    <mergeCell ref="P118:P120"/>
    <mergeCell ref="Q118:Q120"/>
    <mergeCell ref="V118:V120"/>
    <mergeCell ref="D127:D129"/>
    <mergeCell ref="E127:E129"/>
    <mergeCell ref="G127:G129"/>
    <mergeCell ref="H127:H129"/>
    <mergeCell ref="D124:D126"/>
    <mergeCell ref="E124:E126"/>
    <mergeCell ref="F124:F126"/>
    <mergeCell ref="G124:G126"/>
    <mergeCell ref="H124:H126"/>
    <mergeCell ref="I127:I129"/>
    <mergeCell ref="K127:K129"/>
    <mergeCell ref="L127:L129"/>
    <mergeCell ref="M127:M129"/>
    <mergeCell ref="AC127:AC129"/>
    <mergeCell ref="AD127:AD129"/>
    <mergeCell ref="K124:K126"/>
    <mergeCell ref="L124:L126"/>
    <mergeCell ref="M124:M126"/>
    <mergeCell ref="AC124:AC126"/>
    <mergeCell ref="AD124:AD126"/>
    <mergeCell ref="I124:I126"/>
    <mergeCell ref="O124:O126"/>
    <mergeCell ref="O127:O129"/>
    <mergeCell ref="T124:T126"/>
    <mergeCell ref="N128:N129"/>
    <mergeCell ref="P128:P129"/>
    <mergeCell ref="R128:R129"/>
    <mergeCell ref="S128:S129"/>
    <mergeCell ref="T128:T129"/>
    <mergeCell ref="U128:U129"/>
    <mergeCell ref="V128:V129"/>
    <mergeCell ref="N124:N126"/>
    <mergeCell ref="W128:W129"/>
    <mergeCell ref="K130:K132"/>
    <mergeCell ref="L130:L132"/>
    <mergeCell ref="M130:M132"/>
    <mergeCell ref="AC130:AC132"/>
    <mergeCell ref="AD130:AD132"/>
    <mergeCell ref="D133:D135"/>
    <mergeCell ref="E133:E135"/>
    <mergeCell ref="F133:F135"/>
    <mergeCell ref="G133:G135"/>
    <mergeCell ref="H133:H135"/>
    <mergeCell ref="D130:D132"/>
    <mergeCell ref="E130:E132"/>
    <mergeCell ref="F130:F132"/>
    <mergeCell ref="G130:G132"/>
    <mergeCell ref="H130:H132"/>
    <mergeCell ref="I130:I132"/>
    <mergeCell ref="O130:O132"/>
    <mergeCell ref="O133:O135"/>
    <mergeCell ref="I133:I135"/>
    <mergeCell ref="K133:K135"/>
    <mergeCell ref="L133:L135"/>
    <mergeCell ref="M133:M135"/>
    <mergeCell ref="AC133:AC135"/>
    <mergeCell ref="AD133:AD135"/>
    <mergeCell ref="N133:N135"/>
    <mergeCell ref="P133:P135"/>
    <mergeCell ref="Q133:Q135"/>
    <mergeCell ref="U133:U135"/>
    <mergeCell ref="D139:D141"/>
    <mergeCell ref="E139:E141"/>
    <mergeCell ref="F139:F141"/>
    <mergeCell ref="G139:G141"/>
    <mergeCell ref="H139:H141"/>
    <mergeCell ref="D136:D138"/>
    <mergeCell ref="E136:E138"/>
    <mergeCell ref="F136:F138"/>
    <mergeCell ref="G136:G138"/>
    <mergeCell ref="H136:H138"/>
    <mergeCell ref="I139:I141"/>
    <mergeCell ref="K139:K141"/>
    <mergeCell ref="L139:L141"/>
    <mergeCell ref="M139:M141"/>
    <mergeCell ref="T139:T141"/>
    <mergeCell ref="S139:S141"/>
    <mergeCell ref="AC139:AC141"/>
    <mergeCell ref="AD139:AD141"/>
    <mergeCell ref="K136:K138"/>
    <mergeCell ref="L136:L138"/>
    <mergeCell ref="M136:M138"/>
    <mergeCell ref="AC136:AC138"/>
    <mergeCell ref="AD136:AD138"/>
    <mergeCell ref="I136:I138"/>
    <mergeCell ref="O136:O138"/>
    <mergeCell ref="O139:O141"/>
    <mergeCell ref="Y136:Y138"/>
    <mergeCell ref="P139:P141"/>
    <mergeCell ref="Q139:Q141"/>
    <mergeCell ref="U139:U141"/>
    <mergeCell ref="V139:V141"/>
    <mergeCell ref="W139:W141"/>
    <mergeCell ref="Y139:Y141"/>
    <mergeCell ref="R139:R141"/>
    <mergeCell ref="AA136:AA138"/>
    <mergeCell ref="AB136:AB138"/>
    <mergeCell ref="Z139:Z141"/>
    <mergeCell ref="AA139:AA141"/>
    <mergeCell ref="AB139:AB141"/>
    <mergeCell ref="Z136:Z138"/>
    <mergeCell ref="D147:D149"/>
    <mergeCell ref="E147:E149"/>
    <mergeCell ref="G147:G149"/>
    <mergeCell ref="H147:H149"/>
    <mergeCell ref="D142:D146"/>
    <mergeCell ref="E142:E146"/>
    <mergeCell ref="G142:G146"/>
    <mergeCell ref="H142:H146"/>
    <mergeCell ref="I142:I146"/>
    <mergeCell ref="I147:I149"/>
    <mergeCell ref="K147:K149"/>
    <mergeCell ref="L147:L149"/>
    <mergeCell ref="M147:M149"/>
    <mergeCell ref="AC147:AC149"/>
    <mergeCell ref="AD147:AD149"/>
    <mergeCell ref="K142:K146"/>
    <mergeCell ref="L142:L146"/>
    <mergeCell ref="M142:M146"/>
    <mergeCell ref="AC142:AC146"/>
    <mergeCell ref="AD142:AD146"/>
    <mergeCell ref="O142:O146"/>
    <mergeCell ref="O147:O149"/>
    <mergeCell ref="Q142:Q146"/>
    <mergeCell ref="Q147:Q149"/>
    <mergeCell ref="B150:B155"/>
    <mergeCell ref="N73:N75"/>
    <mergeCell ref="P73:P75"/>
    <mergeCell ref="Q73:Q75"/>
    <mergeCell ref="N85:N87"/>
    <mergeCell ref="N88:N90"/>
    <mergeCell ref="N91:N93"/>
    <mergeCell ref="J150:J155"/>
    <mergeCell ref="K150:K155"/>
    <mergeCell ref="L150:L155"/>
    <mergeCell ref="M150:M155"/>
    <mergeCell ref="D80:D84"/>
    <mergeCell ref="E80:E84"/>
    <mergeCell ref="G80:G84"/>
    <mergeCell ref="H80:H84"/>
    <mergeCell ref="I80:I84"/>
    <mergeCell ref="K80:K84"/>
    <mergeCell ref="D150:D155"/>
    <mergeCell ref="E150:E155"/>
    <mergeCell ref="G150:G155"/>
    <mergeCell ref="H150:H155"/>
    <mergeCell ref="I150:I155"/>
    <mergeCell ref="N136:N138"/>
    <mergeCell ref="N139:N141"/>
    <mergeCell ref="U73:U75"/>
    <mergeCell ref="V73:V75"/>
    <mergeCell ref="W73:W75"/>
    <mergeCell ref="Y73:Y75"/>
    <mergeCell ref="N76:N79"/>
    <mergeCell ref="V76:V79"/>
    <mergeCell ref="W76:W79"/>
    <mergeCell ref="Y76:Y79"/>
    <mergeCell ref="P76:P79"/>
    <mergeCell ref="Q76:Q79"/>
    <mergeCell ref="U76:U79"/>
    <mergeCell ref="R73:R75"/>
    <mergeCell ref="R76:R79"/>
    <mergeCell ref="T73:T75"/>
    <mergeCell ref="T76:T79"/>
    <mergeCell ref="X73:X75"/>
    <mergeCell ref="X76:X79"/>
    <mergeCell ref="S73:S75"/>
    <mergeCell ref="S76:S79"/>
    <mergeCell ref="Q88:Q90"/>
    <mergeCell ref="U88:U90"/>
    <mergeCell ref="P97:P99"/>
    <mergeCell ref="Q97:Q99"/>
    <mergeCell ref="U97:U99"/>
    <mergeCell ref="N112:N114"/>
    <mergeCell ref="N115:N117"/>
    <mergeCell ref="N118:N120"/>
    <mergeCell ref="N121:N123"/>
    <mergeCell ref="Q115:Q117"/>
    <mergeCell ref="U115:U117"/>
    <mergeCell ref="P112:P114"/>
    <mergeCell ref="Q112:Q114"/>
    <mergeCell ref="U112:U114"/>
    <mergeCell ref="R112:R114"/>
    <mergeCell ref="R115:R117"/>
    <mergeCell ref="T112:T114"/>
    <mergeCell ref="T115:T117"/>
    <mergeCell ref="U118:U120"/>
    <mergeCell ref="S112:S114"/>
    <mergeCell ref="S115:S117"/>
    <mergeCell ref="N130:N132"/>
    <mergeCell ref="N94:N96"/>
    <mergeCell ref="N97:N99"/>
    <mergeCell ref="N100:N102"/>
    <mergeCell ref="N103:N105"/>
    <mergeCell ref="N106:N108"/>
    <mergeCell ref="N109:N111"/>
    <mergeCell ref="Y100:Y102"/>
    <mergeCell ref="P103:P105"/>
    <mergeCell ref="Q103:Q105"/>
    <mergeCell ref="U103:U105"/>
    <mergeCell ref="V103:V105"/>
    <mergeCell ref="W103:W105"/>
    <mergeCell ref="Y103:Y105"/>
    <mergeCell ref="P100:P102"/>
    <mergeCell ref="Q100:Q102"/>
    <mergeCell ref="U100:U102"/>
    <mergeCell ref="V100:V102"/>
    <mergeCell ref="W100:W102"/>
    <mergeCell ref="U106:U108"/>
    <mergeCell ref="V106:V108"/>
    <mergeCell ref="W106:W108"/>
    <mergeCell ref="Y112:Y114"/>
    <mergeCell ref="P115:P117"/>
    <mergeCell ref="W118:W120"/>
    <mergeCell ref="Y124:Y126"/>
    <mergeCell ref="P130:P132"/>
    <mergeCell ref="Q130:Q132"/>
    <mergeCell ref="U130:U132"/>
    <mergeCell ref="V130:V132"/>
    <mergeCell ref="W130:W132"/>
    <mergeCell ref="Y130:Y132"/>
    <mergeCell ref="P124:P126"/>
    <mergeCell ref="Q124:Q126"/>
    <mergeCell ref="U124:U126"/>
    <mergeCell ref="V124:V126"/>
    <mergeCell ref="W124:W126"/>
    <mergeCell ref="R118:R120"/>
    <mergeCell ref="R121:R123"/>
    <mergeCell ref="R124:R126"/>
    <mergeCell ref="R130:R132"/>
    <mergeCell ref="T118:T120"/>
    <mergeCell ref="T121:T123"/>
    <mergeCell ref="T130:T132"/>
    <mergeCell ref="S118:S120"/>
    <mergeCell ref="S121:S123"/>
    <mergeCell ref="S124:S126"/>
    <mergeCell ref="S130:S132"/>
    <mergeCell ref="V133:V135"/>
    <mergeCell ref="W133:W135"/>
    <mergeCell ref="Y133:Y135"/>
    <mergeCell ref="P136:P138"/>
    <mergeCell ref="Q136:Q138"/>
    <mergeCell ref="U136:U138"/>
    <mergeCell ref="V136:V138"/>
    <mergeCell ref="W136:W138"/>
    <mergeCell ref="R133:R135"/>
    <mergeCell ref="R136:R138"/>
    <mergeCell ref="T133:T135"/>
    <mergeCell ref="T136:T138"/>
    <mergeCell ref="S133:S135"/>
    <mergeCell ref="S136:S138"/>
    <mergeCell ref="R85:R87"/>
    <mergeCell ref="R88:R90"/>
    <mergeCell ref="R91:R93"/>
    <mergeCell ref="R94:R96"/>
    <mergeCell ref="R97:R99"/>
    <mergeCell ref="R100:R102"/>
    <mergeCell ref="R103:R105"/>
    <mergeCell ref="R106:R108"/>
    <mergeCell ref="R109:R111"/>
    <mergeCell ref="T85:T87"/>
    <mergeCell ref="T88:T90"/>
    <mergeCell ref="T91:T93"/>
    <mergeCell ref="T94:T96"/>
    <mergeCell ref="T97:T99"/>
    <mergeCell ref="T100:T102"/>
    <mergeCell ref="T103:T105"/>
    <mergeCell ref="T106:T108"/>
    <mergeCell ref="T109:T111"/>
    <mergeCell ref="S85:S87"/>
    <mergeCell ref="S88:S90"/>
    <mergeCell ref="S91:S93"/>
    <mergeCell ref="S94:S96"/>
    <mergeCell ref="S97:S99"/>
    <mergeCell ref="S100:S102"/>
    <mergeCell ref="S103:S105"/>
    <mergeCell ref="S106:S108"/>
    <mergeCell ref="S109:S111"/>
    <mergeCell ref="Y128:Y129"/>
    <mergeCell ref="Z73:Z75"/>
    <mergeCell ref="AA73:AA75"/>
    <mergeCell ref="AB73:AB75"/>
    <mergeCell ref="Z76:Z79"/>
    <mergeCell ref="AA76:AA79"/>
    <mergeCell ref="AB76:AB79"/>
    <mergeCell ref="Z85:Z87"/>
    <mergeCell ref="AA85:AA87"/>
    <mergeCell ref="AB85:AB87"/>
    <mergeCell ref="Z88:Z90"/>
    <mergeCell ref="AA88:AA90"/>
    <mergeCell ref="AB88:AB90"/>
    <mergeCell ref="Z91:Z93"/>
    <mergeCell ref="AA91:AA93"/>
    <mergeCell ref="AB91:AB93"/>
    <mergeCell ref="Z94:Z96"/>
    <mergeCell ref="AA94:AA96"/>
    <mergeCell ref="AB94:AB96"/>
    <mergeCell ref="Z97:Z99"/>
    <mergeCell ref="AA97:AA99"/>
    <mergeCell ref="AB97:AB99"/>
    <mergeCell ref="Z106:Z108"/>
    <mergeCell ref="AA106:AA108"/>
    <mergeCell ref="Z109:Z111"/>
    <mergeCell ref="AA109:AA111"/>
    <mergeCell ref="AB109:AB111"/>
    <mergeCell ref="Z112:Z114"/>
    <mergeCell ref="AA112:AA114"/>
    <mergeCell ref="AB112:AB114"/>
    <mergeCell ref="Z118:Z120"/>
    <mergeCell ref="AA118:AA120"/>
    <mergeCell ref="AB118:AB120"/>
    <mergeCell ref="Z130:Z132"/>
    <mergeCell ref="AA130:AA132"/>
    <mergeCell ref="AB130:AB132"/>
    <mergeCell ref="Z133:Z135"/>
    <mergeCell ref="AA133:AA135"/>
    <mergeCell ref="AB133:AB135"/>
    <mergeCell ref="X85:X87"/>
    <mergeCell ref="X88:X90"/>
    <mergeCell ref="X91:X93"/>
    <mergeCell ref="X94:X96"/>
    <mergeCell ref="X97:X99"/>
    <mergeCell ref="X100:X102"/>
    <mergeCell ref="X103:X105"/>
    <mergeCell ref="X106:X108"/>
    <mergeCell ref="X109:X111"/>
    <mergeCell ref="Z121:Z123"/>
    <mergeCell ref="AA121:AA123"/>
    <mergeCell ref="AB121:AB123"/>
    <mergeCell ref="Z124:Z126"/>
    <mergeCell ref="AA124:AA126"/>
    <mergeCell ref="AB124:AB126"/>
    <mergeCell ref="Z128:Z129"/>
    <mergeCell ref="AA128:AA129"/>
    <mergeCell ref="AB128:AB129"/>
    <mergeCell ref="U2:X2"/>
    <mergeCell ref="Q150:Q155"/>
    <mergeCell ref="B2:B3"/>
    <mergeCell ref="D2:D3"/>
    <mergeCell ref="E2:E3"/>
    <mergeCell ref="F2:F3"/>
    <mergeCell ref="G2:G3"/>
    <mergeCell ref="H2:H3"/>
    <mergeCell ref="I2:I3"/>
    <mergeCell ref="K2:K3"/>
    <mergeCell ref="L2:L3"/>
    <mergeCell ref="M2:M3"/>
    <mergeCell ref="N2:P2"/>
    <mergeCell ref="Q2:T2"/>
    <mergeCell ref="X118:X120"/>
    <mergeCell ref="X121:X123"/>
    <mergeCell ref="X124:X126"/>
    <mergeCell ref="X128:X129"/>
    <mergeCell ref="X130:X132"/>
    <mergeCell ref="X133:X135"/>
    <mergeCell ref="X136:X138"/>
    <mergeCell ref="X139:X141"/>
    <mergeCell ref="Q80:Q84"/>
    <mergeCell ref="Q127:Q129"/>
  </mergeCells>
  <phoneticPr fontId="20"/>
  <hyperlinks>
    <hyperlink ref="AE124" r:id="rId1" xr:uid="{00000000-0004-0000-0300-000000000000}"/>
    <hyperlink ref="AE79" r:id="rId2" xr:uid="{00000000-0004-0000-0300-000001000000}"/>
    <hyperlink ref="AE82" r:id="rId3" xr:uid="{00000000-0004-0000-0300-000002000000}"/>
    <hyperlink ref="AE83" r:id="rId4" xr:uid="{00000000-0004-0000-0300-000003000000}"/>
    <hyperlink ref="AE86" r:id="rId5" xr:uid="{00000000-0004-0000-0300-000004000000}"/>
    <hyperlink ref="AE92" r:id="rId6" xr:uid="{00000000-0004-0000-0300-000005000000}"/>
    <hyperlink ref="AE95" r:id="rId7" xr:uid="{00000000-0004-0000-0300-000006000000}"/>
    <hyperlink ref="AE96" r:id="rId8" xr:uid="{00000000-0004-0000-0300-000007000000}"/>
    <hyperlink ref="AE98" r:id="rId9" xr:uid="{00000000-0004-0000-0300-000008000000}"/>
    <hyperlink ref="AE102" r:id="rId10" xr:uid="{00000000-0004-0000-0300-000009000000}"/>
    <hyperlink ref="AE113" r:id="rId11" xr:uid="{00000000-0004-0000-0300-00000A000000}"/>
    <hyperlink ref="AE116" r:id="rId12" xr:uid="{00000000-0004-0000-0300-00000B000000}"/>
    <hyperlink ref="AE117" r:id="rId13" display="http://www.fews.net/docs/Publications/Lives Lost, Lives Saved.pdf" xr:uid="{00000000-0004-0000-0300-00000C000000}"/>
    <hyperlink ref="AE118" r:id="rId14" xr:uid="{00000000-0004-0000-0300-00000D000000}"/>
    <hyperlink ref="AE121" r:id="rId15" xr:uid="{00000000-0004-0000-0300-00000E000000}"/>
    <hyperlink ref="AE122" r:id="rId16" xr:uid="{00000000-0004-0000-0300-00000F000000}"/>
    <hyperlink ref="AE125" r:id="rId17" display="http://onlinelibrary.wiley.com/doi/10.1111/j.0361-3666.2005.00286.x/pdf" xr:uid="{00000000-0004-0000-0300-000010000000}"/>
    <hyperlink ref="AE127" r:id="rId18" xr:uid="{00000000-0004-0000-0300-000011000000}"/>
    <hyperlink ref="AE128" r:id="rId19" xr:uid="{00000000-0004-0000-0300-000012000000}"/>
    <hyperlink ref="AE130" r:id="rId20" xr:uid="{00000000-0004-0000-0300-000013000000}"/>
    <hyperlink ref="AE137" r:id="rId21" xr:uid="{00000000-0004-0000-0300-000014000000}"/>
    <hyperlink ref="AE147" r:id="rId22" xr:uid="{00000000-0004-0000-0300-000015000000}"/>
    <hyperlink ref="AE133" r:id="rId23" xr:uid="{00000000-0004-0000-0300-000016000000}"/>
    <hyperlink ref="AE139" r:id="rId24" xr:uid="{00000000-0004-0000-0300-000017000000}"/>
    <hyperlink ref="AE140" r:id="rId25" xr:uid="{00000000-0004-0000-0300-000018000000}"/>
    <hyperlink ref="AE141" r:id="rId26" xr:uid="{00000000-0004-0000-0300-000019000000}"/>
    <hyperlink ref="F159" r:id="rId27" location="v=onepage&amp;q&amp;f=false" display="http://books.google.co.jp/books/p/princeton?id=LoN2XkjJio4C&amp;printsec=frontcover&amp;hl=en&amp;source=gbs_ViewAPI&amp;redir_esc=y - v=onepage&amp;q&amp;f=false" xr:uid="{00000000-0004-0000-0300-00001A000000}"/>
    <hyperlink ref="F160" r:id="rId28" xr:uid="{00000000-0004-0000-0300-00001B000000}"/>
  </hyperlinks>
  <pageMargins left="0.5" right="0.5" top="0.25" bottom="0.25" header="0.3" footer="0.3"/>
  <pageSetup paperSize="9" scale="40" fitToWidth="0" orientation="landscape" r:id="rId29"/>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39997558519241921"/>
    <pageSetUpPr fitToPage="1"/>
  </sheetPr>
  <dimension ref="A1:AO182"/>
  <sheetViews>
    <sheetView zoomScale="60" zoomScaleNormal="60" workbookViewId="0">
      <pane xSplit="3" ySplit="3" topLeftCell="D153" activePane="bottomRight" state="frozen"/>
      <selection pane="topRight" activeCell="D1" sqref="D1"/>
      <selection pane="bottomLeft" activeCell="A4" sqref="A4"/>
      <selection pane="bottomRight" activeCell="T171" sqref="T171:T176"/>
    </sheetView>
  </sheetViews>
  <sheetFormatPr baseColWidth="10" defaultColWidth="8.83203125" defaultRowHeight="14"/>
  <cols>
    <col min="1" max="1" width="2.6640625" style="1" customWidth="1"/>
    <col min="2" max="2" width="6.5" style="1" customWidth="1"/>
    <col min="3" max="3" width="2.6640625" style="1" hidden="1" customWidth="1"/>
    <col min="4" max="4" width="11.6640625" style="1" customWidth="1"/>
    <col min="5" max="5" width="18" style="1" customWidth="1"/>
    <col min="6" max="8" width="10.83203125" style="1" customWidth="1"/>
    <col min="9" max="9" width="12.1640625" style="1" customWidth="1"/>
    <col min="10" max="10" width="3" style="1" hidden="1" customWidth="1"/>
    <col min="11" max="13" width="26.6640625" style="1" customWidth="1"/>
    <col min="14" max="14" width="0" hidden="1" customWidth="1"/>
    <col min="15" max="26" width="13.33203125" style="56" customWidth="1"/>
    <col min="27" max="32" width="14.1640625" style="1" customWidth="1"/>
    <col min="33" max="33" width="27.5" style="56" customWidth="1"/>
    <col min="34" max="35" width="8.83203125" style="1"/>
    <col min="36" max="36" width="12.5" style="1" bestFit="1" customWidth="1"/>
    <col min="37" max="37" width="11.5" style="1" bestFit="1" customWidth="1"/>
    <col min="38" max="38" width="8.83203125" style="1"/>
    <col min="39" max="39" width="11.5" style="1" bestFit="1" customWidth="1"/>
    <col min="40" max="40" width="12.5" style="1" bestFit="1" customWidth="1"/>
    <col min="41" max="41" width="11.5" style="1" bestFit="1" customWidth="1"/>
    <col min="42" max="16384" width="8.83203125" style="25"/>
  </cols>
  <sheetData>
    <row r="1" spans="2:33">
      <c r="D1" s="2"/>
      <c r="E1" s="2"/>
      <c r="F1" s="2"/>
      <c r="G1" s="3"/>
      <c r="H1" s="2"/>
      <c r="I1" s="2"/>
      <c r="J1" s="4"/>
      <c r="O1" s="203" t="s">
        <v>489</v>
      </c>
      <c r="P1" s="203"/>
      <c r="Q1" s="203"/>
      <c r="R1" s="203" t="s">
        <v>490</v>
      </c>
      <c r="S1" s="203"/>
      <c r="T1" s="137" t="s">
        <v>491</v>
      </c>
      <c r="U1" s="204" t="s">
        <v>492</v>
      </c>
      <c r="V1" s="205"/>
      <c r="W1" s="136" t="s">
        <v>493</v>
      </c>
      <c r="X1" s="136" t="s">
        <v>494</v>
      </c>
      <c r="Y1" s="137"/>
    </row>
    <row r="2" spans="2:33">
      <c r="B2" s="206"/>
      <c r="D2" s="180" t="s">
        <v>0</v>
      </c>
      <c r="E2" s="180" t="s">
        <v>1</v>
      </c>
      <c r="F2" s="180" t="s">
        <v>2</v>
      </c>
      <c r="G2" s="140" t="s">
        <v>3</v>
      </c>
      <c r="H2" s="140" t="s">
        <v>4</v>
      </c>
      <c r="I2" s="140" t="s">
        <v>5</v>
      </c>
      <c r="J2" s="124"/>
      <c r="K2" s="180" t="s">
        <v>6</v>
      </c>
      <c r="L2" s="180" t="s">
        <v>7</v>
      </c>
      <c r="M2" s="180" t="s">
        <v>8</v>
      </c>
      <c r="O2" s="101"/>
      <c r="P2" s="101"/>
      <c r="Q2" s="101"/>
      <c r="R2" s="102"/>
      <c r="S2" s="102"/>
      <c r="T2" s="102"/>
      <c r="U2" s="102"/>
      <c r="V2" s="102"/>
      <c r="W2" s="102"/>
      <c r="X2" s="102"/>
      <c r="Y2" s="102"/>
      <c r="Z2" s="190" t="s">
        <v>495</v>
      </c>
      <c r="AA2" s="191"/>
      <c r="AB2" s="191"/>
      <c r="AC2" s="191"/>
      <c r="AD2" s="191"/>
      <c r="AE2" s="191"/>
      <c r="AF2" s="192"/>
      <c r="AG2" s="55" t="s">
        <v>11</v>
      </c>
    </row>
    <row r="3" spans="2:33" ht="45">
      <c r="B3" s="207"/>
      <c r="D3" s="181"/>
      <c r="E3" s="181"/>
      <c r="F3" s="181"/>
      <c r="G3" s="142"/>
      <c r="H3" s="142"/>
      <c r="I3" s="142"/>
      <c r="J3" s="124"/>
      <c r="K3" s="181"/>
      <c r="L3" s="181"/>
      <c r="M3" s="181"/>
      <c r="O3" s="76" t="s">
        <v>421</v>
      </c>
      <c r="P3" s="76" t="s">
        <v>270</v>
      </c>
      <c r="Q3" s="76" t="s">
        <v>496</v>
      </c>
      <c r="R3" s="76" t="s">
        <v>497</v>
      </c>
      <c r="S3" s="76" t="s">
        <v>498</v>
      </c>
      <c r="T3" s="76" t="s">
        <v>499</v>
      </c>
      <c r="U3" s="76" t="s">
        <v>500</v>
      </c>
      <c r="V3" s="76" t="s">
        <v>501</v>
      </c>
      <c r="W3" s="76" t="s">
        <v>502</v>
      </c>
      <c r="X3" s="76" t="s">
        <v>503</v>
      </c>
      <c r="Y3" s="76" t="s">
        <v>504</v>
      </c>
      <c r="Z3" s="112" t="s">
        <v>420</v>
      </c>
      <c r="AA3" s="112" t="s">
        <v>505</v>
      </c>
      <c r="AB3" s="112" t="s">
        <v>425</v>
      </c>
      <c r="AC3" s="112" t="s">
        <v>426</v>
      </c>
      <c r="AD3" s="112" t="s">
        <v>429</v>
      </c>
      <c r="AE3" s="112" t="s">
        <v>430</v>
      </c>
      <c r="AF3" s="112" t="s">
        <v>272</v>
      </c>
      <c r="AG3" s="55"/>
    </row>
    <row r="4" spans="2:33" ht="15" customHeight="1">
      <c r="B4" s="138">
        <v>1903</v>
      </c>
      <c r="D4" s="161" t="s">
        <v>12</v>
      </c>
      <c r="E4" s="164" t="s">
        <v>13</v>
      </c>
      <c r="F4" s="164" t="s">
        <v>13</v>
      </c>
      <c r="G4" s="146">
        <v>5000</v>
      </c>
      <c r="H4" s="146"/>
      <c r="I4" s="143"/>
      <c r="J4" s="124"/>
      <c r="K4" s="161"/>
      <c r="L4" s="161"/>
      <c r="M4" s="161"/>
      <c r="O4" s="196"/>
      <c r="P4" s="196"/>
      <c r="Q4" s="196"/>
      <c r="R4" s="196"/>
      <c r="S4" s="196"/>
      <c r="T4" s="196"/>
      <c r="U4" s="196"/>
      <c r="V4" s="196"/>
      <c r="W4" s="196"/>
      <c r="X4" s="196"/>
      <c r="Y4" s="196"/>
      <c r="Z4" s="193"/>
      <c r="AA4" s="193"/>
      <c r="AB4" s="193"/>
      <c r="AC4" s="193"/>
      <c r="AD4" s="133"/>
      <c r="AE4" s="133"/>
      <c r="AF4" s="133"/>
      <c r="AG4" s="55"/>
    </row>
    <row r="5" spans="2:33" ht="15" customHeight="1">
      <c r="B5" s="138"/>
      <c r="D5" s="162"/>
      <c r="E5" s="165"/>
      <c r="F5" s="165"/>
      <c r="G5" s="147"/>
      <c r="H5" s="147"/>
      <c r="I5" s="144"/>
      <c r="J5" s="124"/>
      <c r="K5" s="162"/>
      <c r="L5" s="162"/>
      <c r="M5" s="162"/>
      <c r="O5" s="197"/>
      <c r="P5" s="197"/>
      <c r="Q5" s="197"/>
      <c r="R5" s="197"/>
      <c r="S5" s="197"/>
      <c r="T5" s="197"/>
      <c r="U5" s="197"/>
      <c r="V5" s="197"/>
      <c r="W5" s="197"/>
      <c r="X5" s="197"/>
      <c r="Y5" s="197"/>
      <c r="Z5" s="194"/>
      <c r="AA5" s="194"/>
      <c r="AB5" s="194"/>
      <c r="AC5" s="194"/>
      <c r="AD5" s="134"/>
      <c r="AE5" s="134"/>
      <c r="AF5" s="134"/>
      <c r="AG5" s="55"/>
    </row>
    <row r="6" spans="2:33" ht="15" customHeight="1">
      <c r="B6" s="138"/>
      <c r="D6" s="163"/>
      <c r="E6" s="166"/>
      <c r="F6" s="166"/>
      <c r="G6" s="148"/>
      <c r="H6" s="148"/>
      <c r="I6" s="145"/>
      <c r="J6" s="124"/>
      <c r="K6" s="163"/>
      <c r="L6" s="163"/>
      <c r="M6" s="163"/>
      <c r="O6" s="198"/>
      <c r="P6" s="198"/>
      <c r="Q6" s="198"/>
      <c r="R6" s="198"/>
      <c r="S6" s="198"/>
      <c r="T6" s="198"/>
      <c r="U6" s="198"/>
      <c r="V6" s="198"/>
      <c r="W6" s="198"/>
      <c r="X6" s="198"/>
      <c r="Y6" s="198"/>
      <c r="Z6" s="195"/>
      <c r="AA6" s="195"/>
      <c r="AB6" s="195"/>
      <c r="AC6" s="195"/>
      <c r="AD6" s="135"/>
      <c r="AE6" s="135"/>
      <c r="AF6" s="135"/>
      <c r="AG6" s="55"/>
    </row>
    <row r="7" spans="2:33" ht="15" customHeight="1">
      <c r="B7" s="138">
        <v>1906</v>
      </c>
      <c r="D7" s="161">
        <v>1906</v>
      </c>
      <c r="E7" s="164" t="s">
        <v>14</v>
      </c>
      <c r="F7" s="164" t="s">
        <v>15</v>
      </c>
      <c r="G7" s="146">
        <v>37500</v>
      </c>
      <c r="H7" s="146"/>
      <c r="I7" s="143"/>
      <c r="J7" s="124"/>
      <c r="K7" s="161"/>
      <c r="L7" s="161"/>
      <c r="M7" s="161"/>
      <c r="O7" s="196"/>
      <c r="P7" s="196"/>
      <c r="Q7" s="196"/>
      <c r="R7" s="196">
        <v>1</v>
      </c>
      <c r="S7" s="196"/>
      <c r="T7" s="196">
        <v>1</v>
      </c>
      <c r="U7" s="196"/>
      <c r="V7" s="196">
        <v>1</v>
      </c>
      <c r="W7" s="196"/>
      <c r="X7" s="196"/>
      <c r="Y7" s="196"/>
      <c r="Z7" s="193"/>
      <c r="AA7" s="193"/>
      <c r="AB7" s="193"/>
      <c r="AC7" s="193"/>
      <c r="AD7" s="133"/>
      <c r="AE7" s="133"/>
      <c r="AF7" s="133"/>
      <c r="AG7" s="55"/>
    </row>
    <row r="8" spans="2:33" ht="15" customHeight="1">
      <c r="B8" s="138"/>
      <c r="D8" s="162"/>
      <c r="E8" s="165"/>
      <c r="F8" s="165"/>
      <c r="G8" s="147"/>
      <c r="H8" s="147"/>
      <c r="I8" s="144"/>
      <c r="J8" s="124"/>
      <c r="K8" s="162"/>
      <c r="L8" s="162"/>
      <c r="M8" s="162"/>
      <c r="O8" s="197"/>
      <c r="P8" s="197"/>
      <c r="Q8" s="197"/>
      <c r="R8" s="197"/>
      <c r="S8" s="197"/>
      <c r="T8" s="197"/>
      <c r="U8" s="197"/>
      <c r="V8" s="197"/>
      <c r="W8" s="197"/>
      <c r="X8" s="197"/>
      <c r="Y8" s="197"/>
      <c r="Z8" s="194"/>
      <c r="AA8" s="194"/>
      <c r="AB8" s="194"/>
      <c r="AC8" s="194"/>
      <c r="AD8" s="134"/>
      <c r="AE8" s="134"/>
      <c r="AF8" s="134"/>
      <c r="AG8" s="55"/>
    </row>
    <row r="9" spans="2:33" ht="15" customHeight="1">
      <c r="B9" s="138"/>
      <c r="D9" s="163"/>
      <c r="E9" s="166"/>
      <c r="F9" s="166"/>
      <c r="G9" s="148"/>
      <c r="H9" s="148"/>
      <c r="I9" s="145"/>
      <c r="J9" s="124"/>
      <c r="K9" s="163"/>
      <c r="L9" s="163"/>
      <c r="M9" s="163"/>
      <c r="O9" s="198"/>
      <c r="P9" s="198"/>
      <c r="Q9" s="198"/>
      <c r="R9" s="198"/>
      <c r="S9" s="198"/>
      <c r="T9" s="198"/>
      <c r="U9" s="198"/>
      <c r="V9" s="198"/>
      <c r="W9" s="198"/>
      <c r="X9" s="198"/>
      <c r="Y9" s="198"/>
      <c r="Z9" s="195"/>
      <c r="AA9" s="195"/>
      <c r="AB9" s="195"/>
      <c r="AC9" s="195"/>
      <c r="AD9" s="135"/>
      <c r="AE9" s="135"/>
      <c r="AF9" s="135"/>
      <c r="AG9" s="55"/>
    </row>
    <row r="10" spans="2:33" ht="30" customHeight="1">
      <c r="B10" s="138">
        <v>1907</v>
      </c>
      <c r="D10" s="161" t="s">
        <v>16</v>
      </c>
      <c r="E10" s="164" t="s">
        <v>17</v>
      </c>
      <c r="F10" s="164" t="s">
        <v>18</v>
      </c>
      <c r="G10" s="146">
        <v>25000000</v>
      </c>
      <c r="H10" s="146"/>
      <c r="I10" s="143"/>
      <c r="J10" s="124"/>
      <c r="K10" s="161"/>
      <c r="L10" s="161"/>
      <c r="M10" s="161"/>
      <c r="O10" s="196"/>
      <c r="P10" s="196"/>
      <c r="Q10" s="196">
        <v>1</v>
      </c>
      <c r="R10" s="196"/>
      <c r="S10" s="196"/>
      <c r="T10" s="196"/>
      <c r="U10" s="196">
        <v>1</v>
      </c>
      <c r="V10" s="196"/>
      <c r="W10" s="196"/>
      <c r="X10" s="196"/>
      <c r="Y10" s="196"/>
      <c r="Z10" s="193"/>
      <c r="AA10" s="193"/>
      <c r="AB10" s="193"/>
      <c r="AC10" s="193"/>
      <c r="AD10" s="133"/>
      <c r="AE10" s="133"/>
      <c r="AF10" s="133"/>
      <c r="AG10" s="115" t="s">
        <v>295</v>
      </c>
    </row>
    <row r="11" spans="2:33" ht="15" customHeight="1">
      <c r="B11" s="138"/>
      <c r="D11" s="162"/>
      <c r="E11" s="165"/>
      <c r="F11" s="165"/>
      <c r="G11" s="147"/>
      <c r="H11" s="147"/>
      <c r="I11" s="144"/>
      <c r="J11" s="124"/>
      <c r="K11" s="162"/>
      <c r="L11" s="162"/>
      <c r="M11" s="162"/>
      <c r="O11" s="197"/>
      <c r="P11" s="197"/>
      <c r="Q11" s="197"/>
      <c r="R11" s="197"/>
      <c r="S11" s="197"/>
      <c r="T11" s="197"/>
      <c r="U11" s="197"/>
      <c r="V11" s="197"/>
      <c r="W11" s="197"/>
      <c r="X11" s="197"/>
      <c r="Y11" s="197"/>
      <c r="Z11" s="194"/>
      <c r="AA11" s="194"/>
      <c r="AB11" s="194"/>
      <c r="AC11" s="194"/>
      <c r="AD11" s="134"/>
      <c r="AE11" s="134"/>
      <c r="AF11" s="134"/>
      <c r="AG11" s="55"/>
    </row>
    <row r="12" spans="2:33" ht="15" customHeight="1">
      <c r="B12" s="138"/>
      <c r="D12" s="163"/>
      <c r="E12" s="166"/>
      <c r="F12" s="166"/>
      <c r="G12" s="148"/>
      <c r="H12" s="148"/>
      <c r="I12" s="145"/>
      <c r="J12" s="124"/>
      <c r="K12" s="163"/>
      <c r="L12" s="163"/>
      <c r="M12" s="163"/>
      <c r="O12" s="198"/>
      <c r="P12" s="198"/>
      <c r="Q12" s="198"/>
      <c r="R12" s="198"/>
      <c r="S12" s="198"/>
      <c r="T12" s="198"/>
      <c r="U12" s="198"/>
      <c r="V12" s="198"/>
      <c r="W12" s="198"/>
      <c r="X12" s="198"/>
      <c r="Y12" s="198"/>
      <c r="Z12" s="195"/>
      <c r="AA12" s="195"/>
      <c r="AB12" s="195"/>
      <c r="AC12" s="195"/>
      <c r="AD12" s="135"/>
      <c r="AE12" s="135"/>
      <c r="AF12" s="135"/>
      <c r="AG12" s="55"/>
    </row>
    <row r="13" spans="2:33" ht="30" customHeight="1">
      <c r="B13" s="138">
        <v>1913</v>
      </c>
      <c r="D13" s="161" t="s">
        <v>19</v>
      </c>
      <c r="E13" s="164" t="s">
        <v>20</v>
      </c>
      <c r="F13" s="164" t="s">
        <v>21</v>
      </c>
      <c r="G13" s="146">
        <v>125000</v>
      </c>
      <c r="H13" s="146"/>
      <c r="I13" s="143"/>
      <c r="J13" s="124"/>
      <c r="K13" s="161"/>
      <c r="L13" s="161"/>
      <c r="M13" s="161"/>
      <c r="O13" s="196">
        <v>1</v>
      </c>
      <c r="P13" s="196"/>
      <c r="Q13" s="196"/>
      <c r="R13" s="196">
        <v>1</v>
      </c>
      <c r="S13" s="196"/>
      <c r="T13" s="196">
        <v>1</v>
      </c>
      <c r="U13" s="196"/>
      <c r="V13" s="196">
        <v>1</v>
      </c>
      <c r="W13" s="196"/>
      <c r="X13" s="196"/>
      <c r="Y13" s="196"/>
      <c r="Z13" s="193"/>
      <c r="AA13" s="193"/>
      <c r="AB13" s="193"/>
      <c r="AC13" s="193"/>
      <c r="AD13" s="133"/>
      <c r="AE13" s="133"/>
      <c r="AF13" s="133"/>
      <c r="AG13" s="116" t="s">
        <v>298</v>
      </c>
    </row>
    <row r="14" spans="2:33" ht="15" customHeight="1">
      <c r="B14" s="138"/>
      <c r="D14" s="162"/>
      <c r="E14" s="165"/>
      <c r="F14" s="165"/>
      <c r="G14" s="147"/>
      <c r="H14" s="147"/>
      <c r="I14" s="144"/>
      <c r="J14" s="124"/>
      <c r="K14" s="162"/>
      <c r="L14" s="162"/>
      <c r="M14" s="162"/>
      <c r="O14" s="197"/>
      <c r="P14" s="197"/>
      <c r="Q14" s="197"/>
      <c r="R14" s="197"/>
      <c r="S14" s="197"/>
      <c r="T14" s="197"/>
      <c r="U14" s="197"/>
      <c r="V14" s="197"/>
      <c r="W14" s="197"/>
      <c r="X14" s="197"/>
      <c r="Y14" s="197"/>
      <c r="Z14" s="194"/>
      <c r="AA14" s="194"/>
      <c r="AB14" s="194"/>
      <c r="AC14" s="194"/>
      <c r="AD14" s="134"/>
      <c r="AE14" s="134"/>
      <c r="AF14" s="134"/>
      <c r="AG14" s="55"/>
    </row>
    <row r="15" spans="2:33" ht="15" customHeight="1">
      <c r="B15" s="138"/>
      <c r="D15" s="163"/>
      <c r="E15" s="166"/>
      <c r="F15" s="166"/>
      <c r="G15" s="148"/>
      <c r="H15" s="148"/>
      <c r="I15" s="145"/>
      <c r="J15" s="124"/>
      <c r="K15" s="163"/>
      <c r="L15" s="163"/>
      <c r="M15" s="163"/>
      <c r="O15" s="198"/>
      <c r="P15" s="198"/>
      <c r="Q15" s="198"/>
      <c r="R15" s="198"/>
      <c r="S15" s="198"/>
      <c r="T15" s="198"/>
      <c r="U15" s="198"/>
      <c r="V15" s="198"/>
      <c r="W15" s="198"/>
      <c r="X15" s="198"/>
      <c r="Y15" s="198"/>
      <c r="Z15" s="195"/>
      <c r="AA15" s="195"/>
      <c r="AB15" s="195"/>
      <c r="AC15" s="195"/>
      <c r="AD15" s="135"/>
      <c r="AE15" s="135"/>
      <c r="AF15" s="135"/>
      <c r="AG15" s="55"/>
    </row>
    <row r="16" spans="2:33" ht="75" customHeight="1">
      <c r="B16" s="138">
        <v>1914</v>
      </c>
      <c r="D16" s="161" t="s">
        <v>22</v>
      </c>
      <c r="E16" s="164" t="s">
        <v>23</v>
      </c>
      <c r="F16" s="164" t="s">
        <v>24</v>
      </c>
      <c r="G16" s="146" t="s">
        <v>25</v>
      </c>
      <c r="H16" s="146"/>
      <c r="I16" s="143"/>
      <c r="J16" s="124"/>
      <c r="K16" s="161"/>
      <c r="L16" s="161"/>
      <c r="M16" s="161"/>
      <c r="O16" s="196"/>
      <c r="P16" s="196"/>
      <c r="Q16" s="196"/>
      <c r="R16" s="196"/>
      <c r="S16" s="196">
        <v>1</v>
      </c>
      <c r="T16" s="196">
        <v>1</v>
      </c>
      <c r="U16" s="196"/>
      <c r="V16" s="196">
        <v>1</v>
      </c>
      <c r="W16" s="196"/>
      <c r="X16" s="196">
        <v>1</v>
      </c>
      <c r="Y16" s="196"/>
      <c r="Z16" s="193"/>
      <c r="AA16" s="193"/>
      <c r="AB16" s="193"/>
      <c r="AC16" s="193"/>
      <c r="AD16" s="133"/>
      <c r="AE16" s="133"/>
      <c r="AF16" s="133"/>
      <c r="AG16" s="115" t="s">
        <v>301</v>
      </c>
    </row>
    <row r="17" spans="2:33" ht="15" customHeight="1">
      <c r="B17" s="138"/>
      <c r="D17" s="162"/>
      <c r="E17" s="165"/>
      <c r="F17" s="165"/>
      <c r="G17" s="147"/>
      <c r="H17" s="147"/>
      <c r="I17" s="144"/>
      <c r="J17" s="124"/>
      <c r="K17" s="162"/>
      <c r="L17" s="162"/>
      <c r="M17" s="162"/>
      <c r="O17" s="197"/>
      <c r="P17" s="197"/>
      <c r="Q17" s="197"/>
      <c r="R17" s="197"/>
      <c r="S17" s="197"/>
      <c r="T17" s="197"/>
      <c r="U17" s="197"/>
      <c r="V17" s="197"/>
      <c r="W17" s="197"/>
      <c r="X17" s="197"/>
      <c r="Y17" s="197"/>
      <c r="Z17" s="194"/>
      <c r="AA17" s="194"/>
      <c r="AB17" s="194"/>
      <c r="AC17" s="194"/>
      <c r="AD17" s="134"/>
      <c r="AE17" s="134"/>
      <c r="AF17" s="134"/>
      <c r="AG17" s="55"/>
    </row>
    <row r="18" spans="2:33" ht="15" customHeight="1">
      <c r="B18" s="138"/>
      <c r="D18" s="163"/>
      <c r="E18" s="166"/>
      <c r="F18" s="166"/>
      <c r="G18" s="148"/>
      <c r="H18" s="148"/>
      <c r="I18" s="145"/>
      <c r="J18" s="124"/>
      <c r="K18" s="163"/>
      <c r="L18" s="163"/>
      <c r="M18" s="163"/>
      <c r="O18" s="198"/>
      <c r="P18" s="198"/>
      <c r="Q18" s="198"/>
      <c r="R18" s="198"/>
      <c r="S18" s="198"/>
      <c r="T18" s="198"/>
      <c r="U18" s="198"/>
      <c r="V18" s="198"/>
      <c r="W18" s="198"/>
      <c r="X18" s="198"/>
      <c r="Y18" s="198"/>
      <c r="Z18" s="195"/>
      <c r="AA18" s="195"/>
      <c r="AB18" s="195"/>
      <c r="AC18" s="195"/>
      <c r="AD18" s="135"/>
      <c r="AE18" s="135"/>
      <c r="AF18" s="135"/>
      <c r="AG18" s="55"/>
    </row>
    <row r="19" spans="2:33" ht="45" customHeight="1">
      <c r="B19" s="138">
        <v>1916</v>
      </c>
      <c r="D19" s="161" t="s">
        <v>26</v>
      </c>
      <c r="E19" s="164" t="s">
        <v>27</v>
      </c>
      <c r="F19" s="164" t="s">
        <v>28</v>
      </c>
      <c r="G19" s="146"/>
      <c r="H19" s="146"/>
      <c r="I19" s="143"/>
      <c r="J19" s="124"/>
      <c r="K19" s="161"/>
      <c r="L19" s="161"/>
      <c r="M19" s="161"/>
      <c r="O19" s="196"/>
      <c r="P19" s="196"/>
      <c r="Q19" s="196">
        <v>1</v>
      </c>
      <c r="R19" s="196"/>
      <c r="S19" s="196">
        <v>1</v>
      </c>
      <c r="T19" s="196">
        <v>1</v>
      </c>
      <c r="U19" s="196">
        <v>1</v>
      </c>
      <c r="V19" s="196">
        <v>1</v>
      </c>
      <c r="W19" s="196"/>
      <c r="X19" s="196"/>
      <c r="Y19" s="196"/>
      <c r="Z19" s="193"/>
      <c r="AA19" s="193"/>
      <c r="AB19" s="193"/>
      <c r="AC19" s="193"/>
      <c r="AD19" s="133"/>
      <c r="AE19" s="133"/>
      <c r="AF19" s="133"/>
      <c r="AG19" s="117" t="s">
        <v>305</v>
      </c>
    </row>
    <row r="20" spans="2:33" ht="15" customHeight="1">
      <c r="B20" s="138"/>
      <c r="D20" s="162"/>
      <c r="E20" s="165"/>
      <c r="F20" s="165"/>
      <c r="G20" s="147"/>
      <c r="H20" s="147"/>
      <c r="I20" s="144"/>
      <c r="J20" s="124"/>
      <c r="K20" s="162"/>
      <c r="L20" s="162"/>
      <c r="M20" s="162"/>
      <c r="O20" s="197"/>
      <c r="P20" s="197"/>
      <c r="Q20" s="197"/>
      <c r="R20" s="197"/>
      <c r="S20" s="197"/>
      <c r="T20" s="197"/>
      <c r="U20" s="197"/>
      <c r="V20" s="197"/>
      <c r="W20" s="197"/>
      <c r="X20" s="197"/>
      <c r="Y20" s="197"/>
      <c r="Z20" s="194"/>
      <c r="AA20" s="194"/>
      <c r="AB20" s="194"/>
      <c r="AC20" s="194"/>
      <c r="AD20" s="134"/>
      <c r="AE20" s="134"/>
      <c r="AF20" s="134"/>
      <c r="AG20" s="55"/>
    </row>
    <row r="21" spans="2:33" ht="15" customHeight="1">
      <c r="B21" s="138"/>
      <c r="D21" s="163"/>
      <c r="E21" s="166"/>
      <c r="F21" s="166"/>
      <c r="G21" s="148"/>
      <c r="H21" s="148"/>
      <c r="I21" s="145"/>
      <c r="J21" s="124"/>
      <c r="K21" s="163"/>
      <c r="L21" s="163"/>
      <c r="M21" s="163"/>
      <c r="O21" s="198"/>
      <c r="P21" s="198"/>
      <c r="Q21" s="198"/>
      <c r="R21" s="198"/>
      <c r="S21" s="198"/>
      <c r="T21" s="198"/>
      <c r="U21" s="198"/>
      <c r="V21" s="198"/>
      <c r="W21" s="198"/>
      <c r="X21" s="198"/>
      <c r="Y21" s="198"/>
      <c r="Z21" s="195"/>
      <c r="AA21" s="195"/>
      <c r="AB21" s="195"/>
      <c r="AC21" s="195"/>
      <c r="AD21" s="135"/>
      <c r="AE21" s="135"/>
      <c r="AF21" s="135"/>
      <c r="AG21" s="55"/>
    </row>
    <row r="22" spans="2:33" ht="30" customHeight="1">
      <c r="B22" s="138"/>
      <c r="D22" s="161" t="s">
        <v>26</v>
      </c>
      <c r="E22" s="164" t="s">
        <v>29</v>
      </c>
      <c r="F22" s="164" t="s">
        <v>30</v>
      </c>
      <c r="G22" s="146"/>
      <c r="H22" s="146"/>
      <c r="I22" s="143"/>
      <c r="J22" s="124"/>
      <c r="K22" s="161"/>
      <c r="L22" s="161"/>
      <c r="M22" s="161"/>
      <c r="O22" s="196"/>
      <c r="P22" s="196"/>
      <c r="Q22" s="196"/>
      <c r="R22" s="196">
        <v>1</v>
      </c>
      <c r="S22" s="196"/>
      <c r="T22" s="196">
        <v>1</v>
      </c>
      <c r="U22" s="196">
        <v>1</v>
      </c>
      <c r="V22" s="196">
        <v>1</v>
      </c>
      <c r="W22" s="196"/>
      <c r="X22" s="196"/>
      <c r="Y22" s="196"/>
      <c r="Z22" s="193"/>
      <c r="AA22" s="193"/>
      <c r="AB22" s="193"/>
      <c r="AC22" s="193"/>
      <c r="AD22" s="133"/>
      <c r="AE22" s="133"/>
      <c r="AF22" s="133"/>
      <c r="AG22" s="115" t="s">
        <v>307</v>
      </c>
    </row>
    <row r="23" spans="2:33" ht="15" customHeight="1">
      <c r="B23" s="138"/>
      <c r="D23" s="162"/>
      <c r="E23" s="165"/>
      <c r="F23" s="165"/>
      <c r="G23" s="147"/>
      <c r="H23" s="147"/>
      <c r="I23" s="144"/>
      <c r="J23" s="124"/>
      <c r="K23" s="162"/>
      <c r="L23" s="162"/>
      <c r="M23" s="162"/>
      <c r="O23" s="197"/>
      <c r="P23" s="197"/>
      <c r="Q23" s="197"/>
      <c r="R23" s="197"/>
      <c r="S23" s="197"/>
      <c r="T23" s="197"/>
      <c r="U23" s="197"/>
      <c r="V23" s="197"/>
      <c r="W23" s="197"/>
      <c r="X23" s="197"/>
      <c r="Y23" s="197"/>
      <c r="Z23" s="194"/>
      <c r="AA23" s="194"/>
      <c r="AB23" s="194"/>
      <c r="AC23" s="194"/>
      <c r="AD23" s="134"/>
      <c r="AE23" s="134"/>
      <c r="AF23" s="134"/>
      <c r="AG23" s="55"/>
    </row>
    <row r="24" spans="2:33" ht="15" customHeight="1">
      <c r="B24" s="138"/>
      <c r="D24" s="163"/>
      <c r="E24" s="166"/>
      <c r="F24" s="166"/>
      <c r="G24" s="148"/>
      <c r="H24" s="148"/>
      <c r="I24" s="145"/>
      <c r="J24" s="124"/>
      <c r="K24" s="163"/>
      <c r="L24" s="163"/>
      <c r="M24" s="163"/>
      <c r="O24" s="198"/>
      <c r="P24" s="198"/>
      <c r="Q24" s="198"/>
      <c r="R24" s="198"/>
      <c r="S24" s="198"/>
      <c r="T24" s="198"/>
      <c r="U24" s="198"/>
      <c r="V24" s="198"/>
      <c r="W24" s="198"/>
      <c r="X24" s="198"/>
      <c r="Y24" s="198"/>
      <c r="Z24" s="195"/>
      <c r="AA24" s="195"/>
      <c r="AB24" s="195"/>
      <c r="AC24" s="195"/>
      <c r="AD24" s="135"/>
      <c r="AE24" s="135"/>
      <c r="AF24" s="135"/>
      <c r="AG24" s="55"/>
    </row>
    <row r="25" spans="2:33" ht="30" customHeight="1">
      <c r="B25" s="138">
        <v>1917</v>
      </c>
      <c r="D25" s="161" t="s">
        <v>31</v>
      </c>
      <c r="E25" s="164" t="s">
        <v>32</v>
      </c>
      <c r="F25" s="164" t="s">
        <v>33</v>
      </c>
      <c r="G25" s="146" t="s">
        <v>34</v>
      </c>
      <c r="H25" s="146"/>
      <c r="I25" s="143"/>
      <c r="J25" s="124"/>
      <c r="K25" s="161"/>
      <c r="L25" s="161"/>
      <c r="M25" s="161"/>
      <c r="O25" s="196"/>
      <c r="P25" s="196"/>
      <c r="Q25" s="196"/>
      <c r="R25" s="196"/>
      <c r="S25" s="196"/>
      <c r="T25" s="196"/>
      <c r="U25" s="196">
        <v>1</v>
      </c>
      <c r="V25" s="196">
        <v>1</v>
      </c>
      <c r="W25" s="196"/>
      <c r="X25" s="196"/>
      <c r="Y25" s="196"/>
      <c r="Z25" s="193"/>
      <c r="AA25" s="193"/>
      <c r="AB25" s="193"/>
      <c r="AC25" s="193"/>
      <c r="AD25" s="133"/>
      <c r="AE25" s="133"/>
      <c r="AF25" s="133"/>
      <c r="AG25" s="117" t="s">
        <v>311</v>
      </c>
    </row>
    <row r="26" spans="2:33" ht="15" customHeight="1">
      <c r="B26" s="138"/>
      <c r="D26" s="162"/>
      <c r="E26" s="165"/>
      <c r="F26" s="165"/>
      <c r="G26" s="147"/>
      <c r="H26" s="147"/>
      <c r="I26" s="144"/>
      <c r="J26" s="124"/>
      <c r="K26" s="162"/>
      <c r="L26" s="162"/>
      <c r="M26" s="162"/>
      <c r="O26" s="197"/>
      <c r="P26" s="197"/>
      <c r="Q26" s="197"/>
      <c r="R26" s="197"/>
      <c r="S26" s="197"/>
      <c r="T26" s="197"/>
      <c r="U26" s="197"/>
      <c r="V26" s="197"/>
      <c r="W26" s="197"/>
      <c r="X26" s="197"/>
      <c r="Y26" s="197"/>
      <c r="Z26" s="194"/>
      <c r="AA26" s="194"/>
      <c r="AB26" s="194"/>
      <c r="AC26" s="194"/>
      <c r="AD26" s="134"/>
      <c r="AE26" s="134"/>
      <c r="AF26" s="134"/>
      <c r="AG26" s="55"/>
    </row>
    <row r="27" spans="2:33" ht="15" customHeight="1">
      <c r="B27" s="138"/>
      <c r="D27" s="163"/>
      <c r="E27" s="166"/>
      <c r="F27" s="166"/>
      <c r="G27" s="148"/>
      <c r="H27" s="148"/>
      <c r="I27" s="145"/>
      <c r="J27" s="124"/>
      <c r="K27" s="163"/>
      <c r="L27" s="163"/>
      <c r="M27" s="163"/>
      <c r="O27" s="198"/>
      <c r="P27" s="198"/>
      <c r="Q27" s="198"/>
      <c r="R27" s="198"/>
      <c r="S27" s="198"/>
      <c r="T27" s="198"/>
      <c r="U27" s="198"/>
      <c r="V27" s="198"/>
      <c r="W27" s="198"/>
      <c r="X27" s="198"/>
      <c r="Y27" s="198"/>
      <c r="Z27" s="195"/>
      <c r="AA27" s="195"/>
      <c r="AB27" s="195"/>
      <c r="AC27" s="195"/>
      <c r="AD27" s="135"/>
      <c r="AE27" s="135"/>
      <c r="AF27" s="135"/>
      <c r="AG27" s="55"/>
    </row>
    <row r="28" spans="2:33" ht="15" customHeight="1">
      <c r="B28" s="138"/>
      <c r="D28" s="161" t="s">
        <v>35</v>
      </c>
      <c r="E28" s="164" t="s">
        <v>36</v>
      </c>
      <c r="F28" s="164" t="s">
        <v>15</v>
      </c>
      <c r="G28" s="146">
        <v>30000</v>
      </c>
      <c r="H28" s="146"/>
      <c r="I28" s="143"/>
      <c r="J28" s="124"/>
      <c r="K28" s="161"/>
      <c r="L28" s="161"/>
      <c r="M28" s="161"/>
      <c r="O28" s="196">
        <v>1</v>
      </c>
      <c r="P28" s="196"/>
      <c r="Q28" s="196"/>
      <c r="R28" s="196"/>
      <c r="S28" s="196"/>
      <c r="T28" s="196">
        <v>1</v>
      </c>
      <c r="U28" s="196"/>
      <c r="V28" s="196">
        <v>1</v>
      </c>
      <c r="W28" s="196"/>
      <c r="X28" s="196"/>
      <c r="Y28" s="196"/>
      <c r="Z28" s="193"/>
      <c r="AA28" s="193"/>
      <c r="AB28" s="193"/>
      <c r="AC28" s="193"/>
      <c r="AD28" s="133"/>
      <c r="AE28" s="133"/>
      <c r="AF28" s="133"/>
      <c r="AG28" s="117" t="s">
        <v>313</v>
      </c>
    </row>
    <row r="29" spans="2:33" ht="15" customHeight="1">
      <c r="B29" s="138"/>
      <c r="D29" s="162"/>
      <c r="E29" s="165"/>
      <c r="F29" s="165"/>
      <c r="G29" s="147"/>
      <c r="H29" s="147"/>
      <c r="I29" s="144"/>
      <c r="J29" s="124"/>
      <c r="K29" s="162"/>
      <c r="L29" s="162"/>
      <c r="M29" s="162"/>
      <c r="O29" s="197"/>
      <c r="P29" s="197"/>
      <c r="Q29" s="197"/>
      <c r="R29" s="197"/>
      <c r="S29" s="197"/>
      <c r="T29" s="197"/>
      <c r="U29" s="197"/>
      <c r="V29" s="197"/>
      <c r="W29" s="197"/>
      <c r="X29" s="197"/>
      <c r="Y29" s="197"/>
      <c r="Z29" s="194"/>
      <c r="AA29" s="194"/>
      <c r="AB29" s="194"/>
      <c r="AC29" s="194"/>
      <c r="AD29" s="134"/>
      <c r="AE29" s="134"/>
      <c r="AF29" s="134"/>
      <c r="AG29" s="55"/>
    </row>
    <row r="30" spans="2:33" ht="15" customHeight="1">
      <c r="B30" s="138"/>
      <c r="D30" s="163"/>
      <c r="E30" s="166"/>
      <c r="F30" s="166"/>
      <c r="G30" s="148"/>
      <c r="H30" s="148"/>
      <c r="I30" s="145"/>
      <c r="J30" s="124"/>
      <c r="K30" s="163"/>
      <c r="L30" s="163"/>
      <c r="M30" s="163"/>
      <c r="O30" s="198"/>
      <c r="P30" s="198"/>
      <c r="Q30" s="198"/>
      <c r="R30" s="198"/>
      <c r="S30" s="198"/>
      <c r="T30" s="198"/>
      <c r="U30" s="198"/>
      <c r="V30" s="198"/>
      <c r="W30" s="198"/>
      <c r="X30" s="198"/>
      <c r="Y30" s="198"/>
      <c r="Z30" s="195"/>
      <c r="AA30" s="195"/>
      <c r="AB30" s="195"/>
      <c r="AC30" s="195"/>
      <c r="AD30" s="135"/>
      <c r="AE30" s="135"/>
      <c r="AF30" s="135"/>
      <c r="AG30" s="55"/>
    </row>
    <row r="31" spans="2:33" ht="120" customHeight="1">
      <c r="B31" s="138"/>
      <c r="D31" s="161" t="s">
        <v>37</v>
      </c>
      <c r="E31" s="164" t="s">
        <v>38</v>
      </c>
      <c r="F31" s="164" t="s">
        <v>39</v>
      </c>
      <c r="G31" s="146" t="s">
        <v>40</v>
      </c>
      <c r="H31" s="146"/>
      <c r="I31" s="143"/>
      <c r="J31" s="124"/>
      <c r="K31" s="161"/>
      <c r="L31" s="161"/>
      <c r="M31" s="161"/>
      <c r="O31" s="196">
        <v>1</v>
      </c>
      <c r="P31" s="196"/>
      <c r="Q31" s="196"/>
      <c r="R31" s="196"/>
      <c r="S31" s="196"/>
      <c r="T31" s="196">
        <v>1</v>
      </c>
      <c r="U31" s="196">
        <v>1</v>
      </c>
      <c r="V31" s="196">
        <v>1</v>
      </c>
      <c r="W31" s="196"/>
      <c r="X31" s="196"/>
      <c r="Y31" s="196"/>
      <c r="Z31" s="193"/>
      <c r="AA31" s="193"/>
      <c r="AB31" s="193"/>
      <c r="AC31" s="193"/>
      <c r="AD31" s="133"/>
      <c r="AE31" s="133"/>
      <c r="AF31" s="133"/>
      <c r="AG31" s="117" t="s">
        <v>316</v>
      </c>
    </row>
    <row r="32" spans="2:33" ht="15" customHeight="1">
      <c r="B32" s="138"/>
      <c r="D32" s="162"/>
      <c r="E32" s="165"/>
      <c r="F32" s="165"/>
      <c r="G32" s="147"/>
      <c r="H32" s="147"/>
      <c r="I32" s="144"/>
      <c r="J32" s="124"/>
      <c r="K32" s="162"/>
      <c r="L32" s="162"/>
      <c r="M32" s="162"/>
      <c r="O32" s="197"/>
      <c r="P32" s="197"/>
      <c r="Q32" s="197"/>
      <c r="R32" s="197"/>
      <c r="S32" s="197"/>
      <c r="T32" s="197"/>
      <c r="U32" s="197"/>
      <c r="V32" s="197"/>
      <c r="W32" s="197"/>
      <c r="X32" s="197"/>
      <c r="Y32" s="197"/>
      <c r="Z32" s="194"/>
      <c r="AA32" s="194"/>
      <c r="AB32" s="194"/>
      <c r="AC32" s="194"/>
      <c r="AD32" s="134"/>
      <c r="AE32" s="134"/>
      <c r="AF32" s="134"/>
      <c r="AG32" s="55"/>
    </row>
    <row r="33" spans="2:33" ht="15" customHeight="1">
      <c r="B33" s="138"/>
      <c r="D33" s="163"/>
      <c r="E33" s="166"/>
      <c r="F33" s="166"/>
      <c r="G33" s="148"/>
      <c r="H33" s="148"/>
      <c r="I33" s="145"/>
      <c r="J33" s="124"/>
      <c r="K33" s="163"/>
      <c r="L33" s="163"/>
      <c r="M33" s="163"/>
      <c r="O33" s="198"/>
      <c r="P33" s="198"/>
      <c r="Q33" s="198"/>
      <c r="R33" s="198"/>
      <c r="S33" s="198"/>
      <c r="T33" s="198"/>
      <c r="U33" s="198"/>
      <c r="V33" s="198"/>
      <c r="W33" s="198"/>
      <c r="X33" s="198"/>
      <c r="Y33" s="198"/>
      <c r="Z33" s="195"/>
      <c r="AA33" s="195"/>
      <c r="AB33" s="195"/>
      <c r="AC33" s="195"/>
      <c r="AD33" s="135"/>
      <c r="AE33" s="135"/>
      <c r="AF33" s="135"/>
      <c r="AG33" s="55"/>
    </row>
    <row r="34" spans="2:33" ht="30" customHeight="1">
      <c r="B34" s="138">
        <v>1920</v>
      </c>
      <c r="D34" s="161" t="s">
        <v>41</v>
      </c>
      <c r="E34" s="164" t="s">
        <v>42</v>
      </c>
      <c r="F34" s="164" t="s">
        <v>18</v>
      </c>
      <c r="G34" s="146">
        <v>500000</v>
      </c>
      <c r="H34" s="146"/>
      <c r="I34" s="143"/>
      <c r="J34" s="124"/>
      <c r="K34" s="161"/>
      <c r="L34" s="161"/>
      <c r="M34" s="161"/>
      <c r="O34" s="196"/>
      <c r="P34" s="196"/>
      <c r="Q34" s="196"/>
      <c r="R34" s="196"/>
      <c r="S34" s="196"/>
      <c r="T34" s="196"/>
      <c r="U34" s="196"/>
      <c r="V34" s="196"/>
      <c r="W34" s="196"/>
      <c r="X34" s="196"/>
      <c r="Y34" s="196"/>
      <c r="Z34" s="193"/>
      <c r="AA34" s="193"/>
      <c r="AB34" s="193"/>
      <c r="AC34" s="193"/>
      <c r="AD34" s="133"/>
      <c r="AE34" s="133"/>
      <c r="AF34" s="133"/>
      <c r="AG34" s="55"/>
    </row>
    <row r="35" spans="2:33" ht="15" customHeight="1">
      <c r="B35" s="138"/>
      <c r="D35" s="162"/>
      <c r="E35" s="165"/>
      <c r="F35" s="165"/>
      <c r="G35" s="147"/>
      <c r="H35" s="147"/>
      <c r="I35" s="144"/>
      <c r="J35" s="124"/>
      <c r="K35" s="162"/>
      <c r="L35" s="162"/>
      <c r="M35" s="162"/>
      <c r="O35" s="197"/>
      <c r="P35" s="197"/>
      <c r="Q35" s="197"/>
      <c r="R35" s="197"/>
      <c r="S35" s="197"/>
      <c r="T35" s="197"/>
      <c r="U35" s="197"/>
      <c r="V35" s="197"/>
      <c r="W35" s="197"/>
      <c r="X35" s="197"/>
      <c r="Y35" s="197"/>
      <c r="Z35" s="194"/>
      <c r="AA35" s="194"/>
      <c r="AB35" s="194"/>
      <c r="AC35" s="194"/>
      <c r="AD35" s="134"/>
      <c r="AE35" s="134"/>
      <c r="AF35" s="134"/>
      <c r="AG35" s="55"/>
    </row>
    <row r="36" spans="2:33" ht="15" customHeight="1">
      <c r="B36" s="138"/>
      <c r="D36" s="163"/>
      <c r="E36" s="166"/>
      <c r="F36" s="166"/>
      <c r="G36" s="148"/>
      <c r="H36" s="148"/>
      <c r="I36" s="145"/>
      <c r="J36" s="124"/>
      <c r="K36" s="163"/>
      <c r="L36" s="163"/>
      <c r="M36" s="163"/>
      <c r="O36" s="198"/>
      <c r="P36" s="198"/>
      <c r="Q36" s="198"/>
      <c r="R36" s="198"/>
      <c r="S36" s="198"/>
      <c r="T36" s="198"/>
      <c r="U36" s="198"/>
      <c r="V36" s="198"/>
      <c r="W36" s="198"/>
      <c r="X36" s="198"/>
      <c r="Y36" s="198"/>
      <c r="Z36" s="195"/>
      <c r="AA36" s="195"/>
      <c r="AB36" s="195"/>
      <c r="AC36" s="195"/>
      <c r="AD36" s="135"/>
      <c r="AE36" s="135"/>
      <c r="AF36" s="135"/>
      <c r="AG36" s="55"/>
    </row>
    <row r="37" spans="2:33" ht="30" customHeight="1">
      <c r="B37" s="138">
        <v>1921</v>
      </c>
      <c r="D37" s="161">
        <v>1921</v>
      </c>
      <c r="E37" s="164" t="s">
        <v>43</v>
      </c>
      <c r="F37" s="164" t="s">
        <v>30</v>
      </c>
      <c r="G37" s="146">
        <v>5000000</v>
      </c>
      <c r="H37" s="146"/>
      <c r="I37" s="143"/>
      <c r="J37" s="124"/>
      <c r="K37" s="161"/>
      <c r="L37" s="161"/>
      <c r="M37" s="161"/>
      <c r="O37" s="196">
        <v>1</v>
      </c>
      <c r="P37" s="196"/>
      <c r="Q37" s="196"/>
      <c r="R37" s="196"/>
      <c r="S37" s="196">
        <v>1</v>
      </c>
      <c r="T37" s="196">
        <v>1</v>
      </c>
      <c r="U37" s="196"/>
      <c r="V37" s="196">
        <v>1</v>
      </c>
      <c r="W37" s="196">
        <v>1</v>
      </c>
      <c r="X37" s="196"/>
      <c r="Y37" s="196"/>
      <c r="Z37" s="193"/>
      <c r="AA37" s="193"/>
      <c r="AB37" s="193"/>
      <c r="AC37" s="193"/>
      <c r="AD37" s="133"/>
      <c r="AE37" s="133"/>
      <c r="AF37" s="133"/>
      <c r="AG37" s="117" t="s">
        <v>319</v>
      </c>
    </row>
    <row r="38" spans="2:33" ht="15" customHeight="1">
      <c r="B38" s="138"/>
      <c r="D38" s="162"/>
      <c r="E38" s="165"/>
      <c r="F38" s="165"/>
      <c r="G38" s="147"/>
      <c r="H38" s="147"/>
      <c r="I38" s="144"/>
      <c r="J38" s="124"/>
      <c r="K38" s="162"/>
      <c r="L38" s="162"/>
      <c r="M38" s="162"/>
      <c r="O38" s="197"/>
      <c r="P38" s="197"/>
      <c r="Q38" s="197"/>
      <c r="R38" s="197"/>
      <c r="S38" s="197"/>
      <c r="T38" s="197"/>
      <c r="U38" s="197"/>
      <c r="V38" s="197"/>
      <c r="W38" s="197"/>
      <c r="X38" s="197"/>
      <c r="Y38" s="197"/>
      <c r="Z38" s="194"/>
      <c r="AA38" s="194"/>
      <c r="AB38" s="194"/>
      <c r="AC38" s="194"/>
      <c r="AD38" s="134"/>
      <c r="AE38" s="134"/>
      <c r="AF38" s="134"/>
      <c r="AG38" s="115" t="s">
        <v>323</v>
      </c>
    </row>
    <row r="39" spans="2:33" ht="15" customHeight="1">
      <c r="B39" s="138"/>
      <c r="D39" s="163"/>
      <c r="E39" s="166"/>
      <c r="F39" s="166"/>
      <c r="G39" s="148"/>
      <c r="H39" s="148"/>
      <c r="I39" s="145"/>
      <c r="J39" s="124"/>
      <c r="K39" s="163"/>
      <c r="L39" s="163"/>
      <c r="M39" s="163"/>
      <c r="O39" s="198"/>
      <c r="P39" s="198"/>
      <c r="Q39" s="198"/>
      <c r="R39" s="198"/>
      <c r="S39" s="198"/>
      <c r="T39" s="198"/>
      <c r="U39" s="198"/>
      <c r="V39" s="198"/>
      <c r="W39" s="198"/>
      <c r="X39" s="198"/>
      <c r="Y39" s="198"/>
      <c r="Z39" s="195"/>
      <c r="AA39" s="195"/>
      <c r="AB39" s="195"/>
      <c r="AC39" s="195"/>
      <c r="AD39" s="135"/>
      <c r="AE39" s="135"/>
      <c r="AF39" s="135"/>
      <c r="AG39" s="117" t="s">
        <v>99</v>
      </c>
    </row>
    <row r="40" spans="2:33" ht="45" customHeight="1">
      <c r="B40" s="138">
        <v>1922</v>
      </c>
      <c r="D40" s="161" t="s">
        <v>506</v>
      </c>
      <c r="E40" s="164" t="s">
        <v>507</v>
      </c>
      <c r="F40" s="164" t="s">
        <v>30</v>
      </c>
      <c r="G40" s="146" t="s">
        <v>320</v>
      </c>
      <c r="H40" s="146"/>
      <c r="I40" s="143"/>
      <c r="J40" s="124"/>
      <c r="K40" s="161"/>
      <c r="L40" s="161"/>
      <c r="M40" s="161"/>
      <c r="O40" s="196">
        <v>1</v>
      </c>
      <c r="P40" s="196"/>
      <c r="Q40" s="196"/>
      <c r="R40" s="196"/>
      <c r="S40" s="196">
        <v>1</v>
      </c>
      <c r="T40" s="196">
        <v>1</v>
      </c>
      <c r="U40" s="196">
        <v>1</v>
      </c>
      <c r="V40" s="196"/>
      <c r="W40" s="196"/>
      <c r="X40" s="196"/>
      <c r="Y40" s="196"/>
      <c r="Z40" s="193"/>
      <c r="AA40" s="193"/>
      <c r="AB40" s="193"/>
      <c r="AC40" s="193"/>
      <c r="AD40" s="133"/>
      <c r="AE40" s="133"/>
      <c r="AF40" s="133"/>
      <c r="AG40" s="117" t="s">
        <v>322</v>
      </c>
    </row>
    <row r="41" spans="2:33" ht="15" customHeight="1">
      <c r="B41" s="138">
        <v>1923</v>
      </c>
      <c r="D41" s="162"/>
      <c r="E41" s="165"/>
      <c r="F41" s="165"/>
      <c r="G41" s="147"/>
      <c r="H41" s="147"/>
      <c r="I41" s="144"/>
      <c r="J41" s="124"/>
      <c r="K41" s="162"/>
      <c r="L41" s="162"/>
      <c r="M41" s="162"/>
      <c r="O41" s="197"/>
      <c r="P41" s="197"/>
      <c r="Q41" s="197"/>
      <c r="R41" s="197"/>
      <c r="S41" s="197"/>
      <c r="T41" s="197"/>
      <c r="U41" s="197"/>
      <c r="V41" s="197"/>
      <c r="W41" s="197"/>
      <c r="X41" s="197"/>
      <c r="Y41" s="197"/>
      <c r="Z41" s="194"/>
      <c r="AA41" s="194"/>
      <c r="AB41" s="194"/>
      <c r="AC41" s="194"/>
      <c r="AD41" s="134"/>
      <c r="AE41" s="134"/>
      <c r="AF41" s="134"/>
      <c r="AG41" s="55"/>
    </row>
    <row r="42" spans="2:33" ht="15" customHeight="1">
      <c r="B42" s="138">
        <v>1926</v>
      </c>
      <c r="D42" s="163"/>
      <c r="E42" s="166"/>
      <c r="F42" s="166"/>
      <c r="G42" s="148"/>
      <c r="H42" s="148"/>
      <c r="I42" s="145"/>
      <c r="J42" s="124"/>
      <c r="K42" s="163"/>
      <c r="L42" s="163"/>
      <c r="M42" s="163"/>
      <c r="O42" s="198"/>
      <c r="P42" s="198"/>
      <c r="Q42" s="198"/>
      <c r="R42" s="198"/>
      <c r="S42" s="198"/>
      <c r="T42" s="198"/>
      <c r="U42" s="198"/>
      <c r="V42" s="198"/>
      <c r="W42" s="198"/>
      <c r="X42" s="198"/>
      <c r="Y42" s="198"/>
      <c r="Z42" s="195"/>
      <c r="AA42" s="195"/>
      <c r="AB42" s="195"/>
      <c r="AC42" s="195"/>
      <c r="AD42" s="135"/>
      <c r="AE42" s="135"/>
      <c r="AF42" s="135"/>
      <c r="AG42" s="55"/>
    </row>
    <row r="43" spans="2:33" ht="15" customHeight="1">
      <c r="B43" s="138">
        <v>1927</v>
      </c>
      <c r="D43" s="161">
        <v>1927</v>
      </c>
      <c r="E43" s="164" t="s">
        <v>50</v>
      </c>
      <c r="F43" s="164" t="s">
        <v>18</v>
      </c>
      <c r="G43" s="146">
        <v>6000000</v>
      </c>
      <c r="H43" s="146"/>
      <c r="I43" s="143"/>
      <c r="J43" s="124"/>
      <c r="K43" s="161"/>
      <c r="L43" s="161"/>
      <c r="M43" s="161"/>
      <c r="O43" s="196">
        <v>1</v>
      </c>
      <c r="P43" s="196"/>
      <c r="Q43" s="196"/>
      <c r="R43" s="196"/>
      <c r="S43" s="196">
        <v>1</v>
      </c>
      <c r="T43" s="196">
        <v>1</v>
      </c>
      <c r="U43" s="196"/>
      <c r="V43" s="196">
        <v>1</v>
      </c>
      <c r="W43" s="196"/>
      <c r="X43" s="196"/>
      <c r="Y43" s="196"/>
      <c r="Z43" s="193"/>
      <c r="AA43" s="193"/>
      <c r="AB43" s="193"/>
      <c r="AC43" s="193"/>
      <c r="AD43" s="133"/>
      <c r="AE43" s="133"/>
      <c r="AF43" s="133"/>
      <c r="AG43" s="115" t="s">
        <v>325</v>
      </c>
    </row>
    <row r="44" spans="2:33" ht="15" customHeight="1">
      <c r="B44" s="138"/>
      <c r="D44" s="162"/>
      <c r="E44" s="165"/>
      <c r="F44" s="165"/>
      <c r="G44" s="147"/>
      <c r="H44" s="147"/>
      <c r="I44" s="144"/>
      <c r="J44" s="124"/>
      <c r="K44" s="162"/>
      <c r="L44" s="162"/>
      <c r="M44" s="162"/>
      <c r="O44" s="197"/>
      <c r="P44" s="197"/>
      <c r="Q44" s="197"/>
      <c r="R44" s="197"/>
      <c r="S44" s="197"/>
      <c r="T44" s="197"/>
      <c r="U44" s="197"/>
      <c r="V44" s="197"/>
      <c r="W44" s="197"/>
      <c r="X44" s="197"/>
      <c r="Y44" s="197"/>
      <c r="Z44" s="194"/>
      <c r="AA44" s="194"/>
      <c r="AB44" s="194"/>
      <c r="AC44" s="194"/>
      <c r="AD44" s="134"/>
      <c r="AE44" s="134"/>
      <c r="AF44" s="134"/>
      <c r="AG44" s="115" t="s">
        <v>99</v>
      </c>
    </row>
    <row r="45" spans="2:33" ht="15" customHeight="1">
      <c r="B45" s="138"/>
      <c r="D45" s="163"/>
      <c r="E45" s="166"/>
      <c r="F45" s="166"/>
      <c r="G45" s="148"/>
      <c r="H45" s="148"/>
      <c r="I45" s="145"/>
      <c r="J45" s="124"/>
      <c r="K45" s="163"/>
      <c r="L45" s="163"/>
      <c r="M45" s="163"/>
      <c r="O45" s="198"/>
      <c r="P45" s="198"/>
      <c r="Q45" s="198"/>
      <c r="R45" s="198"/>
      <c r="S45" s="198"/>
      <c r="T45" s="198"/>
      <c r="U45" s="198"/>
      <c r="V45" s="198"/>
      <c r="W45" s="198"/>
      <c r="X45" s="198"/>
      <c r="Y45" s="198"/>
      <c r="Z45" s="195"/>
      <c r="AA45" s="195"/>
      <c r="AB45" s="195"/>
      <c r="AC45" s="195"/>
      <c r="AD45" s="135"/>
      <c r="AE45" s="135"/>
      <c r="AF45" s="135"/>
      <c r="AG45" s="55"/>
    </row>
    <row r="46" spans="2:33" ht="60" customHeight="1">
      <c r="B46" s="138">
        <v>1928</v>
      </c>
      <c r="D46" s="161" t="s">
        <v>54</v>
      </c>
      <c r="E46" s="164" t="s">
        <v>55</v>
      </c>
      <c r="F46" s="164" t="s">
        <v>56</v>
      </c>
      <c r="G46" s="146">
        <v>300000</v>
      </c>
      <c r="H46" s="146"/>
      <c r="I46" s="143"/>
      <c r="J46" s="124"/>
      <c r="K46" s="161"/>
      <c r="L46" s="161"/>
      <c r="M46" s="161"/>
      <c r="O46" s="196"/>
      <c r="P46" s="196"/>
      <c r="Q46" s="196"/>
      <c r="R46" s="196"/>
      <c r="S46" s="196"/>
      <c r="T46" s="196"/>
      <c r="U46" s="196"/>
      <c r="V46" s="196"/>
      <c r="W46" s="196"/>
      <c r="X46" s="196"/>
      <c r="Y46" s="196"/>
      <c r="Z46" s="193"/>
      <c r="AA46" s="193"/>
      <c r="AB46" s="193"/>
      <c r="AC46" s="193"/>
      <c r="AD46" s="133"/>
      <c r="AE46" s="133"/>
      <c r="AF46" s="133"/>
      <c r="AG46" s="115" t="s">
        <v>328</v>
      </c>
    </row>
    <row r="47" spans="2:33" ht="15" customHeight="1">
      <c r="B47" s="138"/>
      <c r="D47" s="162"/>
      <c r="E47" s="165"/>
      <c r="F47" s="165"/>
      <c r="G47" s="147"/>
      <c r="H47" s="147"/>
      <c r="I47" s="144"/>
      <c r="J47" s="124"/>
      <c r="K47" s="162"/>
      <c r="L47" s="162"/>
      <c r="M47" s="162"/>
      <c r="O47" s="197"/>
      <c r="P47" s="197"/>
      <c r="Q47" s="197"/>
      <c r="R47" s="197"/>
      <c r="S47" s="197"/>
      <c r="T47" s="197"/>
      <c r="U47" s="197"/>
      <c r="V47" s="197"/>
      <c r="W47" s="197"/>
      <c r="X47" s="197"/>
      <c r="Y47" s="197"/>
      <c r="Z47" s="194"/>
      <c r="AA47" s="194"/>
      <c r="AB47" s="194"/>
      <c r="AC47" s="194"/>
      <c r="AD47" s="134"/>
      <c r="AE47" s="134"/>
      <c r="AF47" s="134"/>
      <c r="AG47" s="117" t="s">
        <v>329</v>
      </c>
    </row>
    <row r="48" spans="2:33" ht="15" customHeight="1">
      <c r="B48" s="138"/>
      <c r="D48" s="163"/>
      <c r="E48" s="166"/>
      <c r="F48" s="166"/>
      <c r="G48" s="148"/>
      <c r="H48" s="148"/>
      <c r="I48" s="145"/>
      <c r="J48" s="124"/>
      <c r="K48" s="163"/>
      <c r="L48" s="163"/>
      <c r="M48" s="163"/>
      <c r="O48" s="198"/>
      <c r="P48" s="198"/>
      <c r="Q48" s="198"/>
      <c r="R48" s="198"/>
      <c r="S48" s="198"/>
      <c r="T48" s="198"/>
      <c r="U48" s="198"/>
      <c r="V48" s="198"/>
      <c r="W48" s="198"/>
      <c r="X48" s="198"/>
      <c r="Y48" s="198"/>
      <c r="Z48" s="195"/>
      <c r="AA48" s="195"/>
      <c r="AB48" s="195"/>
      <c r="AC48" s="195"/>
      <c r="AD48" s="135"/>
      <c r="AE48" s="135"/>
      <c r="AF48" s="135"/>
      <c r="AG48" s="55"/>
    </row>
    <row r="49" spans="2:34" ht="30" customHeight="1">
      <c r="B49" s="138"/>
      <c r="D49" s="161" t="s">
        <v>57</v>
      </c>
      <c r="E49" s="164" t="s">
        <v>58</v>
      </c>
      <c r="F49" s="164" t="s">
        <v>18</v>
      </c>
      <c r="G49" s="146">
        <v>3000000</v>
      </c>
      <c r="H49" s="146"/>
      <c r="I49" s="143"/>
      <c r="J49" s="124"/>
      <c r="K49" s="161"/>
      <c r="L49" s="161"/>
      <c r="M49" s="161"/>
      <c r="O49" s="196">
        <v>1</v>
      </c>
      <c r="P49" s="196"/>
      <c r="Q49" s="196"/>
      <c r="R49" s="196"/>
      <c r="S49" s="196">
        <v>1</v>
      </c>
      <c r="T49" s="196"/>
      <c r="U49" s="196">
        <v>1</v>
      </c>
      <c r="V49" s="196">
        <v>1</v>
      </c>
      <c r="W49" s="196"/>
      <c r="X49" s="196"/>
      <c r="Y49" s="196"/>
      <c r="Z49" s="193"/>
      <c r="AA49" s="193"/>
      <c r="AB49" s="193"/>
      <c r="AC49" s="193"/>
      <c r="AD49" s="133"/>
      <c r="AE49" s="133"/>
      <c r="AF49" s="133"/>
      <c r="AG49" s="117" t="s">
        <v>332</v>
      </c>
      <c r="AH49" s="18"/>
    </row>
    <row r="50" spans="2:34" ht="15" customHeight="1">
      <c r="B50" s="138"/>
      <c r="D50" s="162"/>
      <c r="E50" s="165"/>
      <c r="F50" s="165"/>
      <c r="G50" s="147"/>
      <c r="H50" s="147"/>
      <c r="I50" s="144"/>
      <c r="J50" s="124"/>
      <c r="K50" s="162"/>
      <c r="L50" s="162"/>
      <c r="M50" s="162"/>
      <c r="O50" s="197"/>
      <c r="P50" s="197"/>
      <c r="Q50" s="197"/>
      <c r="R50" s="197"/>
      <c r="S50" s="197"/>
      <c r="T50" s="197"/>
      <c r="U50" s="197"/>
      <c r="V50" s="197"/>
      <c r="W50" s="197"/>
      <c r="X50" s="197"/>
      <c r="Y50" s="197"/>
      <c r="Z50" s="194"/>
      <c r="AA50" s="194"/>
      <c r="AB50" s="194"/>
      <c r="AC50" s="194"/>
      <c r="AD50" s="134"/>
      <c r="AE50" s="134"/>
      <c r="AF50" s="134"/>
      <c r="AG50" s="55"/>
    </row>
    <row r="51" spans="2:34" ht="15" customHeight="1">
      <c r="B51" s="138"/>
      <c r="D51" s="163"/>
      <c r="E51" s="166"/>
      <c r="F51" s="166"/>
      <c r="G51" s="148"/>
      <c r="H51" s="148"/>
      <c r="I51" s="145"/>
      <c r="J51" s="124"/>
      <c r="K51" s="163"/>
      <c r="L51" s="163"/>
      <c r="M51" s="163"/>
      <c r="O51" s="198"/>
      <c r="P51" s="198"/>
      <c r="Q51" s="198"/>
      <c r="R51" s="198"/>
      <c r="S51" s="198"/>
      <c r="T51" s="198"/>
      <c r="U51" s="198"/>
      <c r="V51" s="198"/>
      <c r="W51" s="198"/>
      <c r="X51" s="198"/>
      <c r="Y51" s="198"/>
      <c r="Z51" s="195"/>
      <c r="AA51" s="195"/>
      <c r="AB51" s="195"/>
      <c r="AC51" s="195"/>
      <c r="AD51" s="135"/>
      <c r="AE51" s="135"/>
      <c r="AF51" s="135"/>
      <c r="AG51" s="55"/>
    </row>
    <row r="52" spans="2:34" ht="15" customHeight="1">
      <c r="B52" s="138">
        <v>1929</v>
      </c>
      <c r="D52" s="161">
        <v>1929</v>
      </c>
      <c r="E52" s="164" t="s">
        <v>59</v>
      </c>
      <c r="F52" s="164" t="s">
        <v>18</v>
      </c>
      <c r="G52" s="146">
        <v>2000000</v>
      </c>
      <c r="H52" s="146"/>
      <c r="I52" s="143"/>
      <c r="J52" s="124"/>
      <c r="K52" s="161"/>
      <c r="L52" s="161"/>
      <c r="M52" s="161"/>
      <c r="O52" s="196">
        <v>1</v>
      </c>
      <c r="P52" s="196"/>
      <c r="Q52" s="196"/>
      <c r="R52" s="196"/>
      <c r="S52" s="196">
        <v>1</v>
      </c>
      <c r="T52" s="196">
        <v>1</v>
      </c>
      <c r="U52" s="196">
        <v>1</v>
      </c>
      <c r="V52" s="196">
        <v>1</v>
      </c>
      <c r="W52" s="196"/>
      <c r="X52" s="196"/>
      <c r="Y52" s="196"/>
      <c r="Z52" s="193"/>
      <c r="AA52" s="193"/>
      <c r="AB52" s="193"/>
      <c r="AC52" s="193"/>
      <c r="AD52" s="133"/>
      <c r="AE52" s="133"/>
      <c r="AF52" s="133"/>
      <c r="AG52" s="115" t="s">
        <v>325</v>
      </c>
    </row>
    <row r="53" spans="2:34" ht="15" customHeight="1">
      <c r="B53" s="138"/>
      <c r="D53" s="162"/>
      <c r="E53" s="165"/>
      <c r="F53" s="165"/>
      <c r="G53" s="147"/>
      <c r="H53" s="147"/>
      <c r="I53" s="144"/>
      <c r="J53" s="124"/>
      <c r="K53" s="162"/>
      <c r="L53" s="162"/>
      <c r="M53" s="162"/>
      <c r="O53" s="197"/>
      <c r="P53" s="197"/>
      <c r="Q53" s="197"/>
      <c r="R53" s="197"/>
      <c r="S53" s="197"/>
      <c r="T53" s="197"/>
      <c r="U53" s="197"/>
      <c r="V53" s="197"/>
      <c r="W53" s="197"/>
      <c r="X53" s="197"/>
      <c r="Y53" s="197"/>
      <c r="Z53" s="194"/>
      <c r="AA53" s="194"/>
      <c r="AB53" s="194"/>
      <c r="AC53" s="194"/>
      <c r="AD53" s="134"/>
      <c r="AE53" s="134"/>
      <c r="AF53" s="134"/>
      <c r="AG53" s="117" t="s">
        <v>99</v>
      </c>
    </row>
    <row r="54" spans="2:34" ht="15" customHeight="1">
      <c r="B54" s="138"/>
      <c r="D54" s="163"/>
      <c r="E54" s="166"/>
      <c r="F54" s="166"/>
      <c r="G54" s="148"/>
      <c r="H54" s="148"/>
      <c r="I54" s="145"/>
      <c r="J54" s="124"/>
      <c r="K54" s="163"/>
      <c r="L54" s="163"/>
      <c r="M54" s="163"/>
      <c r="O54" s="198"/>
      <c r="P54" s="198"/>
      <c r="Q54" s="198"/>
      <c r="R54" s="198"/>
      <c r="S54" s="198"/>
      <c r="T54" s="198"/>
      <c r="U54" s="198"/>
      <c r="V54" s="198"/>
      <c r="W54" s="198"/>
      <c r="X54" s="198"/>
      <c r="Y54" s="198"/>
      <c r="Z54" s="195"/>
      <c r="AA54" s="195"/>
      <c r="AB54" s="195"/>
      <c r="AC54" s="195"/>
      <c r="AD54" s="135"/>
      <c r="AE54" s="135"/>
      <c r="AF54" s="135"/>
      <c r="AG54" s="55"/>
    </row>
    <row r="55" spans="2:34" ht="75" customHeight="1">
      <c r="B55" s="138">
        <v>1932</v>
      </c>
      <c r="D55" s="161" t="s">
        <v>60</v>
      </c>
      <c r="E55" s="164" t="s">
        <v>61</v>
      </c>
      <c r="F55" s="164" t="s">
        <v>62</v>
      </c>
      <c r="G55" s="146" t="s">
        <v>63</v>
      </c>
      <c r="H55" s="146"/>
      <c r="I55" s="143"/>
      <c r="J55" s="124"/>
      <c r="K55" s="161"/>
      <c r="L55" s="161"/>
      <c r="M55" s="161"/>
      <c r="O55" s="196"/>
      <c r="P55" s="196"/>
      <c r="Q55" s="196"/>
      <c r="R55" s="196"/>
      <c r="S55" s="196"/>
      <c r="T55" s="196"/>
      <c r="U55" s="196">
        <v>1</v>
      </c>
      <c r="V55" s="196"/>
      <c r="W55" s="196"/>
      <c r="X55" s="196"/>
      <c r="Y55" s="196">
        <v>1</v>
      </c>
      <c r="Z55" s="193"/>
      <c r="AA55" s="193"/>
      <c r="AB55" s="193"/>
      <c r="AC55" s="193"/>
      <c r="AD55" s="133"/>
      <c r="AE55" s="133"/>
      <c r="AF55" s="133"/>
      <c r="AG55" s="117" t="s">
        <v>106</v>
      </c>
    </row>
    <row r="56" spans="2:34" ht="15" customHeight="1">
      <c r="B56" s="138"/>
      <c r="D56" s="162"/>
      <c r="E56" s="165"/>
      <c r="F56" s="165"/>
      <c r="G56" s="147"/>
      <c r="H56" s="147"/>
      <c r="I56" s="144"/>
      <c r="J56" s="124"/>
      <c r="K56" s="162"/>
      <c r="L56" s="162"/>
      <c r="M56" s="162"/>
      <c r="O56" s="197"/>
      <c r="P56" s="197"/>
      <c r="Q56" s="197"/>
      <c r="R56" s="197"/>
      <c r="S56" s="197"/>
      <c r="T56" s="197"/>
      <c r="U56" s="197"/>
      <c r="V56" s="197"/>
      <c r="W56" s="197"/>
      <c r="X56" s="197"/>
      <c r="Y56" s="197"/>
      <c r="Z56" s="194"/>
      <c r="AA56" s="194"/>
      <c r="AB56" s="194"/>
      <c r="AC56" s="194"/>
      <c r="AD56" s="134"/>
      <c r="AE56" s="134"/>
      <c r="AF56" s="134"/>
      <c r="AG56" s="115" t="s">
        <v>335</v>
      </c>
    </row>
    <row r="57" spans="2:34" ht="15" customHeight="1">
      <c r="B57" s="138"/>
      <c r="D57" s="163"/>
      <c r="E57" s="166"/>
      <c r="F57" s="166"/>
      <c r="G57" s="148"/>
      <c r="H57" s="148"/>
      <c r="I57" s="145"/>
      <c r="J57" s="124"/>
      <c r="K57" s="163"/>
      <c r="L57" s="163"/>
      <c r="M57" s="163"/>
      <c r="O57" s="198"/>
      <c r="P57" s="198"/>
      <c r="Q57" s="198"/>
      <c r="R57" s="198"/>
      <c r="S57" s="198"/>
      <c r="T57" s="198"/>
      <c r="U57" s="198"/>
      <c r="V57" s="198"/>
      <c r="W57" s="198"/>
      <c r="X57" s="198"/>
      <c r="Y57" s="198"/>
      <c r="Z57" s="195"/>
      <c r="AA57" s="195"/>
      <c r="AB57" s="195"/>
      <c r="AC57" s="195"/>
      <c r="AD57" s="135"/>
      <c r="AE57" s="135"/>
      <c r="AF57" s="135"/>
      <c r="AG57" s="55"/>
    </row>
    <row r="58" spans="2:34" ht="15" customHeight="1">
      <c r="B58" s="138">
        <v>1936</v>
      </c>
      <c r="D58" s="161">
        <v>1936</v>
      </c>
      <c r="E58" s="164"/>
      <c r="F58" s="164" t="s">
        <v>18</v>
      </c>
      <c r="G58" s="146">
        <v>5000000</v>
      </c>
      <c r="H58" s="146"/>
      <c r="I58" s="143"/>
      <c r="J58" s="124"/>
      <c r="K58" s="161"/>
      <c r="L58" s="161"/>
      <c r="M58" s="161"/>
      <c r="O58" s="196"/>
      <c r="P58" s="196"/>
      <c r="Q58" s="196"/>
      <c r="R58" s="196"/>
      <c r="S58" s="196"/>
      <c r="T58" s="196"/>
      <c r="U58" s="196"/>
      <c r="V58" s="196"/>
      <c r="W58" s="196"/>
      <c r="X58" s="196"/>
      <c r="Y58" s="196"/>
      <c r="Z58" s="193"/>
      <c r="AA58" s="193"/>
      <c r="AB58" s="193"/>
      <c r="AC58" s="193"/>
      <c r="AD58" s="133"/>
      <c r="AE58" s="133"/>
      <c r="AF58" s="133"/>
      <c r="AG58" s="55"/>
    </row>
    <row r="59" spans="2:34" ht="15" customHeight="1">
      <c r="B59" s="138"/>
      <c r="D59" s="162"/>
      <c r="E59" s="165"/>
      <c r="F59" s="165"/>
      <c r="G59" s="147"/>
      <c r="H59" s="147"/>
      <c r="I59" s="144"/>
      <c r="J59" s="124"/>
      <c r="K59" s="162"/>
      <c r="L59" s="162"/>
      <c r="M59" s="162"/>
      <c r="O59" s="197"/>
      <c r="P59" s="197"/>
      <c r="Q59" s="197"/>
      <c r="R59" s="197"/>
      <c r="S59" s="197"/>
      <c r="T59" s="197"/>
      <c r="U59" s="197"/>
      <c r="V59" s="197"/>
      <c r="W59" s="197"/>
      <c r="X59" s="197"/>
      <c r="Y59" s="197"/>
      <c r="Z59" s="194"/>
      <c r="AA59" s="194"/>
      <c r="AB59" s="194"/>
      <c r="AC59" s="194"/>
      <c r="AD59" s="134"/>
      <c r="AE59" s="134"/>
      <c r="AF59" s="134"/>
      <c r="AG59" s="55"/>
    </row>
    <row r="60" spans="2:34" ht="15" customHeight="1">
      <c r="B60" s="138"/>
      <c r="D60" s="163"/>
      <c r="E60" s="166"/>
      <c r="F60" s="166"/>
      <c r="G60" s="148"/>
      <c r="H60" s="148"/>
      <c r="I60" s="145"/>
      <c r="J60" s="124"/>
      <c r="K60" s="163"/>
      <c r="L60" s="163"/>
      <c r="M60" s="163"/>
      <c r="O60" s="198"/>
      <c r="P60" s="198"/>
      <c r="Q60" s="198"/>
      <c r="R60" s="198"/>
      <c r="S60" s="198"/>
      <c r="T60" s="198"/>
      <c r="U60" s="198"/>
      <c r="V60" s="198"/>
      <c r="W60" s="198"/>
      <c r="X60" s="198"/>
      <c r="Y60" s="198"/>
      <c r="Z60" s="195"/>
      <c r="AA60" s="195"/>
      <c r="AB60" s="195"/>
      <c r="AC60" s="195"/>
      <c r="AD60" s="135"/>
      <c r="AE60" s="135"/>
      <c r="AF60" s="135"/>
      <c r="AG60" s="55"/>
    </row>
    <row r="61" spans="2:34" ht="30" customHeight="1">
      <c r="B61" s="138">
        <v>1940</v>
      </c>
      <c r="D61" s="161" t="s">
        <v>64</v>
      </c>
      <c r="E61" s="164" t="s">
        <v>65</v>
      </c>
      <c r="F61" s="164" t="s">
        <v>66</v>
      </c>
      <c r="G61" s="146">
        <v>112000</v>
      </c>
      <c r="H61" s="146"/>
      <c r="I61" s="143"/>
      <c r="J61" s="124"/>
      <c r="K61" s="161"/>
      <c r="L61" s="161"/>
      <c r="M61" s="161"/>
      <c r="O61" s="196"/>
      <c r="P61" s="196"/>
      <c r="Q61" s="196"/>
      <c r="R61" s="196">
        <v>1</v>
      </c>
      <c r="S61" s="196">
        <v>1</v>
      </c>
      <c r="T61" s="196">
        <v>1</v>
      </c>
      <c r="U61" s="196">
        <v>1</v>
      </c>
      <c r="V61" s="196"/>
      <c r="W61" s="196"/>
      <c r="X61" s="196"/>
      <c r="Y61" s="196"/>
      <c r="Z61" s="193"/>
      <c r="AA61" s="193"/>
      <c r="AB61" s="193"/>
      <c r="AC61" s="193"/>
      <c r="AD61" s="133"/>
      <c r="AE61" s="133"/>
      <c r="AF61" s="133"/>
      <c r="AG61" s="117" t="s">
        <v>339</v>
      </c>
    </row>
    <row r="62" spans="2:34" ht="15" customHeight="1">
      <c r="B62" s="138"/>
      <c r="D62" s="162"/>
      <c r="E62" s="165"/>
      <c r="F62" s="165"/>
      <c r="G62" s="147"/>
      <c r="H62" s="147"/>
      <c r="I62" s="144"/>
      <c r="J62" s="124"/>
      <c r="K62" s="162"/>
      <c r="L62" s="162"/>
      <c r="M62" s="162"/>
      <c r="O62" s="197"/>
      <c r="P62" s="197"/>
      <c r="Q62" s="197"/>
      <c r="R62" s="197"/>
      <c r="S62" s="197"/>
      <c r="T62" s="197"/>
      <c r="U62" s="197"/>
      <c r="V62" s="197"/>
      <c r="W62" s="197"/>
      <c r="X62" s="197"/>
      <c r="Y62" s="197"/>
      <c r="Z62" s="194"/>
      <c r="AA62" s="194"/>
      <c r="AB62" s="194"/>
      <c r="AC62" s="194"/>
      <c r="AD62" s="134"/>
      <c r="AE62" s="134"/>
      <c r="AF62" s="134"/>
      <c r="AG62" s="55"/>
    </row>
    <row r="63" spans="2:34" ht="15" customHeight="1">
      <c r="B63" s="138"/>
      <c r="D63" s="163"/>
      <c r="E63" s="166"/>
      <c r="F63" s="166"/>
      <c r="G63" s="148"/>
      <c r="H63" s="148"/>
      <c r="I63" s="145"/>
      <c r="J63" s="124"/>
      <c r="K63" s="163"/>
      <c r="L63" s="163"/>
      <c r="M63" s="163"/>
      <c r="O63" s="198"/>
      <c r="P63" s="198"/>
      <c r="Q63" s="198"/>
      <c r="R63" s="198"/>
      <c r="S63" s="198"/>
      <c r="T63" s="198"/>
      <c r="U63" s="198"/>
      <c r="V63" s="198"/>
      <c r="W63" s="198"/>
      <c r="X63" s="198"/>
      <c r="Y63" s="198"/>
      <c r="Z63" s="195"/>
      <c r="AA63" s="195"/>
      <c r="AB63" s="195"/>
      <c r="AC63" s="195"/>
      <c r="AD63" s="135"/>
      <c r="AE63" s="135"/>
      <c r="AF63" s="135"/>
      <c r="AG63" s="55"/>
    </row>
    <row r="64" spans="2:34" ht="15" customHeight="1">
      <c r="B64" s="138">
        <v>1941</v>
      </c>
      <c r="D64" s="161" t="s">
        <v>67</v>
      </c>
      <c r="E64" s="164" t="s">
        <v>68</v>
      </c>
      <c r="F64" s="164" t="s">
        <v>30</v>
      </c>
      <c r="G64" s="146">
        <v>1000000</v>
      </c>
      <c r="H64" s="146"/>
      <c r="I64" s="143"/>
      <c r="J64" s="124"/>
      <c r="K64" s="161"/>
      <c r="L64" s="161"/>
      <c r="M64" s="161"/>
      <c r="O64" s="196"/>
      <c r="P64" s="196"/>
      <c r="Q64" s="196"/>
      <c r="R64" s="196">
        <v>1</v>
      </c>
      <c r="S64" s="196">
        <v>1</v>
      </c>
      <c r="T64" s="196">
        <v>1</v>
      </c>
      <c r="U64" s="196"/>
      <c r="V64" s="196"/>
      <c r="W64" s="196"/>
      <c r="X64" s="196"/>
      <c r="Y64" s="196"/>
      <c r="Z64" s="193"/>
      <c r="AA64" s="193"/>
      <c r="AB64" s="193"/>
      <c r="AC64" s="193"/>
      <c r="AD64" s="133"/>
      <c r="AE64" s="133"/>
      <c r="AF64" s="133"/>
      <c r="AG64" s="117" t="s">
        <v>342</v>
      </c>
    </row>
    <row r="65" spans="2:33" ht="15" customHeight="1">
      <c r="B65" s="138"/>
      <c r="D65" s="162"/>
      <c r="E65" s="165"/>
      <c r="F65" s="165"/>
      <c r="G65" s="147"/>
      <c r="H65" s="147"/>
      <c r="I65" s="144"/>
      <c r="J65" s="124"/>
      <c r="K65" s="162"/>
      <c r="L65" s="162"/>
      <c r="M65" s="162"/>
      <c r="O65" s="197"/>
      <c r="P65" s="197"/>
      <c r="Q65" s="197"/>
      <c r="R65" s="197"/>
      <c r="S65" s="197"/>
      <c r="T65" s="197"/>
      <c r="U65" s="197"/>
      <c r="V65" s="197"/>
      <c r="W65" s="197"/>
      <c r="X65" s="197"/>
      <c r="Y65" s="197"/>
      <c r="Z65" s="194"/>
      <c r="AA65" s="194"/>
      <c r="AB65" s="194"/>
      <c r="AC65" s="194"/>
      <c r="AD65" s="134"/>
      <c r="AE65" s="134"/>
      <c r="AF65" s="134"/>
      <c r="AG65" s="55"/>
    </row>
    <row r="66" spans="2:33" ht="15" customHeight="1">
      <c r="B66" s="138"/>
      <c r="D66" s="163"/>
      <c r="E66" s="166"/>
      <c r="F66" s="166"/>
      <c r="G66" s="148"/>
      <c r="H66" s="148"/>
      <c r="I66" s="145"/>
      <c r="J66" s="124"/>
      <c r="K66" s="163"/>
      <c r="L66" s="163"/>
      <c r="M66" s="163"/>
      <c r="O66" s="198"/>
      <c r="P66" s="198"/>
      <c r="Q66" s="198"/>
      <c r="R66" s="198"/>
      <c r="S66" s="198"/>
      <c r="T66" s="198"/>
      <c r="U66" s="198"/>
      <c r="V66" s="198"/>
      <c r="W66" s="198"/>
      <c r="X66" s="198"/>
      <c r="Y66" s="198"/>
      <c r="Z66" s="195"/>
      <c r="AA66" s="195"/>
      <c r="AB66" s="195"/>
      <c r="AC66" s="195"/>
      <c r="AD66" s="135"/>
      <c r="AE66" s="135"/>
      <c r="AF66" s="135"/>
      <c r="AG66" s="55"/>
    </row>
    <row r="67" spans="2:33" ht="15" customHeight="1">
      <c r="B67" s="138"/>
      <c r="D67" s="161" t="s">
        <v>69</v>
      </c>
      <c r="E67" s="164" t="s">
        <v>70</v>
      </c>
      <c r="F67" s="164" t="s">
        <v>71</v>
      </c>
      <c r="G67" s="146">
        <v>300000</v>
      </c>
      <c r="H67" s="146"/>
      <c r="I67" s="143"/>
      <c r="J67" s="124"/>
      <c r="K67" s="161"/>
      <c r="L67" s="161"/>
      <c r="M67" s="161"/>
      <c r="O67" s="196"/>
      <c r="P67" s="196"/>
      <c r="Q67" s="196"/>
      <c r="R67" s="196">
        <v>1</v>
      </c>
      <c r="S67" s="196"/>
      <c r="T67" s="196">
        <v>1</v>
      </c>
      <c r="U67" s="196">
        <v>1</v>
      </c>
      <c r="V67" s="196">
        <v>1</v>
      </c>
      <c r="W67" s="196"/>
      <c r="X67" s="196"/>
      <c r="Y67" s="196"/>
      <c r="Z67" s="193"/>
      <c r="AA67" s="193"/>
      <c r="AB67" s="193"/>
      <c r="AC67" s="193"/>
      <c r="AD67" s="133"/>
      <c r="AE67" s="133"/>
      <c r="AF67" s="133"/>
      <c r="AG67" s="115" t="s">
        <v>344</v>
      </c>
    </row>
    <row r="68" spans="2:33" ht="15" customHeight="1">
      <c r="B68" s="138"/>
      <c r="D68" s="162"/>
      <c r="E68" s="165"/>
      <c r="F68" s="165"/>
      <c r="G68" s="147"/>
      <c r="H68" s="147"/>
      <c r="I68" s="144"/>
      <c r="J68" s="124"/>
      <c r="K68" s="162"/>
      <c r="L68" s="162"/>
      <c r="M68" s="162"/>
      <c r="O68" s="197"/>
      <c r="P68" s="197"/>
      <c r="Q68" s="197"/>
      <c r="R68" s="197"/>
      <c r="S68" s="197"/>
      <c r="T68" s="197"/>
      <c r="U68" s="197"/>
      <c r="V68" s="197"/>
      <c r="W68" s="197"/>
      <c r="X68" s="197"/>
      <c r="Y68" s="197"/>
      <c r="Z68" s="194"/>
      <c r="AA68" s="194"/>
      <c r="AB68" s="194"/>
      <c r="AC68" s="194"/>
      <c r="AD68" s="134"/>
      <c r="AE68" s="134"/>
      <c r="AF68" s="134"/>
      <c r="AG68" s="55"/>
    </row>
    <row r="69" spans="2:33" ht="15" customHeight="1">
      <c r="B69" s="138"/>
      <c r="D69" s="163"/>
      <c r="E69" s="166"/>
      <c r="F69" s="166"/>
      <c r="G69" s="148"/>
      <c r="H69" s="148"/>
      <c r="I69" s="145"/>
      <c r="J69" s="124"/>
      <c r="K69" s="163"/>
      <c r="L69" s="163"/>
      <c r="M69" s="163"/>
      <c r="O69" s="198"/>
      <c r="P69" s="198"/>
      <c r="Q69" s="198"/>
      <c r="R69" s="198"/>
      <c r="S69" s="198"/>
      <c r="T69" s="198"/>
      <c r="U69" s="198"/>
      <c r="V69" s="198"/>
      <c r="W69" s="198"/>
      <c r="X69" s="198"/>
      <c r="Y69" s="198"/>
      <c r="Z69" s="195"/>
      <c r="AA69" s="195"/>
      <c r="AB69" s="195"/>
      <c r="AC69" s="195"/>
      <c r="AD69" s="135"/>
      <c r="AE69" s="135"/>
      <c r="AF69" s="135"/>
      <c r="AG69" s="55"/>
    </row>
    <row r="70" spans="2:33" ht="15" customHeight="1">
      <c r="B70" s="138">
        <v>1943</v>
      </c>
      <c r="D70" s="161">
        <v>1943</v>
      </c>
      <c r="E70" s="164" t="s">
        <v>74</v>
      </c>
      <c r="F70" s="164" t="s">
        <v>18</v>
      </c>
      <c r="G70" s="146">
        <v>5000000</v>
      </c>
      <c r="H70" s="146"/>
      <c r="I70" s="143"/>
      <c r="J70" s="124"/>
      <c r="K70" s="161"/>
      <c r="L70" s="161"/>
      <c r="M70" s="161"/>
      <c r="O70" s="196">
        <v>1</v>
      </c>
      <c r="P70" s="196"/>
      <c r="Q70" s="196"/>
      <c r="R70" s="196">
        <v>1</v>
      </c>
      <c r="S70" s="196"/>
      <c r="T70" s="196">
        <v>1</v>
      </c>
      <c r="U70" s="196">
        <v>1</v>
      </c>
      <c r="V70" s="196">
        <v>1</v>
      </c>
      <c r="W70" s="196"/>
      <c r="X70" s="196"/>
      <c r="Y70" s="196"/>
      <c r="Z70" s="193"/>
      <c r="AA70" s="193"/>
      <c r="AB70" s="193"/>
      <c r="AC70" s="193"/>
      <c r="AD70" s="133"/>
      <c r="AE70" s="133"/>
      <c r="AF70" s="133"/>
      <c r="AG70" s="115" t="s">
        <v>346</v>
      </c>
    </row>
    <row r="71" spans="2:33" ht="15" customHeight="1">
      <c r="B71" s="138"/>
      <c r="D71" s="162"/>
      <c r="E71" s="165"/>
      <c r="F71" s="165"/>
      <c r="G71" s="147"/>
      <c r="H71" s="147"/>
      <c r="I71" s="144"/>
      <c r="J71" s="124"/>
      <c r="K71" s="162"/>
      <c r="L71" s="162"/>
      <c r="M71" s="162"/>
      <c r="O71" s="197"/>
      <c r="P71" s="197"/>
      <c r="Q71" s="197"/>
      <c r="R71" s="197"/>
      <c r="S71" s="197"/>
      <c r="T71" s="197"/>
      <c r="U71" s="197"/>
      <c r="V71" s="197"/>
      <c r="W71" s="197"/>
      <c r="X71" s="197"/>
      <c r="Y71" s="197"/>
      <c r="Z71" s="194"/>
      <c r="AA71" s="194"/>
      <c r="AB71" s="194"/>
      <c r="AC71" s="194"/>
      <c r="AD71" s="134"/>
      <c r="AE71" s="134"/>
      <c r="AF71" s="134"/>
      <c r="AG71" s="117" t="s">
        <v>99</v>
      </c>
    </row>
    <row r="72" spans="2:33" ht="15" customHeight="1">
      <c r="B72" s="138"/>
      <c r="D72" s="163"/>
      <c r="E72" s="166"/>
      <c r="F72" s="166"/>
      <c r="G72" s="148"/>
      <c r="H72" s="148"/>
      <c r="I72" s="145"/>
      <c r="J72" s="124"/>
      <c r="K72" s="163"/>
      <c r="L72" s="163"/>
      <c r="M72" s="163"/>
      <c r="O72" s="198"/>
      <c r="P72" s="198"/>
      <c r="Q72" s="198"/>
      <c r="R72" s="198"/>
      <c r="S72" s="198"/>
      <c r="T72" s="198"/>
      <c r="U72" s="198"/>
      <c r="V72" s="198"/>
      <c r="W72" s="198"/>
      <c r="X72" s="198"/>
      <c r="Y72" s="198"/>
      <c r="Z72" s="195"/>
      <c r="AA72" s="195"/>
      <c r="AB72" s="195"/>
      <c r="AC72" s="195"/>
      <c r="AD72" s="135"/>
      <c r="AE72" s="135"/>
      <c r="AF72" s="135"/>
      <c r="AG72" s="55"/>
    </row>
    <row r="73" spans="2:33" ht="30" customHeight="1">
      <c r="B73" s="138"/>
      <c r="D73" s="161">
        <v>1943</v>
      </c>
      <c r="E73" s="164" t="s">
        <v>75</v>
      </c>
      <c r="F73" s="164" t="s">
        <v>76</v>
      </c>
      <c r="G73" s="146" t="s">
        <v>77</v>
      </c>
      <c r="H73" s="146"/>
      <c r="I73" s="143"/>
      <c r="J73" s="124"/>
      <c r="K73" s="161"/>
      <c r="L73" s="161"/>
      <c r="M73" s="161"/>
      <c r="O73" s="196"/>
      <c r="P73" s="196">
        <v>1</v>
      </c>
      <c r="Q73" s="196">
        <v>1</v>
      </c>
      <c r="R73" s="196">
        <v>1</v>
      </c>
      <c r="S73" s="196">
        <v>1</v>
      </c>
      <c r="T73" s="196">
        <v>1</v>
      </c>
      <c r="U73" s="196"/>
      <c r="V73" s="196">
        <v>1</v>
      </c>
      <c r="W73" s="196"/>
      <c r="X73" s="196"/>
      <c r="Y73" s="196"/>
      <c r="Z73" s="193"/>
      <c r="AA73" s="193"/>
      <c r="AB73" s="193"/>
      <c r="AC73" s="193"/>
      <c r="AD73" s="133"/>
      <c r="AE73" s="133"/>
      <c r="AF73" s="133"/>
      <c r="AG73" s="117" t="s">
        <v>106</v>
      </c>
    </row>
    <row r="74" spans="2:33" ht="15" customHeight="1">
      <c r="B74" s="138"/>
      <c r="D74" s="162"/>
      <c r="E74" s="165"/>
      <c r="F74" s="165"/>
      <c r="G74" s="147"/>
      <c r="H74" s="147"/>
      <c r="I74" s="144"/>
      <c r="J74" s="124"/>
      <c r="K74" s="162"/>
      <c r="L74" s="162"/>
      <c r="M74" s="162"/>
      <c r="O74" s="197"/>
      <c r="P74" s="197"/>
      <c r="Q74" s="197"/>
      <c r="R74" s="197"/>
      <c r="S74" s="197"/>
      <c r="T74" s="197"/>
      <c r="U74" s="197"/>
      <c r="V74" s="197"/>
      <c r="W74" s="197"/>
      <c r="X74" s="197"/>
      <c r="Y74" s="197"/>
      <c r="Z74" s="194"/>
      <c r="AA74" s="194"/>
      <c r="AB74" s="194"/>
      <c r="AC74" s="194"/>
      <c r="AD74" s="134"/>
      <c r="AE74" s="134"/>
      <c r="AF74" s="134"/>
      <c r="AG74" s="117" t="s">
        <v>99</v>
      </c>
    </row>
    <row r="75" spans="2:33" ht="15" customHeight="1">
      <c r="B75" s="138"/>
      <c r="D75" s="163"/>
      <c r="E75" s="166"/>
      <c r="F75" s="166"/>
      <c r="G75" s="148"/>
      <c r="H75" s="148"/>
      <c r="I75" s="145"/>
      <c r="J75" s="124"/>
      <c r="K75" s="163"/>
      <c r="L75" s="163"/>
      <c r="M75" s="163"/>
      <c r="O75" s="198"/>
      <c r="P75" s="198"/>
      <c r="Q75" s="198"/>
      <c r="R75" s="198"/>
      <c r="S75" s="198"/>
      <c r="T75" s="198"/>
      <c r="U75" s="198"/>
      <c r="V75" s="198"/>
      <c r="W75" s="198"/>
      <c r="X75" s="198"/>
      <c r="Y75" s="198"/>
      <c r="Z75" s="195"/>
      <c r="AA75" s="195"/>
      <c r="AB75" s="195"/>
      <c r="AC75" s="195"/>
      <c r="AD75" s="135"/>
      <c r="AE75" s="135"/>
      <c r="AF75" s="135"/>
      <c r="AG75" s="115" t="s">
        <v>349</v>
      </c>
    </row>
    <row r="76" spans="2:33" ht="60" customHeight="1">
      <c r="B76" s="138"/>
      <c r="D76" s="161">
        <v>1943</v>
      </c>
      <c r="E76" s="164" t="s">
        <v>78</v>
      </c>
      <c r="F76" s="164" t="s">
        <v>56</v>
      </c>
      <c r="G76" s="146">
        <v>300000</v>
      </c>
      <c r="H76" s="146"/>
      <c r="I76" s="143"/>
      <c r="J76" s="124"/>
      <c r="K76" s="161"/>
      <c r="L76" s="161"/>
      <c r="M76" s="161"/>
      <c r="O76" s="196">
        <v>1</v>
      </c>
      <c r="P76" s="196"/>
      <c r="Q76" s="196"/>
      <c r="R76" s="196">
        <v>1</v>
      </c>
      <c r="S76" s="196">
        <v>1</v>
      </c>
      <c r="T76" s="196">
        <v>1</v>
      </c>
      <c r="U76" s="196"/>
      <c r="V76" s="196">
        <v>1</v>
      </c>
      <c r="W76" s="196"/>
      <c r="X76" s="196"/>
      <c r="Y76" s="196"/>
      <c r="Z76" s="193"/>
      <c r="AA76" s="193"/>
      <c r="AB76" s="193"/>
      <c r="AC76" s="193"/>
      <c r="AD76" s="133"/>
      <c r="AE76" s="133"/>
      <c r="AF76" s="133"/>
      <c r="AG76" s="117" t="s">
        <v>99</v>
      </c>
    </row>
    <row r="77" spans="2:33" ht="15" customHeight="1">
      <c r="B77" s="138"/>
      <c r="D77" s="162"/>
      <c r="E77" s="165"/>
      <c r="F77" s="165"/>
      <c r="G77" s="147"/>
      <c r="H77" s="147"/>
      <c r="I77" s="144"/>
      <c r="J77" s="124"/>
      <c r="K77" s="162"/>
      <c r="L77" s="162"/>
      <c r="M77" s="162"/>
      <c r="O77" s="197"/>
      <c r="P77" s="197"/>
      <c r="Q77" s="197"/>
      <c r="R77" s="197"/>
      <c r="S77" s="197"/>
      <c r="T77" s="197"/>
      <c r="U77" s="197"/>
      <c r="V77" s="197"/>
      <c r="W77" s="197"/>
      <c r="X77" s="197"/>
      <c r="Y77" s="197"/>
      <c r="Z77" s="194"/>
      <c r="AA77" s="194"/>
      <c r="AB77" s="194"/>
      <c r="AC77" s="194"/>
      <c r="AD77" s="134"/>
      <c r="AE77" s="134"/>
      <c r="AF77" s="134"/>
      <c r="AG77" s="117" t="s">
        <v>351</v>
      </c>
    </row>
    <row r="78" spans="2:33" ht="15" customHeight="1">
      <c r="B78" s="138"/>
      <c r="D78" s="163"/>
      <c r="E78" s="166"/>
      <c r="F78" s="166"/>
      <c r="G78" s="148"/>
      <c r="H78" s="148"/>
      <c r="I78" s="145"/>
      <c r="J78" s="124"/>
      <c r="K78" s="163"/>
      <c r="L78" s="163"/>
      <c r="M78" s="163"/>
      <c r="O78" s="198"/>
      <c r="P78" s="198"/>
      <c r="Q78" s="198"/>
      <c r="R78" s="198"/>
      <c r="S78" s="198"/>
      <c r="T78" s="198"/>
      <c r="U78" s="198"/>
      <c r="V78" s="198"/>
      <c r="W78" s="198"/>
      <c r="X78" s="198"/>
      <c r="Y78" s="198"/>
      <c r="Z78" s="195"/>
      <c r="AA78" s="195"/>
      <c r="AB78" s="195"/>
      <c r="AC78" s="195"/>
      <c r="AD78" s="135"/>
      <c r="AE78" s="135"/>
      <c r="AF78" s="135"/>
      <c r="AG78" s="55"/>
    </row>
    <row r="79" spans="2:33" ht="30" customHeight="1">
      <c r="B79" s="138">
        <v>1944</v>
      </c>
      <c r="D79" s="161">
        <v>1944</v>
      </c>
      <c r="E79" s="164" t="s">
        <v>79</v>
      </c>
      <c r="F79" s="164" t="s">
        <v>80</v>
      </c>
      <c r="G79" s="146">
        <v>20000</v>
      </c>
      <c r="H79" s="146"/>
      <c r="I79" s="143"/>
      <c r="J79" s="124"/>
      <c r="K79" s="161"/>
      <c r="L79" s="161"/>
      <c r="M79" s="161"/>
      <c r="O79" s="196"/>
      <c r="P79" s="196"/>
      <c r="Q79" s="196"/>
      <c r="R79" s="196">
        <v>1</v>
      </c>
      <c r="S79" s="196">
        <v>1</v>
      </c>
      <c r="T79" s="196">
        <v>1</v>
      </c>
      <c r="U79" s="196"/>
      <c r="V79" s="196">
        <v>1</v>
      </c>
      <c r="W79" s="196"/>
      <c r="X79" s="196"/>
      <c r="Y79" s="196"/>
      <c r="Z79" s="193"/>
      <c r="AA79" s="193"/>
      <c r="AB79" s="193"/>
      <c r="AC79" s="193"/>
      <c r="AD79" s="133"/>
      <c r="AE79" s="133"/>
      <c r="AF79" s="133"/>
      <c r="AG79" s="117" t="s">
        <v>106</v>
      </c>
    </row>
    <row r="80" spans="2:33" ht="15" customHeight="1">
      <c r="B80" s="138"/>
      <c r="D80" s="162"/>
      <c r="E80" s="165"/>
      <c r="F80" s="165"/>
      <c r="G80" s="147"/>
      <c r="H80" s="147"/>
      <c r="I80" s="144"/>
      <c r="J80" s="124"/>
      <c r="K80" s="162"/>
      <c r="L80" s="162"/>
      <c r="M80" s="162"/>
      <c r="O80" s="197"/>
      <c r="P80" s="197"/>
      <c r="Q80" s="197"/>
      <c r="R80" s="197"/>
      <c r="S80" s="197"/>
      <c r="T80" s="197"/>
      <c r="U80" s="197"/>
      <c r="V80" s="197"/>
      <c r="W80" s="197"/>
      <c r="X80" s="197"/>
      <c r="Y80" s="197"/>
      <c r="Z80" s="194"/>
      <c r="AA80" s="194"/>
      <c r="AB80" s="194"/>
      <c r="AC80" s="194"/>
      <c r="AD80" s="134"/>
      <c r="AE80" s="134"/>
      <c r="AF80" s="134"/>
      <c r="AG80" s="117" t="s">
        <v>99</v>
      </c>
    </row>
    <row r="81" spans="2:34" ht="15" customHeight="1">
      <c r="B81" s="138"/>
      <c r="D81" s="163"/>
      <c r="E81" s="166"/>
      <c r="F81" s="166"/>
      <c r="G81" s="148"/>
      <c r="H81" s="148"/>
      <c r="I81" s="145"/>
      <c r="J81" s="124"/>
      <c r="K81" s="163"/>
      <c r="L81" s="163"/>
      <c r="M81" s="163"/>
      <c r="O81" s="198"/>
      <c r="P81" s="198"/>
      <c r="Q81" s="198"/>
      <c r="R81" s="198"/>
      <c r="S81" s="198"/>
      <c r="T81" s="198"/>
      <c r="U81" s="198"/>
      <c r="V81" s="198"/>
      <c r="W81" s="198"/>
      <c r="X81" s="198"/>
      <c r="Y81" s="198"/>
      <c r="Z81" s="195"/>
      <c r="AA81" s="195"/>
      <c r="AB81" s="195"/>
      <c r="AC81" s="195"/>
      <c r="AD81" s="135"/>
      <c r="AE81" s="135"/>
      <c r="AF81" s="135"/>
      <c r="AG81" s="55"/>
    </row>
    <row r="82" spans="2:34" ht="30" customHeight="1">
      <c r="B82" s="138">
        <v>1945</v>
      </c>
      <c r="D82" s="161">
        <v>1945</v>
      </c>
      <c r="E82" s="164" t="s">
        <v>81</v>
      </c>
      <c r="F82" s="164" t="s">
        <v>82</v>
      </c>
      <c r="G82" s="146" t="s">
        <v>83</v>
      </c>
      <c r="H82" s="146"/>
      <c r="I82" s="143"/>
      <c r="J82" s="124"/>
      <c r="K82" s="161"/>
      <c r="L82" s="161" t="s">
        <v>508</v>
      </c>
      <c r="M82" s="161"/>
      <c r="O82" s="196">
        <v>1</v>
      </c>
      <c r="P82" s="196"/>
      <c r="Q82" s="196">
        <v>1</v>
      </c>
      <c r="R82" s="196">
        <v>1</v>
      </c>
      <c r="S82" s="196">
        <v>1</v>
      </c>
      <c r="T82" s="196"/>
      <c r="U82" s="196"/>
      <c r="V82" s="196">
        <v>1</v>
      </c>
      <c r="W82" s="196"/>
      <c r="X82" s="196"/>
      <c r="Y82" s="196"/>
      <c r="Z82" s="193"/>
      <c r="AA82" s="193"/>
      <c r="AB82" s="193"/>
      <c r="AC82" s="193"/>
      <c r="AD82" s="133"/>
      <c r="AE82" s="133"/>
      <c r="AF82" s="133"/>
      <c r="AG82" s="115" t="s">
        <v>354</v>
      </c>
    </row>
    <row r="83" spans="2:34" ht="15" customHeight="1">
      <c r="B83" s="138"/>
      <c r="D83" s="162"/>
      <c r="E83" s="165"/>
      <c r="F83" s="165"/>
      <c r="G83" s="147"/>
      <c r="H83" s="147"/>
      <c r="I83" s="144"/>
      <c r="J83" s="124"/>
      <c r="K83" s="162"/>
      <c r="L83" s="162"/>
      <c r="M83" s="162"/>
      <c r="O83" s="197"/>
      <c r="P83" s="197"/>
      <c r="Q83" s="197"/>
      <c r="R83" s="197"/>
      <c r="S83" s="197"/>
      <c r="T83" s="197"/>
      <c r="U83" s="197"/>
      <c r="V83" s="197"/>
      <c r="W83" s="197"/>
      <c r="X83" s="197"/>
      <c r="Y83" s="197"/>
      <c r="Z83" s="194"/>
      <c r="AA83" s="194"/>
      <c r="AB83" s="194"/>
      <c r="AC83" s="194"/>
      <c r="AD83" s="134"/>
      <c r="AE83" s="134"/>
      <c r="AF83" s="134"/>
      <c r="AG83" s="55"/>
    </row>
    <row r="84" spans="2:34" ht="15" customHeight="1">
      <c r="B84" s="138"/>
      <c r="D84" s="163"/>
      <c r="E84" s="166"/>
      <c r="F84" s="166"/>
      <c r="G84" s="148"/>
      <c r="H84" s="148"/>
      <c r="I84" s="145"/>
      <c r="J84" s="124"/>
      <c r="K84" s="163"/>
      <c r="L84" s="163"/>
      <c r="M84" s="163"/>
      <c r="O84" s="198"/>
      <c r="P84" s="198"/>
      <c r="Q84" s="198"/>
      <c r="R84" s="198"/>
      <c r="S84" s="198"/>
      <c r="T84" s="198"/>
      <c r="U84" s="198"/>
      <c r="V84" s="198"/>
      <c r="W84" s="198"/>
      <c r="X84" s="198"/>
      <c r="Y84" s="198"/>
      <c r="Z84" s="195"/>
      <c r="AA84" s="195"/>
      <c r="AB84" s="195"/>
      <c r="AC84" s="195"/>
      <c r="AD84" s="135"/>
      <c r="AE84" s="135"/>
      <c r="AF84" s="135"/>
      <c r="AG84" s="55"/>
    </row>
    <row r="85" spans="2:34" ht="30" customHeight="1">
      <c r="B85" s="138"/>
      <c r="D85" s="161">
        <v>1947</v>
      </c>
      <c r="E85" s="164" t="s">
        <v>84</v>
      </c>
      <c r="F85" s="164" t="s">
        <v>85</v>
      </c>
      <c r="G85" s="146" t="s">
        <v>86</v>
      </c>
      <c r="H85" s="146"/>
      <c r="I85" s="143"/>
      <c r="J85" s="124"/>
      <c r="K85" s="161"/>
      <c r="L85" s="161"/>
      <c r="M85" s="161"/>
      <c r="O85" s="196">
        <v>1</v>
      </c>
      <c r="P85" s="196"/>
      <c r="Q85" s="196"/>
      <c r="R85" s="196">
        <v>1</v>
      </c>
      <c r="S85" s="196">
        <v>1</v>
      </c>
      <c r="T85" s="196"/>
      <c r="U85" s="196">
        <v>1</v>
      </c>
      <c r="V85" s="196">
        <v>1</v>
      </c>
      <c r="W85" s="196"/>
      <c r="X85" s="196"/>
      <c r="Y85" s="196"/>
      <c r="Z85" s="193"/>
      <c r="AA85" s="193"/>
      <c r="AB85" s="193"/>
      <c r="AC85" s="193"/>
      <c r="AD85" s="133"/>
      <c r="AE85" s="133"/>
      <c r="AF85" s="133"/>
      <c r="AG85" s="117" t="s">
        <v>99</v>
      </c>
    </row>
    <row r="86" spans="2:34" ht="15" customHeight="1">
      <c r="B86" s="138"/>
      <c r="D86" s="162"/>
      <c r="E86" s="165"/>
      <c r="F86" s="165"/>
      <c r="G86" s="147"/>
      <c r="H86" s="147"/>
      <c r="I86" s="144"/>
      <c r="J86" s="124"/>
      <c r="K86" s="162"/>
      <c r="L86" s="162"/>
      <c r="M86" s="162"/>
      <c r="O86" s="197"/>
      <c r="P86" s="197"/>
      <c r="Q86" s="197"/>
      <c r="R86" s="197"/>
      <c r="S86" s="197"/>
      <c r="T86" s="197"/>
      <c r="U86" s="197"/>
      <c r="V86" s="197"/>
      <c r="W86" s="197"/>
      <c r="X86" s="197"/>
      <c r="Y86" s="197"/>
      <c r="Z86" s="194"/>
      <c r="AA86" s="194"/>
      <c r="AB86" s="194"/>
      <c r="AC86" s="194"/>
      <c r="AD86" s="134"/>
      <c r="AE86" s="134"/>
      <c r="AF86" s="134"/>
      <c r="AG86" s="117" t="s">
        <v>357</v>
      </c>
    </row>
    <row r="87" spans="2:34" ht="15" customHeight="1">
      <c r="B87" s="138"/>
      <c r="D87" s="163"/>
      <c r="E87" s="166"/>
      <c r="F87" s="166"/>
      <c r="G87" s="148"/>
      <c r="H87" s="148"/>
      <c r="I87" s="145"/>
      <c r="J87" s="124"/>
      <c r="K87" s="163"/>
      <c r="L87" s="163"/>
      <c r="M87" s="163"/>
      <c r="O87" s="198"/>
      <c r="P87" s="198"/>
      <c r="Q87" s="198"/>
      <c r="R87" s="198"/>
      <c r="S87" s="198"/>
      <c r="T87" s="198"/>
      <c r="U87" s="198"/>
      <c r="V87" s="198"/>
      <c r="W87" s="198"/>
      <c r="X87" s="198"/>
      <c r="Y87" s="198"/>
      <c r="Z87" s="195"/>
      <c r="AA87" s="195"/>
      <c r="AB87" s="195"/>
      <c r="AC87" s="195"/>
      <c r="AD87" s="135"/>
      <c r="AE87" s="135"/>
      <c r="AF87" s="135"/>
      <c r="AG87" s="55"/>
    </row>
    <row r="88" spans="2:34" ht="30" customHeight="1">
      <c r="B88" s="138">
        <v>1958</v>
      </c>
      <c r="D88" s="161">
        <v>1958</v>
      </c>
      <c r="E88" s="164" t="s">
        <v>87</v>
      </c>
      <c r="F88" s="164" t="s">
        <v>88</v>
      </c>
      <c r="G88" s="146" t="s">
        <v>89</v>
      </c>
      <c r="H88" s="146"/>
      <c r="I88" s="143"/>
      <c r="J88" s="124"/>
      <c r="K88" s="161"/>
      <c r="L88" s="161"/>
      <c r="M88" s="161" t="s">
        <v>509</v>
      </c>
      <c r="O88" s="196">
        <v>1</v>
      </c>
      <c r="P88" s="196"/>
      <c r="Q88" s="196">
        <v>1</v>
      </c>
      <c r="R88" s="196"/>
      <c r="S88" s="196"/>
      <c r="T88" s="196"/>
      <c r="U88" s="196"/>
      <c r="V88" s="196">
        <v>1</v>
      </c>
      <c r="W88" s="196"/>
      <c r="X88" s="196"/>
      <c r="Y88" s="196"/>
      <c r="Z88" s="193"/>
      <c r="AA88" s="193"/>
      <c r="AB88" s="193"/>
      <c r="AC88" s="193"/>
      <c r="AD88" s="133"/>
      <c r="AE88" s="133"/>
      <c r="AF88" s="133"/>
      <c r="AG88" s="117" t="s">
        <v>99</v>
      </c>
    </row>
    <row r="89" spans="2:34" ht="15" customHeight="1">
      <c r="B89" s="138"/>
      <c r="D89" s="162"/>
      <c r="E89" s="165"/>
      <c r="F89" s="165"/>
      <c r="G89" s="147"/>
      <c r="H89" s="147"/>
      <c r="I89" s="144"/>
      <c r="J89" s="124"/>
      <c r="K89" s="162"/>
      <c r="L89" s="162"/>
      <c r="M89" s="162"/>
      <c r="O89" s="197"/>
      <c r="P89" s="197"/>
      <c r="Q89" s="197"/>
      <c r="R89" s="197"/>
      <c r="S89" s="197"/>
      <c r="T89" s="197"/>
      <c r="U89" s="197"/>
      <c r="V89" s="197"/>
      <c r="W89" s="197"/>
      <c r="X89" s="197"/>
      <c r="Y89" s="197"/>
      <c r="Z89" s="194"/>
      <c r="AA89" s="194"/>
      <c r="AB89" s="194"/>
      <c r="AC89" s="194"/>
      <c r="AD89" s="134"/>
      <c r="AE89" s="134"/>
      <c r="AF89" s="134"/>
      <c r="AG89" s="117" t="s">
        <v>358</v>
      </c>
    </row>
    <row r="90" spans="2:34" ht="15" customHeight="1">
      <c r="B90" s="138"/>
      <c r="D90" s="163"/>
      <c r="E90" s="166"/>
      <c r="F90" s="166"/>
      <c r="G90" s="148"/>
      <c r="H90" s="148"/>
      <c r="I90" s="145"/>
      <c r="J90" s="124"/>
      <c r="K90" s="163"/>
      <c r="L90" s="163"/>
      <c r="M90" s="163"/>
      <c r="O90" s="198"/>
      <c r="P90" s="198"/>
      <c r="Q90" s="198"/>
      <c r="R90" s="198"/>
      <c r="S90" s="198"/>
      <c r="T90" s="198"/>
      <c r="U90" s="198"/>
      <c r="V90" s="198"/>
      <c r="W90" s="198"/>
      <c r="X90" s="198"/>
      <c r="Y90" s="198"/>
      <c r="Z90" s="195"/>
      <c r="AA90" s="195"/>
      <c r="AB90" s="195"/>
      <c r="AC90" s="195"/>
      <c r="AD90" s="135"/>
      <c r="AE90" s="135"/>
      <c r="AF90" s="135"/>
      <c r="AG90" s="55"/>
    </row>
    <row r="91" spans="2:34" ht="45" customHeight="1">
      <c r="B91" s="138">
        <v>1959</v>
      </c>
      <c r="D91" s="161" t="s">
        <v>90</v>
      </c>
      <c r="E91" s="164" t="s">
        <v>91</v>
      </c>
      <c r="F91" s="164" t="s">
        <v>18</v>
      </c>
      <c r="G91" s="146" t="s">
        <v>92</v>
      </c>
      <c r="H91" s="146"/>
      <c r="I91" s="143"/>
      <c r="J91" s="124"/>
      <c r="K91" s="161" t="s">
        <v>510</v>
      </c>
      <c r="L91" s="161" t="s">
        <v>511</v>
      </c>
      <c r="M91" s="161" t="s">
        <v>512</v>
      </c>
      <c r="O91" s="196"/>
      <c r="P91" s="196"/>
      <c r="Q91" s="196"/>
      <c r="R91" s="196">
        <v>1</v>
      </c>
      <c r="S91" s="196">
        <v>1</v>
      </c>
      <c r="T91" s="196"/>
      <c r="U91" s="196">
        <v>1</v>
      </c>
      <c r="V91" s="196">
        <v>1</v>
      </c>
      <c r="W91" s="196"/>
      <c r="X91" s="196"/>
      <c r="Y91" s="196"/>
      <c r="Z91" s="193"/>
      <c r="AA91" s="193"/>
      <c r="AB91" s="193"/>
      <c r="AC91" s="193"/>
      <c r="AD91" s="133"/>
      <c r="AE91" s="133"/>
      <c r="AF91" s="133"/>
      <c r="AG91" s="117" t="s">
        <v>106</v>
      </c>
    </row>
    <row r="92" spans="2:34" ht="15" customHeight="1">
      <c r="B92" s="138"/>
      <c r="D92" s="162"/>
      <c r="E92" s="165"/>
      <c r="F92" s="165"/>
      <c r="G92" s="147"/>
      <c r="H92" s="147"/>
      <c r="I92" s="144"/>
      <c r="J92" s="124"/>
      <c r="K92" s="162"/>
      <c r="L92" s="162"/>
      <c r="M92" s="162"/>
      <c r="O92" s="197"/>
      <c r="P92" s="197"/>
      <c r="Q92" s="197"/>
      <c r="R92" s="197"/>
      <c r="S92" s="197"/>
      <c r="T92" s="197"/>
      <c r="U92" s="197"/>
      <c r="V92" s="197"/>
      <c r="W92" s="197"/>
      <c r="X92" s="197"/>
      <c r="Y92" s="197"/>
      <c r="Z92" s="194"/>
      <c r="AA92" s="194"/>
      <c r="AB92" s="194"/>
      <c r="AC92" s="194"/>
      <c r="AD92" s="134"/>
      <c r="AE92" s="134"/>
      <c r="AF92" s="134"/>
      <c r="AG92" s="117" t="s">
        <v>360</v>
      </c>
    </row>
    <row r="93" spans="2:34" ht="15" customHeight="1">
      <c r="B93" s="138"/>
      <c r="D93" s="163"/>
      <c r="E93" s="166"/>
      <c r="F93" s="166"/>
      <c r="G93" s="148"/>
      <c r="H93" s="148"/>
      <c r="I93" s="145"/>
      <c r="J93" s="124"/>
      <c r="K93" s="163"/>
      <c r="L93" s="163"/>
      <c r="M93" s="163"/>
      <c r="O93" s="198"/>
      <c r="P93" s="198"/>
      <c r="Q93" s="198"/>
      <c r="R93" s="198"/>
      <c r="S93" s="198"/>
      <c r="T93" s="198"/>
      <c r="U93" s="198"/>
      <c r="V93" s="198"/>
      <c r="W93" s="198"/>
      <c r="X93" s="198"/>
      <c r="Y93" s="198"/>
      <c r="Z93" s="195"/>
      <c r="AA93" s="195"/>
      <c r="AB93" s="195"/>
      <c r="AC93" s="195"/>
      <c r="AD93" s="135"/>
      <c r="AE93" s="135"/>
      <c r="AF93" s="135"/>
      <c r="AG93" s="55"/>
    </row>
    <row r="94" spans="2:34" ht="15" customHeight="1">
      <c r="B94" s="114">
        <v>1966</v>
      </c>
      <c r="D94" s="161">
        <v>1966</v>
      </c>
      <c r="E94" s="164" t="s">
        <v>94</v>
      </c>
      <c r="F94" s="164" t="s">
        <v>88</v>
      </c>
      <c r="G94" s="146" t="s">
        <v>95</v>
      </c>
      <c r="H94" s="146">
        <f>(45000+60000)/2</f>
        <v>52500</v>
      </c>
      <c r="I94" s="143">
        <f>H94/AA94*100</f>
        <v>5250000</v>
      </c>
      <c r="J94" s="124"/>
      <c r="K94" s="161" t="s">
        <v>513</v>
      </c>
      <c r="L94" s="161"/>
      <c r="M94" s="161" t="s">
        <v>96</v>
      </c>
      <c r="O94" s="196">
        <v>1</v>
      </c>
      <c r="P94" s="196"/>
      <c r="Q94" s="196">
        <v>1</v>
      </c>
      <c r="R94" s="196">
        <v>1</v>
      </c>
      <c r="S94" s="196"/>
      <c r="T94" s="196"/>
      <c r="U94" s="196"/>
      <c r="V94" s="196">
        <v>1</v>
      </c>
      <c r="W94" s="196">
        <v>1</v>
      </c>
      <c r="X94" s="196"/>
      <c r="Y94" s="196">
        <v>1</v>
      </c>
      <c r="Z94" s="151">
        <v>1</v>
      </c>
      <c r="AA94" s="151">
        <v>1</v>
      </c>
      <c r="AB94" s="193"/>
      <c r="AC94" s="193"/>
      <c r="AD94" s="193"/>
      <c r="AE94" s="193"/>
      <c r="AF94" s="168">
        <v>2.5498154874162506</v>
      </c>
      <c r="AG94" s="55" t="s">
        <v>98</v>
      </c>
      <c r="AH94" s="24"/>
    </row>
    <row r="95" spans="2:34">
      <c r="B95" s="114"/>
      <c r="D95" s="162"/>
      <c r="E95" s="165"/>
      <c r="F95" s="165"/>
      <c r="G95" s="147"/>
      <c r="H95" s="147"/>
      <c r="I95" s="144"/>
      <c r="J95" s="124"/>
      <c r="K95" s="162"/>
      <c r="L95" s="162"/>
      <c r="M95" s="162"/>
      <c r="O95" s="197"/>
      <c r="P95" s="197"/>
      <c r="Q95" s="197"/>
      <c r="R95" s="197"/>
      <c r="S95" s="197"/>
      <c r="T95" s="197"/>
      <c r="U95" s="197"/>
      <c r="V95" s="197"/>
      <c r="W95" s="197"/>
      <c r="X95" s="197"/>
      <c r="Y95" s="197"/>
      <c r="Z95" s="152"/>
      <c r="AA95" s="152"/>
      <c r="AB95" s="194"/>
      <c r="AC95" s="194"/>
      <c r="AD95" s="194"/>
      <c r="AE95" s="194"/>
      <c r="AF95" s="169"/>
      <c r="AG95" s="55" t="s">
        <v>99</v>
      </c>
      <c r="AH95" s="24"/>
    </row>
    <row r="96" spans="2:34">
      <c r="B96" s="114"/>
      <c r="D96" s="163"/>
      <c r="E96" s="166"/>
      <c r="F96" s="166"/>
      <c r="G96" s="148"/>
      <c r="H96" s="148"/>
      <c r="I96" s="145"/>
      <c r="J96" s="124"/>
      <c r="K96" s="163"/>
      <c r="L96" s="163"/>
      <c r="M96" s="163"/>
      <c r="O96" s="198"/>
      <c r="P96" s="198"/>
      <c r="Q96" s="198"/>
      <c r="R96" s="198"/>
      <c r="S96" s="198"/>
      <c r="T96" s="198"/>
      <c r="U96" s="198"/>
      <c r="V96" s="198"/>
      <c r="W96" s="198"/>
      <c r="X96" s="198"/>
      <c r="Y96" s="198"/>
      <c r="Z96" s="153"/>
      <c r="AA96" s="153"/>
      <c r="AB96" s="195"/>
      <c r="AC96" s="195"/>
      <c r="AD96" s="195"/>
      <c r="AE96" s="195"/>
      <c r="AF96" s="170"/>
      <c r="AG96" s="55"/>
      <c r="AH96" s="24"/>
    </row>
    <row r="97" spans="2:36">
      <c r="B97" s="114">
        <v>1967</v>
      </c>
      <c r="D97" s="161" t="s">
        <v>100</v>
      </c>
      <c r="E97" s="164" t="s">
        <v>101</v>
      </c>
      <c r="F97" s="164" t="s">
        <v>13</v>
      </c>
      <c r="G97" s="146">
        <v>1000000</v>
      </c>
      <c r="H97" s="146">
        <v>1000000</v>
      </c>
      <c r="I97" s="143">
        <f>H97/AA97*100</f>
        <v>100000000</v>
      </c>
      <c r="J97" s="124"/>
      <c r="K97" s="161" t="s">
        <v>102</v>
      </c>
      <c r="L97" s="161" t="s">
        <v>103</v>
      </c>
      <c r="M97" s="161" t="s">
        <v>104</v>
      </c>
      <c r="O97" s="196"/>
      <c r="P97" s="196"/>
      <c r="Q97" s="196"/>
      <c r="R97" s="196"/>
      <c r="S97" s="196"/>
      <c r="T97" s="196">
        <v>1</v>
      </c>
      <c r="U97" s="196">
        <v>1</v>
      </c>
      <c r="V97" s="196">
        <v>1</v>
      </c>
      <c r="W97" s="196">
        <v>1</v>
      </c>
      <c r="X97" s="196"/>
      <c r="Y97" s="196"/>
      <c r="Z97" s="151" t="s">
        <v>434</v>
      </c>
      <c r="AA97" s="151">
        <v>1</v>
      </c>
      <c r="AB97" s="193"/>
      <c r="AC97" s="193"/>
      <c r="AD97" s="193"/>
      <c r="AE97" s="193"/>
      <c r="AF97" s="168">
        <v>2.2194341916977334</v>
      </c>
      <c r="AG97" s="55" t="s">
        <v>106</v>
      </c>
    </row>
    <row r="98" spans="2:36">
      <c r="B98" s="114"/>
      <c r="D98" s="162"/>
      <c r="E98" s="165"/>
      <c r="F98" s="165"/>
      <c r="G98" s="147"/>
      <c r="H98" s="147"/>
      <c r="I98" s="144"/>
      <c r="J98" s="124"/>
      <c r="K98" s="162"/>
      <c r="L98" s="162"/>
      <c r="M98" s="162"/>
      <c r="O98" s="197"/>
      <c r="P98" s="197"/>
      <c r="Q98" s="197"/>
      <c r="R98" s="197"/>
      <c r="S98" s="197"/>
      <c r="T98" s="197"/>
      <c r="U98" s="197"/>
      <c r="V98" s="197"/>
      <c r="W98" s="197"/>
      <c r="X98" s="197"/>
      <c r="Y98" s="197"/>
      <c r="Z98" s="152"/>
      <c r="AA98" s="152"/>
      <c r="AB98" s="194"/>
      <c r="AC98" s="194"/>
      <c r="AD98" s="194"/>
      <c r="AE98" s="194"/>
      <c r="AF98" s="169"/>
      <c r="AG98" s="55" t="s">
        <v>99</v>
      </c>
      <c r="AJ98" s="23"/>
    </row>
    <row r="99" spans="2:36">
      <c r="B99" s="114"/>
      <c r="D99" s="162"/>
      <c r="E99" s="165"/>
      <c r="F99" s="165"/>
      <c r="G99" s="147"/>
      <c r="H99" s="147"/>
      <c r="I99" s="144"/>
      <c r="J99" s="124"/>
      <c r="K99" s="162"/>
      <c r="L99" s="162"/>
      <c r="M99" s="162"/>
      <c r="O99" s="197"/>
      <c r="P99" s="197"/>
      <c r="Q99" s="197"/>
      <c r="R99" s="197"/>
      <c r="S99" s="197"/>
      <c r="T99" s="197"/>
      <c r="U99" s="197"/>
      <c r="V99" s="197"/>
      <c r="W99" s="197"/>
      <c r="X99" s="197"/>
      <c r="Y99" s="197"/>
      <c r="Z99" s="152"/>
      <c r="AA99" s="152"/>
      <c r="AB99" s="194"/>
      <c r="AC99" s="194"/>
      <c r="AD99" s="194"/>
      <c r="AE99" s="194"/>
      <c r="AF99" s="169"/>
      <c r="AG99" s="55" t="s">
        <v>107</v>
      </c>
      <c r="AJ99" s="23"/>
    </row>
    <row r="100" spans="2:36">
      <c r="B100" s="114"/>
      <c r="D100" s="163"/>
      <c r="E100" s="166"/>
      <c r="F100" s="166"/>
      <c r="G100" s="148"/>
      <c r="H100" s="148"/>
      <c r="I100" s="145"/>
      <c r="J100" s="124"/>
      <c r="K100" s="163"/>
      <c r="L100" s="163"/>
      <c r="M100" s="163"/>
      <c r="O100" s="198"/>
      <c r="P100" s="198"/>
      <c r="Q100" s="198"/>
      <c r="R100" s="198"/>
      <c r="S100" s="198"/>
      <c r="T100" s="198"/>
      <c r="U100" s="198"/>
      <c r="V100" s="198"/>
      <c r="W100" s="198"/>
      <c r="X100" s="198"/>
      <c r="Y100" s="198"/>
      <c r="Z100" s="153"/>
      <c r="AA100" s="153"/>
      <c r="AB100" s="195"/>
      <c r="AC100" s="195"/>
      <c r="AD100" s="195"/>
      <c r="AE100" s="195"/>
      <c r="AF100" s="170"/>
      <c r="AG100" s="118" t="s">
        <v>108</v>
      </c>
      <c r="AJ100" s="23"/>
    </row>
    <row r="101" spans="2:36" ht="15" customHeight="1">
      <c r="B101" s="114">
        <v>1968</v>
      </c>
      <c r="D101" s="161" t="s">
        <v>109</v>
      </c>
      <c r="E101" s="164" t="s">
        <v>110</v>
      </c>
      <c r="F101" s="127" t="s">
        <v>435</v>
      </c>
      <c r="G101" s="146">
        <v>101000</v>
      </c>
      <c r="H101" s="146">
        <v>101000</v>
      </c>
      <c r="I101" s="143" t="e">
        <f>H101/AA101*100</f>
        <v>#DIV/0!</v>
      </c>
      <c r="J101" s="124"/>
      <c r="K101" s="161" t="s">
        <v>112</v>
      </c>
      <c r="L101" s="161" t="s">
        <v>113</v>
      </c>
      <c r="M101" s="161" t="s">
        <v>114</v>
      </c>
      <c r="O101" s="202">
        <v>1</v>
      </c>
      <c r="P101" s="202"/>
      <c r="Q101" s="202">
        <v>1</v>
      </c>
      <c r="R101" s="202"/>
      <c r="S101" s="202">
        <v>1</v>
      </c>
      <c r="T101" s="202"/>
      <c r="U101" s="202">
        <v>1</v>
      </c>
      <c r="V101" s="202">
        <v>1</v>
      </c>
      <c r="W101" s="202">
        <v>1</v>
      </c>
      <c r="X101" s="202"/>
      <c r="Y101" s="202"/>
      <c r="Z101" s="131" t="s">
        <v>434</v>
      </c>
      <c r="AA101" s="131"/>
      <c r="AB101" s="113"/>
      <c r="AC101" s="113"/>
      <c r="AD101" s="113"/>
      <c r="AE101" s="113"/>
      <c r="AF101" s="130">
        <v>3.0174016509258572</v>
      </c>
      <c r="AG101" s="55" t="s">
        <v>106</v>
      </c>
    </row>
    <row r="102" spans="2:36" ht="15">
      <c r="B102" s="114"/>
      <c r="D102" s="162"/>
      <c r="E102" s="165"/>
      <c r="F102" s="128" t="s">
        <v>436</v>
      </c>
      <c r="G102" s="147"/>
      <c r="H102" s="147"/>
      <c r="I102" s="144"/>
      <c r="J102" s="124"/>
      <c r="K102" s="162"/>
      <c r="L102" s="162"/>
      <c r="M102" s="162"/>
      <c r="O102" s="202"/>
      <c r="P102" s="202"/>
      <c r="Q102" s="202"/>
      <c r="R102" s="202"/>
      <c r="S102" s="202"/>
      <c r="T102" s="202"/>
      <c r="U102" s="202"/>
      <c r="V102" s="202"/>
      <c r="W102" s="202"/>
      <c r="X102" s="202"/>
      <c r="Y102" s="202"/>
      <c r="Z102" s="131">
        <v>1</v>
      </c>
      <c r="AA102" s="131"/>
      <c r="AB102" s="113"/>
      <c r="AC102" s="113"/>
      <c r="AD102" s="113"/>
      <c r="AE102" s="113"/>
      <c r="AF102" s="130">
        <v>1.2006274702593742</v>
      </c>
      <c r="AG102" s="55" t="s">
        <v>99</v>
      </c>
      <c r="AJ102" s="23"/>
    </row>
    <row r="103" spans="2:36" ht="15">
      <c r="B103" s="114"/>
      <c r="D103" s="162"/>
      <c r="E103" s="165"/>
      <c r="F103" s="128" t="s">
        <v>437</v>
      </c>
      <c r="G103" s="147"/>
      <c r="H103" s="147"/>
      <c r="I103" s="144"/>
      <c r="J103" s="124"/>
      <c r="K103" s="162"/>
      <c r="L103" s="162"/>
      <c r="M103" s="162"/>
      <c r="O103" s="202"/>
      <c r="P103" s="202"/>
      <c r="Q103" s="202"/>
      <c r="R103" s="202"/>
      <c r="S103" s="202"/>
      <c r="T103" s="202"/>
      <c r="U103" s="202"/>
      <c r="V103" s="202"/>
      <c r="W103" s="202"/>
      <c r="X103" s="202"/>
      <c r="Y103" s="202"/>
      <c r="Z103" s="131">
        <v>1</v>
      </c>
      <c r="AA103" s="131">
        <v>1</v>
      </c>
      <c r="AB103" s="113"/>
      <c r="AC103" s="113"/>
      <c r="AD103" s="113"/>
      <c r="AE103" s="113"/>
      <c r="AF103" s="130">
        <v>1.8854546365370972</v>
      </c>
      <c r="AG103" s="55" t="s">
        <v>115</v>
      </c>
      <c r="AJ103" s="23"/>
    </row>
    <row r="104" spans="2:36" s="1" customFormat="1" ht="15">
      <c r="B104" s="114"/>
      <c r="D104" s="162"/>
      <c r="E104" s="165"/>
      <c r="F104" s="128" t="s">
        <v>250</v>
      </c>
      <c r="G104" s="147"/>
      <c r="H104" s="147"/>
      <c r="I104" s="144"/>
      <c r="J104" s="120"/>
      <c r="K104" s="162"/>
      <c r="L104" s="162"/>
      <c r="M104" s="162"/>
      <c r="O104" s="202"/>
      <c r="P104" s="202"/>
      <c r="Q104" s="202"/>
      <c r="R104" s="202"/>
      <c r="S104" s="202"/>
      <c r="T104" s="202"/>
      <c r="U104" s="202"/>
      <c r="V104" s="202"/>
      <c r="W104" s="202"/>
      <c r="X104" s="202"/>
      <c r="Y104" s="202"/>
      <c r="Z104" s="131">
        <v>1</v>
      </c>
      <c r="AA104" s="131"/>
      <c r="AB104" s="113"/>
      <c r="AC104" s="113"/>
      <c r="AD104" s="113"/>
      <c r="AE104" s="113"/>
      <c r="AF104" s="130">
        <v>2.882044362305169</v>
      </c>
      <c r="AG104" s="118" t="s">
        <v>116</v>
      </c>
      <c r="AJ104" s="23"/>
    </row>
    <row r="105" spans="2:36" s="1" customFormat="1" ht="15">
      <c r="B105" s="114"/>
      <c r="D105" s="163"/>
      <c r="E105" s="166"/>
      <c r="F105" s="128" t="s">
        <v>438</v>
      </c>
      <c r="G105" s="148"/>
      <c r="H105" s="148"/>
      <c r="I105" s="145"/>
      <c r="J105" s="122"/>
      <c r="K105" s="163"/>
      <c r="L105" s="163"/>
      <c r="M105" s="163"/>
      <c r="O105" s="202"/>
      <c r="P105" s="202"/>
      <c r="Q105" s="202"/>
      <c r="R105" s="202"/>
      <c r="S105" s="202"/>
      <c r="T105" s="202"/>
      <c r="U105" s="202"/>
      <c r="V105" s="202"/>
      <c r="W105" s="202"/>
      <c r="X105" s="202"/>
      <c r="Y105" s="202"/>
      <c r="Z105" s="131">
        <v>1</v>
      </c>
      <c r="AA105" s="131"/>
      <c r="AB105" s="113"/>
      <c r="AC105" s="113"/>
      <c r="AD105" s="113"/>
      <c r="AE105" s="113"/>
      <c r="AF105" s="130">
        <v>1.6901134872153996</v>
      </c>
      <c r="AG105" s="119"/>
      <c r="AJ105" s="23"/>
    </row>
    <row r="106" spans="2:36" s="1" customFormat="1">
      <c r="B106" s="114">
        <v>1972</v>
      </c>
      <c r="D106" s="161">
        <v>1972</v>
      </c>
      <c r="E106" s="164" t="s">
        <v>117</v>
      </c>
      <c r="F106" s="164" t="s">
        <v>118</v>
      </c>
      <c r="G106" s="146">
        <v>100000</v>
      </c>
      <c r="H106" s="146">
        <v>100000</v>
      </c>
      <c r="I106" s="143" t="e">
        <f>H106/AA106*100</f>
        <v>#VALUE!</v>
      </c>
      <c r="J106" s="124"/>
      <c r="K106" s="161"/>
      <c r="L106" s="161" t="s">
        <v>119</v>
      </c>
      <c r="M106" s="161" t="s">
        <v>120</v>
      </c>
      <c r="O106" s="196">
        <v>1</v>
      </c>
      <c r="P106" s="196"/>
      <c r="Q106" s="196"/>
      <c r="R106" s="196"/>
      <c r="S106" s="196"/>
      <c r="T106" s="196">
        <v>1</v>
      </c>
      <c r="U106" s="196">
        <v>1</v>
      </c>
      <c r="V106" s="196">
        <v>1</v>
      </c>
      <c r="W106" s="196"/>
      <c r="X106" s="196"/>
      <c r="Y106" s="196"/>
      <c r="Z106" s="151">
        <v>1</v>
      </c>
      <c r="AA106" s="151" t="s">
        <v>434</v>
      </c>
      <c r="AB106" s="193"/>
      <c r="AC106" s="193"/>
      <c r="AD106" s="193"/>
      <c r="AE106" s="193"/>
      <c r="AF106" s="168">
        <v>2.3053868603201577</v>
      </c>
      <c r="AG106" s="55" t="s">
        <v>99</v>
      </c>
      <c r="AH106" s="24"/>
    </row>
    <row r="107" spans="2:36" s="1" customFormat="1">
      <c r="B107" s="114"/>
      <c r="D107" s="162"/>
      <c r="E107" s="165"/>
      <c r="F107" s="165"/>
      <c r="G107" s="147"/>
      <c r="H107" s="147"/>
      <c r="I107" s="144"/>
      <c r="J107" s="124"/>
      <c r="K107" s="162"/>
      <c r="L107" s="162"/>
      <c r="M107" s="162"/>
      <c r="O107" s="197"/>
      <c r="P107" s="197"/>
      <c r="Q107" s="197"/>
      <c r="R107" s="197"/>
      <c r="S107" s="197"/>
      <c r="T107" s="197"/>
      <c r="U107" s="197"/>
      <c r="V107" s="197"/>
      <c r="W107" s="197"/>
      <c r="X107" s="197"/>
      <c r="Y107" s="197"/>
      <c r="Z107" s="152"/>
      <c r="AA107" s="152"/>
      <c r="AB107" s="194"/>
      <c r="AC107" s="194"/>
      <c r="AD107" s="194"/>
      <c r="AE107" s="194"/>
      <c r="AF107" s="169"/>
      <c r="AG107" s="55" t="s">
        <v>122</v>
      </c>
      <c r="AH107" s="24"/>
    </row>
    <row r="108" spans="2:36" s="1" customFormat="1">
      <c r="B108" s="114"/>
      <c r="D108" s="163"/>
      <c r="E108" s="166"/>
      <c r="F108" s="166"/>
      <c r="G108" s="148"/>
      <c r="H108" s="148"/>
      <c r="I108" s="145"/>
      <c r="J108" s="124"/>
      <c r="K108" s="163"/>
      <c r="L108" s="163"/>
      <c r="M108" s="163"/>
      <c r="O108" s="198"/>
      <c r="P108" s="198"/>
      <c r="Q108" s="198"/>
      <c r="R108" s="198"/>
      <c r="S108" s="198"/>
      <c r="T108" s="198"/>
      <c r="U108" s="198"/>
      <c r="V108" s="198"/>
      <c r="W108" s="198"/>
      <c r="X108" s="198"/>
      <c r="Y108" s="198"/>
      <c r="Z108" s="153"/>
      <c r="AA108" s="153"/>
      <c r="AB108" s="195"/>
      <c r="AC108" s="195"/>
      <c r="AD108" s="195"/>
      <c r="AE108" s="195"/>
      <c r="AF108" s="170"/>
      <c r="AG108" s="55"/>
      <c r="AH108" s="24"/>
    </row>
    <row r="109" spans="2:36" s="1" customFormat="1">
      <c r="B109" s="114"/>
      <c r="D109" s="161" t="s">
        <v>123</v>
      </c>
      <c r="E109" s="164" t="s">
        <v>124</v>
      </c>
      <c r="F109" s="164" t="s">
        <v>88</v>
      </c>
      <c r="G109" s="146" t="s">
        <v>125</v>
      </c>
      <c r="H109" s="146">
        <f>(200000+500000)/2</f>
        <v>350000</v>
      </c>
      <c r="I109" s="143">
        <f>H109/AA109*100</f>
        <v>35000000</v>
      </c>
      <c r="J109" s="124"/>
      <c r="K109" s="161" t="s">
        <v>126</v>
      </c>
      <c r="L109" s="161" t="s">
        <v>127</v>
      </c>
      <c r="M109" s="161" t="s">
        <v>128</v>
      </c>
      <c r="O109" s="196">
        <v>1</v>
      </c>
      <c r="P109" s="196"/>
      <c r="Q109" s="196">
        <v>1</v>
      </c>
      <c r="R109" s="196"/>
      <c r="S109" s="196">
        <v>1</v>
      </c>
      <c r="T109" s="196"/>
      <c r="U109" s="196"/>
      <c r="V109" s="196">
        <v>1</v>
      </c>
      <c r="W109" s="196">
        <v>1</v>
      </c>
      <c r="X109" s="196"/>
      <c r="Y109" s="196"/>
      <c r="Z109" s="171">
        <v>1</v>
      </c>
      <c r="AA109" s="151">
        <v>1</v>
      </c>
      <c r="AB109" s="193"/>
      <c r="AC109" s="193"/>
      <c r="AD109" s="193"/>
      <c r="AE109" s="193"/>
      <c r="AF109" s="168">
        <v>3.0275067051735598</v>
      </c>
      <c r="AG109" s="55" t="s">
        <v>106</v>
      </c>
      <c r="AH109" s="24"/>
    </row>
    <row r="110" spans="2:36" s="1" customFormat="1">
      <c r="B110" s="114"/>
      <c r="D110" s="162"/>
      <c r="E110" s="165"/>
      <c r="F110" s="165"/>
      <c r="G110" s="147"/>
      <c r="H110" s="147"/>
      <c r="I110" s="144"/>
      <c r="J110" s="124"/>
      <c r="K110" s="162"/>
      <c r="L110" s="162"/>
      <c r="M110" s="162"/>
      <c r="O110" s="197"/>
      <c r="P110" s="197"/>
      <c r="Q110" s="197"/>
      <c r="R110" s="197"/>
      <c r="S110" s="197"/>
      <c r="T110" s="197"/>
      <c r="U110" s="197"/>
      <c r="V110" s="197"/>
      <c r="W110" s="197"/>
      <c r="X110" s="197"/>
      <c r="Y110" s="197"/>
      <c r="Z110" s="172"/>
      <c r="AA110" s="152"/>
      <c r="AB110" s="194"/>
      <c r="AC110" s="194"/>
      <c r="AD110" s="194"/>
      <c r="AE110" s="194"/>
      <c r="AF110" s="169"/>
      <c r="AG110" s="55" t="s">
        <v>99</v>
      </c>
      <c r="AH110" s="24"/>
    </row>
    <row r="111" spans="2:36" s="1" customFormat="1">
      <c r="B111" s="114"/>
      <c r="D111" s="163"/>
      <c r="E111" s="166"/>
      <c r="F111" s="166"/>
      <c r="G111" s="148"/>
      <c r="H111" s="148"/>
      <c r="I111" s="145"/>
      <c r="J111" s="124"/>
      <c r="K111" s="163"/>
      <c r="L111" s="163"/>
      <c r="M111" s="163"/>
      <c r="O111" s="198"/>
      <c r="P111" s="198"/>
      <c r="Q111" s="198"/>
      <c r="R111" s="198"/>
      <c r="S111" s="198"/>
      <c r="T111" s="198"/>
      <c r="U111" s="198"/>
      <c r="V111" s="198"/>
      <c r="W111" s="198"/>
      <c r="X111" s="198"/>
      <c r="Y111" s="198"/>
      <c r="Z111" s="173"/>
      <c r="AA111" s="153"/>
      <c r="AB111" s="195"/>
      <c r="AC111" s="195"/>
      <c r="AD111" s="195"/>
      <c r="AE111" s="195"/>
      <c r="AF111" s="170"/>
      <c r="AG111" s="55" t="s">
        <v>98</v>
      </c>
      <c r="AH111" s="24"/>
    </row>
    <row r="112" spans="2:36" s="1" customFormat="1" ht="15" customHeight="1">
      <c r="B112" s="114">
        <v>1974</v>
      </c>
      <c r="D112" s="161" t="s">
        <v>130</v>
      </c>
      <c r="E112" s="164" t="s">
        <v>131</v>
      </c>
      <c r="F112" s="164" t="s">
        <v>131</v>
      </c>
      <c r="G112" s="146">
        <v>20000</v>
      </c>
      <c r="H112" s="146">
        <v>20000</v>
      </c>
      <c r="I112" s="143" t="e">
        <f>H112/AA112*100</f>
        <v>#VALUE!</v>
      </c>
      <c r="J112" s="124"/>
      <c r="K112" s="161" t="s">
        <v>132</v>
      </c>
      <c r="L112" s="161" t="s">
        <v>133</v>
      </c>
      <c r="M112" s="161" t="s">
        <v>134</v>
      </c>
      <c r="O112" s="196">
        <v>1</v>
      </c>
      <c r="P112" s="196"/>
      <c r="Q112" s="196">
        <v>1</v>
      </c>
      <c r="R112" s="196">
        <v>1</v>
      </c>
      <c r="S112" s="196">
        <v>1</v>
      </c>
      <c r="T112" s="196">
        <v>1</v>
      </c>
      <c r="U112" s="196">
        <v>1</v>
      </c>
      <c r="V112" s="196">
        <v>1</v>
      </c>
      <c r="W112" s="196">
        <v>1</v>
      </c>
      <c r="X112" s="196"/>
      <c r="Y112" s="196"/>
      <c r="Z112" s="151">
        <v>1</v>
      </c>
      <c r="AA112" s="151" t="s">
        <v>434</v>
      </c>
      <c r="AB112" s="193"/>
      <c r="AC112" s="193"/>
      <c r="AD112" s="193"/>
      <c r="AE112" s="193"/>
      <c r="AF112" s="168">
        <v>2.2100853939280203</v>
      </c>
      <c r="AG112" s="55" t="s">
        <v>99</v>
      </c>
      <c r="AH112" s="24"/>
    </row>
    <row r="113" spans="2:34" s="1" customFormat="1">
      <c r="B113" s="114"/>
      <c r="D113" s="162"/>
      <c r="E113" s="165"/>
      <c r="F113" s="165"/>
      <c r="G113" s="147"/>
      <c r="H113" s="147"/>
      <c r="I113" s="144"/>
      <c r="J113" s="124"/>
      <c r="K113" s="162"/>
      <c r="L113" s="162"/>
      <c r="M113" s="162"/>
      <c r="O113" s="197"/>
      <c r="P113" s="197"/>
      <c r="Q113" s="197"/>
      <c r="R113" s="197"/>
      <c r="S113" s="197"/>
      <c r="T113" s="197"/>
      <c r="U113" s="197"/>
      <c r="V113" s="197"/>
      <c r="W113" s="197"/>
      <c r="X113" s="197"/>
      <c r="Y113" s="197"/>
      <c r="Z113" s="152"/>
      <c r="AA113" s="152"/>
      <c r="AB113" s="194"/>
      <c r="AC113" s="194"/>
      <c r="AD113" s="194"/>
      <c r="AE113" s="194"/>
      <c r="AF113" s="169"/>
      <c r="AG113" s="55" t="s">
        <v>136</v>
      </c>
      <c r="AH113" s="24"/>
    </row>
    <row r="114" spans="2:34" s="1" customFormat="1">
      <c r="B114" s="114"/>
      <c r="D114" s="163"/>
      <c r="E114" s="166"/>
      <c r="F114" s="166"/>
      <c r="G114" s="148"/>
      <c r="H114" s="148"/>
      <c r="I114" s="145"/>
      <c r="J114" s="124"/>
      <c r="K114" s="163"/>
      <c r="L114" s="163"/>
      <c r="M114" s="163"/>
      <c r="O114" s="198"/>
      <c r="P114" s="198"/>
      <c r="Q114" s="198"/>
      <c r="R114" s="198"/>
      <c r="S114" s="198"/>
      <c r="T114" s="198"/>
      <c r="U114" s="198"/>
      <c r="V114" s="198"/>
      <c r="W114" s="198"/>
      <c r="X114" s="198"/>
      <c r="Y114" s="198"/>
      <c r="Z114" s="153"/>
      <c r="AA114" s="153"/>
      <c r="AB114" s="195"/>
      <c r="AC114" s="195"/>
      <c r="AD114" s="195"/>
      <c r="AE114" s="195"/>
      <c r="AF114" s="170"/>
      <c r="AG114" s="55"/>
      <c r="AH114" s="24"/>
    </row>
    <row r="115" spans="2:34" s="1" customFormat="1">
      <c r="B115" s="114"/>
      <c r="D115" s="161">
        <v>1974</v>
      </c>
      <c r="E115" s="164" t="s">
        <v>137</v>
      </c>
      <c r="F115" s="164" t="s">
        <v>138</v>
      </c>
      <c r="G115" s="146">
        <v>1500000</v>
      </c>
      <c r="H115" s="146">
        <v>1500000</v>
      </c>
      <c r="I115" s="143" t="e">
        <f>H115/AA115*100</f>
        <v>#VALUE!</v>
      </c>
      <c r="J115" s="124"/>
      <c r="K115" s="161" t="s">
        <v>139</v>
      </c>
      <c r="L115" s="161" t="s">
        <v>140</v>
      </c>
      <c r="M115" s="161" t="s">
        <v>514</v>
      </c>
      <c r="O115" s="196"/>
      <c r="P115" s="196">
        <v>1</v>
      </c>
      <c r="Q115" s="196"/>
      <c r="R115" s="196">
        <v>1</v>
      </c>
      <c r="S115" s="196">
        <v>1</v>
      </c>
      <c r="T115" s="196">
        <v>1</v>
      </c>
      <c r="U115" s="196"/>
      <c r="V115" s="196">
        <v>1</v>
      </c>
      <c r="W115" s="196">
        <v>1</v>
      </c>
      <c r="X115" s="196">
        <v>1</v>
      </c>
      <c r="Y115" s="196"/>
      <c r="Z115" s="151">
        <v>1</v>
      </c>
      <c r="AA115" s="171" t="s">
        <v>434</v>
      </c>
      <c r="AB115" s="193"/>
      <c r="AC115" s="193"/>
      <c r="AD115" s="193"/>
      <c r="AE115" s="193"/>
      <c r="AF115" s="168">
        <v>1.56636753025277</v>
      </c>
      <c r="AG115" s="55" t="s">
        <v>99</v>
      </c>
      <c r="AH115" s="24"/>
    </row>
    <row r="116" spans="2:34" s="1" customFormat="1">
      <c r="B116" s="114"/>
      <c r="D116" s="162"/>
      <c r="E116" s="165"/>
      <c r="F116" s="165"/>
      <c r="G116" s="147"/>
      <c r="H116" s="147"/>
      <c r="I116" s="144"/>
      <c r="J116" s="124"/>
      <c r="K116" s="162"/>
      <c r="L116" s="162"/>
      <c r="M116" s="162"/>
      <c r="O116" s="197"/>
      <c r="P116" s="197"/>
      <c r="Q116" s="197"/>
      <c r="R116" s="197"/>
      <c r="S116" s="197"/>
      <c r="T116" s="197"/>
      <c r="U116" s="197"/>
      <c r="V116" s="197"/>
      <c r="W116" s="197"/>
      <c r="X116" s="197"/>
      <c r="Y116" s="197"/>
      <c r="Z116" s="152"/>
      <c r="AA116" s="172"/>
      <c r="AB116" s="194"/>
      <c r="AC116" s="194"/>
      <c r="AD116" s="194"/>
      <c r="AE116" s="194"/>
      <c r="AF116" s="169"/>
      <c r="AG116" s="55" t="s">
        <v>143</v>
      </c>
      <c r="AH116" s="24"/>
    </row>
    <row r="117" spans="2:34" s="1" customFormat="1">
      <c r="B117" s="114"/>
      <c r="D117" s="163"/>
      <c r="E117" s="166"/>
      <c r="F117" s="166"/>
      <c r="G117" s="148"/>
      <c r="H117" s="148"/>
      <c r="I117" s="145"/>
      <c r="J117" s="124"/>
      <c r="K117" s="163"/>
      <c r="L117" s="163"/>
      <c r="M117" s="163"/>
      <c r="O117" s="198"/>
      <c r="P117" s="198"/>
      <c r="Q117" s="198"/>
      <c r="R117" s="198"/>
      <c r="S117" s="198"/>
      <c r="T117" s="198"/>
      <c r="U117" s="198"/>
      <c r="V117" s="198"/>
      <c r="W117" s="198"/>
      <c r="X117" s="198"/>
      <c r="Y117" s="198"/>
      <c r="Z117" s="153"/>
      <c r="AA117" s="173"/>
      <c r="AB117" s="195"/>
      <c r="AC117" s="195"/>
      <c r="AD117" s="195"/>
      <c r="AE117" s="195"/>
      <c r="AF117" s="170"/>
      <c r="AG117" s="55" t="s">
        <v>144</v>
      </c>
      <c r="AH117" s="24"/>
    </row>
    <row r="118" spans="2:34" s="1" customFormat="1">
      <c r="B118" s="114">
        <v>1975</v>
      </c>
      <c r="D118" s="161" t="s">
        <v>145</v>
      </c>
      <c r="E118" s="164" t="s">
        <v>146</v>
      </c>
      <c r="F118" s="164" t="s">
        <v>147</v>
      </c>
      <c r="G118" s="146" t="s">
        <v>148</v>
      </c>
      <c r="H118" s="146">
        <f>(1500000+2000000)/2</f>
        <v>1750000</v>
      </c>
      <c r="I118" s="143">
        <f>H118/AA118*100</f>
        <v>175000000</v>
      </c>
      <c r="J118" s="124"/>
      <c r="K118" s="161" t="s">
        <v>149</v>
      </c>
      <c r="L118" s="161" t="s">
        <v>150</v>
      </c>
      <c r="M118" s="161" t="s">
        <v>151</v>
      </c>
      <c r="O118" s="196"/>
      <c r="P118" s="196"/>
      <c r="Q118" s="196">
        <v>1</v>
      </c>
      <c r="R118" s="196"/>
      <c r="S118" s="196">
        <v>1</v>
      </c>
      <c r="T118" s="196">
        <v>1</v>
      </c>
      <c r="U118" s="196">
        <v>1</v>
      </c>
      <c r="V118" s="196">
        <v>1</v>
      </c>
      <c r="W118" s="196"/>
      <c r="X118" s="196"/>
      <c r="Y118" s="196"/>
      <c r="Z118" s="151" t="s">
        <v>434</v>
      </c>
      <c r="AA118" s="151">
        <v>1</v>
      </c>
      <c r="AB118" s="193"/>
      <c r="AC118" s="193"/>
      <c r="AD118" s="193"/>
      <c r="AE118" s="193"/>
      <c r="AF118" s="168">
        <v>0.48453859524965093</v>
      </c>
      <c r="AG118" s="55" t="s">
        <v>99</v>
      </c>
      <c r="AH118" s="24"/>
    </row>
    <row r="119" spans="2:34" s="1" customFormat="1">
      <c r="B119" s="114"/>
      <c r="D119" s="162"/>
      <c r="E119" s="165"/>
      <c r="F119" s="165"/>
      <c r="G119" s="147"/>
      <c r="H119" s="147"/>
      <c r="I119" s="144"/>
      <c r="J119" s="124"/>
      <c r="K119" s="162"/>
      <c r="L119" s="162"/>
      <c r="M119" s="162"/>
      <c r="O119" s="197"/>
      <c r="P119" s="197"/>
      <c r="Q119" s="197"/>
      <c r="R119" s="197"/>
      <c r="S119" s="197"/>
      <c r="T119" s="197"/>
      <c r="U119" s="197"/>
      <c r="V119" s="197"/>
      <c r="W119" s="197"/>
      <c r="X119" s="197"/>
      <c r="Y119" s="197"/>
      <c r="Z119" s="152"/>
      <c r="AA119" s="152"/>
      <c r="AB119" s="194"/>
      <c r="AC119" s="194"/>
      <c r="AD119" s="194"/>
      <c r="AE119" s="194"/>
      <c r="AF119" s="169"/>
      <c r="AG119" s="55" t="s">
        <v>152</v>
      </c>
      <c r="AH119" s="24"/>
    </row>
    <row r="120" spans="2:34" s="1" customFormat="1">
      <c r="B120" s="114"/>
      <c r="D120" s="163"/>
      <c r="E120" s="166"/>
      <c r="F120" s="166"/>
      <c r="G120" s="148"/>
      <c r="H120" s="148"/>
      <c r="I120" s="145"/>
      <c r="J120" s="124"/>
      <c r="K120" s="163"/>
      <c r="L120" s="163"/>
      <c r="M120" s="163"/>
      <c r="O120" s="198"/>
      <c r="P120" s="198"/>
      <c r="Q120" s="198"/>
      <c r="R120" s="198"/>
      <c r="S120" s="198"/>
      <c r="T120" s="198"/>
      <c r="U120" s="198"/>
      <c r="V120" s="198"/>
      <c r="W120" s="198"/>
      <c r="X120" s="198"/>
      <c r="Y120" s="198"/>
      <c r="Z120" s="153"/>
      <c r="AA120" s="153"/>
      <c r="AB120" s="195"/>
      <c r="AC120" s="195"/>
      <c r="AD120" s="195"/>
      <c r="AE120" s="195"/>
      <c r="AF120" s="170"/>
      <c r="AG120" s="55"/>
      <c r="AH120" s="24"/>
    </row>
    <row r="121" spans="2:34" s="1" customFormat="1" ht="15" customHeight="1">
      <c r="B121" s="114">
        <v>1980</v>
      </c>
      <c r="D121" s="161" t="s">
        <v>153</v>
      </c>
      <c r="E121" s="164" t="s">
        <v>154</v>
      </c>
      <c r="F121" s="164" t="s">
        <v>155</v>
      </c>
      <c r="G121" s="146" t="s">
        <v>156</v>
      </c>
      <c r="H121" s="146">
        <f>(30000+50000)/2</f>
        <v>40000</v>
      </c>
      <c r="I121" s="143">
        <f>H121/AA121*100</f>
        <v>4000000</v>
      </c>
      <c r="J121" s="124"/>
      <c r="K121" s="161" t="s">
        <v>157</v>
      </c>
      <c r="L121" s="161" t="s">
        <v>158</v>
      </c>
      <c r="M121" s="161" t="s">
        <v>159</v>
      </c>
      <c r="O121" s="196">
        <v>1</v>
      </c>
      <c r="P121" s="196"/>
      <c r="Q121" s="196"/>
      <c r="R121" s="196"/>
      <c r="S121" s="196">
        <v>1</v>
      </c>
      <c r="T121" s="196">
        <v>1</v>
      </c>
      <c r="U121" s="196"/>
      <c r="V121" s="196">
        <v>1</v>
      </c>
      <c r="W121" s="196">
        <v>1</v>
      </c>
      <c r="X121" s="196"/>
      <c r="Y121" s="196"/>
      <c r="Z121" s="151">
        <v>1</v>
      </c>
      <c r="AA121" s="151">
        <v>1</v>
      </c>
      <c r="AB121" s="193"/>
      <c r="AC121" s="193"/>
      <c r="AD121" s="193"/>
      <c r="AE121" s="193"/>
      <c r="AF121" s="168">
        <v>3.0954291857386971</v>
      </c>
      <c r="AG121" s="55" t="s">
        <v>161</v>
      </c>
      <c r="AH121" s="24"/>
    </row>
    <row r="122" spans="2:34" s="1" customFormat="1">
      <c r="B122" s="114"/>
      <c r="D122" s="162"/>
      <c r="E122" s="165"/>
      <c r="F122" s="165"/>
      <c r="G122" s="147"/>
      <c r="H122" s="147"/>
      <c r="I122" s="144"/>
      <c r="J122" s="124"/>
      <c r="K122" s="162"/>
      <c r="L122" s="162"/>
      <c r="M122" s="162"/>
      <c r="O122" s="197"/>
      <c r="P122" s="197"/>
      <c r="Q122" s="197"/>
      <c r="R122" s="197"/>
      <c r="S122" s="197"/>
      <c r="T122" s="197"/>
      <c r="U122" s="197"/>
      <c r="V122" s="197"/>
      <c r="W122" s="197"/>
      <c r="X122" s="197"/>
      <c r="Y122" s="197"/>
      <c r="Z122" s="152"/>
      <c r="AA122" s="152"/>
      <c r="AB122" s="194"/>
      <c r="AC122" s="194"/>
      <c r="AD122" s="194"/>
      <c r="AE122" s="194"/>
      <c r="AF122" s="169"/>
      <c r="AG122" s="55" t="s">
        <v>99</v>
      </c>
      <c r="AH122" s="24"/>
    </row>
    <row r="123" spans="2:34" s="1" customFormat="1">
      <c r="B123" s="114"/>
      <c r="D123" s="163"/>
      <c r="E123" s="166"/>
      <c r="F123" s="166"/>
      <c r="G123" s="148"/>
      <c r="H123" s="148"/>
      <c r="I123" s="145"/>
      <c r="J123" s="124"/>
      <c r="K123" s="163"/>
      <c r="L123" s="163"/>
      <c r="M123" s="163"/>
      <c r="O123" s="198"/>
      <c r="P123" s="198"/>
      <c r="Q123" s="198"/>
      <c r="R123" s="198"/>
      <c r="S123" s="198"/>
      <c r="T123" s="198"/>
      <c r="U123" s="198"/>
      <c r="V123" s="198"/>
      <c r="W123" s="198"/>
      <c r="X123" s="198"/>
      <c r="Y123" s="198"/>
      <c r="Z123" s="153"/>
      <c r="AA123" s="153"/>
      <c r="AB123" s="195"/>
      <c r="AC123" s="195"/>
      <c r="AD123" s="195"/>
      <c r="AE123" s="195"/>
      <c r="AF123" s="170"/>
      <c r="AG123" s="55" t="s">
        <v>162</v>
      </c>
      <c r="AH123" s="24"/>
    </row>
    <row r="124" spans="2:34" s="1" customFormat="1">
      <c r="B124" s="114">
        <v>1982</v>
      </c>
      <c r="D124" s="161" t="s">
        <v>163</v>
      </c>
      <c r="E124" s="164" t="s">
        <v>48</v>
      </c>
      <c r="F124" s="164" t="s">
        <v>48</v>
      </c>
      <c r="G124" s="146">
        <v>100000</v>
      </c>
      <c r="H124" s="146">
        <v>100000</v>
      </c>
      <c r="I124" s="143">
        <f>H124/AA124*100</f>
        <v>10000000</v>
      </c>
      <c r="J124" s="124"/>
      <c r="K124" s="161" t="s">
        <v>164</v>
      </c>
      <c r="L124" s="161" t="s">
        <v>165</v>
      </c>
      <c r="M124" s="161" t="s">
        <v>166</v>
      </c>
      <c r="O124" s="196">
        <v>1</v>
      </c>
      <c r="P124" s="196"/>
      <c r="Q124" s="196"/>
      <c r="R124" s="196"/>
      <c r="S124" s="196"/>
      <c r="T124" s="196">
        <v>1</v>
      </c>
      <c r="U124" s="196">
        <v>1</v>
      </c>
      <c r="V124" s="196"/>
      <c r="W124" s="196"/>
      <c r="X124" s="196"/>
      <c r="Y124" s="196"/>
      <c r="Z124" s="151">
        <v>1</v>
      </c>
      <c r="AA124" s="151">
        <v>1</v>
      </c>
      <c r="AB124" s="193"/>
      <c r="AC124" s="193"/>
      <c r="AD124" s="193"/>
      <c r="AE124" s="193"/>
      <c r="AF124" s="168">
        <v>2.4182355579560362</v>
      </c>
      <c r="AG124" s="55" t="s">
        <v>99</v>
      </c>
      <c r="AH124" s="24"/>
    </row>
    <row r="125" spans="2:34" s="1" customFormat="1">
      <c r="B125" s="114"/>
      <c r="D125" s="162"/>
      <c r="E125" s="165"/>
      <c r="F125" s="165"/>
      <c r="G125" s="147"/>
      <c r="H125" s="147"/>
      <c r="I125" s="144"/>
      <c r="J125" s="124"/>
      <c r="K125" s="162"/>
      <c r="L125" s="162"/>
      <c r="M125" s="162"/>
      <c r="O125" s="197"/>
      <c r="P125" s="197"/>
      <c r="Q125" s="197"/>
      <c r="R125" s="197"/>
      <c r="S125" s="197"/>
      <c r="T125" s="197"/>
      <c r="U125" s="197"/>
      <c r="V125" s="197"/>
      <c r="W125" s="197"/>
      <c r="X125" s="197"/>
      <c r="Y125" s="197"/>
      <c r="Z125" s="152"/>
      <c r="AA125" s="152"/>
      <c r="AB125" s="194"/>
      <c r="AC125" s="194"/>
      <c r="AD125" s="194"/>
      <c r="AE125" s="194"/>
      <c r="AF125" s="169"/>
      <c r="AG125" s="55" t="s">
        <v>167</v>
      </c>
      <c r="AH125" s="24"/>
    </row>
    <row r="126" spans="2:34" s="1" customFormat="1">
      <c r="B126" s="114"/>
      <c r="D126" s="163"/>
      <c r="E126" s="166"/>
      <c r="F126" s="166"/>
      <c r="G126" s="148"/>
      <c r="H126" s="148"/>
      <c r="I126" s="145"/>
      <c r="J126" s="124"/>
      <c r="K126" s="163"/>
      <c r="L126" s="163"/>
      <c r="M126" s="163"/>
      <c r="O126" s="198"/>
      <c r="P126" s="198"/>
      <c r="Q126" s="198"/>
      <c r="R126" s="198"/>
      <c r="S126" s="198"/>
      <c r="T126" s="198"/>
      <c r="U126" s="198"/>
      <c r="V126" s="198"/>
      <c r="W126" s="198"/>
      <c r="X126" s="198"/>
      <c r="Y126" s="198"/>
      <c r="Z126" s="153"/>
      <c r="AA126" s="153"/>
      <c r="AB126" s="195"/>
      <c r="AC126" s="195"/>
      <c r="AD126" s="195"/>
      <c r="AE126" s="195"/>
      <c r="AF126" s="170"/>
      <c r="AG126" s="55"/>
      <c r="AH126" s="24"/>
    </row>
    <row r="127" spans="2:34" s="1" customFormat="1">
      <c r="B127" s="114">
        <v>1984</v>
      </c>
      <c r="D127" s="161" t="s">
        <v>168</v>
      </c>
      <c r="E127" s="164" t="s">
        <v>169</v>
      </c>
      <c r="F127" s="164" t="s">
        <v>170</v>
      </c>
      <c r="G127" s="146">
        <v>250000</v>
      </c>
      <c r="H127" s="146">
        <v>250000</v>
      </c>
      <c r="I127" s="143">
        <f>H127/AA127*100</f>
        <v>25000000</v>
      </c>
      <c r="J127" s="124"/>
      <c r="K127" s="161" t="s">
        <v>171</v>
      </c>
      <c r="L127" s="161" t="s">
        <v>172</v>
      </c>
      <c r="M127" s="161" t="s">
        <v>173</v>
      </c>
      <c r="O127" s="196">
        <v>1</v>
      </c>
      <c r="P127" s="196"/>
      <c r="Q127" s="196"/>
      <c r="R127" s="196"/>
      <c r="S127" s="196">
        <v>1</v>
      </c>
      <c r="T127" s="196"/>
      <c r="U127" s="196"/>
      <c r="V127" s="196">
        <v>1</v>
      </c>
      <c r="W127" s="196"/>
      <c r="X127" s="196"/>
      <c r="Y127" s="196"/>
      <c r="Z127" s="151">
        <v>1</v>
      </c>
      <c r="AA127" s="151">
        <v>1</v>
      </c>
      <c r="AB127" s="193"/>
      <c r="AC127" s="193"/>
      <c r="AD127" s="193"/>
      <c r="AE127" s="193"/>
      <c r="AF127" s="168">
        <v>3.5176927692107887</v>
      </c>
      <c r="AG127" s="55" t="s">
        <v>99</v>
      </c>
      <c r="AH127" s="24"/>
    </row>
    <row r="128" spans="2:34" s="1" customFormat="1">
      <c r="B128" s="114"/>
      <c r="D128" s="162"/>
      <c r="E128" s="165"/>
      <c r="F128" s="165"/>
      <c r="G128" s="147"/>
      <c r="H128" s="147"/>
      <c r="I128" s="144"/>
      <c r="J128" s="124"/>
      <c r="K128" s="162"/>
      <c r="L128" s="162"/>
      <c r="M128" s="162"/>
      <c r="O128" s="197"/>
      <c r="P128" s="197"/>
      <c r="Q128" s="197"/>
      <c r="R128" s="197"/>
      <c r="S128" s="197"/>
      <c r="T128" s="197"/>
      <c r="U128" s="197"/>
      <c r="V128" s="197"/>
      <c r="W128" s="197"/>
      <c r="X128" s="197"/>
      <c r="Y128" s="197"/>
      <c r="Z128" s="152"/>
      <c r="AA128" s="152"/>
      <c r="AB128" s="194"/>
      <c r="AC128" s="194"/>
      <c r="AD128" s="194"/>
      <c r="AE128" s="194"/>
      <c r="AF128" s="169"/>
      <c r="AG128" s="55" t="s">
        <v>175</v>
      </c>
      <c r="AH128" s="24"/>
    </row>
    <row r="129" spans="2:34" s="1" customFormat="1">
      <c r="B129" s="114"/>
      <c r="D129" s="163"/>
      <c r="E129" s="166"/>
      <c r="F129" s="166"/>
      <c r="G129" s="148"/>
      <c r="H129" s="148"/>
      <c r="I129" s="145"/>
      <c r="J129" s="124"/>
      <c r="K129" s="163"/>
      <c r="L129" s="163"/>
      <c r="M129" s="163"/>
      <c r="O129" s="198"/>
      <c r="P129" s="198"/>
      <c r="Q129" s="198"/>
      <c r="R129" s="198"/>
      <c r="S129" s="198"/>
      <c r="T129" s="198"/>
      <c r="U129" s="198"/>
      <c r="V129" s="198"/>
      <c r="W129" s="198"/>
      <c r="X129" s="198"/>
      <c r="Y129" s="198"/>
      <c r="Z129" s="153"/>
      <c r="AA129" s="153"/>
      <c r="AB129" s="195"/>
      <c r="AC129" s="195"/>
      <c r="AD129" s="195"/>
      <c r="AE129" s="195"/>
      <c r="AF129" s="170"/>
      <c r="AG129" s="55"/>
      <c r="AH129" s="24"/>
    </row>
    <row r="130" spans="2:34" s="1" customFormat="1">
      <c r="B130" s="114"/>
      <c r="D130" s="161" t="s">
        <v>168</v>
      </c>
      <c r="E130" s="164" t="s">
        <v>176</v>
      </c>
      <c r="F130" s="164" t="s">
        <v>88</v>
      </c>
      <c r="G130" s="146">
        <v>1000000</v>
      </c>
      <c r="H130" s="146">
        <v>1000000</v>
      </c>
      <c r="I130" s="143">
        <f>H130/AA130*100</f>
        <v>100000000</v>
      </c>
      <c r="J130" s="124"/>
      <c r="K130" s="161" t="s">
        <v>515</v>
      </c>
      <c r="L130" s="161" t="s">
        <v>178</v>
      </c>
      <c r="M130" s="161" t="s">
        <v>516</v>
      </c>
      <c r="O130" s="196">
        <v>1</v>
      </c>
      <c r="P130" s="196"/>
      <c r="Q130" s="196">
        <v>1</v>
      </c>
      <c r="R130" s="196"/>
      <c r="S130" s="196">
        <v>1</v>
      </c>
      <c r="T130" s="196">
        <v>1</v>
      </c>
      <c r="U130" s="196">
        <v>1</v>
      </c>
      <c r="V130" s="196">
        <v>1</v>
      </c>
      <c r="W130" s="196">
        <v>1</v>
      </c>
      <c r="X130" s="196"/>
      <c r="Y130" s="196"/>
      <c r="Z130" s="151">
        <v>1</v>
      </c>
      <c r="AA130" s="151">
        <v>1</v>
      </c>
      <c r="AB130" s="193"/>
      <c r="AC130" s="193"/>
      <c r="AD130" s="193"/>
      <c r="AE130" s="193"/>
      <c r="AF130" s="168">
        <v>3.2114994346677084</v>
      </c>
      <c r="AG130" s="55" t="s">
        <v>517</v>
      </c>
      <c r="AH130" s="24"/>
    </row>
    <row r="131" spans="2:34" s="1" customFormat="1">
      <c r="B131" s="114"/>
      <c r="D131" s="162"/>
      <c r="E131" s="165"/>
      <c r="F131" s="165"/>
      <c r="G131" s="147"/>
      <c r="H131" s="147"/>
      <c r="I131" s="144"/>
      <c r="J131" s="124"/>
      <c r="K131" s="162"/>
      <c r="L131" s="162"/>
      <c r="M131" s="162"/>
      <c r="O131" s="197"/>
      <c r="P131" s="197"/>
      <c r="Q131" s="197"/>
      <c r="R131" s="197"/>
      <c r="S131" s="197"/>
      <c r="T131" s="197"/>
      <c r="U131" s="197"/>
      <c r="V131" s="197"/>
      <c r="W131" s="197"/>
      <c r="X131" s="197"/>
      <c r="Y131" s="197"/>
      <c r="Z131" s="152"/>
      <c r="AA131" s="152"/>
      <c r="AB131" s="194"/>
      <c r="AC131" s="194"/>
      <c r="AD131" s="194"/>
      <c r="AE131" s="194"/>
      <c r="AF131" s="169"/>
      <c r="AG131" s="55" t="s">
        <v>518</v>
      </c>
      <c r="AH131" s="24"/>
    </row>
    <row r="132" spans="2:34" s="1" customFormat="1">
      <c r="B132" s="114"/>
      <c r="D132" s="163"/>
      <c r="E132" s="166"/>
      <c r="F132" s="166"/>
      <c r="G132" s="148"/>
      <c r="H132" s="148"/>
      <c r="I132" s="145"/>
      <c r="J132" s="124"/>
      <c r="K132" s="163"/>
      <c r="L132" s="163"/>
      <c r="M132" s="163"/>
      <c r="O132" s="198"/>
      <c r="P132" s="198"/>
      <c r="Q132" s="198"/>
      <c r="R132" s="198"/>
      <c r="S132" s="198"/>
      <c r="T132" s="198"/>
      <c r="U132" s="198"/>
      <c r="V132" s="198"/>
      <c r="W132" s="198"/>
      <c r="X132" s="198"/>
      <c r="Y132" s="198"/>
      <c r="Z132" s="153"/>
      <c r="AA132" s="153"/>
      <c r="AB132" s="195"/>
      <c r="AC132" s="195"/>
      <c r="AD132" s="195"/>
      <c r="AE132" s="195"/>
      <c r="AF132" s="170"/>
      <c r="AG132" s="55" t="s">
        <v>98</v>
      </c>
      <c r="AH132" s="24"/>
    </row>
    <row r="133" spans="2:34" s="1" customFormat="1" ht="15" customHeight="1">
      <c r="B133" s="114">
        <v>1988</v>
      </c>
      <c r="D133" s="161">
        <v>1988</v>
      </c>
      <c r="E133" s="164" t="s">
        <v>180</v>
      </c>
      <c r="F133" s="164" t="s">
        <v>170</v>
      </c>
      <c r="G133" s="146">
        <v>250000</v>
      </c>
      <c r="H133" s="146">
        <v>250000</v>
      </c>
      <c r="I133" s="143">
        <f>H133/AA133*100</f>
        <v>25000000</v>
      </c>
      <c r="J133" s="124"/>
      <c r="K133" s="161" t="s">
        <v>181</v>
      </c>
      <c r="L133" s="161" t="s">
        <v>182</v>
      </c>
      <c r="M133" s="161" t="s">
        <v>183</v>
      </c>
      <c r="O133" s="196">
        <v>1</v>
      </c>
      <c r="P133" s="196"/>
      <c r="Q133" s="196"/>
      <c r="R133" s="196"/>
      <c r="S133" s="196">
        <v>1</v>
      </c>
      <c r="T133" s="196">
        <v>1</v>
      </c>
      <c r="U133" s="196"/>
      <c r="V133" s="196">
        <v>1</v>
      </c>
      <c r="W133" s="196"/>
      <c r="X133" s="196">
        <v>1</v>
      </c>
      <c r="Y133" s="196"/>
      <c r="Z133" s="151">
        <v>1</v>
      </c>
      <c r="AA133" s="151">
        <v>1</v>
      </c>
      <c r="AB133" s="193"/>
      <c r="AC133" s="193"/>
      <c r="AD133" s="193"/>
      <c r="AE133" s="193"/>
      <c r="AF133" s="168">
        <v>3.0053474576396217</v>
      </c>
      <c r="AG133" s="55" t="s">
        <v>99</v>
      </c>
      <c r="AH133" s="24"/>
    </row>
    <row r="134" spans="2:34" s="1" customFormat="1">
      <c r="B134" s="114"/>
      <c r="D134" s="162"/>
      <c r="E134" s="165"/>
      <c r="F134" s="165"/>
      <c r="G134" s="147"/>
      <c r="H134" s="147"/>
      <c r="I134" s="144"/>
      <c r="J134" s="124"/>
      <c r="K134" s="162"/>
      <c r="L134" s="162"/>
      <c r="M134" s="162"/>
      <c r="O134" s="197"/>
      <c r="P134" s="197"/>
      <c r="Q134" s="197"/>
      <c r="R134" s="197"/>
      <c r="S134" s="197"/>
      <c r="T134" s="197"/>
      <c r="U134" s="197"/>
      <c r="V134" s="197"/>
      <c r="W134" s="197"/>
      <c r="X134" s="197"/>
      <c r="Y134" s="197"/>
      <c r="Z134" s="152"/>
      <c r="AA134" s="152"/>
      <c r="AB134" s="194"/>
      <c r="AC134" s="194"/>
      <c r="AD134" s="194"/>
      <c r="AE134" s="194"/>
      <c r="AF134" s="169"/>
      <c r="AG134" s="55" t="s">
        <v>185</v>
      </c>
      <c r="AH134" s="24"/>
    </row>
    <row r="135" spans="2:34" s="1" customFormat="1">
      <c r="B135" s="114"/>
      <c r="D135" s="163"/>
      <c r="E135" s="166"/>
      <c r="F135" s="166"/>
      <c r="G135" s="148"/>
      <c r="H135" s="148"/>
      <c r="I135" s="145"/>
      <c r="J135" s="124"/>
      <c r="K135" s="163"/>
      <c r="L135" s="163"/>
      <c r="M135" s="163"/>
      <c r="O135" s="198"/>
      <c r="P135" s="198"/>
      <c r="Q135" s="198"/>
      <c r="R135" s="198"/>
      <c r="S135" s="198"/>
      <c r="T135" s="198"/>
      <c r="U135" s="198"/>
      <c r="V135" s="198"/>
      <c r="W135" s="198"/>
      <c r="X135" s="198"/>
      <c r="Y135" s="198"/>
      <c r="Z135" s="153"/>
      <c r="AA135" s="153"/>
      <c r="AB135" s="195"/>
      <c r="AC135" s="195"/>
      <c r="AD135" s="195"/>
      <c r="AE135" s="195"/>
      <c r="AF135" s="170"/>
      <c r="AG135" s="55"/>
      <c r="AH135" s="24"/>
    </row>
    <row r="136" spans="2:34" s="1" customFormat="1" ht="15" customHeight="1">
      <c r="B136" s="114">
        <v>1991</v>
      </c>
      <c r="D136" s="161" t="s">
        <v>187</v>
      </c>
      <c r="E136" s="164" t="s">
        <v>188</v>
      </c>
      <c r="F136" s="164" t="s">
        <v>131</v>
      </c>
      <c r="G136" s="146">
        <v>300000</v>
      </c>
      <c r="H136" s="146">
        <v>300000</v>
      </c>
      <c r="I136" s="143">
        <f>H136/AA136*100</f>
        <v>30000000</v>
      </c>
      <c r="J136" s="124"/>
      <c r="K136" s="161" t="s">
        <v>189</v>
      </c>
      <c r="L136" s="161" t="s">
        <v>190</v>
      </c>
      <c r="M136" s="161" t="s">
        <v>191</v>
      </c>
      <c r="O136" s="196">
        <v>1</v>
      </c>
      <c r="P136" s="196"/>
      <c r="Q136" s="196"/>
      <c r="R136" s="196"/>
      <c r="S136" s="196"/>
      <c r="T136" s="196">
        <v>1</v>
      </c>
      <c r="U136" s="196"/>
      <c r="V136" s="196">
        <v>1</v>
      </c>
      <c r="W136" s="196"/>
      <c r="X136" s="196"/>
      <c r="Y136" s="196"/>
      <c r="Z136" s="171">
        <v>1</v>
      </c>
      <c r="AA136" s="151">
        <v>1</v>
      </c>
      <c r="AB136" s="151">
        <v>1</v>
      </c>
      <c r="AC136" s="151">
        <v>1</v>
      </c>
      <c r="AD136" s="193"/>
      <c r="AE136" s="193"/>
      <c r="AF136" s="168">
        <v>0.27106227455891824</v>
      </c>
      <c r="AG136" s="55" t="s">
        <v>186</v>
      </c>
      <c r="AH136" s="24"/>
    </row>
    <row r="137" spans="2:34" s="1" customFormat="1">
      <c r="B137" s="114"/>
      <c r="D137" s="162"/>
      <c r="E137" s="165"/>
      <c r="F137" s="165"/>
      <c r="G137" s="147"/>
      <c r="H137" s="147"/>
      <c r="I137" s="144"/>
      <c r="J137" s="124"/>
      <c r="K137" s="162"/>
      <c r="L137" s="162"/>
      <c r="M137" s="162"/>
      <c r="O137" s="197"/>
      <c r="P137" s="197"/>
      <c r="Q137" s="197"/>
      <c r="R137" s="197"/>
      <c r="S137" s="197"/>
      <c r="T137" s="197"/>
      <c r="U137" s="197"/>
      <c r="V137" s="197"/>
      <c r="W137" s="197"/>
      <c r="X137" s="197"/>
      <c r="Y137" s="197"/>
      <c r="Z137" s="172"/>
      <c r="AA137" s="152"/>
      <c r="AB137" s="152"/>
      <c r="AC137" s="152"/>
      <c r="AD137" s="194"/>
      <c r="AE137" s="194"/>
      <c r="AF137" s="169"/>
      <c r="AG137" s="55" t="s">
        <v>193</v>
      </c>
      <c r="AH137" s="24"/>
    </row>
    <row r="138" spans="2:34" s="1" customFormat="1">
      <c r="B138" s="114"/>
      <c r="D138" s="163"/>
      <c r="E138" s="166"/>
      <c r="F138" s="166"/>
      <c r="G138" s="148"/>
      <c r="H138" s="148"/>
      <c r="I138" s="145"/>
      <c r="J138" s="124"/>
      <c r="K138" s="163"/>
      <c r="L138" s="163"/>
      <c r="M138" s="163"/>
      <c r="O138" s="198"/>
      <c r="P138" s="198"/>
      <c r="Q138" s="198"/>
      <c r="R138" s="198"/>
      <c r="S138" s="198"/>
      <c r="T138" s="198"/>
      <c r="U138" s="198"/>
      <c r="V138" s="198"/>
      <c r="W138" s="198"/>
      <c r="X138" s="198"/>
      <c r="Y138" s="198"/>
      <c r="Z138" s="173"/>
      <c r="AA138" s="153"/>
      <c r="AB138" s="153"/>
      <c r="AC138" s="153"/>
      <c r="AD138" s="195"/>
      <c r="AE138" s="195"/>
      <c r="AF138" s="170"/>
      <c r="AG138" s="55" t="s">
        <v>194</v>
      </c>
      <c r="AH138" s="24"/>
    </row>
    <row r="139" spans="2:34" s="1" customFormat="1" ht="15" customHeight="1">
      <c r="B139" s="114">
        <v>1996</v>
      </c>
      <c r="D139" s="161">
        <v>1996</v>
      </c>
      <c r="E139" s="164" t="s">
        <v>195</v>
      </c>
      <c r="F139" s="164" t="s">
        <v>196</v>
      </c>
      <c r="G139" s="146" t="s">
        <v>197</v>
      </c>
      <c r="H139" s="146">
        <f>(200000+3500000)/2</f>
        <v>1850000</v>
      </c>
      <c r="I139" s="143" t="e">
        <f>H139/AA139*100</f>
        <v>#VALUE!</v>
      </c>
      <c r="J139" s="124"/>
      <c r="K139" s="161" t="s">
        <v>198</v>
      </c>
      <c r="L139" s="161" t="s">
        <v>199</v>
      </c>
      <c r="M139" s="161" t="s">
        <v>200</v>
      </c>
      <c r="O139" s="196"/>
      <c r="P139" s="196">
        <v>1</v>
      </c>
      <c r="Q139" s="196"/>
      <c r="R139" s="196">
        <v>1</v>
      </c>
      <c r="S139" s="196">
        <v>1</v>
      </c>
      <c r="T139" s="196"/>
      <c r="U139" s="196">
        <v>1</v>
      </c>
      <c r="V139" s="196">
        <v>1</v>
      </c>
      <c r="W139" s="196"/>
      <c r="X139" s="196">
        <v>1</v>
      </c>
      <c r="Y139" s="196"/>
      <c r="Z139" s="151" t="s">
        <v>434</v>
      </c>
      <c r="AA139" s="151" t="s">
        <v>434</v>
      </c>
      <c r="AB139" s="151" t="s">
        <v>434</v>
      </c>
      <c r="AC139" s="151" t="s">
        <v>434</v>
      </c>
      <c r="AD139" s="167">
        <v>-1.9361580076960203</v>
      </c>
      <c r="AE139" s="167">
        <v>-1.9082413961517761</v>
      </c>
      <c r="AF139" s="168">
        <v>1.2523330250568101</v>
      </c>
      <c r="AG139" s="55" t="s">
        <v>202</v>
      </c>
      <c r="AH139" s="24"/>
    </row>
    <row r="140" spans="2:34" s="1" customFormat="1">
      <c r="B140" s="114"/>
      <c r="D140" s="162"/>
      <c r="E140" s="165"/>
      <c r="F140" s="165"/>
      <c r="G140" s="147"/>
      <c r="H140" s="147"/>
      <c r="I140" s="144"/>
      <c r="J140" s="124"/>
      <c r="K140" s="162"/>
      <c r="L140" s="162"/>
      <c r="M140" s="162"/>
      <c r="O140" s="197"/>
      <c r="P140" s="197"/>
      <c r="Q140" s="197"/>
      <c r="R140" s="197"/>
      <c r="S140" s="197"/>
      <c r="T140" s="197"/>
      <c r="U140" s="197"/>
      <c r="V140" s="197"/>
      <c r="W140" s="197"/>
      <c r="X140" s="197"/>
      <c r="Y140" s="197"/>
      <c r="Z140" s="152"/>
      <c r="AA140" s="152"/>
      <c r="AB140" s="152"/>
      <c r="AC140" s="152"/>
      <c r="AD140" s="167"/>
      <c r="AE140" s="167"/>
      <c r="AF140" s="169"/>
      <c r="AG140" s="55" t="s">
        <v>203</v>
      </c>
      <c r="AH140" s="24"/>
    </row>
    <row r="141" spans="2:34" s="1" customFormat="1">
      <c r="B141" s="114"/>
      <c r="D141" s="163"/>
      <c r="E141" s="166"/>
      <c r="F141" s="166"/>
      <c r="G141" s="148"/>
      <c r="H141" s="148"/>
      <c r="I141" s="145"/>
      <c r="J141" s="124"/>
      <c r="K141" s="163"/>
      <c r="L141" s="163"/>
      <c r="M141" s="163"/>
      <c r="O141" s="198"/>
      <c r="P141" s="198"/>
      <c r="Q141" s="198"/>
      <c r="R141" s="198"/>
      <c r="S141" s="198"/>
      <c r="T141" s="198"/>
      <c r="U141" s="198"/>
      <c r="V141" s="198"/>
      <c r="W141" s="198"/>
      <c r="X141" s="198"/>
      <c r="Y141" s="198"/>
      <c r="Z141" s="153"/>
      <c r="AA141" s="153"/>
      <c r="AB141" s="153"/>
      <c r="AC141" s="153"/>
      <c r="AD141" s="167"/>
      <c r="AE141" s="167"/>
      <c r="AF141" s="170"/>
      <c r="AG141" s="55"/>
      <c r="AH141" s="24"/>
    </row>
    <row r="142" spans="2:34" s="1" customFormat="1">
      <c r="B142" s="114">
        <v>1998</v>
      </c>
      <c r="D142" s="161">
        <v>1998</v>
      </c>
      <c r="E142" s="164" t="s">
        <v>204</v>
      </c>
      <c r="F142" s="164" t="s">
        <v>170</v>
      </c>
      <c r="G142" s="146">
        <v>70000</v>
      </c>
      <c r="H142" s="146">
        <v>70000</v>
      </c>
      <c r="I142" s="143">
        <f>H142/AA142*100</f>
        <v>7000000</v>
      </c>
      <c r="J142" s="124"/>
      <c r="K142" s="161" t="s">
        <v>205</v>
      </c>
      <c r="L142" s="161" t="s">
        <v>206</v>
      </c>
      <c r="M142" s="161"/>
      <c r="O142" s="196">
        <v>1</v>
      </c>
      <c r="P142" s="196"/>
      <c r="Q142" s="196">
        <v>1</v>
      </c>
      <c r="R142" s="196">
        <v>1</v>
      </c>
      <c r="S142" s="196">
        <v>1</v>
      </c>
      <c r="T142" s="196">
        <v>1</v>
      </c>
      <c r="U142" s="196"/>
      <c r="V142" s="196"/>
      <c r="W142" s="196"/>
      <c r="X142" s="196">
        <v>1</v>
      </c>
      <c r="Y142" s="196"/>
      <c r="Z142" s="151">
        <v>1</v>
      </c>
      <c r="AA142" s="151">
        <v>1</v>
      </c>
      <c r="AB142" s="151">
        <v>1</v>
      </c>
      <c r="AC142" s="151">
        <v>1</v>
      </c>
      <c r="AD142" s="167">
        <v>-1.8130265525621452</v>
      </c>
      <c r="AE142" s="167">
        <v>-1.2162899162574661</v>
      </c>
      <c r="AF142" s="168">
        <v>2.4308890057131332</v>
      </c>
      <c r="AG142" s="55" t="s">
        <v>207</v>
      </c>
      <c r="AH142" s="25"/>
    </row>
    <row r="143" spans="2:34" s="1" customFormat="1">
      <c r="B143" s="114"/>
      <c r="D143" s="162"/>
      <c r="E143" s="165"/>
      <c r="F143" s="165"/>
      <c r="G143" s="147"/>
      <c r="H143" s="147"/>
      <c r="I143" s="144"/>
      <c r="J143" s="124"/>
      <c r="K143" s="162"/>
      <c r="L143" s="162"/>
      <c r="M143" s="162"/>
      <c r="O143" s="197"/>
      <c r="P143" s="197"/>
      <c r="Q143" s="197"/>
      <c r="R143" s="197"/>
      <c r="S143" s="197"/>
      <c r="T143" s="197"/>
      <c r="U143" s="197"/>
      <c r="V143" s="197"/>
      <c r="W143" s="197"/>
      <c r="X143" s="197"/>
      <c r="Y143" s="197"/>
      <c r="Z143" s="152"/>
      <c r="AA143" s="152"/>
      <c r="AB143" s="152"/>
      <c r="AC143" s="152"/>
      <c r="AD143" s="167"/>
      <c r="AE143" s="167"/>
      <c r="AF143" s="169"/>
      <c r="AG143" s="55" t="s">
        <v>208</v>
      </c>
      <c r="AH143" s="24"/>
    </row>
    <row r="144" spans="2:34" s="1" customFormat="1">
      <c r="B144" s="114"/>
      <c r="D144" s="163"/>
      <c r="E144" s="166"/>
      <c r="F144" s="166"/>
      <c r="G144" s="148"/>
      <c r="H144" s="148"/>
      <c r="I144" s="145"/>
      <c r="J144" s="124"/>
      <c r="K144" s="163"/>
      <c r="L144" s="163"/>
      <c r="M144" s="163"/>
      <c r="O144" s="198"/>
      <c r="P144" s="198"/>
      <c r="Q144" s="198"/>
      <c r="R144" s="198"/>
      <c r="S144" s="198"/>
      <c r="T144" s="198"/>
      <c r="U144" s="198"/>
      <c r="V144" s="198"/>
      <c r="W144" s="198"/>
      <c r="X144" s="198"/>
      <c r="Y144" s="198"/>
      <c r="Z144" s="153"/>
      <c r="AA144" s="153"/>
      <c r="AB144" s="153"/>
      <c r="AC144" s="153"/>
      <c r="AD144" s="167"/>
      <c r="AE144" s="167"/>
      <c r="AF144" s="170"/>
      <c r="AG144" s="55" t="s">
        <v>99</v>
      </c>
      <c r="AH144" s="24"/>
    </row>
    <row r="145" spans="2:34" s="1" customFormat="1">
      <c r="B145" s="114"/>
      <c r="D145" s="161" t="s">
        <v>209</v>
      </c>
      <c r="E145" s="164" t="s">
        <v>210</v>
      </c>
      <c r="F145" s="164" t="s">
        <v>88</v>
      </c>
      <c r="G145" s="146" t="s">
        <v>211</v>
      </c>
      <c r="H145" s="146">
        <f>(19900+100000)/2</f>
        <v>59950</v>
      </c>
      <c r="I145" s="143">
        <f>H145/AA145*100</f>
        <v>5995000</v>
      </c>
      <c r="J145" s="124"/>
      <c r="K145" s="161"/>
      <c r="L145" s="161" t="s">
        <v>212</v>
      </c>
      <c r="M145" s="161" t="s">
        <v>213</v>
      </c>
      <c r="O145" s="196">
        <v>1</v>
      </c>
      <c r="P145" s="196"/>
      <c r="Q145" s="196">
        <v>1</v>
      </c>
      <c r="R145" s="196">
        <v>1</v>
      </c>
      <c r="S145" s="196">
        <v>1</v>
      </c>
      <c r="T145" s="196">
        <v>1</v>
      </c>
      <c r="U145" s="196"/>
      <c r="V145" s="196"/>
      <c r="W145" s="196">
        <v>1</v>
      </c>
      <c r="X145" s="196">
        <v>1</v>
      </c>
      <c r="Y145" s="196"/>
      <c r="Z145" s="151">
        <v>1</v>
      </c>
      <c r="AA145" s="151">
        <v>1</v>
      </c>
      <c r="AB145" s="151">
        <v>1</v>
      </c>
      <c r="AC145" s="151" t="s">
        <v>434</v>
      </c>
      <c r="AD145" s="167">
        <v>-0.97476110805506877</v>
      </c>
      <c r="AE145" s="167">
        <v>-0.93778373938999604</v>
      </c>
      <c r="AF145" s="168">
        <v>3.0084323900678869</v>
      </c>
      <c r="AG145" s="55" t="s">
        <v>215</v>
      </c>
      <c r="AH145" s="24"/>
    </row>
    <row r="146" spans="2:34" s="1" customFormat="1">
      <c r="B146" s="114"/>
      <c r="D146" s="162"/>
      <c r="E146" s="165"/>
      <c r="F146" s="165"/>
      <c r="G146" s="147"/>
      <c r="H146" s="147"/>
      <c r="I146" s="144"/>
      <c r="J146" s="124"/>
      <c r="K146" s="162"/>
      <c r="L146" s="162"/>
      <c r="M146" s="162"/>
      <c r="O146" s="197"/>
      <c r="P146" s="197"/>
      <c r="Q146" s="197"/>
      <c r="R146" s="197"/>
      <c r="S146" s="197"/>
      <c r="T146" s="197"/>
      <c r="U146" s="197"/>
      <c r="V146" s="197"/>
      <c r="W146" s="197"/>
      <c r="X146" s="197"/>
      <c r="Y146" s="197"/>
      <c r="Z146" s="152"/>
      <c r="AA146" s="152"/>
      <c r="AB146" s="152"/>
      <c r="AC146" s="152"/>
      <c r="AD146" s="167"/>
      <c r="AE146" s="167"/>
      <c r="AF146" s="169"/>
      <c r="AG146" s="55" t="s">
        <v>519</v>
      </c>
      <c r="AH146" s="24"/>
    </row>
    <row r="147" spans="2:34" s="1" customFormat="1">
      <c r="B147" s="114"/>
      <c r="D147" s="163"/>
      <c r="E147" s="166"/>
      <c r="F147" s="166"/>
      <c r="G147" s="148"/>
      <c r="H147" s="148"/>
      <c r="I147" s="145"/>
      <c r="J147" s="124"/>
      <c r="K147" s="163"/>
      <c r="L147" s="163"/>
      <c r="M147" s="163"/>
      <c r="O147" s="198"/>
      <c r="P147" s="198"/>
      <c r="Q147" s="198"/>
      <c r="R147" s="198"/>
      <c r="S147" s="198"/>
      <c r="T147" s="198"/>
      <c r="U147" s="198"/>
      <c r="V147" s="198"/>
      <c r="W147" s="198"/>
      <c r="X147" s="198"/>
      <c r="Y147" s="198"/>
      <c r="Z147" s="153"/>
      <c r="AA147" s="153"/>
      <c r="AB147" s="153"/>
      <c r="AC147" s="153"/>
      <c r="AD147" s="167"/>
      <c r="AE147" s="167"/>
      <c r="AF147" s="170"/>
      <c r="AG147" s="55" t="s">
        <v>107</v>
      </c>
      <c r="AH147" s="24"/>
    </row>
    <row r="148" spans="2:34" s="1" customFormat="1" ht="15">
      <c r="B148" s="114"/>
      <c r="D148" s="161" t="s">
        <v>217</v>
      </c>
      <c r="E148" s="164" t="s">
        <v>218</v>
      </c>
      <c r="F148" s="127" t="s">
        <v>383</v>
      </c>
      <c r="G148" s="146" t="s">
        <v>220</v>
      </c>
      <c r="H148" s="146">
        <f>(3800000+5400000)/2</f>
        <v>4600000</v>
      </c>
      <c r="I148" s="143">
        <f>H148/AA148*100</f>
        <v>460000000</v>
      </c>
      <c r="J148" s="124"/>
      <c r="K148" s="161" t="s">
        <v>221</v>
      </c>
      <c r="L148" s="161" t="s">
        <v>222</v>
      </c>
      <c r="M148" s="161" t="s">
        <v>223</v>
      </c>
      <c r="O148" s="196"/>
      <c r="P148" s="196"/>
      <c r="Q148" s="196"/>
      <c r="R148" s="196"/>
      <c r="S148" s="196">
        <v>1</v>
      </c>
      <c r="T148" s="196">
        <v>1</v>
      </c>
      <c r="U148" s="196"/>
      <c r="V148" s="196">
        <v>1</v>
      </c>
      <c r="W148" s="196"/>
      <c r="X148" s="196"/>
      <c r="Y148" s="196"/>
      <c r="Z148" s="131" t="s">
        <v>434</v>
      </c>
      <c r="AA148" s="131">
        <v>1</v>
      </c>
      <c r="AB148" s="131">
        <v>1</v>
      </c>
      <c r="AC148" s="131">
        <v>1</v>
      </c>
      <c r="AD148" s="71">
        <v>-1.8799709830349784</v>
      </c>
      <c r="AE148" s="71">
        <v>-1.9740552049912541</v>
      </c>
      <c r="AF148" s="130">
        <v>2.1315272703518047</v>
      </c>
      <c r="AG148" s="55" t="s">
        <v>224</v>
      </c>
      <c r="AH148" s="24"/>
    </row>
    <row r="149" spans="2:34" s="1" customFormat="1" ht="15">
      <c r="B149" s="114"/>
      <c r="D149" s="162"/>
      <c r="E149" s="165"/>
      <c r="F149" s="128" t="s">
        <v>439</v>
      </c>
      <c r="G149" s="147"/>
      <c r="H149" s="147"/>
      <c r="I149" s="144"/>
      <c r="J149" s="124"/>
      <c r="K149" s="162"/>
      <c r="L149" s="162"/>
      <c r="M149" s="162"/>
      <c r="O149" s="197"/>
      <c r="P149" s="197"/>
      <c r="Q149" s="197"/>
      <c r="R149" s="197"/>
      <c r="S149" s="197"/>
      <c r="T149" s="197"/>
      <c r="U149" s="197"/>
      <c r="V149" s="197"/>
      <c r="W149" s="197"/>
      <c r="X149" s="197"/>
      <c r="Y149" s="197"/>
      <c r="Z149" s="151">
        <v>1</v>
      </c>
      <c r="AA149" s="151">
        <v>1</v>
      </c>
      <c r="AB149" s="151" t="s">
        <v>434</v>
      </c>
      <c r="AC149" s="151">
        <v>1</v>
      </c>
      <c r="AD149" s="167">
        <v>-1.3096189034326364</v>
      </c>
      <c r="AE149" s="167">
        <v>-0.91767578390473659</v>
      </c>
      <c r="AF149" s="168">
        <v>10.456761234995762</v>
      </c>
      <c r="AG149" s="55" t="s">
        <v>225</v>
      </c>
      <c r="AH149" s="24"/>
    </row>
    <row r="150" spans="2:34" s="1" customFormat="1">
      <c r="B150" s="114"/>
      <c r="D150" s="163"/>
      <c r="E150" s="166"/>
      <c r="F150" s="129"/>
      <c r="G150" s="148"/>
      <c r="H150" s="148"/>
      <c r="I150" s="145"/>
      <c r="J150" s="124"/>
      <c r="K150" s="163"/>
      <c r="L150" s="163"/>
      <c r="M150" s="163"/>
      <c r="O150" s="198"/>
      <c r="P150" s="198"/>
      <c r="Q150" s="198"/>
      <c r="R150" s="198"/>
      <c r="S150" s="198"/>
      <c r="T150" s="198"/>
      <c r="U150" s="198"/>
      <c r="V150" s="198"/>
      <c r="W150" s="198"/>
      <c r="X150" s="198"/>
      <c r="Y150" s="198"/>
      <c r="Z150" s="153"/>
      <c r="AA150" s="153"/>
      <c r="AB150" s="153"/>
      <c r="AC150" s="153"/>
      <c r="AD150" s="167"/>
      <c r="AE150" s="167"/>
      <c r="AF150" s="170"/>
      <c r="AG150" s="55"/>
      <c r="AH150" s="24"/>
    </row>
    <row r="151" spans="2:34" s="1" customFormat="1" ht="15" customHeight="1">
      <c r="B151" s="114">
        <v>2000</v>
      </c>
      <c r="D151" s="161" t="s">
        <v>226</v>
      </c>
      <c r="E151" s="164" t="s">
        <v>227</v>
      </c>
      <c r="F151" s="164" t="s">
        <v>228</v>
      </c>
      <c r="G151" s="146"/>
      <c r="H151" s="146"/>
      <c r="I151" s="143"/>
      <c r="J151" s="124"/>
      <c r="K151" s="161" t="s">
        <v>229</v>
      </c>
      <c r="L151" s="161" t="s">
        <v>230</v>
      </c>
      <c r="M151" s="161" t="s">
        <v>231</v>
      </c>
      <c r="O151" s="196">
        <v>1</v>
      </c>
      <c r="P151" s="196"/>
      <c r="Q151" s="196"/>
      <c r="R151" s="196">
        <v>1</v>
      </c>
      <c r="S151" s="196"/>
      <c r="T151" s="196"/>
      <c r="U151" s="196"/>
      <c r="V151" s="196">
        <v>1</v>
      </c>
      <c r="W151" s="196">
        <v>1</v>
      </c>
      <c r="X151" s="196"/>
      <c r="Y151" s="196">
        <v>1</v>
      </c>
      <c r="Z151" s="151">
        <v>1</v>
      </c>
      <c r="AA151" s="151" t="s">
        <v>434</v>
      </c>
      <c r="AB151" s="151" t="s">
        <v>434</v>
      </c>
      <c r="AC151" s="151" t="s">
        <v>434</v>
      </c>
      <c r="AD151" s="167">
        <v>-1.1054763608040976</v>
      </c>
      <c r="AE151" s="167">
        <v>-0.77933770055866614</v>
      </c>
      <c r="AF151" s="168">
        <v>1.1208634858334354</v>
      </c>
      <c r="AG151" s="55" t="s">
        <v>233</v>
      </c>
      <c r="AH151" s="24"/>
    </row>
    <row r="152" spans="2:34" s="1" customFormat="1">
      <c r="B152" s="114"/>
      <c r="D152" s="162"/>
      <c r="E152" s="165"/>
      <c r="F152" s="165"/>
      <c r="G152" s="147"/>
      <c r="H152" s="147"/>
      <c r="I152" s="144"/>
      <c r="J152" s="124"/>
      <c r="K152" s="162"/>
      <c r="L152" s="162"/>
      <c r="M152" s="162"/>
      <c r="O152" s="197"/>
      <c r="P152" s="197"/>
      <c r="Q152" s="197"/>
      <c r="R152" s="197"/>
      <c r="S152" s="197"/>
      <c r="T152" s="197"/>
      <c r="U152" s="197"/>
      <c r="V152" s="197"/>
      <c r="W152" s="197"/>
      <c r="X152" s="197"/>
      <c r="Y152" s="197"/>
      <c r="Z152" s="152"/>
      <c r="AA152" s="152"/>
      <c r="AB152" s="152"/>
      <c r="AC152" s="152"/>
      <c r="AD152" s="167"/>
      <c r="AE152" s="167"/>
      <c r="AF152" s="169"/>
      <c r="AG152" s="55"/>
      <c r="AH152" s="24"/>
    </row>
    <row r="153" spans="2:34" s="1" customFormat="1">
      <c r="B153" s="114"/>
      <c r="D153" s="163"/>
      <c r="E153" s="166"/>
      <c r="F153" s="166"/>
      <c r="G153" s="148"/>
      <c r="H153" s="148"/>
      <c r="I153" s="145"/>
      <c r="J153" s="124"/>
      <c r="K153" s="163"/>
      <c r="L153" s="163"/>
      <c r="M153" s="163"/>
      <c r="O153" s="198"/>
      <c r="P153" s="198"/>
      <c r="Q153" s="198"/>
      <c r="R153" s="198"/>
      <c r="S153" s="198"/>
      <c r="T153" s="198"/>
      <c r="U153" s="198"/>
      <c r="V153" s="198"/>
      <c r="W153" s="198"/>
      <c r="X153" s="198"/>
      <c r="Y153" s="198"/>
      <c r="Z153" s="153"/>
      <c r="AA153" s="153"/>
      <c r="AB153" s="153"/>
      <c r="AC153" s="153"/>
      <c r="AD153" s="167"/>
      <c r="AE153" s="167"/>
      <c r="AF153" s="170"/>
      <c r="AG153" s="55"/>
      <c r="AH153" s="24"/>
    </row>
    <row r="154" spans="2:34" s="1" customFormat="1" ht="15" customHeight="1">
      <c r="B154" s="114">
        <v>2003</v>
      </c>
      <c r="D154" s="161" t="s">
        <v>234</v>
      </c>
      <c r="E154" s="164" t="s">
        <v>235</v>
      </c>
      <c r="F154" s="164" t="s">
        <v>170</v>
      </c>
      <c r="G154" s="146"/>
      <c r="H154" s="146"/>
      <c r="I154" s="143"/>
      <c r="J154" s="124"/>
      <c r="K154" s="161" t="s">
        <v>236</v>
      </c>
      <c r="L154" s="161"/>
      <c r="M154" s="161" t="s">
        <v>237</v>
      </c>
      <c r="O154" s="199">
        <v>1</v>
      </c>
      <c r="P154" s="199"/>
      <c r="Q154" s="199"/>
      <c r="R154" s="199"/>
      <c r="S154" s="199"/>
      <c r="T154" s="196">
        <v>1</v>
      </c>
      <c r="U154" s="199"/>
      <c r="V154" s="199">
        <v>1</v>
      </c>
      <c r="W154" s="199"/>
      <c r="X154" s="199"/>
      <c r="Y154" s="196">
        <v>1</v>
      </c>
      <c r="Z154" s="171">
        <v>1</v>
      </c>
      <c r="AA154" s="151">
        <v>1</v>
      </c>
      <c r="AB154" s="151">
        <v>1</v>
      </c>
      <c r="AC154" s="151">
        <v>1</v>
      </c>
      <c r="AD154" s="167">
        <v>-1.4392028794185161</v>
      </c>
      <c r="AE154" s="167">
        <v>-1.2517301099914413</v>
      </c>
      <c r="AF154" s="168">
        <v>2.706487224637689</v>
      </c>
      <c r="AG154" s="55" t="s">
        <v>239</v>
      </c>
      <c r="AH154" s="24"/>
    </row>
    <row r="155" spans="2:34" s="1" customFormat="1">
      <c r="B155" s="114"/>
      <c r="D155" s="162"/>
      <c r="E155" s="165"/>
      <c r="F155" s="165"/>
      <c r="G155" s="147"/>
      <c r="H155" s="147"/>
      <c r="I155" s="144"/>
      <c r="J155" s="124"/>
      <c r="K155" s="162"/>
      <c r="L155" s="162"/>
      <c r="M155" s="162"/>
      <c r="O155" s="200"/>
      <c r="P155" s="200"/>
      <c r="Q155" s="200"/>
      <c r="R155" s="200"/>
      <c r="S155" s="200"/>
      <c r="T155" s="197"/>
      <c r="U155" s="200"/>
      <c r="V155" s="200"/>
      <c r="W155" s="200"/>
      <c r="X155" s="200"/>
      <c r="Y155" s="197"/>
      <c r="Z155" s="172"/>
      <c r="AA155" s="152"/>
      <c r="AB155" s="152"/>
      <c r="AC155" s="152"/>
      <c r="AD155" s="167"/>
      <c r="AE155" s="167"/>
      <c r="AF155" s="169"/>
      <c r="AG155" s="55"/>
      <c r="AH155" s="24"/>
    </row>
    <row r="156" spans="2:34" s="1" customFormat="1">
      <c r="B156" s="114"/>
      <c r="D156" s="163"/>
      <c r="E156" s="166"/>
      <c r="F156" s="166"/>
      <c r="G156" s="148"/>
      <c r="H156" s="148"/>
      <c r="I156" s="145"/>
      <c r="J156" s="124"/>
      <c r="K156" s="163"/>
      <c r="L156" s="163"/>
      <c r="M156" s="163"/>
      <c r="O156" s="201"/>
      <c r="P156" s="201"/>
      <c r="Q156" s="201"/>
      <c r="R156" s="201"/>
      <c r="S156" s="201"/>
      <c r="T156" s="198"/>
      <c r="U156" s="201"/>
      <c r="V156" s="201"/>
      <c r="W156" s="201"/>
      <c r="X156" s="201"/>
      <c r="Y156" s="198"/>
      <c r="Z156" s="173"/>
      <c r="AA156" s="153"/>
      <c r="AB156" s="153"/>
      <c r="AC156" s="153"/>
      <c r="AD156" s="167"/>
      <c r="AE156" s="167"/>
      <c r="AF156" s="170"/>
      <c r="AG156" s="55"/>
      <c r="AH156" s="24"/>
    </row>
    <row r="157" spans="2:34" s="1" customFormat="1" ht="15" customHeight="1">
      <c r="B157" s="114">
        <v>2005</v>
      </c>
      <c r="D157" s="161" t="s">
        <v>240</v>
      </c>
      <c r="E157" s="164" t="s">
        <v>241</v>
      </c>
      <c r="F157" s="164" t="s">
        <v>242</v>
      </c>
      <c r="G157" s="146"/>
      <c r="H157" s="146"/>
      <c r="I157" s="143"/>
      <c r="J157" s="124"/>
      <c r="K157" s="161" t="s">
        <v>243</v>
      </c>
      <c r="L157" s="161" t="s">
        <v>244</v>
      </c>
      <c r="M157" s="161" t="s">
        <v>245</v>
      </c>
      <c r="O157" s="196">
        <v>1</v>
      </c>
      <c r="P157" s="196">
        <v>1</v>
      </c>
      <c r="Q157" s="196"/>
      <c r="R157" s="196"/>
      <c r="S157" s="196"/>
      <c r="T157" s="196"/>
      <c r="U157" s="196"/>
      <c r="V157" s="196"/>
      <c r="W157" s="196"/>
      <c r="X157" s="196"/>
      <c r="Y157" s="196">
        <v>1</v>
      </c>
      <c r="Z157" s="151">
        <v>1</v>
      </c>
      <c r="AA157" s="151" t="s">
        <v>434</v>
      </c>
      <c r="AB157" s="151" t="s">
        <v>434</v>
      </c>
      <c r="AC157" s="151" t="s">
        <v>434</v>
      </c>
      <c r="AD157" s="167">
        <v>-0.47822569713631741</v>
      </c>
      <c r="AE157" s="167">
        <v>-0.79973218658618961</v>
      </c>
      <c r="AF157" s="168">
        <v>2.8026049088880804</v>
      </c>
      <c r="AG157" s="55" t="s">
        <v>107</v>
      </c>
      <c r="AH157" s="24"/>
    </row>
    <row r="158" spans="2:34" s="1" customFormat="1">
      <c r="B158" s="114"/>
      <c r="D158" s="162"/>
      <c r="E158" s="165"/>
      <c r="F158" s="165"/>
      <c r="G158" s="147"/>
      <c r="H158" s="147"/>
      <c r="I158" s="144"/>
      <c r="J158" s="124"/>
      <c r="K158" s="162"/>
      <c r="L158" s="162"/>
      <c r="M158" s="162"/>
      <c r="O158" s="197"/>
      <c r="P158" s="197"/>
      <c r="Q158" s="197"/>
      <c r="R158" s="197"/>
      <c r="S158" s="197"/>
      <c r="T158" s="197"/>
      <c r="U158" s="197"/>
      <c r="V158" s="197"/>
      <c r="W158" s="197"/>
      <c r="X158" s="197"/>
      <c r="Y158" s="197"/>
      <c r="Z158" s="152"/>
      <c r="AA158" s="152"/>
      <c r="AB158" s="152"/>
      <c r="AC158" s="152"/>
      <c r="AD158" s="167"/>
      <c r="AE158" s="167"/>
      <c r="AF158" s="169"/>
      <c r="AG158" s="55" t="s">
        <v>247</v>
      </c>
      <c r="AH158" s="24"/>
    </row>
    <row r="159" spans="2:34" s="1" customFormat="1">
      <c r="B159" s="114"/>
      <c r="D159" s="163"/>
      <c r="E159" s="166"/>
      <c r="F159" s="166"/>
      <c r="G159" s="148"/>
      <c r="H159" s="148"/>
      <c r="I159" s="145"/>
      <c r="J159" s="124"/>
      <c r="K159" s="163"/>
      <c r="L159" s="163"/>
      <c r="M159" s="163"/>
      <c r="O159" s="198"/>
      <c r="P159" s="198"/>
      <c r="Q159" s="198"/>
      <c r="R159" s="198"/>
      <c r="S159" s="198"/>
      <c r="T159" s="198"/>
      <c r="U159" s="198"/>
      <c r="V159" s="198"/>
      <c r="W159" s="198"/>
      <c r="X159" s="198"/>
      <c r="Y159" s="198"/>
      <c r="Z159" s="153"/>
      <c r="AA159" s="153"/>
      <c r="AB159" s="153"/>
      <c r="AC159" s="153"/>
      <c r="AD159" s="167"/>
      <c r="AE159" s="167"/>
      <c r="AF159" s="170"/>
      <c r="AG159" s="55"/>
      <c r="AH159" s="24"/>
    </row>
    <row r="160" spans="2:34" s="1" customFormat="1" ht="15" customHeight="1">
      <c r="B160" s="114"/>
      <c r="D160" s="161" t="s">
        <v>248</v>
      </c>
      <c r="E160" s="164" t="s">
        <v>249</v>
      </c>
      <c r="F160" s="164" t="s">
        <v>250</v>
      </c>
      <c r="G160" s="146"/>
      <c r="H160" s="146"/>
      <c r="I160" s="143"/>
      <c r="J160" s="124"/>
      <c r="K160" s="161" t="s">
        <v>251</v>
      </c>
      <c r="L160" s="161" t="s">
        <v>252</v>
      </c>
      <c r="M160" s="161" t="s">
        <v>253</v>
      </c>
      <c r="O160" s="196">
        <v>1</v>
      </c>
      <c r="P160" s="196"/>
      <c r="Q160" s="196">
        <v>1</v>
      </c>
      <c r="R160" s="196">
        <v>1</v>
      </c>
      <c r="S160" s="196">
        <v>1</v>
      </c>
      <c r="T160" s="196"/>
      <c r="U160" s="196"/>
      <c r="V160" s="196"/>
      <c r="W160" s="196">
        <v>1</v>
      </c>
      <c r="X160" s="196"/>
      <c r="Y160" s="196"/>
      <c r="Z160" s="151">
        <v>1</v>
      </c>
      <c r="AA160" s="151" t="s">
        <v>434</v>
      </c>
      <c r="AB160" s="151" t="s">
        <v>434</v>
      </c>
      <c r="AC160" s="151" t="s">
        <v>434</v>
      </c>
      <c r="AD160" s="167">
        <v>-0.29942159472943597</v>
      </c>
      <c r="AE160" s="167">
        <v>-0.78861405735764345</v>
      </c>
      <c r="AF160" s="168">
        <v>3.7936794722393592</v>
      </c>
      <c r="AG160" s="55" t="s">
        <v>255</v>
      </c>
      <c r="AH160" s="24"/>
    </row>
    <row r="161" spans="2:34" s="1" customFormat="1">
      <c r="B161" s="114"/>
      <c r="D161" s="162"/>
      <c r="E161" s="165"/>
      <c r="F161" s="165"/>
      <c r="G161" s="147"/>
      <c r="H161" s="147"/>
      <c r="I161" s="144"/>
      <c r="J161" s="124"/>
      <c r="K161" s="162"/>
      <c r="L161" s="162"/>
      <c r="M161" s="162"/>
      <c r="O161" s="197"/>
      <c r="P161" s="197"/>
      <c r="Q161" s="197"/>
      <c r="R161" s="197"/>
      <c r="S161" s="197"/>
      <c r="T161" s="197"/>
      <c r="U161" s="197"/>
      <c r="V161" s="197"/>
      <c r="W161" s="197"/>
      <c r="X161" s="197"/>
      <c r="Y161" s="197"/>
      <c r="Z161" s="152"/>
      <c r="AA161" s="152"/>
      <c r="AB161" s="152"/>
      <c r="AC161" s="152"/>
      <c r="AD161" s="167"/>
      <c r="AE161" s="167"/>
      <c r="AF161" s="169"/>
      <c r="AG161" s="55" t="s">
        <v>256</v>
      </c>
      <c r="AH161" s="24"/>
    </row>
    <row r="162" spans="2:34" s="1" customFormat="1">
      <c r="B162" s="114"/>
      <c r="D162" s="163"/>
      <c r="E162" s="166"/>
      <c r="F162" s="166"/>
      <c r="G162" s="148"/>
      <c r="H162" s="148"/>
      <c r="I162" s="145"/>
      <c r="J162" s="124"/>
      <c r="K162" s="163"/>
      <c r="L162" s="163"/>
      <c r="M162" s="163"/>
      <c r="O162" s="198"/>
      <c r="P162" s="198"/>
      <c r="Q162" s="198"/>
      <c r="R162" s="198"/>
      <c r="S162" s="198"/>
      <c r="T162" s="198"/>
      <c r="U162" s="198"/>
      <c r="V162" s="198"/>
      <c r="W162" s="198"/>
      <c r="X162" s="198"/>
      <c r="Y162" s="198"/>
      <c r="Z162" s="153"/>
      <c r="AA162" s="153"/>
      <c r="AB162" s="153"/>
      <c r="AC162" s="153"/>
      <c r="AD162" s="167"/>
      <c r="AE162" s="167"/>
      <c r="AF162" s="170"/>
      <c r="AG162" s="55" t="s">
        <v>257</v>
      </c>
      <c r="AH162" s="24"/>
    </row>
    <row r="163" spans="2:34" s="1" customFormat="1" ht="15">
      <c r="B163" s="114">
        <v>2006</v>
      </c>
      <c r="D163" s="161">
        <v>2006</v>
      </c>
      <c r="E163" s="164" t="s">
        <v>258</v>
      </c>
      <c r="F163" s="127" t="s">
        <v>440</v>
      </c>
      <c r="G163" s="146"/>
      <c r="H163" s="146"/>
      <c r="I163" s="143"/>
      <c r="J163" s="124"/>
      <c r="K163" s="161"/>
      <c r="L163" s="161"/>
      <c r="M163" s="161"/>
      <c r="O163" s="196">
        <v>1</v>
      </c>
      <c r="P163" s="196"/>
      <c r="Q163" s="196"/>
      <c r="R163" s="196"/>
      <c r="S163" s="196"/>
      <c r="T163" s="196">
        <v>1</v>
      </c>
      <c r="U163" s="196"/>
      <c r="V163" s="196"/>
      <c r="W163" s="196"/>
      <c r="X163" s="196"/>
      <c r="Y163" s="196"/>
      <c r="Z163" s="131">
        <v>1</v>
      </c>
      <c r="AA163" s="131" t="s">
        <v>434</v>
      </c>
      <c r="AB163" s="131" t="s">
        <v>434</v>
      </c>
      <c r="AC163" s="131" t="s">
        <v>434</v>
      </c>
      <c r="AD163" s="71">
        <v>-1.0965366097298921</v>
      </c>
      <c r="AE163" s="71">
        <v>-0.89747668470628972</v>
      </c>
      <c r="AF163" s="130" t="s">
        <v>434</v>
      </c>
      <c r="AG163" s="55"/>
      <c r="AH163" s="24"/>
    </row>
    <row r="164" spans="2:34" s="1" customFormat="1" ht="15">
      <c r="B164" s="114"/>
      <c r="D164" s="162"/>
      <c r="E164" s="165"/>
      <c r="F164" s="128" t="s">
        <v>441</v>
      </c>
      <c r="G164" s="147"/>
      <c r="H164" s="147"/>
      <c r="I164" s="144"/>
      <c r="J164" s="124"/>
      <c r="K164" s="162"/>
      <c r="L164" s="162"/>
      <c r="M164" s="162"/>
      <c r="O164" s="197"/>
      <c r="P164" s="197"/>
      <c r="Q164" s="197"/>
      <c r="R164" s="197"/>
      <c r="S164" s="197"/>
      <c r="T164" s="197"/>
      <c r="U164" s="197"/>
      <c r="V164" s="197"/>
      <c r="W164" s="197"/>
      <c r="X164" s="197"/>
      <c r="Y164" s="197"/>
      <c r="Z164" s="131" t="s">
        <v>434</v>
      </c>
      <c r="AA164" s="131" t="s">
        <v>434</v>
      </c>
      <c r="AB164" s="131" t="s">
        <v>434</v>
      </c>
      <c r="AC164" s="131" t="s">
        <v>434</v>
      </c>
      <c r="AD164" s="71">
        <v>-2.0270089915048448</v>
      </c>
      <c r="AE164" s="71">
        <v>-1.3089702303764048</v>
      </c>
      <c r="AF164" s="130">
        <v>3.9600499151006039</v>
      </c>
      <c r="AG164" s="55"/>
      <c r="AH164" s="24"/>
    </row>
    <row r="165" spans="2:34" s="1" customFormat="1" ht="15">
      <c r="B165" s="114"/>
      <c r="D165" s="162"/>
      <c r="E165" s="165"/>
      <c r="F165" s="128" t="s">
        <v>88</v>
      </c>
      <c r="G165" s="147"/>
      <c r="H165" s="147"/>
      <c r="I165" s="144"/>
      <c r="J165" s="124"/>
      <c r="K165" s="162"/>
      <c r="L165" s="162"/>
      <c r="M165" s="162"/>
      <c r="O165" s="197"/>
      <c r="P165" s="197"/>
      <c r="Q165" s="197"/>
      <c r="R165" s="197"/>
      <c r="S165" s="197"/>
      <c r="T165" s="197"/>
      <c r="U165" s="197"/>
      <c r="V165" s="197"/>
      <c r="W165" s="197"/>
      <c r="X165" s="197"/>
      <c r="Y165" s="197"/>
      <c r="Z165" s="131">
        <v>1</v>
      </c>
      <c r="AA165" s="125">
        <v>1</v>
      </c>
      <c r="AB165" s="131">
        <v>1</v>
      </c>
      <c r="AC165" s="131">
        <v>1</v>
      </c>
      <c r="AD165" s="71">
        <v>-1.1565611747237086</v>
      </c>
      <c r="AE165" s="71">
        <v>-0.57403969117156395</v>
      </c>
      <c r="AF165" s="130">
        <v>2.8518440415160251</v>
      </c>
      <c r="AG165" s="55"/>
      <c r="AH165" s="24"/>
    </row>
    <row r="166" spans="2:34" s="1" customFormat="1" ht="15">
      <c r="B166" s="114"/>
      <c r="D166" s="162"/>
      <c r="E166" s="165"/>
      <c r="F166" s="128" t="s">
        <v>442</v>
      </c>
      <c r="G166" s="147"/>
      <c r="H166" s="147"/>
      <c r="I166" s="144"/>
      <c r="J166" s="124"/>
      <c r="K166" s="162"/>
      <c r="L166" s="162"/>
      <c r="M166" s="162"/>
      <c r="O166" s="197"/>
      <c r="P166" s="197"/>
      <c r="Q166" s="197"/>
      <c r="R166" s="197"/>
      <c r="S166" s="197"/>
      <c r="T166" s="197"/>
      <c r="U166" s="197"/>
      <c r="V166" s="197"/>
      <c r="W166" s="197"/>
      <c r="X166" s="197"/>
      <c r="Y166" s="197"/>
      <c r="Z166" s="131">
        <v>1</v>
      </c>
      <c r="AA166" s="131" t="s">
        <v>434</v>
      </c>
      <c r="AB166" s="131">
        <v>1</v>
      </c>
      <c r="AC166" s="131" t="s">
        <v>434</v>
      </c>
      <c r="AD166" s="71">
        <v>-0.13755314082452144</v>
      </c>
      <c r="AE166" s="71">
        <v>-0.58386120573955902</v>
      </c>
      <c r="AF166" s="130">
        <v>2.7600312172326564</v>
      </c>
      <c r="AG166" s="55"/>
      <c r="AH166" s="24"/>
    </row>
    <row r="167" spans="2:34" s="1" customFormat="1" ht="15">
      <c r="B167" s="114"/>
      <c r="D167" s="163"/>
      <c r="E167" s="166"/>
      <c r="F167" s="129" t="s">
        <v>131</v>
      </c>
      <c r="G167" s="148"/>
      <c r="H167" s="148"/>
      <c r="I167" s="145"/>
      <c r="J167" s="124"/>
      <c r="K167" s="163"/>
      <c r="L167" s="163"/>
      <c r="M167" s="163"/>
      <c r="O167" s="198"/>
      <c r="P167" s="198"/>
      <c r="Q167" s="198"/>
      <c r="R167" s="198"/>
      <c r="S167" s="198"/>
      <c r="T167" s="198"/>
      <c r="U167" s="198"/>
      <c r="V167" s="198"/>
      <c r="W167" s="198"/>
      <c r="X167" s="198"/>
      <c r="Y167" s="198"/>
      <c r="Z167" s="131">
        <v>1</v>
      </c>
      <c r="AA167" s="131">
        <v>1</v>
      </c>
      <c r="AB167" s="131">
        <v>1</v>
      </c>
      <c r="AC167" s="131" t="s">
        <v>434</v>
      </c>
      <c r="AD167" s="71">
        <v>-1.8335552732896612</v>
      </c>
      <c r="AE167" s="71">
        <v>-2.3148681048983004</v>
      </c>
      <c r="AF167" s="130">
        <v>2.6527748905601416</v>
      </c>
      <c r="AG167" s="55"/>
      <c r="AH167" s="24"/>
    </row>
    <row r="168" spans="2:34" s="1" customFormat="1" ht="15" customHeight="1">
      <c r="B168" s="114">
        <v>2011</v>
      </c>
      <c r="D168" s="161" t="s">
        <v>260</v>
      </c>
      <c r="E168" s="164" t="s">
        <v>188</v>
      </c>
      <c r="F168" s="127" t="s">
        <v>131</v>
      </c>
      <c r="G168" s="146">
        <v>258000</v>
      </c>
      <c r="H168" s="146"/>
      <c r="I168" s="143"/>
      <c r="J168" s="124"/>
      <c r="K168" s="161"/>
      <c r="L168" s="161"/>
      <c r="M168" s="161"/>
      <c r="O168" s="196">
        <v>1</v>
      </c>
      <c r="P168" s="196"/>
      <c r="Q168" s="196"/>
      <c r="R168" s="196"/>
      <c r="S168" s="196"/>
      <c r="T168" s="196">
        <v>1</v>
      </c>
      <c r="U168" s="196"/>
      <c r="V168" s="196"/>
      <c r="W168" s="196"/>
      <c r="X168" s="196"/>
      <c r="Y168" s="196"/>
      <c r="Z168" s="131">
        <v>1</v>
      </c>
      <c r="AA168" s="131">
        <v>1</v>
      </c>
      <c r="AB168" s="131">
        <v>1</v>
      </c>
      <c r="AC168" s="131">
        <v>1</v>
      </c>
      <c r="AD168" s="71">
        <v>-2.0686947938303946</v>
      </c>
      <c r="AE168" s="71">
        <v>-2.1551992242310485</v>
      </c>
      <c r="AF168" s="130">
        <v>2.8091738769199477</v>
      </c>
      <c r="AG168" s="55" t="s">
        <v>263</v>
      </c>
      <c r="AH168" s="24"/>
    </row>
    <row r="169" spans="2:34" s="1" customFormat="1" ht="15">
      <c r="B169" s="114"/>
      <c r="D169" s="162"/>
      <c r="E169" s="165"/>
      <c r="F169" s="128" t="s">
        <v>88</v>
      </c>
      <c r="G169" s="147"/>
      <c r="H169" s="147"/>
      <c r="I169" s="144"/>
      <c r="J169" s="124"/>
      <c r="K169" s="162"/>
      <c r="L169" s="162"/>
      <c r="M169" s="162"/>
      <c r="O169" s="197"/>
      <c r="P169" s="197"/>
      <c r="Q169" s="197"/>
      <c r="R169" s="197"/>
      <c r="S169" s="197"/>
      <c r="T169" s="197"/>
      <c r="U169" s="197"/>
      <c r="V169" s="197"/>
      <c r="W169" s="197"/>
      <c r="X169" s="197"/>
      <c r="Y169" s="197"/>
      <c r="Z169" s="131">
        <v>1</v>
      </c>
      <c r="AA169" s="125">
        <v>1</v>
      </c>
      <c r="AB169" s="131">
        <v>1</v>
      </c>
      <c r="AC169" s="131" t="s">
        <v>434</v>
      </c>
      <c r="AD169" s="71">
        <v>-1.3263511224067261</v>
      </c>
      <c r="AE169" s="71">
        <v>-0.46720630969970828</v>
      </c>
      <c r="AF169" s="130">
        <v>2.6845454170836969</v>
      </c>
      <c r="AG169" s="55"/>
      <c r="AH169" s="24"/>
    </row>
    <row r="170" spans="2:34" s="1" customFormat="1" ht="15">
      <c r="B170" s="114"/>
      <c r="D170" s="163"/>
      <c r="E170" s="166"/>
      <c r="F170" s="129" t="s">
        <v>442</v>
      </c>
      <c r="G170" s="148"/>
      <c r="H170" s="148"/>
      <c r="I170" s="145"/>
      <c r="J170" s="124"/>
      <c r="K170" s="163"/>
      <c r="L170" s="163"/>
      <c r="M170" s="163"/>
      <c r="O170" s="198"/>
      <c r="P170" s="198"/>
      <c r="Q170" s="198"/>
      <c r="R170" s="198"/>
      <c r="S170" s="198"/>
      <c r="T170" s="198"/>
      <c r="U170" s="198"/>
      <c r="V170" s="198"/>
      <c r="W170" s="198"/>
      <c r="X170" s="198"/>
      <c r="Y170" s="198"/>
      <c r="Z170" s="131">
        <v>1</v>
      </c>
      <c r="AA170" s="131" t="s">
        <v>434</v>
      </c>
      <c r="AB170" s="131">
        <v>1</v>
      </c>
      <c r="AC170" s="131">
        <v>1</v>
      </c>
      <c r="AD170" s="71">
        <v>-0.27579515544152683</v>
      </c>
      <c r="AE170" s="71">
        <v>-0.56748570923585795</v>
      </c>
      <c r="AF170" s="130">
        <v>2.7660661838946621</v>
      </c>
      <c r="AG170" s="55"/>
      <c r="AH170" s="24"/>
    </row>
    <row r="171" spans="2:34" s="1" customFormat="1" ht="15">
      <c r="B171" s="157">
        <v>2012</v>
      </c>
      <c r="C171" s="4"/>
      <c r="D171" s="160">
        <v>2012</v>
      </c>
      <c r="E171" s="161" t="s">
        <v>264</v>
      </c>
      <c r="F171" s="127" t="s">
        <v>443</v>
      </c>
      <c r="G171" s="146"/>
      <c r="H171" s="146"/>
      <c r="I171" s="146"/>
      <c r="J171" s="143"/>
      <c r="K171" s="161"/>
      <c r="L171" s="161"/>
      <c r="M171" s="161"/>
      <c r="O171" s="196">
        <v>1</v>
      </c>
      <c r="P171" s="196"/>
      <c r="Q171" s="196"/>
      <c r="R171" s="196"/>
      <c r="S171" s="196"/>
      <c r="T171" s="196">
        <v>1</v>
      </c>
      <c r="U171" s="196"/>
      <c r="V171" s="196"/>
      <c r="W171" s="196"/>
      <c r="X171" s="196"/>
      <c r="Y171" s="196"/>
      <c r="Z171" s="131">
        <v>1</v>
      </c>
      <c r="AA171" s="131">
        <v>2011</v>
      </c>
      <c r="AB171" s="131" t="s">
        <v>434</v>
      </c>
      <c r="AC171" s="131" t="s">
        <v>434</v>
      </c>
      <c r="AD171" s="71">
        <v>-5.485743201135005E-2</v>
      </c>
      <c r="AE171" s="71">
        <v>-0.45707411560485495</v>
      </c>
      <c r="AF171" s="130">
        <v>2.9551133101297093</v>
      </c>
      <c r="AG171" s="55"/>
    </row>
    <row r="172" spans="2:34" s="1" customFormat="1" ht="15">
      <c r="B172" s="158"/>
      <c r="C172" s="4"/>
      <c r="D172" s="160"/>
      <c r="E172" s="162"/>
      <c r="F172" s="128" t="s">
        <v>444</v>
      </c>
      <c r="G172" s="147"/>
      <c r="H172" s="147"/>
      <c r="I172" s="147"/>
      <c r="J172" s="144"/>
      <c r="K172" s="162"/>
      <c r="L172" s="162"/>
      <c r="M172" s="162"/>
      <c r="O172" s="197"/>
      <c r="P172" s="197"/>
      <c r="Q172" s="197"/>
      <c r="R172" s="197"/>
      <c r="S172" s="197"/>
      <c r="T172" s="197"/>
      <c r="U172" s="197"/>
      <c r="V172" s="197"/>
      <c r="W172" s="197"/>
      <c r="X172" s="197"/>
      <c r="Y172" s="197"/>
      <c r="Z172" s="131">
        <v>1</v>
      </c>
      <c r="AA172" s="131" t="s">
        <v>434</v>
      </c>
      <c r="AB172" s="131" t="s">
        <v>434</v>
      </c>
      <c r="AC172" s="131" t="s">
        <v>434</v>
      </c>
      <c r="AD172" s="71">
        <v>-1.2525314648612471</v>
      </c>
      <c r="AE172" s="71">
        <v>-0.51296186266175647</v>
      </c>
      <c r="AF172" s="130">
        <v>3.2743322614798451</v>
      </c>
      <c r="AG172" s="55"/>
    </row>
    <row r="173" spans="2:34" s="1" customFormat="1" ht="15">
      <c r="B173" s="158"/>
      <c r="C173" s="4"/>
      <c r="D173" s="160"/>
      <c r="E173" s="162"/>
      <c r="F173" s="128" t="s">
        <v>250</v>
      </c>
      <c r="G173" s="147"/>
      <c r="H173" s="147"/>
      <c r="I173" s="147"/>
      <c r="J173" s="144"/>
      <c r="K173" s="162"/>
      <c r="L173" s="162"/>
      <c r="M173" s="162"/>
      <c r="O173" s="197"/>
      <c r="P173" s="197"/>
      <c r="Q173" s="197"/>
      <c r="R173" s="197"/>
      <c r="S173" s="197"/>
      <c r="T173" s="197"/>
      <c r="U173" s="197"/>
      <c r="V173" s="197"/>
      <c r="W173" s="197"/>
      <c r="X173" s="197"/>
      <c r="Y173" s="197"/>
      <c r="Z173" s="131">
        <v>1</v>
      </c>
      <c r="AA173" s="131" t="s">
        <v>260</v>
      </c>
      <c r="AB173" s="131" t="s">
        <v>434</v>
      </c>
      <c r="AC173" s="131" t="s">
        <v>434</v>
      </c>
      <c r="AD173" s="71">
        <v>-0.39507959952575356</v>
      </c>
      <c r="AE173" s="71">
        <v>-0.70399601649343657</v>
      </c>
      <c r="AF173" s="130">
        <v>3.9486313356093219</v>
      </c>
      <c r="AG173" s="55"/>
    </row>
    <row r="174" spans="2:34" s="1" customFormat="1" ht="15">
      <c r="B174" s="158"/>
      <c r="C174" s="4"/>
      <c r="D174" s="160"/>
      <c r="E174" s="162"/>
      <c r="F174" s="128" t="s">
        <v>435</v>
      </c>
      <c r="G174" s="147"/>
      <c r="H174" s="147"/>
      <c r="I174" s="147"/>
      <c r="J174" s="144"/>
      <c r="K174" s="162"/>
      <c r="L174" s="162"/>
      <c r="M174" s="162"/>
      <c r="O174" s="197"/>
      <c r="P174" s="197"/>
      <c r="Q174" s="197"/>
      <c r="R174" s="197"/>
      <c r="S174" s="197"/>
      <c r="T174" s="197"/>
      <c r="U174" s="197"/>
      <c r="V174" s="197"/>
      <c r="W174" s="197"/>
      <c r="X174" s="197"/>
      <c r="Y174" s="197"/>
      <c r="Z174" s="131">
        <v>1</v>
      </c>
      <c r="AA174" s="131" t="s">
        <v>260</v>
      </c>
      <c r="AB174" s="131" t="s">
        <v>434</v>
      </c>
      <c r="AC174" s="131" t="s">
        <v>434</v>
      </c>
      <c r="AD174" s="71">
        <v>-0.94198275359209416</v>
      </c>
      <c r="AE174" s="71">
        <v>-0.9123813322451213</v>
      </c>
      <c r="AF174" s="130">
        <v>2.6547484597180322</v>
      </c>
      <c r="AG174" s="55"/>
    </row>
    <row r="175" spans="2:34" s="1" customFormat="1" ht="15">
      <c r="B175" s="158"/>
      <c r="C175" s="4"/>
      <c r="D175" s="160"/>
      <c r="E175" s="162"/>
      <c r="F175" s="128" t="s">
        <v>436</v>
      </c>
      <c r="G175" s="147"/>
      <c r="H175" s="147"/>
      <c r="I175" s="147"/>
      <c r="J175" s="144"/>
      <c r="K175" s="162"/>
      <c r="L175" s="162"/>
      <c r="M175" s="162"/>
      <c r="O175" s="197"/>
      <c r="P175" s="197"/>
      <c r="Q175" s="197"/>
      <c r="R175" s="197"/>
      <c r="S175" s="197"/>
      <c r="T175" s="197"/>
      <c r="U175" s="197"/>
      <c r="V175" s="197"/>
      <c r="W175" s="197"/>
      <c r="X175" s="197"/>
      <c r="Y175" s="197"/>
      <c r="Z175" s="131">
        <v>1</v>
      </c>
      <c r="AA175" s="131">
        <v>2012</v>
      </c>
      <c r="AB175" s="131">
        <v>2012</v>
      </c>
      <c r="AC175" s="131" t="s">
        <v>434</v>
      </c>
      <c r="AD175" s="71">
        <v>-0.54678503894798436</v>
      </c>
      <c r="AE175" s="71">
        <v>-0.98866028673950701</v>
      </c>
      <c r="AF175" s="130">
        <v>3.161819758193936</v>
      </c>
      <c r="AG175" s="55"/>
    </row>
    <row r="176" spans="2:34" s="1" customFormat="1" ht="15">
      <c r="B176" s="159"/>
      <c r="C176" s="65"/>
      <c r="D176" s="160"/>
      <c r="E176" s="163"/>
      <c r="F176" s="129" t="s">
        <v>438</v>
      </c>
      <c r="G176" s="148"/>
      <c r="H176" s="148"/>
      <c r="I176" s="148"/>
      <c r="J176" s="145"/>
      <c r="K176" s="163"/>
      <c r="L176" s="163"/>
      <c r="M176" s="163"/>
      <c r="O176" s="198"/>
      <c r="P176" s="198"/>
      <c r="Q176" s="198"/>
      <c r="R176" s="198"/>
      <c r="S176" s="198"/>
      <c r="T176" s="198"/>
      <c r="U176" s="198"/>
      <c r="V176" s="198"/>
      <c r="W176" s="198"/>
      <c r="X176" s="198"/>
      <c r="Y176" s="198"/>
      <c r="Z176" s="73">
        <v>1</v>
      </c>
      <c r="AA176" s="73" t="s">
        <v>434</v>
      </c>
      <c r="AB176" s="73" t="s">
        <v>434</v>
      </c>
      <c r="AC176" s="73" t="s">
        <v>434</v>
      </c>
      <c r="AD176" s="71">
        <v>-0.34532467437041109</v>
      </c>
      <c r="AE176" s="71">
        <v>-0.63266125667306916</v>
      </c>
      <c r="AF176" s="130">
        <v>2.9822721705850697</v>
      </c>
      <c r="AG176" s="124"/>
    </row>
    <row r="177" spans="4:32">
      <c r="O177" s="56">
        <f>SUM(O4:O176)</f>
        <v>33</v>
      </c>
      <c r="P177" s="56">
        <f t="shared" ref="P177:AA177" si="0">SUM(P4:P176)</f>
        <v>4</v>
      </c>
      <c r="Q177" s="56">
        <f t="shared" si="0"/>
        <v>14</v>
      </c>
      <c r="R177" s="56">
        <f t="shared" si="0"/>
        <v>21</v>
      </c>
      <c r="S177" s="56">
        <f t="shared" si="0"/>
        <v>29</v>
      </c>
      <c r="T177" s="56">
        <f t="shared" si="0"/>
        <v>35</v>
      </c>
      <c r="U177" s="56">
        <f t="shared" si="0"/>
        <v>22</v>
      </c>
      <c r="V177" s="56">
        <f t="shared" si="0"/>
        <v>38</v>
      </c>
      <c r="W177" s="56">
        <f t="shared" si="0"/>
        <v>12</v>
      </c>
      <c r="X177" s="56">
        <f>SUM(X4:X176)</f>
        <v>6</v>
      </c>
      <c r="Y177" s="56">
        <f>SUM(Y4:Y176)</f>
        <v>5</v>
      </c>
      <c r="AA177" s="56">
        <f t="shared" si="0"/>
        <v>4043</v>
      </c>
      <c r="AB177" s="56"/>
      <c r="AC177" s="56"/>
      <c r="AD177" s="56"/>
      <c r="AE177" s="56"/>
      <c r="AF177" s="56"/>
    </row>
    <row r="179" spans="4:32">
      <c r="D179" s="18" t="s">
        <v>106</v>
      </c>
      <c r="E179" s="18" t="s">
        <v>398</v>
      </c>
      <c r="F179" s="18"/>
    </row>
    <row r="180" spans="4:32">
      <c r="D180" s="18" t="s">
        <v>161</v>
      </c>
      <c r="E180" s="18" t="s">
        <v>399</v>
      </c>
      <c r="F180" s="19" t="s">
        <v>400</v>
      </c>
    </row>
    <row r="181" spans="4:32">
      <c r="D181" s="18" t="s">
        <v>99</v>
      </c>
      <c r="E181" s="18" t="s">
        <v>401</v>
      </c>
      <c r="F181" s="17" t="s">
        <v>402</v>
      </c>
    </row>
    <row r="182" spans="4:32">
      <c r="D182" s="18" t="s">
        <v>107</v>
      </c>
      <c r="E182" s="18" t="s">
        <v>403</v>
      </c>
      <c r="F182" s="17"/>
    </row>
  </sheetData>
  <mergeCells count="1378">
    <mergeCell ref="B2:B3"/>
    <mergeCell ref="D2:D3"/>
    <mergeCell ref="E2:E3"/>
    <mergeCell ref="F2:F3"/>
    <mergeCell ref="G2:G3"/>
    <mergeCell ref="H2:H3"/>
    <mergeCell ref="I2:I3"/>
    <mergeCell ref="Z4:Z6"/>
    <mergeCell ref="O4:O6"/>
    <mergeCell ref="P4:P6"/>
    <mergeCell ref="Q4:Q6"/>
    <mergeCell ref="Y7:Y9"/>
    <mergeCell ref="K2:K3"/>
    <mergeCell ref="L2:L3"/>
    <mergeCell ref="M2:M3"/>
    <mergeCell ref="D4:D6"/>
    <mergeCell ref="E4:E6"/>
    <mergeCell ref="F4:F6"/>
    <mergeCell ref="G4:G6"/>
    <mergeCell ref="H4:H6"/>
    <mergeCell ref="I4:I6"/>
    <mergeCell ref="K4:K6"/>
    <mergeCell ref="O1:Q1"/>
    <mergeCell ref="R1:S1"/>
    <mergeCell ref="U1:V1"/>
    <mergeCell ref="Q7:Q9"/>
    <mergeCell ref="R7:R9"/>
    <mergeCell ref="X4:X6"/>
    <mergeCell ref="Y4:Y6"/>
    <mergeCell ref="D7:D9"/>
    <mergeCell ref="E7:E9"/>
    <mergeCell ref="F7:F9"/>
    <mergeCell ref="G7:G9"/>
    <mergeCell ref="H7:H9"/>
    <mergeCell ref="I7:I9"/>
    <mergeCell ref="K7:K9"/>
    <mergeCell ref="L7:L9"/>
    <mergeCell ref="R4:R6"/>
    <mergeCell ref="S4:S6"/>
    <mergeCell ref="T4:T6"/>
    <mergeCell ref="U4:U6"/>
    <mergeCell ref="V4:V6"/>
    <mergeCell ref="W4:W6"/>
    <mergeCell ref="L4:L6"/>
    <mergeCell ref="M4:M6"/>
    <mergeCell ref="G10:G12"/>
    <mergeCell ref="H10:H12"/>
    <mergeCell ref="I10:I12"/>
    <mergeCell ref="K10:K12"/>
    <mergeCell ref="L10:L12"/>
    <mergeCell ref="M10:M12"/>
    <mergeCell ref="S7:S9"/>
    <mergeCell ref="T7:T9"/>
    <mergeCell ref="U7:U9"/>
    <mergeCell ref="V7:V9"/>
    <mergeCell ref="W7:W9"/>
    <mergeCell ref="X7:X9"/>
    <mergeCell ref="M7:M9"/>
    <mergeCell ref="Z13:Z15"/>
    <mergeCell ref="O13:O15"/>
    <mergeCell ref="P13:P15"/>
    <mergeCell ref="D13:D15"/>
    <mergeCell ref="E13:E15"/>
    <mergeCell ref="F13:F15"/>
    <mergeCell ref="G13:G15"/>
    <mergeCell ref="H13:H15"/>
    <mergeCell ref="I13:I15"/>
    <mergeCell ref="T10:T12"/>
    <mergeCell ref="U10:U12"/>
    <mergeCell ref="V10:V12"/>
    <mergeCell ref="W10:W12"/>
    <mergeCell ref="X10:X12"/>
    <mergeCell ref="Y10:Y12"/>
    <mergeCell ref="Z10:Z12"/>
    <mergeCell ref="Z7:Z9"/>
    <mergeCell ref="O7:O9"/>
    <mergeCell ref="P7:P9"/>
    <mergeCell ref="Z16:Z18"/>
    <mergeCell ref="O16:O18"/>
    <mergeCell ref="P16:P18"/>
    <mergeCell ref="Q16:Q18"/>
    <mergeCell ref="Y19:Y21"/>
    <mergeCell ref="O10:O12"/>
    <mergeCell ref="P10:P12"/>
    <mergeCell ref="Q10:Q12"/>
    <mergeCell ref="R10:R12"/>
    <mergeCell ref="S10:S12"/>
    <mergeCell ref="W13:W15"/>
    <mergeCell ref="X13:X15"/>
    <mergeCell ref="Y13:Y15"/>
    <mergeCell ref="D16:D18"/>
    <mergeCell ref="E16:E18"/>
    <mergeCell ref="F16:F18"/>
    <mergeCell ref="G16:G18"/>
    <mergeCell ref="H16:H18"/>
    <mergeCell ref="I16:I18"/>
    <mergeCell ref="K16:K18"/>
    <mergeCell ref="Q13:Q15"/>
    <mergeCell ref="R13:R15"/>
    <mergeCell ref="S13:S15"/>
    <mergeCell ref="T13:T15"/>
    <mergeCell ref="U13:U15"/>
    <mergeCell ref="V13:V15"/>
    <mergeCell ref="K13:K15"/>
    <mergeCell ref="L13:L15"/>
    <mergeCell ref="M13:M15"/>
    <mergeCell ref="D10:D12"/>
    <mergeCell ref="E10:E12"/>
    <mergeCell ref="F10:F12"/>
    <mergeCell ref="Q19:Q21"/>
    <mergeCell ref="R19:R21"/>
    <mergeCell ref="X16:X18"/>
    <mergeCell ref="Y16:Y18"/>
    <mergeCell ref="D19:D21"/>
    <mergeCell ref="E19:E21"/>
    <mergeCell ref="F19:F21"/>
    <mergeCell ref="G19:G21"/>
    <mergeCell ref="H19:H21"/>
    <mergeCell ref="I19:I21"/>
    <mergeCell ref="K19:K21"/>
    <mergeCell ref="L19:L21"/>
    <mergeCell ref="R16:R18"/>
    <mergeCell ref="S16:S18"/>
    <mergeCell ref="T16:T18"/>
    <mergeCell ref="U16:U18"/>
    <mergeCell ref="V16:V18"/>
    <mergeCell ref="W16:W18"/>
    <mergeCell ref="L16:L18"/>
    <mergeCell ref="M16:M18"/>
    <mergeCell ref="G22:G24"/>
    <mergeCell ref="H22:H24"/>
    <mergeCell ref="I22:I24"/>
    <mergeCell ref="K22:K24"/>
    <mergeCell ref="L22:L24"/>
    <mergeCell ref="M22:M24"/>
    <mergeCell ref="S19:S21"/>
    <mergeCell ref="T19:T21"/>
    <mergeCell ref="U19:U21"/>
    <mergeCell ref="V19:V21"/>
    <mergeCell ref="W19:W21"/>
    <mergeCell ref="X19:X21"/>
    <mergeCell ref="M19:M21"/>
    <mergeCell ref="Z25:Z27"/>
    <mergeCell ref="O25:O27"/>
    <mergeCell ref="P25:P27"/>
    <mergeCell ref="D25:D27"/>
    <mergeCell ref="E25:E27"/>
    <mergeCell ref="F25:F27"/>
    <mergeCell ref="G25:G27"/>
    <mergeCell ref="H25:H27"/>
    <mergeCell ref="I25:I27"/>
    <mergeCell ref="T22:T24"/>
    <mergeCell ref="U22:U24"/>
    <mergeCell ref="V22:V24"/>
    <mergeCell ref="W22:W24"/>
    <mergeCell ref="X22:X24"/>
    <mergeCell ref="Y22:Y24"/>
    <mergeCell ref="Z22:Z24"/>
    <mergeCell ref="Z19:Z21"/>
    <mergeCell ref="O19:O21"/>
    <mergeCell ref="P19:P21"/>
    <mergeCell ref="Z28:Z30"/>
    <mergeCell ref="O28:O30"/>
    <mergeCell ref="P28:P30"/>
    <mergeCell ref="Q28:Q30"/>
    <mergeCell ref="Y31:Y33"/>
    <mergeCell ref="O22:O24"/>
    <mergeCell ref="P22:P24"/>
    <mergeCell ref="Q22:Q24"/>
    <mergeCell ref="R22:R24"/>
    <mergeCell ref="S22:S24"/>
    <mergeCell ref="W25:W27"/>
    <mergeCell ref="X25:X27"/>
    <mergeCell ref="Y25:Y27"/>
    <mergeCell ref="D28:D30"/>
    <mergeCell ref="E28:E30"/>
    <mergeCell ref="F28:F30"/>
    <mergeCell ref="G28:G30"/>
    <mergeCell ref="H28:H30"/>
    <mergeCell ref="I28:I30"/>
    <mergeCell ref="K28:K30"/>
    <mergeCell ref="Q25:Q27"/>
    <mergeCell ref="R25:R27"/>
    <mergeCell ref="S25:S27"/>
    <mergeCell ref="T25:T27"/>
    <mergeCell ref="U25:U27"/>
    <mergeCell ref="V25:V27"/>
    <mergeCell ref="K25:K27"/>
    <mergeCell ref="L25:L27"/>
    <mergeCell ref="M25:M27"/>
    <mergeCell ref="D22:D24"/>
    <mergeCell ref="E22:E24"/>
    <mergeCell ref="F22:F24"/>
    <mergeCell ref="Q31:Q33"/>
    <mergeCell ref="R31:R33"/>
    <mergeCell ref="X28:X30"/>
    <mergeCell ref="Y28:Y30"/>
    <mergeCell ref="D31:D33"/>
    <mergeCell ref="E31:E33"/>
    <mergeCell ref="F31:F33"/>
    <mergeCell ref="G31:G33"/>
    <mergeCell ref="H31:H33"/>
    <mergeCell ref="I31:I33"/>
    <mergeCell ref="K31:K33"/>
    <mergeCell ref="L31:L33"/>
    <mergeCell ref="R28:R30"/>
    <mergeCell ref="S28:S30"/>
    <mergeCell ref="T28:T30"/>
    <mergeCell ref="U28:U30"/>
    <mergeCell ref="V28:V30"/>
    <mergeCell ref="W28:W30"/>
    <mergeCell ref="L28:L30"/>
    <mergeCell ref="M28:M30"/>
    <mergeCell ref="G34:G36"/>
    <mergeCell ref="H34:H36"/>
    <mergeCell ref="I34:I36"/>
    <mergeCell ref="K34:K36"/>
    <mergeCell ref="L34:L36"/>
    <mergeCell ref="M34:M36"/>
    <mergeCell ref="S31:S33"/>
    <mergeCell ref="T31:T33"/>
    <mergeCell ref="U31:U33"/>
    <mergeCell ref="V31:V33"/>
    <mergeCell ref="W31:W33"/>
    <mergeCell ref="X31:X33"/>
    <mergeCell ref="M31:M33"/>
    <mergeCell ref="Z37:Z39"/>
    <mergeCell ref="O37:O39"/>
    <mergeCell ref="P37:P39"/>
    <mergeCell ref="D37:D39"/>
    <mergeCell ref="E37:E39"/>
    <mergeCell ref="F37:F39"/>
    <mergeCell ref="G37:G39"/>
    <mergeCell ref="H37:H39"/>
    <mergeCell ref="I37:I39"/>
    <mergeCell ref="T34:T36"/>
    <mergeCell ref="U34:U36"/>
    <mergeCell ref="V34:V36"/>
    <mergeCell ref="W34:W36"/>
    <mergeCell ref="X34:X36"/>
    <mergeCell ref="Y34:Y36"/>
    <mergeCell ref="Z34:Z36"/>
    <mergeCell ref="Z31:Z33"/>
    <mergeCell ref="O31:O33"/>
    <mergeCell ref="P31:P33"/>
    <mergeCell ref="Z40:Z42"/>
    <mergeCell ref="O40:O42"/>
    <mergeCell ref="P40:P42"/>
    <mergeCell ref="Q40:Q42"/>
    <mergeCell ref="Y43:Y45"/>
    <mergeCell ref="O34:O36"/>
    <mergeCell ref="P34:P36"/>
    <mergeCell ref="Q34:Q36"/>
    <mergeCell ref="R34:R36"/>
    <mergeCell ref="S34:S36"/>
    <mergeCell ref="W37:W39"/>
    <mergeCell ref="X37:X39"/>
    <mergeCell ref="Y37:Y39"/>
    <mergeCell ref="D40:D42"/>
    <mergeCell ref="E40:E42"/>
    <mergeCell ref="F40:F42"/>
    <mergeCell ref="G40:G42"/>
    <mergeCell ref="H40:H42"/>
    <mergeCell ref="I40:I42"/>
    <mergeCell ref="K40:K42"/>
    <mergeCell ref="Q37:Q39"/>
    <mergeCell ref="R37:R39"/>
    <mergeCell ref="S37:S39"/>
    <mergeCell ref="T37:T39"/>
    <mergeCell ref="U37:U39"/>
    <mergeCell ref="V37:V39"/>
    <mergeCell ref="K37:K39"/>
    <mergeCell ref="L37:L39"/>
    <mergeCell ref="M37:M39"/>
    <mergeCell ref="D34:D36"/>
    <mergeCell ref="E34:E36"/>
    <mergeCell ref="F34:F36"/>
    <mergeCell ref="Q43:Q45"/>
    <mergeCell ref="R43:R45"/>
    <mergeCell ref="X40:X42"/>
    <mergeCell ref="Y40:Y42"/>
    <mergeCell ref="D43:D45"/>
    <mergeCell ref="E43:E45"/>
    <mergeCell ref="F43:F45"/>
    <mergeCell ref="G43:G45"/>
    <mergeCell ref="H43:H45"/>
    <mergeCell ref="I43:I45"/>
    <mergeCell ref="K43:K45"/>
    <mergeCell ref="L43:L45"/>
    <mergeCell ref="R40:R42"/>
    <mergeCell ref="S40:S42"/>
    <mergeCell ref="T40:T42"/>
    <mergeCell ref="U40:U42"/>
    <mergeCell ref="V40:V42"/>
    <mergeCell ref="W40:W42"/>
    <mergeCell ref="L40:L42"/>
    <mergeCell ref="M40:M42"/>
    <mergeCell ref="G46:G48"/>
    <mergeCell ref="H46:H48"/>
    <mergeCell ref="I46:I48"/>
    <mergeCell ref="K46:K48"/>
    <mergeCell ref="L46:L48"/>
    <mergeCell ref="M46:M48"/>
    <mergeCell ref="S43:S45"/>
    <mergeCell ref="T43:T45"/>
    <mergeCell ref="U43:U45"/>
    <mergeCell ref="V43:V45"/>
    <mergeCell ref="W43:W45"/>
    <mergeCell ref="X43:X45"/>
    <mergeCell ref="M43:M45"/>
    <mergeCell ref="Z49:Z51"/>
    <mergeCell ref="O49:O51"/>
    <mergeCell ref="P49:P51"/>
    <mergeCell ref="D49:D51"/>
    <mergeCell ref="E49:E51"/>
    <mergeCell ref="F49:F51"/>
    <mergeCell ref="G49:G51"/>
    <mergeCell ref="H49:H51"/>
    <mergeCell ref="I49:I51"/>
    <mergeCell ref="T46:T48"/>
    <mergeCell ref="U46:U48"/>
    <mergeCell ref="V46:V48"/>
    <mergeCell ref="W46:W48"/>
    <mergeCell ref="X46:X48"/>
    <mergeCell ref="Y46:Y48"/>
    <mergeCell ref="Z46:Z48"/>
    <mergeCell ref="Z43:Z45"/>
    <mergeCell ref="O43:O45"/>
    <mergeCell ref="P43:P45"/>
    <mergeCell ref="Z52:Z54"/>
    <mergeCell ref="O52:O54"/>
    <mergeCell ref="P52:P54"/>
    <mergeCell ref="Q52:Q54"/>
    <mergeCell ref="Y55:Y57"/>
    <mergeCell ref="O46:O48"/>
    <mergeCell ref="P46:P48"/>
    <mergeCell ref="Q46:Q48"/>
    <mergeCell ref="R46:R48"/>
    <mergeCell ref="S46:S48"/>
    <mergeCell ref="W49:W51"/>
    <mergeCell ref="X49:X51"/>
    <mergeCell ref="Y49:Y51"/>
    <mergeCell ref="D52:D54"/>
    <mergeCell ref="E52:E54"/>
    <mergeCell ref="F52:F54"/>
    <mergeCell ref="G52:G54"/>
    <mergeCell ref="H52:H54"/>
    <mergeCell ref="I52:I54"/>
    <mergeCell ref="K52:K54"/>
    <mergeCell ref="Q49:Q51"/>
    <mergeCell ref="R49:R51"/>
    <mergeCell ref="S49:S51"/>
    <mergeCell ref="T49:T51"/>
    <mergeCell ref="U49:U51"/>
    <mergeCell ref="V49:V51"/>
    <mergeCell ref="K49:K51"/>
    <mergeCell ref="L49:L51"/>
    <mergeCell ref="M49:M51"/>
    <mergeCell ref="D46:D48"/>
    <mergeCell ref="E46:E48"/>
    <mergeCell ref="F46:F48"/>
    <mergeCell ref="Q55:Q57"/>
    <mergeCell ref="R55:R57"/>
    <mergeCell ref="X52:X54"/>
    <mergeCell ref="Y52:Y54"/>
    <mergeCell ref="D55:D57"/>
    <mergeCell ref="E55:E57"/>
    <mergeCell ref="F55:F57"/>
    <mergeCell ref="G55:G57"/>
    <mergeCell ref="H55:H57"/>
    <mergeCell ref="I55:I57"/>
    <mergeCell ref="K55:K57"/>
    <mergeCell ref="L55:L57"/>
    <mergeCell ref="R52:R54"/>
    <mergeCell ref="S52:S54"/>
    <mergeCell ref="T52:T54"/>
    <mergeCell ref="U52:U54"/>
    <mergeCell ref="V52:V54"/>
    <mergeCell ref="W52:W54"/>
    <mergeCell ref="L52:L54"/>
    <mergeCell ref="M52:M54"/>
    <mergeCell ref="G58:G60"/>
    <mergeCell ref="H58:H60"/>
    <mergeCell ref="I58:I60"/>
    <mergeCell ref="K58:K60"/>
    <mergeCell ref="L58:L60"/>
    <mergeCell ref="M58:M60"/>
    <mergeCell ref="S55:S57"/>
    <mergeCell ref="T55:T57"/>
    <mergeCell ref="U55:U57"/>
    <mergeCell ref="V55:V57"/>
    <mergeCell ref="W55:W57"/>
    <mergeCell ref="X55:X57"/>
    <mergeCell ref="M55:M57"/>
    <mergeCell ref="Z61:Z63"/>
    <mergeCell ref="O61:O63"/>
    <mergeCell ref="P61:P63"/>
    <mergeCell ref="D61:D63"/>
    <mergeCell ref="E61:E63"/>
    <mergeCell ref="F61:F63"/>
    <mergeCell ref="G61:G63"/>
    <mergeCell ref="H61:H63"/>
    <mergeCell ref="I61:I63"/>
    <mergeCell ref="T58:T60"/>
    <mergeCell ref="U58:U60"/>
    <mergeCell ref="V58:V60"/>
    <mergeCell ref="W58:W60"/>
    <mergeCell ref="X58:X60"/>
    <mergeCell ref="Y58:Y60"/>
    <mergeCell ref="Z58:Z60"/>
    <mergeCell ref="Z55:Z57"/>
    <mergeCell ref="O55:O57"/>
    <mergeCell ref="P55:P57"/>
    <mergeCell ref="Z64:Z66"/>
    <mergeCell ref="O64:O66"/>
    <mergeCell ref="P64:P66"/>
    <mergeCell ref="Q64:Q66"/>
    <mergeCell ref="Y67:Y69"/>
    <mergeCell ref="O58:O60"/>
    <mergeCell ref="P58:P60"/>
    <mergeCell ref="Q58:Q60"/>
    <mergeCell ref="R58:R60"/>
    <mergeCell ref="S58:S60"/>
    <mergeCell ref="W61:W63"/>
    <mergeCell ref="X61:X63"/>
    <mergeCell ref="Y61:Y63"/>
    <mergeCell ref="D64:D66"/>
    <mergeCell ref="E64:E66"/>
    <mergeCell ref="F64:F66"/>
    <mergeCell ref="G64:G66"/>
    <mergeCell ref="H64:H66"/>
    <mergeCell ref="I64:I66"/>
    <mergeCell ref="K64:K66"/>
    <mergeCell ref="Q61:Q63"/>
    <mergeCell ref="R61:R63"/>
    <mergeCell ref="S61:S63"/>
    <mergeCell ref="T61:T63"/>
    <mergeCell ref="U61:U63"/>
    <mergeCell ref="V61:V63"/>
    <mergeCell ref="K61:K63"/>
    <mergeCell ref="L61:L63"/>
    <mergeCell ref="M61:M63"/>
    <mergeCell ref="D58:D60"/>
    <mergeCell ref="E58:E60"/>
    <mergeCell ref="F58:F60"/>
    <mergeCell ref="Q67:Q69"/>
    <mergeCell ref="R67:R69"/>
    <mergeCell ref="X64:X66"/>
    <mergeCell ref="Y64:Y66"/>
    <mergeCell ref="D67:D69"/>
    <mergeCell ref="E67:E69"/>
    <mergeCell ref="F67:F69"/>
    <mergeCell ref="G67:G69"/>
    <mergeCell ref="H67:H69"/>
    <mergeCell ref="I67:I69"/>
    <mergeCell ref="K67:K69"/>
    <mergeCell ref="L67:L69"/>
    <mergeCell ref="R64:R66"/>
    <mergeCell ref="S64:S66"/>
    <mergeCell ref="T64:T66"/>
    <mergeCell ref="U64:U66"/>
    <mergeCell ref="V64:V66"/>
    <mergeCell ref="W64:W66"/>
    <mergeCell ref="L64:L66"/>
    <mergeCell ref="M64:M66"/>
    <mergeCell ref="G70:G72"/>
    <mergeCell ref="H70:H72"/>
    <mergeCell ref="I70:I72"/>
    <mergeCell ref="K70:K72"/>
    <mergeCell ref="L70:L72"/>
    <mergeCell ref="M70:M72"/>
    <mergeCell ref="S67:S69"/>
    <mergeCell ref="T67:T69"/>
    <mergeCell ref="U67:U69"/>
    <mergeCell ref="V67:V69"/>
    <mergeCell ref="W67:W69"/>
    <mergeCell ref="X67:X69"/>
    <mergeCell ref="M67:M69"/>
    <mergeCell ref="Z73:Z75"/>
    <mergeCell ref="O73:O75"/>
    <mergeCell ref="P73:P75"/>
    <mergeCell ref="D73:D75"/>
    <mergeCell ref="E73:E75"/>
    <mergeCell ref="F73:F75"/>
    <mergeCell ref="G73:G75"/>
    <mergeCell ref="H73:H75"/>
    <mergeCell ref="I73:I75"/>
    <mergeCell ref="T70:T72"/>
    <mergeCell ref="U70:U72"/>
    <mergeCell ref="V70:V72"/>
    <mergeCell ref="W70:W72"/>
    <mergeCell ref="X70:X72"/>
    <mergeCell ref="Y70:Y72"/>
    <mergeCell ref="Z70:Z72"/>
    <mergeCell ref="Z67:Z69"/>
    <mergeCell ref="O67:O69"/>
    <mergeCell ref="P67:P69"/>
    <mergeCell ref="Z76:Z78"/>
    <mergeCell ref="O76:O78"/>
    <mergeCell ref="P76:P78"/>
    <mergeCell ref="Q76:Q78"/>
    <mergeCell ref="Y79:Y81"/>
    <mergeCell ref="O70:O72"/>
    <mergeCell ref="P70:P72"/>
    <mergeCell ref="Q70:Q72"/>
    <mergeCell ref="R70:R72"/>
    <mergeCell ref="S70:S72"/>
    <mergeCell ref="W73:W75"/>
    <mergeCell ref="X73:X75"/>
    <mergeCell ref="Y73:Y75"/>
    <mergeCell ref="D76:D78"/>
    <mergeCell ref="E76:E78"/>
    <mergeCell ref="F76:F78"/>
    <mergeCell ref="G76:G78"/>
    <mergeCell ref="H76:H78"/>
    <mergeCell ref="I76:I78"/>
    <mergeCell ref="K76:K78"/>
    <mergeCell ref="Q73:Q75"/>
    <mergeCell ref="R73:R75"/>
    <mergeCell ref="S73:S75"/>
    <mergeCell ref="T73:T75"/>
    <mergeCell ref="U73:U75"/>
    <mergeCell ref="V73:V75"/>
    <mergeCell ref="K73:K75"/>
    <mergeCell ref="L73:L75"/>
    <mergeCell ref="M73:M75"/>
    <mergeCell ref="D70:D72"/>
    <mergeCell ref="E70:E72"/>
    <mergeCell ref="F70:F72"/>
    <mergeCell ref="R79:R81"/>
    <mergeCell ref="X76:X78"/>
    <mergeCell ref="Y76:Y78"/>
    <mergeCell ref="D79:D81"/>
    <mergeCell ref="E79:E81"/>
    <mergeCell ref="F79:F81"/>
    <mergeCell ref="G79:G81"/>
    <mergeCell ref="H79:H81"/>
    <mergeCell ref="I79:I81"/>
    <mergeCell ref="K79:K81"/>
    <mergeCell ref="L79:L81"/>
    <mergeCell ref="R76:R78"/>
    <mergeCell ref="S76:S78"/>
    <mergeCell ref="T76:T78"/>
    <mergeCell ref="U76:U78"/>
    <mergeCell ref="V76:V78"/>
    <mergeCell ref="W76:W78"/>
    <mergeCell ref="L76:L78"/>
    <mergeCell ref="M76:M78"/>
    <mergeCell ref="H82:H84"/>
    <mergeCell ref="I82:I84"/>
    <mergeCell ref="K82:K84"/>
    <mergeCell ref="L82:L84"/>
    <mergeCell ref="M82:M84"/>
    <mergeCell ref="S79:S81"/>
    <mergeCell ref="T79:T81"/>
    <mergeCell ref="U79:U81"/>
    <mergeCell ref="V79:V81"/>
    <mergeCell ref="W79:W81"/>
    <mergeCell ref="X79:X81"/>
    <mergeCell ref="M79:M81"/>
    <mergeCell ref="Z85:Z87"/>
    <mergeCell ref="O85:O87"/>
    <mergeCell ref="P85:P87"/>
    <mergeCell ref="D85:D87"/>
    <mergeCell ref="E85:E87"/>
    <mergeCell ref="F85:F87"/>
    <mergeCell ref="G85:G87"/>
    <mergeCell ref="H85:H87"/>
    <mergeCell ref="I85:I87"/>
    <mergeCell ref="T82:T84"/>
    <mergeCell ref="U82:U84"/>
    <mergeCell ref="V82:V84"/>
    <mergeCell ref="W82:W84"/>
    <mergeCell ref="X82:X84"/>
    <mergeCell ref="Y82:Y84"/>
    <mergeCell ref="Z82:Z84"/>
    <mergeCell ref="Z79:Z81"/>
    <mergeCell ref="O79:O81"/>
    <mergeCell ref="P79:P81"/>
    <mergeCell ref="Q79:Q81"/>
    <mergeCell ref="O88:O90"/>
    <mergeCell ref="P88:P90"/>
    <mergeCell ref="Q88:Q90"/>
    <mergeCell ref="Y91:Y93"/>
    <mergeCell ref="O82:O84"/>
    <mergeCell ref="P82:P84"/>
    <mergeCell ref="Q82:Q84"/>
    <mergeCell ref="R82:R84"/>
    <mergeCell ref="S82:S84"/>
    <mergeCell ref="W85:W87"/>
    <mergeCell ref="X85:X87"/>
    <mergeCell ref="Y85:Y87"/>
    <mergeCell ref="D88:D90"/>
    <mergeCell ref="E88:E90"/>
    <mergeCell ref="F88:F90"/>
    <mergeCell ref="G88:G90"/>
    <mergeCell ref="H88:H90"/>
    <mergeCell ref="I88:I90"/>
    <mergeCell ref="K88:K90"/>
    <mergeCell ref="Q85:Q87"/>
    <mergeCell ref="R85:R87"/>
    <mergeCell ref="S85:S87"/>
    <mergeCell ref="T85:T87"/>
    <mergeCell ref="U85:U87"/>
    <mergeCell ref="V85:V87"/>
    <mergeCell ref="K85:K87"/>
    <mergeCell ref="L85:L87"/>
    <mergeCell ref="M85:M87"/>
    <mergeCell ref="D82:D84"/>
    <mergeCell ref="E82:E84"/>
    <mergeCell ref="F82:F84"/>
    <mergeCell ref="G82:G84"/>
    <mergeCell ref="S91:S93"/>
    <mergeCell ref="T91:T93"/>
    <mergeCell ref="U91:U93"/>
    <mergeCell ref="V91:V93"/>
    <mergeCell ref="W91:W93"/>
    <mergeCell ref="X91:X93"/>
    <mergeCell ref="M91:M93"/>
    <mergeCell ref="R97:R100"/>
    <mergeCell ref="Z91:Z93"/>
    <mergeCell ref="O91:O93"/>
    <mergeCell ref="P91:P93"/>
    <mergeCell ref="Q91:Q93"/>
    <mergeCell ref="R91:R93"/>
    <mergeCell ref="X88:X90"/>
    <mergeCell ref="Y88:Y90"/>
    <mergeCell ref="D91:D93"/>
    <mergeCell ref="E91:E93"/>
    <mergeCell ref="F91:F93"/>
    <mergeCell ref="G91:G93"/>
    <mergeCell ref="H91:H93"/>
    <mergeCell ref="I91:I93"/>
    <mergeCell ref="K91:K93"/>
    <mergeCell ref="L91:L93"/>
    <mergeCell ref="R88:R90"/>
    <mergeCell ref="S88:S90"/>
    <mergeCell ref="T88:T90"/>
    <mergeCell ref="U88:U90"/>
    <mergeCell ref="V88:V90"/>
    <mergeCell ref="W88:W90"/>
    <mergeCell ref="L88:L90"/>
    <mergeCell ref="M88:M90"/>
    <mergeCell ref="Z88:Z90"/>
    <mergeCell ref="Z94:Z96"/>
    <mergeCell ref="AA94:AA96"/>
    <mergeCell ref="D97:D100"/>
    <mergeCell ref="E97:E100"/>
    <mergeCell ref="F97:F100"/>
    <mergeCell ref="G97:G100"/>
    <mergeCell ref="H97:H100"/>
    <mergeCell ref="I97:I100"/>
    <mergeCell ref="K97:K100"/>
    <mergeCell ref="L97:L100"/>
    <mergeCell ref="T94:T96"/>
    <mergeCell ref="U94:U96"/>
    <mergeCell ref="V94:V96"/>
    <mergeCell ref="W94:W96"/>
    <mergeCell ref="X94:X96"/>
    <mergeCell ref="Y94:Y96"/>
    <mergeCell ref="O94:O96"/>
    <mergeCell ref="P94:P96"/>
    <mergeCell ref="Q94:Q96"/>
    <mergeCell ref="R94:R96"/>
    <mergeCell ref="S94:S96"/>
    <mergeCell ref="D94:D96"/>
    <mergeCell ref="E94:E96"/>
    <mergeCell ref="F94:F96"/>
    <mergeCell ref="G94:G96"/>
    <mergeCell ref="H94:H96"/>
    <mergeCell ref="I94:I96"/>
    <mergeCell ref="K94:K96"/>
    <mergeCell ref="L94:L96"/>
    <mergeCell ref="M94:M96"/>
    <mergeCell ref="T101:T105"/>
    <mergeCell ref="U101:U105"/>
    <mergeCell ref="V101:V105"/>
    <mergeCell ref="W101:W105"/>
    <mergeCell ref="X101:X105"/>
    <mergeCell ref="Y101:Y105"/>
    <mergeCell ref="M101:M105"/>
    <mergeCell ref="O101:O105"/>
    <mergeCell ref="P101:P105"/>
    <mergeCell ref="Q101:Q105"/>
    <mergeCell ref="R101:R105"/>
    <mergeCell ref="S101:S105"/>
    <mergeCell ref="Y97:Y100"/>
    <mergeCell ref="Z97:Z100"/>
    <mergeCell ref="AA97:AA100"/>
    <mergeCell ref="D101:D105"/>
    <mergeCell ref="E101:E105"/>
    <mergeCell ref="G101:G105"/>
    <mergeCell ref="H101:H105"/>
    <mergeCell ref="I101:I105"/>
    <mergeCell ref="K101:K105"/>
    <mergeCell ref="L101:L105"/>
    <mergeCell ref="S97:S100"/>
    <mergeCell ref="T97:T100"/>
    <mergeCell ref="U97:U100"/>
    <mergeCell ref="V97:V100"/>
    <mergeCell ref="W97:W100"/>
    <mergeCell ref="X97:X100"/>
    <mergeCell ref="M97:M100"/>
    <mergeCell ref="O97:O100"/>
    <mergeCell ref="P97:P100"/>
    <mergeCell ref="Q97:Q100"/>
    <mergeCell ref="Y106:Y108"/>
    <mergeCell ref="Z106:Z108"/>
    <mergeCell ref="AA106:AA108"/>
    <mergeCell ref="D109:D111"/>
    <mergeCell ref="E109:E111"/>
    <mergeCell ref="F109:F111"/>
    <mergeCell ref="G109:G111"/>
    <mergeCell ref="H109:H111"/>
    <mergeCell ref="I109:I111"/>
    <mergeCell ref="K109:K111"/>
    <mergeCell ref="S106:S108"/>
    <mergeCell ref="T106:T108"/>
    <mergeCell ref="U106:U108"/>
    <mergeCell ref="V106:V108"/>
    <mergeCell ref="W106:W108"/>
    <mergeCell ref="X106:X108"/>
    <mergeCell ref="M106:M108"/>
    <mergeCell ref="O106:O108"/>
    <mergeCell ref="P106:P108"/>
    <mergeCell ref="Q106:Q108"/>
    <mergeCell ref="R106:R108"/>
    <mergeCell ref="D106:D108"/>
    <mergeCell ref="E106:E108"/>
    <mergeCell ref="F106:F108"/>
    <mergeCell ref="G106:G108"/>
    <mergeCell ref="H106:H108"/>
    <mergeCell ref="I106:I108"/>
    <mergeCell ref="K106:K108"/>
    <mergeCell ref="L106:L108"/>
    <mergeCell ref="X109:X111"/>
    <mergeCell ref="Y109:Y111"/>
    <mergeCell ref="Z109:Z111"/>
    <mergeCell ref="AA109:AA111"/>
    <mergeCell ref="D112:D114"/>
    <mergeCell ref="E112:E114"/>
    <mergeCell ref="F112:F114"/>
    <mergeCell ref="G112:G114"/>
    <mergeCell ref="H112:H114"/>
    <mergeCell ref="I112:I114"/>
    <mergeCell ref="R109:R111"/>
    <mergeCell ref="S109:S111"/>
    <mergeCell ref="T109:T111"/>
    <mergeCell ref="U109:U111"/>
    <mergeCell ref="V109:V111"/>
    <mergeCell ref="W109:W111"/>
    <mergeCell ref="L109:L111"/>
    <mergeCell ref="M109:M111"/>
    <mergeCell ref="O109:O111"/>
    <mergeCell ref="P109:P111"/>
    <mergeCell ref="Q109:Q111"/>
    <mergeCell ref="W112:W114"/>
    <mergeCell ref="X112:X114"/>
    <mergeCell ref="Y112:Y114"/>
    <mergeCell ref="Z112:Z114"/>
    <mergeCell ref="AA112:AA114"/>
    <mergeCell ref="D115:D117"/>
    <mergeCell ref="E115:E117"/>
    <mergeCell ref="F115:F117"/>
    <mergeCell ref="G115:G117"/>
    <mergeCell ref="H115:H117"/>
    <mergeCell ref="Q112:Q114"/>
    <mergeCell ref="R112:R114"/>
    <mergeCell ref="S112:S114"/>
    <mergeCell ref="T112:T114"/>
    <mergeCell ref="U112:U114"/>
    <mergeCell ref="V112:V114"/>
    <mergeCell ref="K112:K114"/>
    <mergeCell ref="L112:L114"/>
    <mergeCell ref="M112:M114"/>
    <mergeCell ref="O112:O114"/>
    <mergeCell ref="P112:P114"/>
    <mergeCell ref="V115:V117"/>
    <mergeCell ref="W115:W117"/>
    <mergeCell ref="X115:X117"/>
    <mergeCell ref="Y115:Y117"/>
    <mergeCell ref="Z115:Z117"/>
    <mergeCell ref="AA115:AA117"/>
    <mergeCell ref="P115:P117"/>
    <mergeCell ref="Q115:Q117"/>
    <mergeCell ref="R115:R117"/>
    <mergeCell ref="S115:S117"/>
    <mergeCell ref="T115:T117"/>
    <mergeCell ref="U115:U117"/>
    <mergeCell ref="I115:I117"/>
    <mergeCell ref="K115:K117"/>
    <mergeCell ref="L115:L117"/>
    <mergeCell ref="M115:M117"/>
    <mergeCell ref="O115:O117"/>
    <mergeCell ref="W118:W120"/>
    <mergeCell ref="X118:X120"/>
    <mergeCell ref="Y118:Y120"/>
    <mergeCell ref="Z118:Z120"/>
    <mergeCell ref="AA118:AA120"/>
    <mergeCell ref="D121:D123"/>
    <mergeCell ref="E121:E123"/>
    <mergeCell ref="F121:F123"/>
    <mergeCell ref="G121:G123"/>
    <mergeCell ref="H121:H123"/>
    <mergeCell ref="Q118:Q120"/>
    <mergeCell ref="R118:R120"/>
    <mergeCell ref="S118:S120"/>
    <mergeCell ref="T118:T120"/>
    <mergeCell ref="U118:U120"/>
    <mergeCell ref="V118:V120"/>
    <mergeCell ref="K118:K120"/>
    <mergeCell ref="L118:L120"/>
    <mergeCell ref="M118:M120"/>
    <mergeCell ref="O118:O120"/>
    <mergeCell ref="P118:P120"/>
    <mergeCell ref="D118:D120"/>
    <mergeCell ref="E118:E120"/>
    <mergeCell ref="F118:F120"/>
    <mergeCell ref="G118:G120"/>
    <mergeCell ref="H118:H120"/>
    <mergeCell ref="I118:I120"/>
    <mergeCell ref="V121:V123"/>
    <mergeCell ref="W121:W123"/>
    <mergeCell ref="X121:X123"/>
    <mergeCell ref="Y121:Y123"/>
    <mergeCell ref="Z121:Z123"/>
    <mergeCell ref="AA121:AA123"/>
    <mergeCell ref="P121:P123"/>
    <mergeCell ref="Q121:Q123"/>
    <mergeCell ref="R121:R123"/>
    <mergeCell ref="S121:S123"/>
    <mergeCell ref="T121:T123"/>
    <mergeCell ref="U121:U123"/>
    <mergeCell ref="I121:I123"/>
    <mergeCell ref="K121:K123"/>
    <mergeCell ref="L121:L123"/>
    <mergeCell ref="M121:M123"/>
    <mergeCell ref="O121:O123"/>
    <mergeCell ref="W124:W126"/>
    <mergeCell ref="X124:X126"/>
    <mergeCell ref="Y124:Y126"/>
    <mergeCell ref="Z124:Z126"/>
    <mergeCell ref="AA124:AA126"/>
    <mergeCell ref="D127:D129"/>
    <mergeCell ref="E127:E129"/>
    <mergeCell ref="F127:F129"/>
    <mergeCell ref="G127:G129"/>
    <mergeCell ref="H127:H129"/>
    <mergeCell ref="Q124:Q126"/>
    <mergeCell ref="R124:R126"/>
    <mergeCell ref="S124:S126"/>
    <mergeCell ref="T124:T126"/>
    <mergeCell ref="U124:U126"/>
    <mergeCell ref="V124:V126"/>
    <mergeCell ref="K124:K126"/>
    <mergeCell ref="L124:L126"/>
    <mergeCell ref="M124:M126"/>
    <mergeCell ref="O124:O126"/>
    <mergeCell ref="P124:P126"/>
    <mergeCell ref="D124:D126"/>
    <mergeCell ref="E124:E126"/>
    <mergeCell ref="F124:F126"/>
    <mergeCell ref="G124:G126"/>
    <mergeCell ref="H124:H126"/>
    <mergeCell ref="I124:I126"/>
    <mergeCell ref="V127:V129"/>
    <mergeCell ref="W127:W129"/>
    <mergeCell ref="X127:X129"/>
    <mergeCell ref="Y127:Y129"/>
    <mergeCell ref="Z127:Z129"/>
    <mergeCell ref="AA127:AA129"/>
    <mergeCell ref="P127:P129"/>
    <mergeCell ref="Q127:Q129"/>
    <mergeCell ref="R127:R129"/>
    <mergeCell ref="S127:S129"/>
    <mergeCell ref="T127:T129"/>
    <mergeCell ref="U127:U129"/>
    <mergeCell ref="I127:I129"/>
    <mergeCell ref="K127:K129"/>
    <mergeCell ref="L127:L129"/>
    <mergeCell ref="M127:M129"/>
    <mergeCell ref="O127:O129"/>
    <mergeCell ref="W130:W132"/>
    <mergeCell ref="X130:X132"/>
    <mergeCell ref="Y130:Y132"/>
    <mergeCell ref="Z130:Z132"/>
    <mergeCell ref="AA130:AA132"/>
    <mergeCell ref="D133:D135"/>
    <mergeCell ref="E133:E135"/>
    <mergeCell ref="F133:F135"/>
    <mergeCell ref="G133:G135"/>
    <mergeCell ref="H133:H135"/>
    <mergeCell ref="Q130:Q132"/>
    <mergeCell ref="R130:R132"/>
    <mergeCell ref="S130:S132"/>
    <mergeCell ref="T130:T132"/>
    <mergeCell ref="U130:U132"/>
    <mergeCell ref="V130:V132"/>
    <mergeCell ref="K130:K132"/>
    <mergeCell ref="L130:L132"/>
    <mergeCell ref="M130:M132"/>
    <mergeCell ref="O130:O132"/>
    <mergeCell ref="P130:P132"/>
    <mergeCell ref="D130:D132"/>
    <mergeCell ref="E130:E132"/>
    <mergeCell ref="F130:F132"/>
    <mergeCell ref="G130:G132"/>
    <mergeCell ref="H130:H132"/>
    <mergeCell ref="I130:I132"/>
    <mergeCell ref="V133:V135"/>
    <mergeCell ref="W133:W135"/>
    <mergeCell ref="X133:X135"/>
    <mergeCell ref="Y133:Y135"/>
    <mergeCell ref="Z133:Z135"/>
    <mergeCell ref="AA133:AA135"/>
    <mergeCell ref="P133:P135"/>
    <mergeCell ref="Q133:Q135"/>
    <mergeCell ref="R133:R135"/>
    <mergeCell ref="S133:S135"/>
    <mergeCell ref="T133:T135"/>
    <mergeCell ref="U133:U135"/>
    <mergeCell ref="I133:I135"/>
    <mergeCell ref="K133:K135"/>
    <mergeCell ref="L133:L135"/>
    <mergeCell ref="M133:M135"/>
    <mergeCell ref="O133:O135"/>
    <mergeCell ref="W136:W138"/>
    <mergeCell ref="X136:X138"/>
    <mergeCell ref="Y136:Y138"/>
    <mergeCell ref="Z136:Z138"/>
    <mergeCell ref="AA136:AA138"/>
    <mergeCell ref="D139:D141"/>
    <mergeCell ref="E139:E141"/>
    <mergeCell ref="F139:F141"/>
    <mergeCell ref="G139:G141"/>
    <mergeCell ref="H139:H141"/>
    <mergeCell ref="Q136:Q138"/>
    <mergeCell ref="R136:R138"/>
    <mergeCell ref="S136:S138"/>
    <mergeCell ref="T136:T138"/>
    <mergeCell ref="U136:U138"/>
    <mergeCell ref="V136:V138"/>
    <mergeCell ref="K136:K138"/>
    <mergeCell ref="L136:L138"/>
    <mergeCell ref="M136:M138"/>
    <mergeCell ref="O136:O138"/>
    <mergeCell ref="P136:P138"/>
    <mergeCell ref="D136:D138"/>
    <mergeCell ref="E136:E138"/>
    <mergeCell ref="F136:F138"/>
    <mergeCell ref="G136:G138"/>
    <mergeCell ref="H136:H138"/>
    <mergeCell ref="I136:I138"/>
    <mergeCell ref="V139:V141"/>
    <mergeCell ref="W139:W141"/>
    <mergeCell ref="X139:X141"/>
    <mergeCell ref="Y139:Y141"/>
    <mergeCell ref="Z139:Z141"/>
    <mergeCell ref="AA139:AA141"/>
    <mergeCell ref="P139:P141"/>
    <mergeCell ref="Q139:Q141"/>
    <mergeCell ref="R139:R141"/>
    <mergeCell ref="S139:S141"/>
    <mergeCell ref="T139:T141"/>
    <mergeCell ref="U139:U141"/>
    <mergeCell ref="I139:I141"/>
    <mergeCell ref="K139:K141"/>
    <mergeCell ref="L139:L141"/>
    <mergeCell ref="M139:M141"/>
    <mergeCell ref="O139:O141"/>
    <mergeCell ref="W142:W144"/>
    <mergeCell ref="X142:X144"/>
    <mergeCell ref="Y142:Y144"/>
    <mergeCell ref="Z142:Z144"/>
    <mergeCell ref="AA142:AA144"/>
    <mergeCell ref="D145:D147"/>
    <mergeCell ref="E145:E147"/>
    <mergeCell ref="F145:F147"/>
    <mergeCell ref="G145:G147"/>
    <mergeCell ref="H145:H147"/>
    <mergeCell ref="Q142:Q144"/>
    <mergeCell ref="R142:R144"/>
    <mergeCell ref="S142:S144"/>
    <mergeCell ref="T142:T144"/>
    <mergeCell ref="U142:U144"/>
    <mergeCell ref="V142:V144"/>
    <mergeCell ref="K142:K144"/>
    <mergeCell ref="L142:L144"/>
    <mergeCell ref="M142:M144"/>
    <mergeCell ref="O142:O144"/>
    <mergeCell ref="P142:P144"/>
    <mergeCell ref="D142:D144"/>
    <mergeCell ref="E142:E144"/>
    <mergeCell ref="F142:F144"/>
    <mergeCell ref="G142:G144"/>
    <mergeCell ref="H142:H144"/>
    <mergeCell ref="I142:I144"/>
    <mergeCell ref="V145:V147"/>
    <mergeCell ref="W145:W147"/>
    <mergeCell ref="X145:X147"/>
    <mergeCell ref="Y145:Y147"/>
    <mergeCell ref="Z145:Z147"/>
    <mergeCell ref="AA145:AA147"/>
    <mergeCell ref="P145:P147"/>
    <mergeCell ref="Q145:Q147"/>
    <mergeCell ref="R145:R147"/>
    <mergeCell ref="S145:S147"/>
    <mergeCell ref="T145:T147"/>
    <mergeCell ref="U145:U147"/>
    <mergeCell ref="I145:I147"/>
    <mergeCell ref="K145:K147"/>
    <mergeCell ref="L145:L147"/>
    <mergeCell ref="M145:M147"/>
    <mergeCell ref="O145:O147"/>
    <mergeCell ref="Y148:Y150"/>
    <mergeCell ref="Z149:Z150"/>
    <mergeCell ref="D151:D153"/>
    <mergeCell ref="E151:E153"/>
    <mergeCell ref="F151:F153"/>
    <mergeCell ref="G151:G153"/>
    <mergeCell ref="H151:H153"/>
    <mergeCell ref="I151:I153"/>
    <mergeCell ref="S148:S150"/>
    <mergeCell ref="T148:T150"/>
    <mergeCell ref="U148:U150"/>
    <mergeCell ref="V148:V150"/>
    <mergeCell ref="W148:W150"/>
    <mergeCell ref="X148:X150"/>
    <mergeCell ref="L148:L150"/>
    <mergeCell ref="M148:M150"/>
    <mergeCell ref="O148:O150"/>
    <mergeCell ref="P148:P150"/>
    <mergeCell ref="Q148:Q150"/>
    <mergeCell ref="R148:R150"/>
    <mergeCell ref="D148:D150"/>
    <mergeCell ref="E148:E150"/>
    <mergeCell ref="G148:G150"/>
    <mergeCell ref="H148:H150"/>
    <mergeCell ref="I148:I150"/>
    <mergeCell ref="K148:K150"/>
    <mergeCell ref="W151:W153"/>
    <mergeCell ref="X151:X153"/>
    <mergeCell ref="Y151:Y153"/>
    <mergeCell ref="Z151:Z153"/>
    <mergeCell ref="AA151:AA153"/>
    <mergeCell ref="D154:D156"/>
    <mergeCell ref="E154:E156"/>
    <mergeCell ref="F154:F156"/>
    <mergeCell ref="G154:G156"/>
    <mergeCell ref="H154:H156"/>
    <mergeCell ref="Q151:Q153"/>
    <mergeCell ref="R151:R153"/>
    <mergeCell ref="S151:S153"/>
    <mergeCell ref="T151:T153"/>
    <mergeCell ref="U151:U153"/>
    <mergeCell ref="V151:V153"/>
    <mergeCell ref="K151:K153"/>
    <mergeCell ref="L151:L153"/>
    <mergeCell ref="M151:M153"/>
    <mergeCell ref="O151:O153"/>
    <mergeCell ref="P151:P153"/>
    <mergeCell ref="V154:V156"/>
    <mergeCell ref="W154:W156"/>
    <mergeCell ref="X154:X156"/>
    <mergeCell ref="Y154:Y156"/>
    <mergeCell ref="Z154:Z156"/>
    <mergeCell ref="AA154:AA156"/>
    <mergeCell ref="P154:P156"/>
    <mergeCell ref="Q154:Q156"/>
    <mergeCell ref="R154:R156"/>
    <mergeCell ref="S154:S156"/>
    <mergeCell ref="T154:T156"/>
    <mergeCell ref="U154:U156"/>
    <mergeCell ref="I154:I156"/>
    <mergeCell ref="K154:K156"/>
    <mergeCell ref="L154:L156"/>
    <mergeCell ref="M154:M156"/>
    <mergeCell ref="O154:O156"/>
    <mergeCell ref="AA157:AA159"/>
    <mergeCell ref="D160:D162"/>
    <mergeCell ref="E160:E162"/>
    <mergeCell ref="F160:F162"/>
    <mergeCell ref="G160:G162"/>
    <mergeCell ref="H160:H162"/>
    <mergeCell ref="Q157:Q159"/>
    <mergeCell ref="R157:R159"/>
    <mergeCell ref="S157:S159"/>
    <mergeCell ref="T157:T159"/>
    <mergeCell ref="U157:U159"/>
    <mergeCell ref="V157:V159"/>
    <mergeCell ref="K157:K159"/>
    <mergeCell ref="L157:L159"/>
    <mergeCell ref="M157:M159"/>
    <mergeCell ref="O157:O159"/>
    <mergeCell ref="P157:P159"/>
    <mergeCell ref="D157:D159"/>
    <mergeCell ref="E157:E159"/>
    <mergeCell ref="F157:F159"/>
    <mergeCell ref="G157:G159"/>
    <mergeCell ref="H157:H159"/>
    <mergeCell ref="I157:I159"/>
    <mergeCell ref="L163:L167"/>
    <mergeCell ref="M163:M167"/>
    <mergeCell ref="O163:O167"/>
    <mergeCell ref="P163:P167"/>
    <mergeCell ref="Q163:Q167"/>
    <mergeCell ref="R163:R167"/>
    <mergeCell ref="D163:D167"/>
    <mergeCell ref="E163:E167"/>
    <mergeCell ref="G163:G167"/>
    <mergeCell ref="H163:H167"/>
    <mergeCell ref="I163:I167"/>
    <mergeCell ref="K163:K167"/>
    <mergeCell ref="V160:V162"/>
    <mergeCell ref="W160:W162"/>
    <mergeCell ref="X160:X162"/>
    <mergeCell ref="Y160:Y162"/>
    <mergeCell ref="Z160:Z162"/>
    <mergeCell ref="P160:P162"/>
    <mergeCell ref="Q160:Q162"/>
    <mergeCell ref="R160:R162"/>
    <mergeCell ref="S160:S162"/>
    <mergeCell ref="T160:T162"/>
    <mergeCell ref="U160:U162"/>
    <mergeCell ref="I160:I162"/>
    <mergeCell ref="K160:K162"/>
    <mergeCell ref="L160:L162"/>
    <mergeCell ref="M160:M162"/>
    <mergeCell ref="O160:O162"/>
    <mergeCell ref="L171:L176"/>
    <mergeCell ref="M171:M176"/>
    <mergeCell ref="O171:O176"/>
    <mergeCell ref="P171:P176"/>
    <mergeCell ref="Q171:Q176"/>
    <mergeCell ref="R171:R176"/>
    <mergeCell ref="B171:B176"/>
    <mergeCell ref="D171:D176"/>
    <mergeCell ref="E171:E176"/>
    <mergeCell ref="G171:G176"/>
    <mergeCell ref="H171:H176"/>
    <mergeCell ref="I171:I176"/>
    <mergeCell ref="J171:J176"/>
    <mergeCell ref="K171:K176"/>
    <mergeCell ref="T168:T170"/>
    <mergeCell ref="U168:U170"/>
    <mergeCell ref="V168:V170"/>
    <mergeCell ref="M168:M170"/>
    <mergeCell ref="O168:O170"/>
    <mergeCell ref="P168:P170"/>
    <mergeCell ref="Q168:Q170"/>
    <mergeCell ref="R168:R170"/>
    <mergeCell ref="S168:S170"/>
    <mergeCell ref="D168:D170"/>
    <mergeCell ref="E168:E170"/>
    <mergeCell ref="G168:G170"/>
    <mergeCell ref="H168:H170"/>
    <mergeCell ref="I168:I170"/>
    <mergeCell ref="K168:K170"/>
    <mergeCell ref="L168:L170"/>
    <mergeCell ref="AA43:AA45"/>
    <mergeCell ref="Y171:Y176"/>
    <mergeCell ref="AA149:AA150"/>
    <mergeCell ref="AA4:AA6"/>
    <mergeCell ref="AA7:AA9"/>
    <mergeCell ref="AA10:AA12"/>
    <mergeCell ref="AA13:AA15"/>
    <mergeCell ref="AA16:AA18"/>
    <mergeCell ref="AA19:AA21"/>
    <mergeCell ref="AA22:AA24"/>
    <mergeCell ref="AA25:AA27"/>
    <mergeCell ref="S171:S176"/>
    <mergeCell ref="T171:T176"/>
    <mergeCell ref="U171:U176"/>
    <mergeCell ref="V171:V176"/>
    <mergeCell ref="W171:W176"/>
    <mergeCell ref="X171:X176"/>
    <mergeCell ref="W168:W170"/>
    <mergeCell ref="X168:X170"/>
    <mergeCell ref="Y168:Y170"/>
    <mergeCell ref="Y163:Y167"/>
    <mergeCell ref="S163:S167"/>
    <mergeCell ref="T163:T167"/>
    <mergeCell ref="U163:U167"/>
    <mergeCell ref="V163:V167"/>
    <mergeCell ref="W163:W167"/>
    <mergeCell ref="X163:X167"/>
    <mergeCell ref="AA160:AA162"/>
    <mergeCell ref="W157:W159"/>
    <mergeCell ref="X157:X159"/>
    <mergeCell ref="Y157:Y159"/>
    <mergeCell ref="Z157:Z159"/>
    <mergeCell ref="AB19:AB21"/>
    <mergeCell ref="AB22:AB24"/>
    <mergeCell ref="AB25:AB27"/>
    <mergeCell ref="AB28:AB30"/>
    <mergeCell ref="AB31:AB33"/>
    <mergeCell ref="AB34:AB36"/>
    <mergeCell ref="AA82:AA84"/>
    <mergeCell ref="AA85:AA87"/>
    <mergeCell ref="AA88:AA90"/>
    <mergeCell ref="AA91:AA93"/>
    <mergeCell ref="AB4:AB6"/>
    <mergeCell ref="AB7:AB9"/>
    <mergeCell ref="AB10:AB12"/>
    <mergeCell ref="AB13:AB15"/>
    <mergeCell ref="AB16:AB18"/>
    <mergeCell ref="AA64:AA66"/>
    <mergeCell ref="AA67:AA69"/>
    <mergeCell ref="AA70:AA72"/>
    <mergeCell ref="AA73:AA75"/>
    <mergeCell ref="AA76:AA78"/>
    <mergeCell ref="AA79:AA81"/>
    <mergeCell ref="AA46:AA48"/>
    <mergeCell ref="AA49:AA51"/>
    <mergeCell ref="AA52:AA54"/>
    <mergeCell ref="AA55:AA57"/>
    <mergeCell ref="AA58:AA60"/>
    <mergeCell ref="AA61:AA63"/>
    <mergeCell ref="AA28:AA30"/>
    <mergeCell ref="AA31:AA33"/>
    <mergeCell ref="AA34:AA36"/>
    <mergeCell ref="AA37:AA39"/>
    <mergeCell ref="AA40:AA42"/>
    <mergeCell ref="AB109:AB111"/>
    <mergeCell ref="AB112:AB114"/>
    <mergeCell ref="AB73:AB75"/>
    <mergeCell ref="AB76:AB78"/>
    <mergeCell ref="AB79:AB81"/>
    <mergeCell ref="AB82:AB84"/>
    <mergeCell ref="AB85:AB87"/>
    <mergeCell ref="AB88:AB90"/>
    <mergeCell ref="AB55:AB57"/>
    <mergeCell ref="AB58:AB60"/>
    <mergeCell ref="AB61:AB63"/>
    <mergeCell ref="AB64:AB66"/>
    <mergeCell ref="AB67:AB69"/>
    <mergeCell ref="AB70:AB72"/>
    <mergeCell ref="AB37:AB39"/>
    <mergeCell ref="AB40:AB42"/>
    <mergeCell ref="AB43:AB45"/>
    <mergeCell ref="AB46:AB48"/>
    <mergeCell ref="AB49:AB51"/>
    <mergeCell ref="AB52:AB54"/>
    <mergeCell ref="AC22:AC24"/>
    <mergeCell ref="AC25:AC27"/>
    <mergeCell ref="AC28:AC30"/>
    <mergeCell ref="AC31:AC33"/>
    <mergeCell ref="AC34:AC36"/>
    <mergeCell ref="AC37:AC39"/>
    <mergeCell ref="AB151:AB153"/>
    <mergeCell ref="AB154:AB156"/>
    <mergeCell ref="AB157:AB159"/>
    <mergeCell ref="AB160:AB162"/>
    <mergeCell ref="AC4:AC6"/>
    <mergeCell ref="AC7:AC9"/>
    <mergeCell ref="AC10:AC12"/>
    <mergeCell ref="AC13:AC15"/>
    <mergeCell ref="AC16:AC18"/>
    <mergeCell ref="AC19:AC21"/>
    <mergeCell ref="AB133:AB135"/>
    <mergeCell ref="AB136:AB138"/>
    <mergeCell ref="AB139:AB141"/>
    <mergeCell ref="AB142:AB144"/>
    <mergeCell ref="AB145:AB147"/>
    <mergeCell ref="AB149:AB150"/>
    <mergeCell ref="AB115:AB117"/>
    <mergeCell ref="AB118:AB120"/>
    <mergeCell ref="AB121:AB123"/>
    <mergeCell ref="AB124:AB126"/>
    <mergeCell ref="AB127:AB129"/>
    <mergeCell ref="AB130:AB132"/>
    <mergeCell ref="AB91:AB93"/>
    <mergeCell ref="AB94:AB96"/>
    <mergeCell ref="AB97:AB100"/>
    <mergeCell ref="AB106:AB108"/>
    <mergeCell ref="AC115:AC117"/>
    <mergeCell ref="AC76:AC78"/>
    <mergeCell ref="AC79:AC81"/>
    <mergeCell ref="AC82:AC84"/>
    <mergeCell ref="AC85:AC87"/>
    <mergeCell ref="AC88:AC90"/>
    <mergeCell ref="AC91:AC93"/>
    <mergeCell ref="AC58:AC60"/>
    <mergeCell ref="AC61:AC63"/>
    <mergeCell ref="AC64:AC66"/>
    <mergeCell ref="AC67:AC69"/>
    <mergeCell ref="AC70:AC72"/>
    <mergeCell ref="AC73:AC75"/>
    <mergeCell ref="AC40:AC42"/>
    <mergeCell ref="AC43:AC45"/>
    <mergeCell ref="AC46:AC48"/>
    <mergeCell ref="AC49:AC51"/>
    <mergeCell ref="AC52:AC54"/>
    <mergeCell ref="AC55:AC57"/>
    <mergeCell ref="AD109:AD111"/>
    <mergeCell ref="AE109:AE111"/>
    <mergeCell ref="AD112:AD114"/>
    <mergeCell ref="AE112:AE114"/>
    <mergeCell ref="AD115:AD117"/>
    <mergeCell ref="AE115:AE117"/>
    <mergeCell ref="AC154:AC156"/>
    <mergeCell ref="AC157:AC159"/>
    <mergeCell ref="AC160:AC162"/>
    <mergeCell ref="AD94:AD96"/>
    <mergeCell ref="AE94:AE96"/>
    <mergeCell ref="AD97:AD100"/>
    <mergeCell ref="AE97:AE100"/>
    <mergeCell ref="AD106:AD108"/>
    <mergeCell ref="AE106:AE108"/>
    <mergeCell ref="AC136:AC138"/>
    <mergeCell ref="AC139:AC141"/>
    <mergeCell ref="AC142:AC144"/>
    <mergeCell ref="AC145:AC147"/>
    <mergeCell ref="AC149:AC150"/>
    <mergeCell ref="AC151:AC153"/>
    <mergeCell ref="AC118:AC120"/>
    <mergeCell ref="AC121:AC123"/>
    <mergeCell ref="AC124:AC126"/>
    <mergeCell ref="AC127:AC129"/>
    <mergeCell ref="AC130:AC132"/>
    <mergeCell ref="AC133:AC135"/>
    <mergeCell ref="AC94:AC96"/>
    <mergeCell ref="AC97:AC100"/>
    <mergeCell ref="AC106:AC108"/>
    <mergeCell ref="AC109:AC111"/>
    <mergeCell ref="AC112:AC114"/>
    <mergeCell ref="AD151:AD153"/>
    <mergeCell ref="AE151:AE153"/>
    <mergeCell ref="AD136:AD138"/>
    <mergeCell ref="AE136:AE138"/>
    <mergeCell ref="AD139:AD141"/>
    <mergeCell ref="AE139:AE141"/>
    <mergeCell ref="AD142:AD144"/>
    <mergeCell ref="AE142:AE144"/>
    <mergeCell ref="AD127:AD129"/>
    <mergeCell ref="AE127:AE129"/>
    <mergeCell ref="AD130:AD132"/>
    <mergeCell ref="AE130:AE132"/>
    <mergeCell ref="AD133:AD135"/>
    <mergeCell ref="AE133:AE135"/>
    <mergeCell ref="AD118:AD120"/>
    <mergeCell ref="AE118:AE120"/>
    <mergeCell ref="AD121:AD123"/>
    <mergeCell ref="AE121:AE123"/>
    <mergeCell ref="AD124:AD126"/>
    <mergeCell ref="AE124:AE126"/>
    <mergeCell ref="AF154:AF156"/>
    <mergeCell ref="AF157:AF159"/>
    <mergeCell ref="AF160:AF162"/>
    <mergeCell ref="Z2:AF2"/>
    <mergeCell ref="AF136:AF138"/>
    <mergeCell ref="AF139:AF141"/>
    <mergeCell ref="AF142:AF144"/>
    <mergeCell ref="AF145:AF147"/>
    <mergeCell ref="AF149:AF150"/>
    <mergeCell ref="AF151:AF153"/>
    <mergeCell ref="AF118:AF120"/>
    <mergeCell ref="AF121:AF123"/>
    <mergeCell ref="AF124:AF126"/>
    <mergeCell ref="AF127:AF129"/>
    <mergeCell ref="AF130:AF132"/>
    <mergeCell ref="AF133:AF135"/>
    <mergeCell ref="AF94:AF96"/>
    <mergeCell ref="AF97:AF100"/>
    <mergeCell ref="AF106:AF108"/>
    <mergeCell ref="AF109:AF111"/>
    <mergeCell ref="AF112:AF114"/>
    <mergeCell ref="AF115:AF117"/>
    <mergeCell ref="AD154:AD156"/>
    <mergeCell ref="AE154:AE156"/>
    <mergeCell ref="AD157:AD159"/>
    <mergeCell ref="AE157:AE159"/>
    <mergeCell ref="AD160:AD162"/>
    <mergeCell ref="AE160:AE162"/>
    <mergeCell ref="AD145:AD147"/>
    <mergeCell ref="AE145:AE147"/>
    <mergeCell ref="AD149:AD150"/>
    <mergeCell ref="AE149:AE150"/>
  </mergeCells>
  <phoneticPr fontId="20"/>
  <hyperlinks>
    <hyperlink ref="AG145" r:id="rId1" xr:uid="{00000000-0004-0000-0500-000000000000}"/>
    <hyperlink ref="AG103" r:id="rId2" xr:uid="{00000000-0004-0000-0500-000001000000}"/>
    <hyperlink ref="AG107" r:id="rId3" xr:uid="{00000000-0004-0000-0500-000002000000}"/>
    <hyperlink ref="AG113" r:id="rId4" xr:uid="{00000000-0004-0000-0500-000003000000}"/>
    <hyperlink ref="AG116" r:id="rId5" xr:uid="{00000000-0004-0000-0500-000004000000}"/>
    <hyperlink ref="AG117" r:id="rId6" xr:uid="{00000000-0004-0000-0500-000005000000}"/>
    <hyperlink ref="AG119" r:id="rId7" xr:uid="{00000000-0004-0000-0500-000006000000}"/>
    <hyperlink ref="AG123" r:id="rId8" xr:uid="{00000000-0004-0000-0500-000007000000}"/>
    <hyperlink ref="AG134" r:id="rId9" xr:uid="{00000000-0004-0000-0500-000008000000}"/>
    <hyperlink ref="AG137" r:id="rId10" xr:uid="{00000000-0004-0000-0500-000009000000}"/>
    <hyperlink ref="AG138" r:id="rId11" display="http://www.fews.net/docs/Publications/Lives Lost, Lives Saved.pdf" xr:uid="{00000000-0004-0000-0500-00000A000000}"/>
    <hyperlink ref="AG139" r:id="rId12" xr:uid="{00000000-0004-0000-0500-00000B000000}"/>
    <hyperlink ref="AG142" r:id="rId13" xr:uid="{00000000-0004-0000-0500-00000C000000}"/>
    <hyperlink ref="AG143" r:id="rId14" xr:uid="{00000000-0004-0000-0500-00000D000000}"/>
    <hyperlink ref="AG146" r:id="rId15" display="http://onlinelibrary.wiley.com/doi/10.1111/j.0361-3666.2005.00286.x/pdf" xr:uid="{00000000-0004-0000-0500-00000E000000}"/>
    <hyperlink ref="AG148" r:id="rId16" xr:uid="{00000000-0004-0000-0500-00000F000000}"/>
    <hyperlink ref="AG149" r:id="rId17" xr:uid="{00000000-0004-0000-0500-000010000000}"/>
    <hyperlink ref="AG151" r:id="rId18" xr:uid="{00000000-0004-0000-0500-000011000000}"/>
    <hyperlink ref="AG168" r:id="rId19" xr:uid="{00000000-0004-0000-0500-000012000000}"/>
    <hyperlink ref="AG154" r:id="rId20" xr:uid="{00000000-0004-0000-0500-000013000000}"/>
    <hyperlink ref="AG160" r:id="rId21" xr:uid="{00000000-0004-0000-0500-000014000000}"/>
    <hyperlink ref="AG161" r:id="rId22" xr:uid="{00000000-0004-0000-0500-000015000000}"/>
    <hyperlink ref="F180" r:id="rId23" location="v=onepage&amp;q&amp;f=false" display="http://books.google.co.jp/books/p/princeton?id=LoN2XkjJio4C&amp;printsec=frontcover&amp;hl=en&amp;source=gbs_ViewAPI&amp;redir_esc=y - v=onepage&amp;q&amp;f=false" xr:uid="{00000000-0004-0000-0500-000016000000}"/>
    <hyperlink ref="F181" r:id="rId24" xr:uid="{00000000-0004-0000-0500-000017000000}"/>
    <hyperlink ref="AG158" r:id="rId25" xr:uid="{00000000-0004-0000-0500-000018000000}"/>
    <hyperlink ref="AG162" r:id="rId26" xr:uid="{00000000-0004-0000-0500-000019000000}"/>
    <hyperlink ref="AG82" r:id="rId27" xr:uid="{00000000-0004-0000-0500-00001A000000}"/>
    <hyperlink ref="AG75" r:id="rId28" xr:uid="{00000000-0004-0000-0500-00001B000000}"/>
    <hyperlink ref="AG70" r:id="rId29" xr:uid="{00000000-0004-0000-0500-00001C000000}"/>
    <hyperlink ref="AG67" r:id="rId30" xr:uid="{00000000-0004-0000-0500-00001D000000}"/>
    <hyperlink ref="AG56" r:id="rId31" xr:uid="{00000000-0004-0000-0500-00001E000000}"/>
    <hyperlink ref="AG52" r:id="rId32" xr:uid="{00000000-0004-0000-0500-00001F000000}"/>
    <hyperlink ref="AG46" r:id="rId33" xr:uid="{00000000-0004-0000-0500-000020000000}"/>
    <hyperlink ref="AG43" r:id="rId34" xr:uid="{00000000-0004-0000-0500-000021000000}"/>
    <hyperlink ref="AG38" r:id="rId35" xr:uid="{00000000-0004-0000-0500-000022000000}"/>
    <hyperlink ref="AG22" r:id="rId36" xr:uid="{00000000-0004-0000-0500-000023000000}"/>
    <hyperlink ref="AG16" r:id="rId37" xr:uid="{00000000-0004-0000-0500-000024000000}"/>
    <hyperlink ref="AG10" r:id="rId38" xr:uid="{00000000-0004-0000-0500-000025000000}"/>
  </hyperlinks>
  <pageMargins left="0.5" right="0.5" top="0.25" bottom="0.25" header="0.3" footer="0.3"/>
  <pageSetup paperSize="9" scale="40" fitToWidth="0" orientation="landscape" r:id="rId39"/>
  <drawing r:id="rId40"/>
  <legacyDrawing r:id="rId4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AJ182"/>
  <sheetViews>
    <sheetView zoomScale="60" zoomScaleNormal="60" workbookViewId="0">
      <pane xSplit="3" ySplit="3" topLeftCell="D160" activePane="bottomRight" state="frozen"/>
      <selection pane="topRight" activeCell="D1" sqref="D1"/>
      <selection pane="bottomLeft" activeCell="A4" sqref="A4"/>
      <selection pane="bottomRight" activeCell="S171" sqref="S171:S176"/>
    </sheetView>
  </sheetViews>
  <sheetFormatPr baseColWidth="10" defaultColWidth="8.83203125" defaultRowHeight="14"/>
  <cols>
    <col min="1" max="1" width="2.6640625" style="1" customWidth="1"/>
    <col min="2" max="2" width="5.5" style="1" customWidth="1"/>
    <col min="3" max="3" width="2.6640625" style="1" hidden="1" customWidth="1"/>
    <col min="4" max="4" width="11.6640625" style="1" customWidth="1"/>
    <col min="5" max="5" width="18" style="1" customWidth="1"/>
    <col min="6" max="8" width="10.83203125" style="1" customWidth="1"/>
    <col min="9" max="9" width="12.1640625" style="1" customWidth="1"/>
    <col min="10" max="10" width="3" style="1" hidden="1" customWidth="1"/>
    <col min="11" max="13" width="26.6640625" style="1" customWidth="1"/>
    <col min="14" max="14" width="13.33203125" style="56" hidden="1" customWidth="1"/>
    <col min="15" max="25" width="13.33203125" style="56" customWidth="1"/>
    <col min="26" max="26" width="36.5" style="1" hidden="1" customWidth="1"/>
    <col min="27" max="27" width="14.1640625" style="1" hidden="1" customWidth="1"/>
    <col min="28" max="28" width="27.5" style="56" customWidth="1"/>
    <col min="29" max="30" width="8.83203125" style="1"/>
    <col min="31" max="31" width="12.5" style="1" bestFit="1" customWidth="1"/>
    <col min="32" max="32" width="11.5" style="1" bestFit="1" customWidth="1"/>
    <col min="33" max="33" width="8.83203125" style="1"/>
    <col min="34" max="34" width="11.5" style="1" bestFit="1" customWidth="1"/>
    <col min="35" max="35" width="12.5" style="1" bestFit="1" customWidth="1"/>
    <col min="36" max="36" width="11.5" style="1" bestFit="1" customWidth="1"/>
    <col min="37" max="16384" width="8.83203125" style="25"/>
  </cols>
  <sheetData>
    <row r="1" spans="2:28">
      <c r="D1" s="2"/>
      <c r="E1" s="2"/>
      <c r="F1" s="2"/>
      <c r="G1" s="3"/>
      <c r="H1" s="2"/>
      <c r="I1" s="2"/>
      <c r="J1" s="4"/>
      <c r="O1" s="203" t="s">
        <v>520</v>
      </c>
      <c r="P1" s="203"/>
      <c r="Q1" s="203"/>
      <c r="R1" s="203" t="s">
        <v>490</v>
      </c>
      <c r="S1" s="203"/>
      <c r="T1" s="137" t="s">
        <v>491</v>
      </c>
      <c r="U1" s="204" t="s">
        <v>492</v>
      </c>
      <c r="V1" s="205"/>
      <c r="W1" s="136" t="s">
        <v>493</v>
      </c>
      <c r="X1" s="136" t="s">
        <v>494</v>
      </c>
      <c r="Y1" s="137"/>
    </row>
    <row r="2" spans="2:28" ht="15">
      <c r="B2" s="178"/>
      <c r="D2" s="180" t="s">
        <v>0</v>
      </c>
      <c r="E2" s="180" t="s">
        <v>1</v>
      </c>
      <c r="F2" s="180" t="s">
        <v>2</v>
      </c>
      <c r="G2" s="140" t="s">
        <v>3</v>
      </c>
      <c r="H2" s="140" t="s">
        <v>4</v>
      </c>
      <c r="I2" s="140" t="s">
        <v>5</v>
      </c>
      <c r="J2" s="124"/>
      <c r="K2" s="180" t="s">
        <v>6</v>
      </c>
      <c r="L2" s="180" t="s">
        <v>7</v>
      </c>
      <c r="M2" s="180" t="s">
        <v>8</v>
      </c>
      <c r="N2" s="100" t="s">
        <v>269</v>
      </c>
      <c r="O2" s="101"/>
      <c r="P2" s="101"/>
      <c r="Q2" s="101"/>
      <c r="R2" s="102"/>
      <c r="S2" s="102"/>
      <c r="T2" s="102"/>
      <c r="U2" s="102"/>
      <c r="V2" s="102"/>
      <c r="W2" s="102"/>
      <c r="X2" s="102"/>
      <c r="Y2" s="102"/>
      <c r="Z2" s="1" t="s">
        <v>9</v>
      </c>
      <c r="AA2" s="1" t="s">
        <v>10</v>
      </c>
      <c r="AB2" s="55" t="s">
        <v>11</v>
      </c>
    </row>
    <row r="3" spans="2:28" ht="45">
      <c r="B3" s="179"/>
      <c r="D3" s="181"/>
      <c r="E3" s="181"/>
      <c r="F3" s="181"/>
      <c r="G3" s="142"/>
      <c r="H3" s="142"/>
      <c r="I3" s="142"/>
      <c r="J3" s="124"/>
      <c r="K3" s="181"/>
      <c r="L3" s="181"/>
      <c r="M3" s="181"/>
      <c r="N3" s="76" t="s">
        <v>420</v>
      </c>
      <c r="O3" s="76" t="s">
        <v>269</v>
      </c>
      <c r="P3" s="76" t="s">
        <v>270</v>
      </c>
      <c r="Q3" s="76" t="s">
        <v>496</v>
      </c>
      <c r="R3" s="76" t="s">
        <v>497</v>
      </c>
      <c r="S3" s="76" t="s">
        <v>498</v>
      </c>
      <c r="T3" s="76" t="s">
        <v>499</v>
      </c>
      <c r="U3" s="76" t="s">
        <v>500</v>
      </c>
      <c r="V3" s="76" t="s">
        <v>501</v>
      </c>
      <c r="W3" s="76" t="s">
        <v>502</v>
      </c>
      <c r="X3" s="76" t="s">
        <v>503</v>
      </c>
      <c r="Y3" s="76" t="s">
        <v>504</v>
      </c>
      <c r="Z3" s="1" t="s">
        <v>9</v>
      </c>
      <c r="AA3" s="1" t="s">
        <v>10</v>
      </c>
      <c r="AB3" s="55"/>
    </row>
    <row r="4" spans="2:28" ht="15" customHeight="1">
      <c r="B4" s="105">
        <v>1903</v>
      </c>
      <c r="D4" s="161" t="s">
        <v>12</v>
      </c>
      <c r="E4" s="164" t="s">
        <v>13</v>
      </c>
      <c r="F4" s="164" t="s">
        <v>13</v>
      </c>
      <c r="G4" s="146">
        <v>5000</v>
      </c>
      <c r="H4" s="146"/>
      <c r="I4" s="143"/>
      <c r="J4" s="124"/>
      <c r="K4" s="161"/>
      <c r="L4" s="161"/>
      <c r="M4" s="161"/>
      <c r="N4" s="151"/>
      <c r="O4" s="196"/>
      <c r="P4" s="196"/>
      <c r="Q4" s="196"/>
      <c r="R4" s="196"/>
      <c r="S4" s="196"/>
      <c r="T4" s="196"/>
      <c r="U4" s="196"/>
      <c r="V4" s="196"/>
      <c r="W4" s="196"/>
      <c r="X4" s="196"/>
      <c r="Y4" s="196"/>
      <c r="AB4" s="55"/>
    </row>
    <row r="5" spans="2:28" ht="15" customHeight="1">
      <c r="B5" s="105"/>
      <c r="D5" s="162"/>
      <c r="E5" s="165"/>
      <c r="F5" s="165"/>
      <c r="G5" s="147"/>
      <c r="H5" s="147"/>
      <c r="I5" s="144"/>
      <c r="J5" s="124"/>
      <c r="K5" s="162"/>
      <c r="L5" s="162"/>
      <c r="M5" s="162"/>
      <c r="N5" s="152"/>
      <c r="O5" s="197"/>
      <c r="P5" s="197"/>
      <c r="Q5" s="197"/>
      <c r="R5" s="197"/>
      <c r="S5" s="197"/>
      <c r="T5" s="197"/>
      <c r="U5" s="197"/>
      <c r="V5" s="197"/>
      <c r="W5" s="197"/>
      <c r="X5" s="197"/>
      <c r="Y5" s="197"/>
      <c r="AB5" s="55"/>
    </row>
    <row r="6" spans="2:28" ht="15" customHeight="1">
      <c r="B6" s="105"/>
      <c r="D6" s="163"/>
      <c r="E6" s="166"/>
      <c r="F6" s="166"/>
      <c r="G6" s="148"/>
      <c r="H6" s="148"/>
      <c r="I6" s="145"/>
      <c r="J6" s="124"/>
      <c r="K6" s="163"/>
      <c r="L6" s="163"/>
      <c r="M6" s="163"/>
      <c r="N6" s="153"/>
      <c r="O6" s="198"/>
      <c r="P6" s="198"/>
      <c r="Q6" s="198"/>
      <c r="R6" s="198"/>
      <c r="S6" s="198"/>
      <c r="T6" s="198"/>
      <c r="U6" s="198"/>
      <c r="V6" s="198"/>
      <c r="W6" s="198"/>
      <c r="X6" s="198"/>
      <c r="Y6" s="198"/>
      <c r="AB6" s="55"/>
    </row>
    <row r="7" spans="2:28" ht="15" customHeight="1">
      <c r="B7" s="105">
        <v>1906</v>
      </c>
      <c r="D7" s="161">
        <v>1906</v>
      </c>
      <c r="E7" s="164" t="s">
        <v>14</v>
      </c>
      <c r="F7" s="164" t="s">
        <v>15</v>
      </c>
      <c r="G7" s="146">
        <v>37500</v>
      </c>
      <c r="H7" s="146"/>
      <c r="I7" s="143"/>
      <c r="J7" s="124"/>
      <c r="K7" s="161"/>
      <c r="L7" s="161"/>
      <c r="M7" s="161"/>
      <c r="N7" s="151"/>
      <c r="O7" s="196"/>
      <c r="P7" s="196"/>
      <c r="Q7" s="196"/>
      <c r="R7" s="196">
        <v>1</v>
      </c>
      <c r="S7" s="196"/>
      <c r="T7" s="196">
        <v>1</v>
      </c>
      <c r="U7" s="196"/>
      <c r="V7" s="196">
        <v>1</v>
      </c>
      <c r="W7" s="196"/>
      <c r="X7" s="196"/>
      <c r="Y7" s="196"/>
      <c r="AB7" s="55"/>
    </row>
    <row r="8" spans="2:28" ht="15" customHeight="1">
      <c r="B8" s="105"/>
      <c r="D8" s="162"/>
      <c r="E8" s="165"/>
      <c r="F8" s="165"/>
      <c r="G8" s="147"/>
      <c r="H8" s="147"/>
      <c r="I8" s="144"/>
      <c r="J8" s="124"/>
      <c r="K8" s="162"/>
      <c r="L8" s="162"/>
      <c r="M8" s="162"/>
      <c r="N8" s="152"/>
      <c r="O8" s="197"/>
      <c r="P8" s="197"/>
      <c r="Q8" s="197"/>
      <c r="R8" s="197"/>
      <c r="S8" s="197"/>
      <c r="T8" s="197"/>
      <c r="U8" s="197"/>
      <c r="V8" s="197"/>
      <c r="W8" s="197"/>
      <c r="X8" s="197"/>
      <c r="Y8" s="197"/>
      <c r="AB8" s="55"/>
    </row>
    <row r="9" spans="2:28" ht="15" customHeight="1">
      <c r="B9" s="105"/>
      <c r="D9" s="163"/>
      <c r="E9" s="166"/>
      <c r="F9" s="166"/>
      <c r="G9" s="148"/>
      <c r="H9" s="148"/>
      <c r="I9" s="145"/>
      <c r="J9" s="124"/>
      <c r="K9" s="163"/>
      <c r="L9" s="163"/>
      <c r="M9" s="163"/>
      <c r="N9" s="153"/>
      <c r="O9" s="198"/>
      <c r="P9" s="198"/>
      <c r="Q9" s="198"/>
      <c r="R9" s="198"/>
      <c r="S9" s="198"/>
      <c r="T9" s="198"/>
      <c r="U9" s="198"/>
      <c r="V9" s="198"/>
      <c r="W9" s="198"/>
      <c r="X9" s="198"/>
      <c r="Y9" s="198"/>
      <c r="AB9" s="55"/>
    </row>
    <row r="10" spans="2:28" ht="30" customHeight="1">
      <c r="B10" s="105">
        <v>1907</v>
      </c>
      <c r="D10" s="161" t="s">
        <v>16</v>
      </c>
      <c r="E10" s="164" t="s">
        <v>17</v>
      </c>
      <c r="F10" s="164" t="s">
        <v>18</v>
      </c>
      <c r="G10" s="146">
        <v>25000000</v>
      </c>
      <c r="H10" s="146"/>
      <c r="I10" s="143"/>
      <c r="J10" s="124"/>
      <c r="K10" s="161"/>
      <c r="L10" s="161"/>
      <c r="M10" s="161"/>
      <c r="N10" s="151"/>
      <c r="O10" s="196"/>
      <c r="P10" s="196"/>
      <c r="Q10" s="196">
        <v>1</v>
      </c>
      <c r="R10" s="196"/>
      <c r="S10" s="196"/>
      <c r="T10" s="196"/>
      <c r="U10" s="196">
        <v>1</v>
      </c>
      <c r="V10" s="196"/>
      <c r="W10" s="196"/>
      <c r="X10" s="196"/>
      <c r="Y10" s="196"/>
      <c r="AB10" s="106" t="s">
        <v>295</v>
      </c>
    </row>
    <row r="11" spans="2:28" ht="15" customHeight="1">
      <c r="B11" s="105"/>
      <c r="D11" s="162"/>
      <c r="E11" s="165"/>
      <c r="F11" s="165"/>
      <c r="G11" s="147"/>
      <c r="H11" s="147"/>
      <c r="I11" s="144"/>
      <c r="J11" s="124"/>
      <c r="K11" s="162"/>
      <c r="L11" s="162"/>
      <c r="M11" s="162"/>
      <c r="N11" s="152"/>
      <c r="O11" s="197"/>
      <c r="P11" s="197"/>
      <c r="Q11" s="197"/>
      <c r="R11" s="197"/>
      <c r="S11" s="197"/>
      <c r="T11" s="197"/>
      <c r="U11" s="197"/>
      <c r="V11" s="197"/>
      <c r="W11" s="197"/>
      <c r="X11" s="197"/>
      <c r="Y11" s="197"/>
      <c r="AB11" s="55"/>
    </row>
    <row r="12" spans="2:28" ht="15" customHeight="1">
      <c r="B12" s="105"/>
      <c r="D12" s="163"/>
      <c r="E12" s="166"/>
      <c r="F12" s="166"/>
      <c r="G12" s="148"/>
      <c r="H12" s="148"/>
      <c r="I12" s="145"/>
      <c r="J12" s="124"/>
      <c r="K12" s="163"/>
      <c r="L12" s="163"/>
      <c r="M12" s="163"/>
      <c r="N12" s="153"/>
      <c r="O12" s="198"/>
      <c r="P12" s="198"/>
      <c r="Q12" s="198"/>
      <c r="R12" s="198"/>
      <c r="S12" s="198"/>
      <c r="T12" s="198"/>
      <c r="U12" s="198"/>
      <c r="V12" s="198"/>
      <c r="W12" s="198"/>
      <c r="X12" s="198"/>
      <c r="Y12" s="198"/>
      <c r="AB12" s="55"/>
    </row>
    <row r="13" spans="2:28" ht="30" customHeight="1">
      <c r="B13" s="105">
        <v>1913</v>
      </c>
      <c r="D13" s="161" t="s">
        <v>19</v>
      </c>
      <c r="E13" s="164" t="s">
        <v>20</v>
      </c>
      <c r="F13" s="164" t="s">
        <v>21</v>
      </c>
      <c r="G13" s="146">
        <v>125000</v>
      </c>
      <c r="H13" s="146"/>
      <c r="I13" s="143"/>
      <c r="J13" s="124"/>
      <c r="K13" s="161"/>
      <c r="L13" s="161"/>
      <c r="M13" s="161"/>
      <c r="N13" s="151"/>
      <c r="O13" s="196">
        <v>1</v>
      </c>
      <c r="P13" s="196"/>
      <c r="Q13" s="196"/>
      <c r="R13" s="196">
        <v>1</v>
      </c>
      <c r="S13" s="196"/>
      <c r="T13" s="196">
        <v>1</v>
      </c>
      <c r="U13" s="196"/>
      <c r="V13" s="196">
        <v>1</v>
      </c>
      <c r="W13" s="196"/>
      <c r="X13" s="196"/>
      <c r="Y13" s="196"/>
      <c r="AB13" s="107" t="s">
        <v>298</v>
      </c>
    </row>
    <row r="14" spans="2:28" ht="15" customHeight="1">
      <c r="B14" s="105"/>
      <c r="D14" s="162"/>
      <c r="E14" s="165"/>
      <c r="F14" s="165"/>
      <c r="G14" s="147"/>
      <c r="H14" s="147"/>
      <c r="I14" s="144"/>
      <c r="J14" s="124"/>
      <c r="K14" s="162"/>
      <c r="L14" s="162"/>
      <c r="M14" s="162"/>
      <c r="N14" s="152"/>
      <c r="O14" s="197"/>
      <c r="P14" s="197"/>
      <c r="Q14" s="197"/>
      <c r="R14" s="197"/>
      <c r="S14" s="197"/>
      <c r="T14" s="197"/>
      <c r="U14" s="197"/>
      <c r="V14" s="197"/>
      <c r="W14" s="197"/>
      <c r="X14" s="197"/>
      <c r="Y14" s="197"/>
      <c r="AB14" s="55"/>
    </row>
    <row r="15" spans="2:28" ht="15" customHeight="1">
      <c r="B15" s="105"/>
      <c r="D15" s="163"/>
      <c r="E15" s="166"/>
      <c r="F15" s="166"/>
      <c r="G15" s="148"/>
      <c r="H15" s="148"/>
      <c r="I15" s="145"/>
      <c r="J15" s="124"/>
      <c r="K15" s="163"/>
      <c r="L15" s="163"/>
      <c r="M15" s="163"/>
      <c r="N15" s="153"/>
      <c r="O15" s="198"/>
      <c r="P15" s="198"/>
      <c r="Q15" s="198"/>
      <c r="R15" s="198"/>
      <c r="S15" s="198"/>
      <c r="T15" s="198"/>
      <c r="U15" s="198"/>
      <c r="V15" s="198"/>
      <c r="W15" s="198"/>
      <c r="X15" s="198"/>
      <c r="Y15" s="198"/>
      <c r="AB15" s="55"/>
    </row>
    <row r="16" spans="2:28" ht="75" customHeight="1">
      <c r="B16" s="105">
        <v>1914</v>
      </c>
      <c r="D16" s="161" t="s">
        <v>22</v>
      </c>
      <c r="E16" s="164" t="s">
        <v>23</v>
      </c>
      <c r="F16" s="164" t="s">
        <v>24</v>
      </c>
      <c r="G16" s="146" t="s">
        <v>25</v>
      </c>
      <c r="H16" s="146"/>
      <c r="I16" s="143"/>
      <c r="J16" s="124"/>
      <c r="K16" s="161"/>
      <c r="L16" s="161"/>
      <c r="M16" s="161"/>
      <c r="N16" s="151"/>
      <c r="O16" s="196"/>
      <c r="P16" s="196"/>
      <c r="Q16" s="196"/>
      <c r="R16" s="196"/>
      <c r="S16" s="196">
        <v>1</v>
      </c>
      <c r="T16" s="196">
        <v>1</v>
      </c>
      <c r="U16" s="196"/>
      <c r="V16" s="196">
        <v>1</v>
      </c>
      <c r="W16" s="196"/>
      <c r="X16" s="196">
        <v>1</v>
      </c>
      <c r="Y16" s="196"/>
      <c r="AB16" s="106" t="s">
        <v>301</v>
      </c>
    </row>
    <row r="17" spans="2:28" ht="15" customHeight="1">
      <c r="B17" s="105"/>
      <c r="D17" s="162"/>
      <c r="E17" s="165"/>
      <c r="F17" s="165"/>
      <c r="G17" s="147"/>
      <c r="H17" s="147"/>
      <c r="I17" s="144"/>
      <c r="J17" s="124"/>
      <c r="K17" s="162"/>
      <c r="L17" s="162"/>
      <c r="M17" s="162"/>
      <c r="N17" s="152"/>
      <c r="O17" s="197"/>
      <c r="P17" s="197"/>
      <c r="Q17" s="197"/>
      <c r="R17" s="197"/>
      <c r="S17" s="197"/>
      <c r="T17" s="197"/>
      <c r="U17" s="197"/>
      <c r="V17" s="197"/>
      <c r="W17" s="197"/>
      <c r="X17" s="197"/>
      <c r="Y17" s="197"/>
      <c r="AB17" s="55"/>
    </row>
    <row r="18" spans="2:28" ht="15" customHeight="1">
      <c r="B18" s="105"/>
      <c r="D18" s="163"/>
      <c r="E18" s="166"/>
      <c r="F18" s="166"/>
      <c r="G18" s="148"/>
      <c r="H18" s="148"/>
      <c r="I18" s="145"/>
      <c r="J18" s="124"/>
      <c r="K18" s="163"/>
      <c r="L18" s="163"/>
      <c r="M18" s="163"/>
      <c r="N18" s="153"/>
      <c r="O18" s="198"/>
      <c r="P18" s="198"/>
      <c r="Q18" s="198"/>
      <c r="R18" s="198"/>
      <c r="S18" s="198"/>
      <c r="T18" s="198"/>
      <c r="U18" s="198"/>
      <c r="V18" s="198"/>
      <c r="W18" s="198"/>
      <c r="X18" s="198"/>
      <c r="Y18" s="198"/>
      <c r="AB18" s="55"/>
    </row>
    <row r="19" spans="2:28" ht="45" customHeight="1">
      <c r="B19" s="105">
        <v>1916</v>
      </c>
      <c r="D19" s="161" t="s">
        <v>26</v>
      </c>
      <c r="E19" s="164" t="s">
        <v>27</v>
      </c>
      <c r="F19" s="164" t="s">
        <v>28</v>
      </c>
      <c r="G19" s="146"/>
      <c r="H19" s="146"/>
      <c r="I19" s="143"/>
      <c r="J19" s="124"/>
      <c r="K19" s="161"/>
      <c r="L19" s="161"/>
      <c r="M19" s="161"/>
      <c r="N19" s="151"/>
      <c r="O19" s="196"/>
      <c r="P19" s="196"/>
      <c r="Q19" s="196">
        <v>1</v>
      </c>
      <c r="R19" s="196"/>
      <c r="S19" s="196">
        <v>1</v>
      </c>
      <c r="T19" s="196">
        <v>1</v>
      </c>
      <c r="U19" s="196">
        <v>1</v>
      </c>
      <c r="V19" s="196">
        <v>1</v>
      </c>
      <c r="W19" s="196"/>
      <c r="X19" s="196"/>
      <c r="Y19" s="196"/>
      <c r="AB19" s="40" t="s">
        <v>305</v>
      </c>
    </row>
    <row r="20" spans="2:28" ht="15" customHeight="1">
      <c r="B20" s="105"/>
      <c r="D20" s="162"/>
      <c r="E20" s="165"/>
      <c r="F20" s="165"/>
      <c r="G20" s="147"/>
      <c r="H20" s="147"/>
      <c r="I20" s="144"/>
      <c r="J20" s="124"/>
      <c r="K20" s="162"/>
      <c r="L20" s="162"/>
      <c r="M20" s="162"/>
      <c r="N20" s="152"/>
      <c r="O20" s="197"/>
      <c r="P20" s="197"/>
      <c r="Q20" s="197"/>
      <c r="R20" s="197"/>
      <c r="S20" s="197"/>
      <c r="T20" s="197"/>
      <c r="U20" s="197"/>
      <c r="V20" s="197"/>
      <c r="W20" s="197"/>
      <c r="X20" s="197"/>
      <c r="Y20" s="197"/>
      <c r="AB20" s="55"/>
    </row>
    <row r="21" spans="2:28" ht="15" customHeight="1">
      <c r="B21" s="105"/>
      <c r="D21" s="163"/>
      <c r="E21" s="166"/>
      <c r="F21" s="166"/>
      <c r="G21" s="148"/>
      <c r="H21" s="148"/>
      <c r="I21" s="145"/>
      <c r="J21" s="124"/>
      <c r="K21" s="163"/>
      <c r="L21" s="163"/>
      <c r="M21" s="163"/>
      <c r="N21" s="153"/>
      <c r="O21" s="198"/>
      <c r="P21" s="198"/>
      <c r="Q21" s="198"/>
      <c r="R21" s="198"/>
      <c r="S21" s="198"/>
      <c r="T21" s="198"/>
      <c r="U21" s="198"/>
      <c r="V21" s="198"/>
      <c r="W21" s="198"/>
      <c r="X21" s="198"/>
      <c r="Y21" s="198"/>
      <c r="AB21" s="55"/>
    </row>
    <row r="22" spans="2:28" ht="30" customHeight="1">
      <c r="B22" s="105"/>
      <c r="D22" s="161" t="s">
        <v>26</v>
      </c>
      <c r="E22" s="164" t="s">
        <v>29</v>
      </c>
      <c r="F22" s="164" t="s">
        <v>30</v>
      </c>
      <c r="G22" s="146"/>
      <c r="H22" s="146"/>
      <c r="I22" s="143"/>
      <c r="J22" s="124"/>
      <c r="K22" s="161"/>
      <c r="L22" s="161"/>
      <c r="M22" s="161"/>
      <c r="N22" s="151"/>
      <c r="O22" s="196"/>
      <c r="P22" s="196"/>
      <c r="Q22" s="196"/>
      <c r="R22" s="196">
        <v>1</v>
      </c>
      <c r="S22" s="196"/>
      <c r="T22" s="196">
        <v>1</v>
      </c>
      <c r="U22" s="196">
        <v>1</v>
      </c>
      <c r="V22" s="196">
        <v>1</v>
      </c>
      <c r="W22" s="196"/>
      <c r="X22" s="196"/>
      <c r="Y22" s="196"/>
      <c r="AB22" s="106" t="s">
        <v>307</v>
      </c>
    </row>
    <row r="23" spans="2:28" ht="15" customHeight="1">
      <c r="B23" s="105"/>
      <c r="D23" s="162"/>
      <c r="E23" s="165"/>
      <c r="F23" s="165"/>
      <c r="G23" s="147"/>
      <c r="H23" s="147"/>
      <c r="I23" s="144"/>
      <c r="J23" s="124"/>
      <c r="K23" s="162"/>
      <c r="L23" s="162"/>
      <c r="M23" s="162"/>
      <c r="N23" s="152"/>
      <c r="O23" s="197"/>
      <c r="P23" s="197"/>
      <c r="Q23" s="197"/>
      <c r="R23" s="197"/>
      <c r="S23" s="197"/>
      <c r="T23" s="197"/>
      <c r="U23" s="197"/>
      <c r="V23" s="197"/>
      <c r="W23" s="197"/>
      <c r="X23" s="197"/>
      <c r="Y23" s="197"/>
      <c r="AB23" s="55"/>
    </row>
    <row r="24" spans="2:28" ht="15" customHeight="1">
      <c r="B24" s="105"/>
      <c r="D24" s="163"/>
      <c r="E24" s="166"/>
      <c r="F24" s="166"/>
      <c r="G24" s="148"/>
      <c r="H24" s="148"/>
      <c r="I24" s="145"/>
      <c r="J24" s="124"/>
      <c r="K24" s="163"/>
      <c r="L24" s="163"/>
      <c r="M24" s="163"/>
      <c r="N24" s="153"/>
      <c r="O24" s="198"/>
      <c r="P24" s="198"/>
      <c r="Q24" s="198"/>
      <c r="R24" s="198"/>
      <c r="S24" s="198"/>
      <c r="T24" s="198"/>
      <c r="U24" s="198"/>
      <c r="V24" s="198"/>
      <c r="W24" s="198"/>
      <c r="X24" s="198"/>
      <c r="Y24" s="198"/>
      <c r="AB24" s="55"/>
    </row>
    <row r="25" spans="2:28" ht="30" customHeight="1">
      <c r="B25" s="105">
        <v>1917</v>
      </c>
      <c r="D25" s="161" t="s">
        <v>31</v>
      </c>
      <c r="E25" s="164" t="s">
        <v>32</v>
      </c>
      <c r="F25" s="164" t="s">
        <v>33</v>
      </c>
      <c r="G25" s="146" t="s">
        <v>34</v>
      </c>
      <c r="H25" s="146"/>
      <c r="I25" s="143"/>
      <c r="J25" s="124"/>
      <c r="K25" s="161"/>
      <c r="L25" s="161"/>
      <c r="M25" s="161"/>
      <c r="N25" s="151"/>
      <c r="O25" s="196"/>
      <c r="P25" s="196"/>
      <c r="Q25" s="196"/>
      <c r="R25" s="196"/>
      <c r="S25" s="196"/>
      <c r="T25" s="196"/>
      <c r="U25" s="196">
        <v>1</v>
      </c>
      <c r="V25" s="196">
        <v>1</v>
      </c>
      <c r="W25" s="196"/>
      <c r="X25" s="196"/>
      <c r="Y25" s="196"/>
      <c r="AB25" s="40" t="s">
        <v>311</v>
      </c>
    </row>
    <row r="26" spans="2:28" ht="15" customHeight="1">
      <c r="B26" s="105"/>
      <c r="D26" s="162"/>
      <c r="E26" s="165"/>
      <c r="F26" s="165"/>
      <c r="G26" s="147"/>
      <c r="H26" s="147"/>
      <c r="I26" s="144"/>
      <c r="J26" s="124"/>
      <c r="K26" s="162"/>
      <c r="L26" s="162"/>
      <c r="M26" s="162"/>
      <c r="N26" s="152"/>
      <c r="O26" s="197"/>
      <c r="P26" s="197"/>
      <c r="Q26" s="197"/>
      <c r="R26" s="197"/>
      <c r="S26" s="197"/>
      <c r="T26" s="197"/>
      <c r="U26" s="197"/>
      <c r="V26" s="197"/>
      <c r="W26" s="197"/>
      <c r="X26" s="197"/>
      <c r="Y26" s="197"/>
      <c r="AB26" s="55"/>
    </row>
    <row r="27" spans="2:28" ht="15" customHeight="1">
      <c r="B27" s="105"/>
      <c r="D27" s="163"/>
      <c r="E27" s="166"/>
      <c r="F27" s="166"/>
      <c r="G27" s="148"/>
      <c r="H27" s="148"/>
      <c r="I27" s="145"/>
      <c r="J27" s="124"/>
      <c r="K27" s="163"/>
      <c r="L27" s="163"/>
      <c r="M27" s="163"/>
      <c r="N27" s="153"/>
      <c r="O27" s="198"/>
      <c r="P27" s="198"/>
      <c r="Q27" s="198"/>
      <c r="R27" s="198"/>
      <c r="S27" s="198"/>
      <c r="T27" s="198"/>
      <c r="U27" s="198"/>
      <c r="V27" s="198"/>
      <c r="W27" s="198"/>
      <c r="X27" s="198"/>
      <c r="Y27" s="198"/>
      <c r="AB27" s="55"/>
    </row>
    <row r="28" spans="2:28" ht="15" customHeight="1">
      <c r="B28" s="105"/>
      <c r="D28" s="161" t="s">
        <v>35</v>
      </c>
      <c r="E28" s="164" t="s">
        <v>36</v>
      </c>
      <c r="F28" s="164" t="s">
        <v>15</v>
      </c>
      <c r="G28" s="146">
        <v>30000</v>
      </c>
      <c r="H28" s="146"/>
      <c r="I28" s="143"/>
      <c r="J28" s="124"/>
      <c r="K28" s="161"/>
      <c r="L28" s="161"/>
      <c r="M28" s="161"/>
      <c r="N28" s="151"/>
      <c r="O28" s="196">
        <v>1</v>
      </c>
      <c r="P28" s="196"/>
      <c r="Q28" s="196"/>
      <c r="R28" s="196"/>
      <c r="S28" s="196"/>
      <c r="T28" s="196">
        <v>1</v>
      </c>
      <c r="U28" s="196"/>
      <c r="V28" s="196">
        <v>1</v>
      </c>
      <c r="W28" s="196"/>
      <c r="X28" s="196"/>
      <c r="Y28" s="196"/>
      <c r="AB28" s="40" t="s">
        <v>313</v>
      </c>
    </row>
    <row r="29" spans="2:28" ht="15" customHeight="1">
      <c r="B29" s="105"/>
      <c r="D29" s="162"/>
      <c r="E29" s="165"/>
      <c r="F29" s="165"/>
      <c r="G29" s="147"/>
      <c r="H29" s="147"/>
      <c r="I29" s="144"/>
      <c r="J29" s="124"/>
      <c r="K29" s="162"/>
      <c r="L29" s="162"/>
      <c r="M29" s="162"/>
      <c r="N29" s="152"/>
      <c r="O29" s="197"/>
      <c r="P29" s="197"/>
      <c r="Q29" s="197"/>
      <c r="R29" s="197"/>
      <c r="S29" s="197"/>
      <c r="T29" s="197"/>
      <c r="U29" s="197"/>
      <c r="V29" s="197"/>
      <c r="W29" s="197"/>
      <c r="X29" s="197"/>
      <c r="Y29" s="197"/>
      <c r="AB29" s="55"/>
    </row>
    <row r="30" spans="2:28" ht="15" customHeight="1">
      <c r="B30" s="105"/>
      <c r="D30" s="163"/>
      <c r="E30" s="166"/>
      <c r="F30" s="166"/>
      <c r="G30" s="148"/>
      <c r="H30" s="148"/>
      <c r="I30" s="145"/>
      <c r="J30" s="124"/>
      <c r="K30" s="163"/>
      <c r="L30" s="163"/>
      <c r="M30" s="163"/>
      <c r="N30" s="153"/>
      <c r="O30" s="198"/>
      <c r="P30" s="198"/>
      <c r="Q30" s="198"/>
      <c r="R30" s="198"/>
      <c r="S30" s="198"/>
      <c r="T30" s="198"/>
      <c r="U30" s="198"/>
      <c r="V30" s="198"/>
      <c r="W30" s="198"/>
      <c r="X30" s="198"/>
      <c r="Y30" s="198"/>
      <c r="AB30" s="55"/>
    </row>
    <row r="31" spans="2:28" ht="120" customHeight="1">
      <c r="B31" s="105"/>
      <c r="D31" s="161" t="s">
        <v>37</v>
      </c>
      <c r="E31" s="164" t="s">
        <v>38</v>
      </c>
      <c r="F31" s="164" t="s">
        <v>39</v>
      </c>
      <c r="G31" s="146" t="s">
        <v>40</v>
      </c>
      <c r="H31" s="146"/>
      <c r="I31" s="143"/>
      <c r="J31" s="124"/>
      <c r="K31" s="161"/>
      <c r="L31" s="161"/>
      <c r="M31" s="161"/>
      <c r="N31" s="151"/>
      <c r="O31" s="196">
        <v>1</v>
      </c>
      <c r="P31" s="196"/>
      <c r="Q31" s="196"/>
      <c r="R31" s="196"/>
      <c r="S31" s="196"/>
      <c r="T31" s="196">
        <v>1</v>
      </c>
      <c r="U31" s="196">
        <v>1</v>
      </c>
      <c r="V31" s="196">
        <v>1</v>
      </c>
      <c r="W31" s="196"/>
      <c r="X31" s="196"/>
      <c r="Y31" s="196"/>
      <c r="AB31" s="40" t="s">
        <v>316</v>
      </c>
    </row>
    <row r="32" spans="2:28" ht="15" customHeight="1">
      <c r="B32" s="105"/>
      <c r="D32" s="162"/>
      <c r="E32" s="165"/>
      <c r="F32" s="165"/>
      <c r="G32" s="147"/>
      <c r="H32" s="147"/>
      <c r="I32" s="144"/>
      <c r="J32" s="124"/>
      <c r="K32" s="162"/>
      <c r="L32" s="162"/>
      <c r="M32" s="162"/>
      <c r="N32" s="152"/>
      <c r="O32" s="197"/>
      <c r="P32" s="197"/>
      <c r="Q32" s="197"/>
      <c r="R32" s="197"/>
      <c r="S32" s="197"/>
      <c r="T32" s="197"/>
      <c r="U32" s="197"/>
      <c r="V32" s="197"/>
      <c r="W32" s="197"/>
      <c r="X32" s="197"/>
      <c r="Y32" s="197"/>
      <c r="AB32" s="55"/>
    </row>
    <row r="33" spans="2:28" ht="15" customHeight="1">
      <c r="B33" s="105"/>
      <c r="D33" s="163"/>
      <c r="E33" s="166"/>
      <c r="F33" s="166"/>
      <c r="G33" s="148"/>
      <c r="H33" s="148"/>
      <c r="I33" s="145"/>
      <c r="J33" s="124"/>
      <c r="K33" s="163"/>
      <c r="L33" s="163"/>
      <c r="M33" s="163"/>
      <c r="N33" s="153"/>
      <c r="O33" s="198"/>
      <c r="P33" s="198"/>
      <c r="Q33" s="198"/>
      <c r="R33" s="198"/>
      <c r="S33" s="198"/>
      <c r="T33" s="198"/>
      <c r="U33" s="198"/>
      <c r="V33" s="198"/>
      <c r="W33" s="198"/>
      <c r="X33" s="198"/>
      <c r="Y33" s="198"/>
      <c r="AB33" s="55"/>
    </row>
    <row r="34" spans="2:28" ht="30" customHeight="1">
      <c r="B34" s="105">
        <v>1920</v>
      </c>
      <c r="D34" s="161" t="s">
        <v>41</v>
      </c>
      <c r="E34" s="164" t="s">
        <v>42</v>
      </c>
      <c r="F34" s="164" t="s">
        <v>18</v>
      </c>
      <c r="G34" s="146">
        <v>500000</v>
      </c>
      <c r="H34" s="146"/>
      <c r="I34" s="143"/>
      <c r="J34" s="124"/>
      <c r="K34" s="161"/>
      <c r="L34" s="161"/>
      <c r="M34" s="161"/>
      <c r="N34" s="151"/>
      <c r="O34" s="196"/>
      <c r="P34" s="196"/>
      <c r="Q34" s="196"/>
      <c r="R34" s="196"/>
      <c r="S34" s="196"/>
      <c r="T34" s="196"/>
      <c r="U34" s="196"/>
      <c r="V34" s="196"/>
      <c r="W34" s="196"/>
      <c r="X34" s="196"/>
      <c r="Y34" s="196"/>
      <c r="AB34" s="55"/>
    </row>
    <row r="35" spans="2:28" ht="15" customHeight="1">
      <c r="B35" s="105"/>
      <c r="D35" s="162"/>
      <c r="E35" s="165"/>
      <c r="F35" s="165"/>
      <c r="G35" s="147"/>
      <c r="H35" s="147"/>
      <c r="I35" s="144"/>
      <c r="J35" s="124"/>
      <c r="K35" s="162"/>
      <c r="L35" s="162"/>
      <c r="M35" s="162"/>
      <c r="N35" s="152"/>
      <c r="O35" s="197"/>
      <c r="P35" s="197"/>
      <c r="Q35" s="197"/>
      <c r="R35" s="197"/>
      <c r="S35" s="197"/>
      <c r="T35" s="197"/>
      <c r="U35" s="197"/>
      <c r="V35" s="197"/>
      <c r="W35" s="197"/>
      <c r="X35" s="197"/>
      <c r="Y35" s="197"/>
      <c r="AB35" s="55"/>
    </row>
    <row r="36" spans="2:28" ht="15" customHeight="1">
      <c r="B36" s="105"/>
      <c r="D36" s="163"/>
      <c r="E36" s="166"/>
      <c r="F36" s="166"/>
      <c r="G36" s="148"/>
      <c r="H36" s="148"/>
      <c r="I36" s="145"/>
      <c r="J36" s="124"/>
      <c r="K36" s="163"/>
      <c r="L36" s="163"/>
      <c r="M36" s="163"/>
      <c r="N36" s="153"/>
      <c r="O36" s="198"/>
      <c r="P36" s="198"/>
      <c r="Q36" s="198"/>
      <c r="R36" s="198"/>
      <c r="S36" s="198"/>
      <c r="T36" s="198"/>
      <c r="U36" s="198"/>
      <c r="V36" s="198"/>
      <c r="W36" s="198"/>
      <c r="X36" s="198"/>
      <c r="Y36" s="198"/>
      <c r="AB36" s="55"/>
    </row>
    <row r="37" spans="2:28" ht="30" customHeight="1">
      <c r="B37" s="105">
        <v>1921</v>
      </c>
      <c r="D37" s="161">
        <v>1921</v>
      </c>
      <c r="E37" s="164" t="s">
        <v>43</v>
      </c>
      <c r="F37" s="164" t="s">
        <v>30</v>
      </c>
      <c r="G37" s="146">
        <v>5000000</v>
      </c>
      <c r="H37" s="146"/>
      <c r="I37" s="143"/>
      <c r="J37" s="124"/>
      <c r="K37" s="161"/>
      <c r="L37" s="161"/>
      <c r="M37" s="161"/>
      <c r="N37" s="151"/>
      <c r="O37" s="196">
        <v>1</v>
      </c>
      <c r="P37" s="196"/>
      <c r="Q37" s="196"/>
      <c r="R37" s="196"/>
      <c r="S37" s="196">
        <v>1</v>
      </c>
      <c r="T37" s="196">
        <v>1</v>
      </c>
      <c r="U37" s="196"/>
      <c r="V37" s="196">
        <v>1</v>
      </c>
      <c r="W37" s="196">
        <v>1</v>
      </c>
      <c r="X37" s="196"/>
      <c r="Y37" s="196"/>
      <c r="AB37" s="40" t="s">
        <v>319</v>
      </c>
    </row>
    <row r="38" spans="2:28" ht="15" customHeight="1">
      <c r="B38" s="105"/>
      <c r="D38" s="162"/>
      <c r="E38" s="165"/>
      <c r="F38" s="165"/>
      <c r="G38" s="147"/>
      <c r="H38" s="147"/>
      <c r="I38" s="144"/>
      <c r="J38" s="124"/>
      <c r="K38" s="162"/>
      <c r="L38" s="162"/>
      <c r="M38" s="162"/>
      <c r="N38" s="152"/>
      <c r="O38" s="197"/>
      <c r="P38" s="197"/>
      <c r="Q38" s="197"/>
      <c r="R38" s="197"/>
      <c r="S38" s="197"/>
      <c r="T38" s="197"/>
      <c r="U38" s="197"/>
      <c r="V38" s="197"/>
      <c r="W38" s="197"/>
      <c r="X38" s="197"/>
      <c r="Y38" s="197"/>
      <c r="AB38" s="106" t="s">
        <v>323</v>
      </c>
    </row>
    <row r="39" spans="2:28" ht="15" customHeight="1">
      <c r="B39" s="105"/>
      <c r="D39" s="163"/>
      <c r="E39" s="166"/>
      <c r="F39" s="166"/>
      <c r="G39" s="148"/>
      <c r="H39" s="148"/>
      <c r="I39" s="145"/>
      <c r="J39" s="124"/>
      <c r="K39" s="163"/>
      <c r="L39" s="163"/>
      <c r="M39" s="163"/>
      <c r="N39" s="153"/>
      <c r="O39" s="198"/>
      <c r="P39" s="198"/>
      <c r="Q39" s="198"/>
      <c r="R39" s="198"/>
      <c r="S39" s="198"/>
      <c r="T39" s="198"/>
      <c r="U39" s="198"/>
      <c r="V39" s="198"/>
      <c r="W39" s="198"/>
      <c r="X39" s="198"/>
      <c r="Y39" s="198"/>
      <c r="AB39" s="40" t="s">
        <v>99</v>
      </c>
    </row>
    <row r="40" spans="2:28" ht="45" customHeight="1">
      <c r="B40" s="105">
        <v>1922</v>
      </c>
      <c r="D40" s="161" t="s">
        <v>506</v>
      </c>
      <c r="E40" s="164" t="s">
        <v>507</v>
      </c>
      <c r="F40" s="164" t="s">
        <v>30</v>
      </c>
      <c r="G40" s="146" t="s">
        <v>320</v>
      </c>
      <c r="H40" s="146"/>
      <c r="I40" s="143"/>
      <c r="J40" s="124"/>
      <c r="K40" s="161"/>
      <c r="L40" s="161"/>
      <c r="M40" s="161"/>
      <c r="N40" s="151"/>
      <c r="O40" s="196">
        <v>1</v>
      </c>
      <c r="P40" s="196"/>
      <c r="Q40" s="196"/>
      <c r="R40" s="196"/>
      <c r="S40" s="196">
        <v>1</v>
      </c>
      <c r="T40" s="196">
        <v>1</v>
      </c>
      <c r="U40" s="196">
        <v>1</v>
      </c>
      <c r="V40" s="196"/>
      <c r="W40" s="196"/>
      <c r="X40" s="196"/>
      <c r="Y40" s="196"/>
      <c r="Z40" s="9"/>
      <c r="AA40" s="9"/>
      <c r="AB40" s="40" t="s">
        <v>322</v>
      </c>
    </row>
    <row r="41" spans="2:28" ht="15" customHeight="1">
      <c r="B41" s="105">
        <v>1923</v>
      </c>
      <c r="D41" s="162"/>
      <c r="E41" s="165"/>
      <c r="F41" s="165"/>
      <c r="G41" s="147"/>
      <c r="H41" s="147"/>
      <c r="I41" s="144"/>
      <c r="J41" s="124"/>
      <c r="K41" s="162"/>
      <c r="L41" s="162"/>
      <c r="M41" s="162"/>
      <c r="N41" s="152"/>
      <c r="O41" s="197"/>
      <c r="P41" s="197"/>
      <c r="Q41" s="197"/>
      <c r="R41" s="197"/>
      <c r="S41" s="197"/>
      <c r="T41" s="197"/>
      <c r="U41" s="197"/>
      <c r="V41" s="197"/>
      <c r="W41" s="197"/>
      <c r="X41" s="197"/>
      <c r="Y41" s="197"/>
      <c r="AB41" s="55"/>
    </row>
    <row r="42" spans="2:28" ht="15" customHeight="1">
      <c r="B42" s="105">
        <v>1926</v>
      </c>
      <c r="D42" s="163"/>
      <c r="E42" s="166"/>
      <c r="F42" s="166"/>
      <c r="G42" s="148"/>
      <c r="H42" s="148"/>
      <c r="I42" s="145"/>
      <c r="J42" s="124"/>
      <c r="K42" s="163"/>
      <c r="L42" s="163"/>
      <c r="M42" s="163"/>
      <c r="N42" s="153"/>
      <c r="O42" s="198"/>
      <c r="P42" s="198"/>
      <c r="Q42" s="198"/>
      <c r="R42" s="198"/>
      <c r="S42" s="198"/>
      <c r="T42" s="198"/>
      <c r="U42" s="198"/>
      <c r="V42" s="198"/>
      <c r="W42" s="198"/>
      <c r="X42" s="198"/>
      <c r="Y42" s="198"/>
      <c r="AB42" s="55"/>
    </row>
    <row r="43" spans="2:28" ht="15" customHeight="1">
      <c r="B43" s="105">
        <v>1927</v>
      </c>
      <c r="D43" s="161">
        <v>1927</v>
      </c>
      <c r="E43" s="164" t="s">
        <v>50</v>
      </c>
      <c r="F43" s="164" t="s">
        <v>18</v>
      </c>
      <c r="G43" s="146">
        <v>6000000</v>
      </c>
      <c r="H43" s="146"/>
      <c r="I43" s="143"/>
      <c r="J43" s="124"/>
      <c r="K43" s="161"/>
      <c r="L43" s="161"/>
      <c r="M43" s="161"/>
      <c r="N43" s="151"/>
      <c r="O43" s="196">
        <v>1</v>
      </c>
      <c r="P43" s="196"/>
      <c r="Q43" s="196"/>
      <c r="R43" s="196"/>
      <c r="S43" s="196">
        <v>1</v>
      </c>
      <c r="T43" s="196">
        <v>1</v>
      </c>
      <c r="U43" s="196"/>
      <c r="V43" s="196">
        <v>1</v>
      </c>
      <c r="W43" s="196"/>
      <c r="X43" s="196"/>
      <c r="Y43" s="196"/>
      <c r="AB43" s="106" t="s">
        <v>325</v>
      </c>
    </row>
    <row r="44" spans="2:28" ht="15" customHeight="1">
      <c r="B44" s="105"/>
      <c r="D44" s="162"/>
      <c r="E44" s="165"/>
      <c r="F44" s="165"/>
      <c r="G44" s="147"/>
      <c r="H44" s="147"/>
      <c r="I44" s="144"/>
      <c r="J44" s="124"/>
      <c r="K44" s="162"/>
      <c r="L44" s="162"/>
      <c r="M44" s="162"/>
      <c r="N44" s="152"/>
      <c r="O44" s="197"/>
      <c r="P44" s="197"/>
      <c r="Q44" s="197"/>
      <c r="R44" s="197"/>
      <c r="S44" s="197"/>
      <c r="T44" s="197"/>
      <c r="U44" s="197"/>
      <c r="V44" s="197"/>
      <c r="W44" s="197"/>
      <c r="X44" s="197"/>
      <c r="Y44" s="197"/>
      <c r="AB44" s="106" t="s">
        <v>99</v>
      </c>
    </row>
    <row r="45" spans="2:28" ht="15" customHeight="1">
      <c r="B45" s="105"/>
      <c r="D45" s="163"/>
      <c r="E45" s="166"/>
      <c r="F45" s="166"/>
      <c r="G45" s="148"/>
      <c r="H45" s="148"/>
      <c r="I45" s="145"/>
      <c r="J45" s="124"/>
      <c r="K45" s="163"/>
      <c r="L45" s="163"/>
      <c r="M45" s="163"/>
      <c r="N45" s="153"/>
      <c r="O45" s="198"/>
      <c r="P45" s="198"/>
      <c r="Q45" s="198"/>
      <c r="R45" s="198"/>
      <c r="S45" s="198"/>
      <c r="T45" s="198"/>
      <c r="U45" s="198"/>
      <c r="V45" s="198"/>
      <c r="W45" s="198"/>
      <c r="X45" s="198"/>
      <c r="Y45" s="198"/>
      <c r="AB45" s="55"/>
    </row>
    <row r="46" spans="2:28" ht="60" customHeight="1">
      <c r="B46" s="105">
        <v>1928</v>
      </c>
      <c r="D46" s="161" t="s">
        <v>54</v>
      </c>
      <c r="E46" s="164" t="s">
        <v>55</v>
      </c>
      <c r="F46" s="164" t="s">
        <v>56</v>
      </c>
      <c r="G46" s="146">
        <v>300000</v>
      </c>
      <c r="H46" s="146"/>
      <c r="I46" s="143"/>
      <c r="J46" s="124"/>
      <c r="K46" s="161"/>
      <c r="L46" s="161"/>
      <c r="M46" s="161"/>
      <c r="N46" s="151"/>
      <c r="O46" s="196"/>
      <c r="P46" s="196"/>
      <c r="Q46" s="196"/>
      <c r="R46" s="196"/>
      <c r="S46" s="196"/>
      <c r="T46" s="196"/>
      <c r="U46" s="196"/>
      <c r="V46" s="196"/>
      <c r="W46" s="196"/>
      <c r="X46" s="196"/>
      <c r="Y46" s="196"/>
      <c r="AB46" s="106" t="s">
        <v>328</v>
      </c>
    </row>
    <row r="47" spans="2:28" ht="15" customHeight="1">
      <c r="B47" s="105"/>
      <c r="D47" s="162"/>
      <c r="E47" s="165"/>
      <c r="F47" s="165"/>
      <c r="G47" s="147"/>
      <c r="H47" s="147"/>
      <c r="I47" s="144"/>
      <c r="J47" s="124"/>
      <c r="K47" s="162"/>
      <c r="L47" s="162"/>
      <c r="M47" s="162"/>
      <c r="N47" s="152"/>
      <c r="O47" s="197"/>
      <c r="P47" s="197"/>
      <c r="Q47" s="197"/>
      <c r="R47" s="197"/>
      <c r="S47" s="197"/>
      <c r="T47" s="197"/>
      <c r="U47" s="197"/>
      <c r="V47" s="197"/>
      <c r="W47" s="197"/>
      <c r="X47" s="197"/>
      <c r="Y47" s="197"/>
      <c r="AB47" s="40" t="s">
        <v>329</v>
      </c>
    </row>
    <row r="48" spans="2:28" ht="15" customHeight="1">
      <c r="B48" s="105"/>
      <c r="D48" s="163"/>
      <c r="E48" s="166"/>
      <c r="F48" s="166"/>
      <c r="G48" s="148"/>
      <c r="H48" s="148"/>
      <c r="I48" s="145"/>
      <c r="J48" s="124"/>
      <c r="K48" s="163"/>
      <c r="L48" s="163"/>
      <c r="M48" s="163"/>
      <c r="N48" s="153"/>
      <c r="O48" s="198"/>
      <c r="P48" s="198"/>
      <c r="Q48" s="198"/>
      <c r="R48" s="198"/>
      <c r="S48" s="198"/>
      <c r="T48" s="198"/>
      <c r="U48" s="198"/>
      <c r="V48" s="198"/>
      <c r="W48" s="198"/>
      <c r="X48" s="198"/>
      <c r="Y48" s="198"/>
      <c r="AB48" s="55"/>
    </row>
    <row r="49" spans="2:29" ht="30" customHeight="1">
      <c r="B49" s="105"/>
      <c r="D49" s="161" t="s">
        <v>57</v>
      </c>
      <c r="E49" s="164" t="s">
        <v>58</v>
      </c>
      <c r="F49" s="164" t="s">
        <v>18</v>
      </c>
      <c r="G49" s="146">
        <v>3000000</v>
      </c>
      <c r="H49" s="146"/>
      <c r="I49" s="143"/>
      <c r="J49" s="124"/>
      <c r="K49" s="161"/>
      <c r="L49" s="161"/>
      <c r="M49" s="161"/>
      <c r="N49" s="151"/>
      <c r="O49" s="196">
        <v>1</v>
      </c>
      <c r="P49" s="196"/>
      <c r="Q49" s="196"/>
      <c r="R49" s="196"/>
      <c r="S49" s="196">
        <v>1</v>
      </c>
      <c r="T49" s="196"/>
      <c r="U49" s="196">
        <v>1</v>
      </c>
      <c r="V49" s="196">
        <v>1</v>
      </c>
      <c r="W49" s="196"/>
      <c r="X49" s="196"/>
      <c r="Y49" s="196"/>
      <c r="AB49" s="40" t="s">
        <v>332</v>
      </c>
      <c r="AC49" s="18"/>
    </row>
    <row r="50" spans="2:29" ht="15" customHeight="1">
      <c r="B50" s="105"/>
      <c r="D50" s="162"/>
      <c r="E50" s="165"/>
      <c r="F50" s="165"/>
      <c r="G50" s="147"/>
      <c r="H50" s="147"/>
      <c r="I50" s="144"/>
      <c r="J50" s="124"/>
      <c r="K50" s="162"/>
      <c r="L50" s="162"/>
      <c r="M50" s="162"/>
      <c r="N50" s="152"/>
      <c r="O50" s="197"/>
      <c r="P50" s="197"/>
      <c r="Q50" s="197"/>
      <c r="R50" s="197"/>
      <c r="S50" s="197"/>
      <c r="T50" s="197"/>
      <c r="U50" s="197"/>
      <c r="V50" s="197"/>
      <c r="W50" s="197"/>
      <c r="X50" s="197"/>
      <c r="Y50" s="197"/>
      <c r="AB50" s="55"/>
    </row>
    <row r="51" spans="2:29" ht="15" customHeight="1">
      <c r="B51" s="105"/>
      <c r="D51" s="163"/>
      <c r="E51" s="166"/>
      <c r="F51" s="166"/>
      <c r="G51" s="148"/>
      <c r="H51" s="148"/>
      <c r="I51" s="145"/>
      <c r="J51" s="124"/>
      <c r="K51" s="163"/>
      <c r="L51" s="163"/>
      <c r="M51" s="163"/>
      <c r="N51" s="153"/>
      <c r="O51" s="198"/>
      <c r="P51" s="198"/>
      <c r="Q51" s="198"/>
      <c r="R51" s="198"/>
      <c r="S51" s="198"/>
      <c r="T51" s="198"/>
      <c r="U51" s="198"/>
      <c r="V51" s="198"/>
      <c r="W51" s="198"/>
      <c r="X51" s="198"/>
      <c r="Y51" s="198"/>
      <c r="AB51" s="55"/>
    </row>
    <row r="52" spans="2:29" ht="15" customHeight="1">
      <c r="B52" s="105">
        <v>1929</v>
      </c>
      <c r="D52" s="161">
        <v>1929</v>
      </c>
      <c r="E52" s="164" t="s">
        <v>59</v>
      </c>
      <c r="F52" s="164" t="s">
        <v>18</v>
      </c>
      <c r="G52" s="146">
        <v>2000000</v>
      </c>
      <c r="H52" s="146"/>
      <c r="I52" s="143"/>
      <c r="J52" s="124"/>
      <c r="K52" s="161"/>
      <c r="L52" s="161"/>
      <c r="M52" s="161"/>
      <c r="N52" s="151"/>
      <c r="O52" s="196">
        <v>1</v>
      </c>
      <c r="P52" s="196"/>
      <c r="Q52" s="196"/>
      <c r="R52" s="196"/>
      <c r="S52" s="196">
        <v>1</v>
      </c>
      <c r="T52" s="196">
        <v>1</v>
      </c>
      <c r="U52" s="196">
        <v>1</v>
      </c>
      <c r="V52" s="196">
        <v>1</v>
      </c>
      <c r="W52" s="196"/>
      <c r="X52" s="196"/>
      <c r="Y52" s="196"/>
      <c r="AB52" s="106" t="s">
        <v>325</v>
      </c>
    </row>
    <row r="53" spans="2:29" ht="15" customHeight="1">
      <c r="B53" s="105"/>
      <c r="D53" s="162"/>
      <c r="E53" s="165"/>
      <c r="F53" s="165"/>
      <c r="G53" s="147"/>
      <c r="H53" s="147"/>
      <c r="I53" s="144"/>
      <c r="J53" s="124"/>
      <c r="K53" s="162"/>
      <c r="L53" s="162"/>
      <c r="M53" s="162"/>
      <c r="N53" s="152"/>
      <c r="O53" s="197"/>
      <c r="P53" s="197"/>
      <c r="Q53" s="197"/>
      <c r="R53" s="197"/>
      <c r="S53" s="197"/>
      <c r="T53" s="197"/>
      <c r="U53" s="197"/>
      <c r="V53" s="197"/>
      <c r="W53" s="197"/>
      <c r="X53" s="197"/>
      <c r="Y53" s="197"/>
      <c r="AB53" s="40" t="s">
        <v>99</v>
      </c>
    </row>
    <row r="54" spans="2:29" ht="15" customHeight="1">
      <c r="B54" s="105"/>
      <c r="D54" s="163"/>
      <c r="E54" s="166"/>
      <c r="F54" s="166"/>
      <c r="G54" s="148"/>
      <c r="H54" s="148"/>
      <c r="I54" s="145"/>
      <c r="J54" s="124"/>
      <c r="K54" s="163"/>
      <c r="L54" s="163"/>
      <c r="M54" s="163"/>
      <c r="N54" s="153"/>
      <c r="O54" s="198"/>
      <c r="P54" s="198"/>
      <c r="Q54" s="198"/>
      <c r="R54" s="198"/>
      <c r="S54" s="198"/>
      <c r="T54" s="198"/>
      <c r="U54" s="198"/>
      <c r="V54" s="198"/>
      <c r="W54" s="198"/>
      <c r="X54" s="198"/>
      <c r="Y54" s="198"/>
      <c r="AB54" s="55"/>
    </row>
    <row r="55" spans="2:29" ht="75" customHeight="1">
      <c r="B55" s="105">
        <v>1932</v>
      </c>
      <c r="D55" s="161" t="s">
        <v>60</v>
      </c>
      <c r="E55" s="164" t="s">
        <v>61</v>
      </c>
      <c r="F55" s="164" t="s">
        <v>62</v>
      </c>
      <c r="G55" s="146" t="s">
        <v>63</v>
      </c>
      <c r="H55" s="146"/>
      <c r="I55" s="143"/>
      <c r="J55" s="124"/>
      <c r="K55" s="161"/>
      <c r="L55" s="161"/>
      <c r="M55" s="161"/>
      <c r="N55" s="151"/>
      <c r="O55" s="196"/>
      <c r="P55" s="196"/>
      <c r="Q55" s="196"/>
      <c r="R55" s="196"/>
      <c r="S55" s="196"/>
      <c r="T55" s="196"/>
      <c r="U55" s="196">
        <v>1</v>
      </c>
      <c r="V55" s="196"/>
      <c r="W55" s="196"/>
      <c r="X55" s="196"/>
      <c r="Y55" s="196">
        <v>1</v>
      </c>
      <c r="AB55" s="40" t="s">
        <v>106</v>
      </c>
    </row>
    <row r="56" spans="2:29" ht="15" customHeight="1">
      <c r="B56" s="105"/>
      <c r="D56" s="162"/>
      <c r="E56" s="165"/>
      <c r="F56" s="165"/>
      <c r="G56" s="147"/>
      <c r="H56" s="147"/>
      <c r="I56" s="144"/>
      <c r="J56" s="124"/>
      <c r="K56" s="162"/>
      <c r="L56" s="162"/>
      <c r="M56" s="162"/>
      <c r="N56" s="152"/>
      <c r="O56" s="197"/>
      <c r="P56" s="197"/>
      <c r="Q56" s="197"/>
      <c r="R56" s="197"/>
      <c r="S56" s="197"/>
      <c r="T56" s="197"/>
      <c r="U56" s="197"/>
      <c r="V56" s="197"/>
      <c r="W56" s="197"/>
      <c r="X56" s="197"/>
      <c r="Y56" s="197"/>
      <c r="AB56" s="106" t="s">
        <v>335</v>
      </c>
    </row>
    <row r="57" spans="2:29" ht="15" customHeight="1">
      <c r="B57" s="105"/>
      <c r="D57" s="163"/>
      <c r="E57" s="166"/>
      <c r="F57" s="166"/>
      <c r="G57" s="148"/>
      <c r="H57" s="148"/>
      <c r="I57" s="145"/>
      <c r="J57" s="124"/>
      <c r="K57" s="163"/>
      <c r="L57" s="163"/>
      <c r="M57" s="163"/>
      <c r="N57" s="153"/>
      <c r="O57" s="198"/>
      <c r="P57" s="198"/>
      <c r="Q57" s="198"/>
      <c r="R57" s="198"/>
      <c r="S57" s="198"/>
      <c r="T57" s="198"/>
      <c r="U57" s="198"/>
      <c r="V57" s="198"/>
      <c r="W57" s="198"/>
      <c r="X57" s="198"/>
      <c r="Y57" s="198"/>
      <c r="AB57" s="55"/>
    </row>
    <row r="58" spans="2:29" ht="15" customHeight="1">
      <c r="B58" s="105">
        <v>1936</v>
      </c>
      <c r="D58" s="161">
        <v>1936</v>
      </c>
      <c r="E58" s="164"/>
      <c r="F58" s="164" t="s">
        <v>18</v>
      </c>
      <c r="G58" s="146">
        <v>5000000</v>
      </c>
      <c r="H58" s="146"/>
      <c r="I58" s="143"/>
      <c r="J58" s="124"/>
      <c r="K58" s="161"/>
      <c r="L58" s="161"/>
      <c r="M58" s="161"/>
      <c r="N58" s="151"/>
      <c r="O58" s="196"/>
      <c r="P58" s="196"/>
      <c r="Q58" s="196"/>
      <c r="R58" s="196"/>
      <c r="S58" s="196"/>
      <c r="T58" s="196"/>
      <c r="U58" s="196"/>
      <c r="V58" s="196"/>
      <c r="W58" s="196"/>
      <c r="X58" s="196"/>
      <c r="Y58" s="196"/>
      <c r="AB58" s="55"/>
    </row>
    <row r="59" spans="2:29" ht="15" customHeight="1">
      <c r="B59" s="105"/>
      <c r="D59" s="162"/>
      <c r="E59" s="165"/>
      <c r="F59" s="165"/>
      <c r="G59" s="147"/>
      <c r="H59" s="147"/>
      <c r="I59" s="144"/>
      <c r="J59" s="124"/>
      <c r="K59" s="162"/>
      <c r="L59" s="162"/>
      <c r="M59" s="162"/>
      <c r="N59" s="152"/>
      <c r="O59" s="197"/>
      <c r="P59" s="197"/>
      <c r="Q59" s="197"/>
      <c r="R59" s="197"/>
      <c r="S59" s="197"/>
      <c r="T59" s="197"/>
      <c r="U59" s="197"/>
      <c r="V59" s="197"/>
      <c r="W59" s="197"/>
      <c r="X59" s="197"/>
      <c r="Y59" s="197"/>
      <c r="AB59" s="55"/>
    </row>
    <row r="60" spans="2:29" ht="15" customHeight="1">
      <c r="B60" s="105"/>
      <c r="D60" s="163"/>
      <c r="E60" s="166"/>
      <c r="F60" s="166"/>
      <c r="G60" s="148"/>
      <c r="H60" s="148"/>
      <c r="I60" s="145"/>
      <c r="J60" s="124"/>
      <c r="K60" s="163"/>
      <c r="L60" s="163"/>
      <c r="M60" s="163"/>
      <c r="N60" s="153"/>
      <c r="O60" s="198"/>
      <c r="P60" s="198"/>
      <c r="Q60" s="198"/>
      <c r="R60" s="198"/>
      <c r="S60" s="198"/>
      <c r="T60" s="198"/>
      <c r="U60" s="198"/>
      <c r="V60" s="198"/>
      <c r="W60" s="198"/>
      <c r="X60" s="198"/>
      <c r="Y60" s="198"/>
      <c r="AB60" s="55"/>
    </row>
    <row r="61" spans="2:29" ht="30" customHeight="1">
      <c r="B61" s="105">
        <v>1940</v>
      </c>
      <c r="D61" s="161" t="s">
        <v>64</v>
      </c>
      <c r="E61" s="164" t="s">
        <v>65</v>
      </c>
      <c r="F61" s="164" t="s">
        <v>66</v>
      </c>
      <c r="G61" s="146">
        <v>112000</v>
      </c>
      <c r="H61" s="146"/>
      <c r="I61" s="143"/>
      <c r="J61" s="124"/>
      <c r="K61" s="161"/>
      <c r="L61" s="161"/>
      <c r="M61" s="161"/>
      <c r="N61" s="151"/>
      <c r="O61" s="196"/>
      <c r="P61" s="196"/>
      <c r="Q61" s="196"/>
      <c r="R61" s="196">
        <v>1</v>
      </c>
      <c r="S61" s="196">
        <v>1</v>
      </c>
      <c r="T61" s="196">
        <v>1</v>
      </c>
      <c r="U61" s="196">
        <v>1</v>
      </c>
      <c r="V61" s="196"/>
      <c r="W61" s="196"/>
      <c r="X61" s="196"/>
      <c r="Y61" s="196"/>
      <c r="AB61" s="40" t="s">
        <v>339</v>
      </c>
    </row>
    <row r="62" spans="2:29" ht="15" customHeight="1">
      <c r="B62" s="105"/>
      <c r="D62" s="162"/>
      <c r="E62" s="165"/>
      <c r="F62" s="165"/>
      <c r="G62" s="147"/>
      <c r="H62" s="147"/>
      <c r="I62" s="144"/>
      <c r="J62" s="124"/>
      <c r="K62" s="162"/>
      <c r="L62" s="162"/>
      <c r="M62" s="162"/>
      <c r="N62" s="152"/>
      <c r="O62" s="197"/>
      <c r="P62" s="197"/>
      <c r="Q62" s="197"/>
      <c r="R62" s="197"/>
      <c r="S62" s="197"/>
      <c r="T62" s="197"/>
      <c r="U62" s="197"/>
      <c r="V62" s="197"/>
      <c r="W62" s="197"/>
      <c r="X62" s="197"/>
      <c r="Y62" s="197"/>
      <c r="AB62" s="55"/>
    </row>
    <row r="63" spans="2:29" ht="15" customHeight="1">
      <c r="B63" s="105"/>
      <c r="D63" s="163"/>
      <c r="E63" s="166"/>
      <c r="F63" s="166"/>
      <c r="G63" s="148"/>
      <c r="H63" s="148"/>
      <c r="I63" s="145"/>
      <c r="J63" s="124"/>
      <c r="K63" s="163"/>
      <c r="L63" s="163"/>
      <c r="M63" s="163"/>
      <c r="N63" s="153"/>
      <c r="O63" s="198"/>
      <c r="P63" s="198"/>
      <c r="Q63" s="198"/>
      <c r="R63" s="198"/>
      <c r="S63" s="198"/>
      <c r="T63" s="198"/>
      <c r="U63" s="198"/>
      <c r="V63" s="198"/>
      <c r="W63" s="198"/>
      <c r="X63" s="198"/>
      <c r="Y63" s="198"/>
      <c r="AB63" s="55"/>
    </row>
    <row r="64" spans="2:29" ht="15" customHeight="1">
      <c r="B64" s="105">
        <v>1941</v>
      </c>
      <c r="D64" s="161" t="s">
        <v>67</v>
      </c>
      <c r="E64" s="164" t="s">
        <v>68</v>
      </c>
      <c r="F64" s="164" t="s">
        <v>30</v>
      </c>
      <c r="G64" s="146">
        <v>1000000</v>
      </c>
      <c r="H64" s="146"/>
      <c r="I64" s="143"/>
      <c r="J64" s="124"/>
      <c r="K64" s="161"/>
      <c r="L64" s="161"/>
      <c r="M64" s="161"/>
      <c r="N64" s="151"/>
      <c r="O64" s="196"/>
      <c r="P64" s="196"/>
      <c r="Q64" s="196"/>
      <c r="R64" s="196">
        <v>1</v>
      </c>
      <c r="S64" s="196">
        <v>1</v>
      </c>
      <c r="T64" s="196">
        <v>1</v>
      </c>
      <c r="U64" s="196"/>
      <c r="V64" s="196"/>
      <c r="W64" s="196"/>
      <c r="X64" s="196"/>
      <c r="Y64" s="196"/>
      <c r="AB64" s="40" t="s">
        <v>342</v>
      </c>
    </row>
    <row r="65" spans="2:28" ht="15" customHeight="1">
      <c r="B65" s="105"/>
      <c r="D65" s="162"/>
      <c r="E65" s="165"/>
      <c r="F65" s="165"/>
      <c r="G65" s="147"/>
      <c r="H65" s="147"/>
      <c r="I65" s="144"/>
      <c r="J65" s="124"/>
      <c r="K65" s="162"/>
      <c r="L65" s="162"/>
      <c r="M65" s="162"/>
      <c r="N65" s="152"/>
      <c r="O65" s="197"/>
      <c r="P65" s="197"/>
      <c r="Q65" s="197"/>
      <c r="R65" s="197"/>
      <c r="S65" s="197"/>
      <c r="T65" s="197"/>
      <c r="U65" s="197"/>
      <c r="V65" s="197"/>
      <c r="W65" s="197"/>
      <c r="X65" s="197"/>
      <c r="Y65" s="197"/>
      <c r="AB65" s="55"/>
    </row>
    <row r="66" spans="2:28" ht="15" customHeight="1">
      <c r="B66" s="105"/>
      <c r="D66" s="163"/>
      <c r="E66" s="166"/>
      <c r="F66" s="166"/>
      <c r="G66" s="148"/>
      <c r="H66" s="148"/>
      <c r="I66" s="145"/>
      <c r="J66" s="124"/>
      <c r="K66" s="163"/>
      <c r="L66" s="163"/>
      <c r="M66" s="163"/>
      <c r="N66" s="153"/>
      <c r="O66" s="198"/>
      <c r="P66" s="198"/>
      <c r="Q66" s="198"/>
      <c r="R66" s="198"/>
      <c r="S66" s="198"/>
      <c r="T66" s="198"/>
      <c r="U66" s="198"/>
      <c r="V66" s="198"/>
      <c r="W66" s="198"/>
      <c r="X66" s="198"/>
      <c r="Y66" s="198"/>
      <c r="AB66" s="55"/>
    </row>
    <row r="67" spans="2:28" ht="15" customHeight="1">
      <c r="B67" s="105"/>
      <c r="D67" s="161" t="s">
        <v>69</v>
      </c>
      <c r="E67" s="164" t="s">
        <v>70</v>
      </c>
      <c r="F67" s="164" t="s">
        <v>71</v>
      </c>
      <c r="G67" s="146">
        <v>300000</v>
      </c>
      <c r="H67" s="146"/>
      <c r="I67" s="143"/>
      <c r="J67" s="124"/>
      <c r="K67" s="161"/>
      <c r="L67" s="161"/>
      <c r="M67" s="161"/>
      <c r="N67" s="151"/>
      <c r="O67" s="196"/>
      <c r="P67" s="196"/>
      <c r="Q67" s="196"/>
      <c r="R67" s="196">
        <v>1</v>
      </c>
      <c r="S67" s="196"/>
      <c r="T67" s="196">
        <v>1</v>
      </c>
      <c r="U67" s="196">
        <v>1</v>
      </c>
      <c r="V67" s="196">
        <v>1</v>
      </c>
      <c r="W67" s="196"/>
      <c r="X67" s="196"/>
      <c r="Y67" s="196"/>
      <c r="AB67" s="110" t="s">
        <v>344</v>
      </c>
    </row>
    <row r="68" spans="2:28" ht="15" customHeight="1">
      <c r="B68" s="105"/>
      <c r="D68" s="162"/>
      <c r="E68" s="165"/>
      <c r="F68" s="165"/>
      <c r="G68" s="147"/>
      <c r="H68" s="147"/>
      <c r="I68" s="144"/>
      <c r="J68" s="124"/>
      <c r="K68" s="162"/>
      <c r="L68" s="162"/>
      <c r="M68" s="162"/>
      <c r="N68" s="152"/>
      <c r="O68" s="197"/>
      <c r="P68" s="197"/>
      <c r="Q68" s="197"/>
      <c r="R68" s="197"/>
      <c r="S68" s="197"/>
      <c r="T68" s="197"/>
      <c r="U68" s="197"/>
      <c r="V68" s="197"/>
      <c r="W68" s="197"/>
      <c r="X68" s="197"/>
      <c r="Y68" s="197"/>
      <c r="AB68" s="55"/>
    </row>
    <row r="69" spans="2:28" ht="15" customHeight="1">
      <c r="B69" s="105"/>
      <c r="D69" s="163"/>
      <c r="E69" s="166"/>
      <c r="F69" s="166"/>
      <c r="G69" s="148"/>
      <c r="H69" s="148"/>
      <c r="I69" s="145"/>
      <c r="J69" s="124"/>
      <c r="K69" s="163"/>
      <c r="L69" s="163"/>
      <c r="M69" s="163"/>
      <c r="N69" s="153"/>
      <c r="O69" s="198"/>
      <c r="P69" s="198"/>
      <c r="Q69" s="198"/>
      <c r="R69" s="198"/>
      <c r="S69" s="198"/>
      <c r="T69" s="198"/>
      <c r="U69" s="198"/>
      <c r="V69" s="198"/>
      <c r="W69" s="198"/>
      <c r="X69" s="198"/>
      <c r="Y69" s="198"/>
      <c r="AB69" s="55"/>
    </row>
    <row r="70" spans="2:28" ht="15" customHeight="1">
      <c r="B70" s="105">
        <v>1943</v>
      </c>
      <c r="D70" s="161">
        <v>1943</v>
      </c>
      <c r="E70" s="164" t="s">
        <v>74</v>
      </c>
      <c r="F70" s="164" t="s">
        <v>18</v>
      </c>
      <c r="G70" s="146">
        <v>5000000</v>
      </c>
      <c r="H70" s="146"/>
      <c r="I70" s="143"/>
      <c r="J70" s="124"/>
      <c r="K70" s="161"/>
      <c r="L70" s="161"/>
      <c r="M70" s="161"/>
      <c r="N70" s="151"/>
      <c r="O70" s="196">
        <v>1</v>
      </c>
      <c r="P70" s="196"/>
      <c r="Q70" s="196"/>
      <c r="R70" s="196">
        <v>1</v>
      </c>
      <c r="S70" s="196"/>
      <c r="T70" s="196">
        <v>1</v>
      </c>
      <c r="U70" s="196">
        <v>1</v>
      </c>
      <c r="V70" s="196">
        <v>1</v>
      </c>
      <c r="W70" s="196"/>
      <c r="X70" s="196"/>
      <c r="Y70" s="196"/>
      <c r="AB70" s="106" t="s">
        <v>346</v>
      </c>
    </row>
    <row r="71" spans="2:28" ht="15" customHeight="1">
      <c r="B71" s="105"/>
      <c r="D71" s="162"/>
      <c r="E71" s="165"/>
      <c r="F71" s="165"/>
      <c r="G71" s="147"/>
      <c r="H71" s="147"/>
      <c r="I71" s="144"/>
      <c r="J71" s="124"/>
      <c r="K71" s="162"/>
      <c r="L71" s="162"/>
      <c r="M71" s="162"/>
      <c r="N71" s="152"/>
      <c r="O71" s="197"/>
      <c r="P71" s="197"/>
      <c r="Q71" s="197"/>
      <c r="R71" s="197"/>
      <c r="S71" s="197"/>
      <c r="T71" s="197"/>
      <c r="U71" s="197"/>
      <c r="V71" s="197"/>
      <c r="W71" s="197"/>
      <c r="X71" s="197"/>
      <c r="Y71" s="197"/>
      <c r="AB71" s="40" t="s">
        <v>99</v>
      </c>
    </row>
    <row r="72" spans="2:28" ht="15" customHeight="1">
      <c r="B72" s="105"/>
      <c r="D72" s="163"/>
      <c r="E72" s="166"/>
      <c r="F72" s="166"/>
      <c r="G72" s="148"/>
      <c r="H72" s="148"/>
      <c r="I72" s="145"/>
      <c r="J72" s="124"/>
      <c r="K72" s="163"/>
      <c r="L72" s="163"/>
      <c r="M72" s="163"/>
      <c r="N72" s="153"/>
      <c r="O72" s="198"/>
      <c r="P72" s="198"/>
      <c r="Q72" s="198"/>
      <c r="R72" s="198"/>
      <c r="S72" s="198"/>
      <c r="T72" s="198"/>
      <c r="U72" s="198"/>
      <c r="V72" s="198"/>
      <c r="W72" s="198"/>
      <c r="X72" s="198"/>
      <c r="Y72" s="198"/>
      <c r="AB72" s="55"/>
    </row>
    <row r="73" spans="2:28" ht="30" customHeight="1">
      <c r="B73" s="105"/>
      <c r="D73" s="161">
        <v>1943</v>
      </c>
      <c r="E73" s="164" t="s">
        <v>75</v>
      </c>
      <c r="F73" s="164" t="s">
        <v>76</v>
      </c>
      <c r="G73" s="146" t="s">
        <v>77</v>
      </c>
      <c r="H73" s="146"/>
      <c r="I73" s="143"/>
      <c r="J73" s="124"/>
      <c r="K73" s="161"/>
      <c r="L73" s="161"/>
      <c r="M73" s="161"/>
      <c r="N73" s="151"/>
      <c r="O73" s="196"/>
      <c r="P73" s="196">
        <v>1</v>
      </c>
      <c r="Q73" s="196">
        <v>1</v>
      </c>
      <c r="R73" s="196">
        <v>1</v>
      </c>
      <c r="S73" s="196">
        <v>1</v>
      </c>
      <c r="T73" s="196">
        <v>1</v>
      </c>
      <c r="U73" s="196"/>
      <c r="V73" s="196">
        <v>1</v>
      </c>
      <c r="W73" s="196"/>
      <c r="X73" s="196"/>
      <c r="Y73" s="196"/>
      <c r="AB73" s="40" t="s">
        <v>106</v>
      </c>
    </row>
    <row r="74" spans="2:28" ht="15" customHeight="1">
      <c r="B74" s="105"/>
      <c r="D74" s="162"/>
      <c r="E74" s="165"/>
      <c r="F74" s="165"/>
      <c r="G74" s="147"/>
      <c r="H74" s="147"/>
      <c r="I74" s="144"/>
      <c r="J74" s="124"/>
      <c r="K74" s="162"/>
      <c r="L74" s="162"/>
      <c r="M74" s="162"/>
      <c r="N74" s="152"/>
      <c r="O74" s="197"/>
      <c r="P74" s="197"/>
      <c r="Q74" s="197"/>
      <c r="R74" s="197"/>
      <c r="S74" s="197"/>
      <c r="T74" s="197"/>
      <c r="U74" s="197"/>
      <c r="V74" s="197"/>
      <c r="W74" s="197"/>
      <c r="X74" s="197"/>
      <c r="Y74" s="197"/>
      <c r="AB74" s="40" t="s">
        <v>99</v>
      </c>
    </row>
    <row r="75" spans="2:28" ht="15" customHeight="1">
      <c r="B75" s="105"/>
      <c r="D75" s="163"/>
      <c r="E75" s="166"/>
      <c r="F75" s="166"/>
      <c r="G75" s="148"/>
      <c r="H75" s="148"/>
      <c r="I75" s="145"/>
      <c r="J75" s="124"/>
      <c r="K75" s="163"/>
      <c r="L75" s="163"/>
      <c r="M75" s="163"/>
      <c r="N75" s="153"/>
      <c r="O75" s="198"/>
      <c r="P75" s="198"/>
      <c r="Q75" s="198"/>
      <c r="R75" s="198"/>
      <c r="S75" s="198"/>
      <c r="T75" s="198"/>
      <c r="U75" s="198"/>
      <c r="V75" s="198"/>
      <c r="W75" s="198"/>
      <c r="X75" s="198"/>
      <c r="Y75" s="198"/>
      <c r="AB75" s="106" t="s">
        <v>349</v>
      </c>
    </row>
    <row r="76" spans="2:28" ht="60" customHeight="1">
      <c r="B76" s="105"/>
      <c r="D76" s="161">
        <v>1943</v>
      </c>
      <c r="E76" s="164" t="s">
        <v>78</v>
      </c>
      <c r="F76" s="164" t="s">
        <v>56</v>
      </c>
      <c r="G76" s="146">
        <v>300000</v>
      </c>
      <c r="H76" s="146"/>
      <c r="I76" s="143"/>
      <c r="J76" s="124"/>
      <c r="K76" s="161"/>
      <c r="L76" s="161"/>
      <c r="M76" s="161"/>
      <c r="N76" s="151"/>
      <c r="O76" s="196">
        <v>1</v>
      </c>
      <c r="P76" s="196"/>
      <c r="Q76" s="196"/>
      <c r="R76" s="196">
        <v>1</v>
      </c>
      <c r="S76" s="196">
        <v>1</v>
      </c>
      <c r="T76" s="196">
        <v>1</v>
      </c>
      <c r="U76" s="196"/>
      <c r="V76" s="196">
        <v>1</v>
      </c>
      <c r="W76" s="196"/>
      <c r="X76" s="196"/>
      <c r="Y76" s="196"/>
      <c r="AB76" s="40" t="s">
        <v>99</v>
      </c>
    </row>
    <row r="77" spans="2:28" ht="15" customHeight="1">
      <c r="B77" s="105"/>
      <c r="D77" s="162"/>
      <c r="E77" s="165"/>
      <c r="F77" s="165"/>
      <c r="G77" s="147"/>
      <c r="H77" s="147"/>
      <c r="I77" s="144"/>
      <c r="J77" s="124"/>
      <c r="K77" s="162"/>
      <c r="L77" s="162"/>
      <c r="M77" s="162"/>
      <c r="N77" s="152"/>
      <c r="O77" s="197"/>
      <c r="P77" s="197"/>
      <c r="Q77" s="197"/>
      <c r="R77" s="197"/>
      <c r="S77" s="197"/>
      <c r="T77" s="197"/>
      <c r="U77" s="197"/>
      <c r="V77" s="197"/>
      <c r="W77" s="197"/>
      <c r="X77" s="197"/>
      <c r="Y77" s="197"/>
      <c r="AB77" s="40" t="s">
        <v>351</v>
      </c>
    </row>
    <row r="78" spans="2:28" ht="15" customHeight="1">
      <c r="B78" s="105"/>
      <c r="D78" s="163"/>
      <c r="E78" s="166"/>
      <c r="F78" s="166"/>
      <c r="G78" s="148"/>
      <c r="H78" s="148"/>
      <c r="I78" s="145"/>
      <c r="J78" s="124"/>
      <c r="K78" s="163"/>
      <c r="L78" s="163"/>
      <c r="M78" s="163"/>
      <c r="N78" s="153"/>
      <c r="O78" s="198"/>
      <c r="P78" s="198"/>
      <c r="Q78" s="198"/>
      <c r="R78" s="198"/>
      <c r="S78" s="198"/>
      <c r="T78" s="198"/>
      <c r="U78" s="198"/>
      <c r="V78" s="198"/>
      <c r="W78" s="198"/>
      <c r="X78" s="198"/>
      <c r="Y78" s="198"/>
      <c r="AB78" s="55"/>
    </row>
    <row r="79" spans="2:28" ht="30" customHeight="1">
      <c r="B79" s="105">
        <v>1944</v>
      </c>
      <c r="D79" s="161">
        <v>1944</v>
      </c>
      <c r="E79" s="164" t="s">
        <v>79</v>
      </c>
      <c r="F79" s="164" t="s">
        <v>80</v>
      </c>
      <c r="G79" s="146">
        <v>20000</v>
      </c>
      <c r="H79" s="146"/>
      <c r="I79" s="143"/>
      <c r="J79" s="124"/>
      <c r="K79" s="161"/>
      <c r="L79" s="161"/>
      <c r="M79" s="161"/>
      <c r="N79" s="151"/>
      <c r="O79" s="196"/>
      <c r="P79" s="196"/>
      <c r="Q79" s="196"/>
      <c r="R79" s="196">
        <v>1</v>
      </c>
      <c r="S79" s="196">
        <v>1</v>
      </c>
      <c r="T79" s="196">
        <v>1</v>
      </c>
      <c r="U79" s="196"/>
      <c r="V79" s="196">
        <v>1</v>
      </c>
      <c r="W79" s="196"/>
      <c r="X79" s="196"/>
      <c r="Y79" s="196"/>
      <c r="AB79" s="40" t="s">
        <v>106</v>
      </c>
    </row>
    <row r="80" spans="2:28" ht="15" customHeight="1">
      <c r="B80" s="105"/>
      <c r="D80" s="162"/>
      <c r="E80" s="165"/>
      <c r="F80" s="165"/>
      <c r="G80" s="147"/>
      <c r="H80" s="147"/>
      <c r="I80" s="144"/>
      <c r="J80" s="124"/>
      <c r="K80" s="162"/>
      <c r="L80" s="162"/>
      <c r="M80" s="162"/>
      <c r="N80" s="152"/>
      <c r="O80" s="197"/>
      <c r="P80" s="197"/>
      <c r="Q80" s="197"/>
      <c r="R80" s="197"/>
      <c r="S80" s="197"/>
      <c r="T80" s="197"/>
      <c r="U80" s="197"/>
      <c r="V80" s="197"/>
      <c r="W80" s="197"/>
      <c r="X80" s="197"/>
      <c r="Y80" s="197"/>
      <c r="AB80" s="40" t="s">
        <v>99</v>
      </c>
    </row>
    <row r="81" spans="2:29" ht="15" customHeight="1">
      <c r="B81" s="105"/>
      <c r="D81" s="163"/>
      <c r="E81" s="166"/>
      <c r="F81" s="166"/>
      <c r="G81" s="148"/>
      <c r="H81" s="148"/>
      <c r="I81" s="145"/>
      <c r="J81" s="124"/>
      <c r="K81" s="163"/>
      <c r="L81" s="163"/>
      <c r="M81" s="163"/>
      <c r="N81" s="153"/>
      <c r="O81" s="198"/>
      <c r="P81" s="198"/>
      <c r="Q81" s="198"/>
      <c r="R81" s="198"/>
      <c r="S81" s="198"/>
      <c r="T81" s="198"/>
      <c r="U81" s="198"/>
      <c r="V81" s="198"/>
      <c r="W81" s="198"/>
      <c r="X81" s="198"/>
      <c r="Y81" s="198"/>
      <c r="AB81" s="55"/>
    </row>
    <row r="82" spans="2:29" ht="30" customHeight="1">
      <c r="B82" s="105">
        <v>1945</v>
      </c>
      <c r="D82" s="161">
        <v>1945</v>
      </c>
      <c r="E82" s="164" t="s">
        <v>81</v>
      </c>
      <c r="F82" s="164" t="s">
        <v>82</v>
      </c>
      <c r="G82" s="146" t="s">
        <v>83</v>
      </c>
      <c r="H82" s="146"/>
      <c r="I82" s="143"/>
      <c r="J82" s="124"/>
      <c r="K82" s="161"/>
      <c r="L82" s="161" t="s">
        <v>508</v>
      </c>
      <c r="M82" s="161"/>
      <c r="N82" s="151"/>
      <c r="O82" s="196">
        <v>1</v>
      </c>
      <c r="P82" s="196"/>
      <c r="Q82" s="196">
        <v>1</v>
      </c>
      <c r="R82" s="196">
        <v>1</v>
      </c>
      <c r="S82" s="196">
        <v>1</v>
      </c>
      <c r="T82" s="196"/>
      <c r="U82" s="196"/>
      <c r="V82" s="196">
        <v>1</v>
      </c>
      <c r="W82" s="196"/>
      <c r="X82" s="196"/>
      <c r="Y82" s="196"/>
      <c r="AB82" s="106" t="s">
        <v>354</v>
      </c>
    </row>
    <row r="83" spans="2:29" ht="15" customHeight="1">
      <c r="B83" s="105"/>
      <c r="D83" s="162"/>
      <c r="E83" s="165"/>
      <c r="F83" s="165"/>
      <c r="G83" s="147"/>
      <c r="H83" s="147"/>
      <c r="I83" s="144"/>
      <c r="J83" s="124"/>
      <c r="K83" s="162"/>
      <c r="L83" s="162"/>
      <c r="M83" s="162"/>
      <c r="N83" s="152"/>
      <c r="O83" s="197"/>
      <c r="P83" s="197"/>
      <c r="Q83" s="197"/>
      <c r="R83" s="197"/>
      <c r="S83" s="197"/>
      <c r="T83" s="197"/>
      <c r="U83" s="197"/>
      <c r="V83" s="197"/>
      <c r="W83" s="197"/>
      <c r="X83" s="197"/>
      <c r="Y83" s="197"/>
      <c r="AB83" s="55"/>
    </row>
    <row r="84" spans="2:29" ht="15" customHeight="1">
      <c r="B84" s="105"/>
      <c r="D84" s="163"/>
      <c r="E84" s="166"/>
      <c r="F84" s="166"/>
      <c r="G84" s="148"/>
      <c r="H84" s="148"/>
      <c r="I84" s="145"/>
      <c r="J84" s="124"/>
      <c r="K84" s="163"/>
      <c r="L84" s="163"/>
      <c r="M84" s="163"/>
      <c r="N84" s="153"/>
      <c r="O84" s="198"/>
      <c r="P84" s="198"/>
      <c r="Q84" s="198"/>
      <c r="R84" s="198"/>
      <c r="S84" s="198"/>
      <c r="T84" s="198"/>
      <c r="U84" s="198"/>
      <c r="V84" s="198"/>
      <c r="W84" s="198"/>
      <c r="X84" s="198"/>
      <c r="Y84" s="198"/>
      <c r="AB84" s="55"/>
    </row>
    <row r="85" spans="2:29" ht="30" customHeight="1">
      <c r="B85" s="105"/>
      <c r="D85" s="161">
        <v>1947</v>
      </c>
      <c r="E85" s="164" t="s">
        <v>84</v>
      </c>
      <c r="F85" s="164" t="s">
        <v>85</v>
      </c>
      <c r="G85" s="146" t="s">
        <v>86</v>
      </c>
      <c r="H85" s="146"/>
      <c r="I85" s="143"/>
      <c r="J85" s="124"/>
      <c r="K85" s="161"/>
      <c r="L85" s="161"/>
      <c r="M85" s="161"/>
      <c r="N85" s="151"/>
      <c r="O85" s="196">
        <v>1</v>
      </c>
      <c r="P85" s="196"/>
      <c r="Q85" s="196"/>
      <c r="R85" s="196">
        <v>1</v>
      </c>
      <c r="S85" s="196">
        <v>1</v>
      </c>
      <c r="T85" s="196"/>
      <c r="U85" s="196">
        <v>1</v>
      </c>
      <c r="V85" s="196">
        <v>1</v>
      </c>
      <c r="W85" s="196"/>
      <c r="X85" s="196"/>
      <c r="Y85" s="196"/>
      <c r="AB85" s="40" t="s">
        <v>99</v>
      </c>
    </row>
    <row r="86" spans="2:29" ht="15" customHeight="1">
      <c r="B86" s="105"/>
      <c r="D86" s="162"/>
      <c r="E86" s="165"/>
      <c r="F86" s="165"/>
      <c r="G86" s="147"/>
      <c r="H86" s="147"/>
      <c r="I86" s="144"/>
      <c r="J86" s="124"/>
      <c r="K86" s="162"/>
      <c r="L86" s="162"/>
      <c r="M86" s="162"/>
      <c r="N86" s="152"/>
      <c r="O86" s="197"/>
      <c r="P86" s="197"/>
      <c r="Q86" s="197"/>
      <c r="R86" s="197"/>
      <c r="S86" s="197"/>
      <c r="T86" s="197"/>
      <c r="U86" s="197"/>
      <c r="V86" s="197"/>
      <c r="W86" s="197"/>
      <c r="X86" s="197"/>
      <c r="Y86" s="197"/>
      <c r="AB86" s="108" t="s">
        <v>357</v>
      </c>
    </row>
    <row r="87" spans="2:29" ht="15" customHeight="1">
      <c r="B87" s="105"/>
      <c r="D87" s="163"/>
      <c r="E87" s="166"/>
      <c r="F87" s="166"/>
      <c r="G87" s="148"/>
      <c r="H87" s="148"/>
      <c r="I87" s="145"/>
      <c r="J87" s="124"/>
      <c r="K87" s="163"/>
      <c r="L87" s="163"/>
      <c r="M87" s="163"/>
      <c r="N87" s="153"/>
      <c r="O87" s="198"/>
      <c r="P87" s="198"/>
      <c r="Q87" s="198"/>
      <c r="R87" s="198"/>
      <c r="S87" s="198"/>
      <c r="T87" s="198"/>
      <c r="U87" s="198"/>
      <c r="V87" s="198"/>
      <c r="W87" s="198"/>
      <c r="X87" s="198"/>
      <c r="Y87" s="198"/>
      <c r="AB87" s="55"/>
    </row>
    <row r="88" spans="2:29" ht="30" customHeight="1">
      <c r="B88" s="105">
        <v>1958</v>
      </c>
      <c r="D88" s="161">
        <v>1958</v>
      </c>
      <c r="E88" s="164" t="s">
        <v>87</v>
      </c>
      <c r="F88" s="164" t="s">
        <v>88</v>
      </c>
      <c r="G88" s="146" t="s">
        <v>89</v>
      </c>
      <c r="H88" s="146"/>
      <c r="I88" s="143"/>
      <c r="J88" s="124"/>
      <c r="K88" s="161"/>
      <c r="L88" s="161"/>
      <c r="M88" s="161" t="s">
        <v>509</v>
      </c>
      <c r="N88" s="151"/>
      <c r="O88" s="196">
        <v>1</v>
      </c>
      <c r="P88" s="196"/>
      <c r="Q88" s="196">
        <v>1</v>
      </c>
      <c r="R88" s="196"/>
      <c r="S88" s="196"/>
      <c r="T88" s="196"/>
      <c r="U88" s="196"/>
      <c r="V88" s="196">
        <v>1</v>
      </c>
      <c r="W88" s="196"/>
      <c r="X88" s="196"/>
      <c r="Y88" s="196"/>
      <c r="AB88" s="108" t="s">
        <v>99</v>
      </c>
    </row>
    <row r="89" spans="2:29" ht="15" customHeight="1">
      <c r="B89" s="105"/>
      <c r="D89" s="162"/>
      <c r="E89" s="165"/>
      <c r="F89" s="165"/>
      <c r="G89" s="147"/>
      <c r="H89" s="147"/>
      <c r="I89" s="144"/>
      <c r="J89" s="124"/>
      <c r="K89" s="162"/>
      <c r="L89" s="162"/>
      <c r="M89" s="162"/>
      <c r="N89" s="152"/>
      <c r="O89" s="197"/>
      <c r="P89" s="197"/>
      <c r="Q89" s="197"/>
      <c r="R89" s="197"/>
      <c r="S89" s="197"/>
      <c r="T89" s="197"/>
      <c r="U89" s="197"/>
      <c r="V89" s="197"/>
      <c r="W89" s="197"/>
      <c r="X89" s="197"/>
      <c r="Y89" s="197"/>
      <c r="AB89" s="108" t="s">
        <v>358</v>
      </c>
    </row>
    <row r="90" spans="2:29" ht="15" customHeight="1">
      <c r="B90" s="105"/>
      <c r="D90" s="163"/>
      <c r="E90" s="166"/>
      <c r="F90" s="166"/>
      <c r="G90" s="148"/>
      <c r="H90" s="148"/>
      <c r="I90" s="145"/>
      <c r="J90" s="124"/>
      <c r="K90" s="163"/>
      <c r="L90" s="163"/>
      <c r="M90" s="163"/>
      <c r="N90" s="153"/>
      <c r="O90" s="198"/>
      <c r="P90" s="198"/>
      <c r="Q90" s="198"/>
      <c r="R90" s="198"/>
      <c r="S90" s="198"/>
      <c r="T90" s="198"/>
      <c r="U90" s="198"/>
      <c r="V90" s="198"/>
      <c r="W90" s="198"/>
      <c r="X90" s="198"/>
      <c r="Y90" s="198"/>
      <c r="AB90" s="55"/>
    </row>
    <row r="91" spans="2:29" ht="45" customHeight="1">
      <c r="B91" s="105">
        <v>1959</v>
      </c>
      <c r="D91" s="161" t="s">
        <v>90</v>
      </c>
      <c r="E91" s="164" t="s">
        <v>91</v>
      </c>
      <c r="F91" s="164" t="s">
        <v>18</v>
      </c>
      <c r="G91" s="146" t="s">
        <v>92</v>
      </c>
      <c r="H91" s="146"/>
      <c r="I91" s="143"/>
      <c r="J91" s="124"/>
      <c r="K91" s="161" t="s">
        <v>510</v>
      </c>
      <c r="L91" s="161" t="s">
        <v>511</v>
      </c>
      <c r="M91" s="161" t="s">
        <v>512</v>
      </c>
      <c r="N91" s="151"/>
      <c r="O91" s="196"/>
      <c r="P91" s="196"/>
      <c r="Q91" s="196"/>
      <c r="R91" s="196">
        <v>1</v>
      </c>
      <c r="S91" s="196">
        <v>1</v>
      </c>
      <c r="T91" s="196"/>
      <c r="U91" s="196">
        <v>1</v>
      </c>
      <c r="V91" s="196">
        <v>1</v>
      </c>
      <c r="W91" s="196"/>
      <c r="X91" s="196"/>
      <c r="Y91" s="196"/>
      <c r="AB91" s="40" t="s">
        <v>106</v>
      </c>
    </row>
    <row r="92" spans="2:29" ht="15" customHeight="1">
      <c r="B92" s="105"/>
      <c r="D92" s="162"/>
      <c r="E92" s="165"/>
      <c r="F92" s="165"/>
      <c r="G92" s="147"/>
      <c r="H92" s="147"/>
      <c r="I92" s="144"/>
      <c r="J92" s="124"/>
      <c r="K92" s="162"/>
      <c r="L92" s="162"/>
      <c r="M92" s="162"/>
      <c r="N92" s="152"/>
      <c r="O92" s="197"/>
      <c r="P92" s="197"/>
      <c r="Q92" s="197"/>
      <c r="R92" s="197"/>
      <c r="S92" s="197"/>
      <c r="T92" s="197"/>
      <c r="U92" s="197"/>
      <c r="V92" s="197"/>
      <c r="W92" s="197"/>
      <c r="X92" s="197"/>
      <c r="Y92" s="197"/>
      <c r="AB92" s="108" t="s">
        <v>360</v>
      </c>
    </row>
    <row r="93" spans="2:29" ht="15" customHeight="1">
      <c r="B93" s="105"/>
      <c r="D93" s="163"/>
      <c r="E93" s="166"/>
      <c r="F93" s="166"/>
      <c r="G93" s="148"/>
      <c r="H93" s="148"/>
      <c r="I93" s="145"/>
      <c r="J93" s="124"/>
      <c r="K93" s="163"/>
      <c r="L93" s="163"/>
      <c r="M93" s="163"/>
      <c r="N93" s="153"/>
      <c r="O93" s="198"/>
      <c r="P93" s="198"/>
      <c r="Q93" s="198"/>
      <c r="R93" s="198"/>
      <c r="S93" s="198"/>
      <c r="T93" s="198"/>
      <c r="U93" s="198"/>
      <c r="V93" s="198"/>
      <c r="W93" s="198"/>
      <c r="X93" s="198"/>
      <c r="Y93" s="198"/>
      <c r="AB93" s="55"/>
    </row>
    <row r="94" spans="2:29">
      <c r="B94" s="12">
        <v>1966</v>
      </c>
      <c r="D94" s="161">
        <v>1966</v>
      </c>
      <c r="E94" s="164" t="s">
        <v>94</v>
      </c>
      <c r="F94" s="164" t="s">
        <v>88</v>
      </c>
      <c r="G94" s="146" t="s">
        <v>95</v>
      </c>
      <c r="H94" s="146">
        <f>(45000+60000)/2</f>
        <v>52500</v>
      </c>
      <c r="I94" s="143">
        <f>H94/AA94*100</f>
        <v>0.20474911077461191</v>
      </c>
      <c r="J94" s="124"/>
      <c r="K94" s="161" t="s">
        <v>513</v>
      </c>
      <c r="L94" s="161"/>
      <c r="M94" s="161" t="s">
        <v>96</v>
      </c>
      <c r="N94" s="151">
        <v>1965</v>
      </c>
      <c r="O94" s="196">
        <v>1</v>
      </c>
      <c r="P94" s="196"/>
      <c r="Q94" s="196">
        <v>1</v>
      </c>
      <c r="R94" s="196">
        <v>1</v>
      </c>
      <c r="S94" s="196"/>
      <c r="T94" s="196"/>
      <c r="U94" s="196"/>
      <c r="V94" s="196">
        <v>1</v>
      </c>
      <c r="W94" s="196">
        <v>1</v>
      </c>
      <c r="X94" s="196"/>
      <c r="Y94" s="196">
        <v>1</v>
      </c>
      <c r="Z94" s="149" t="s">
        <v>97</v>
      </c>
      <c r="AA94" s="149">
        <v>25641137</v>
      </c>
      <c r="AB94" s="103" t="s">
        <v>98</v>
      </c>
      <c r="AC94" s="24"/>
    </row>
    <row r="95" spans="2:29">
      <c r="B95" s="12"/>
      <c r="D95" s="162"/>
      <c r="E95" s="165"/>
      <c r="F95" s="165"/>
      <c r="G95" s="147"/>
      <c r="H95" s="147"/>
      <c r="I95" s="144"/>
      <c r="J95" s="124"/>
      <c r="K95" s="162"/>
      <c r="L95" s="162"/>
      <c r="M95" s="162"/>
      <c r="N95" s="152"/>
      <c r="O95" s="197"/>
      <c r="P95" s="197"/>
      <c r="Q95" s="197"/>
      <c r="R95" s="197"/>
      <c r="S95" s="197"/>
      <c r="T95" s="197"/>
      <c r="U95" s="197"/>
      <c r="V95" s="197"/>
      <c r="W95" s="197"/>
      <c r="X95" s="197"/>
      <c r="Y95" s="197"/>
      <c r="Z95" s="149"/>
      <c r="AA95" s="149"/>
      <c r="AB95" s="103" t="s">
        <v>99</v>
      </c>
      <c r="AC95" s="24"/>
    </row>
    <row r="96" spans="2:29">
      <c r="B96" s="12"/>
      <c r="D96" s="163"/>
      <c r="E96" s="166"/>
      <c r="F96" s="166"/>
      <c r="G96" s="148"/>
      <c r="H96" s="148"/>
      <c r="I96" s="145"/>
      <c r="J96" s="124"/>
      <c r="K96" s="163"/>
      <c r="L96" s="163"/>
      <c r="M96" s="163"/>
      <c r="N96" s="153"/>
      <c r="O96" s="198"/>
      <c r="P96" s="198"/>
      <c r="Q96" s="198"/>
      <c r="R96" s="198"/>
      <c r="S96" s="198"/>
      <c r="T96" s="198"/>
      <c r="U96" s="198"/>
      <c r="V96" s="198"/>
      <c r="W96" s="198"/>
      <c r="X96" s="198"/>
      <c r="Y96" s="198"/>
      <c r="Z96" s="149"/>
      <c r="AA96" s="149"/>
      <c r="AB96" s="59"/>
      <c r="AC96" s="24"/>
    </row>
    <row r="97" spans="2:31">
      <c r="B97" s="12">
        <v>1967</v>
      </c>
      <c r="D97" s="161" t="s">
        <v>100</v>
      </c>
      <c r="E97" s="164" t="s">
        <v>101</v>
      </c>
      <c r="F97" s="164" t="s">
        <v>13</v>
      </c>
      <c r="G97" s="146">
        <v>1000000</v>
      </c>
      <c r="H97" s="146">
        <v>1000000</v>
      </c>
      <c r="I97" s="143">
        <f>H97/AA97*100</f>
        <v>1.9059020335097983</v>
      </c>
      <c r="J97" s="124"/>
      <c r="K97" s="161" t="s">
        <v>102</v>
      </c>
      <c r="L97" s="161" t="s">
        <v>103</v>
      </c>
      <c r="M97" s="161" t="s">
        <v>104</v>
      </c>
      <c r="N97" s="151" t="s">
        <v>434</v>
      </c>
      <c r="O97" s="196"/>
      <c r="P97" s="196"/>
      <c r="Q97" s="196"/>
      <c r="R97" s="196"/>
      <c r="S97" s="196"/>
      <c r="T97" s="196">
        <v>1</v>
      </c>
      <c r="U97" s="196">
        <v>1</v>
      </c>
      <c r="V97" s="196">
        <v>1</v>
      </c>
      <c r="W97" s="196">
        <v>1</v>
      </c>
      <c r="X97" s="196"/>
      <c r="Y97" s="196"/>
      <c r="Z97" s="149" t="s">
        <v>105</v>
      </c>
      <c r="AA97" s="149">
        <v>52468594</v>
      </c>
      <c r="AB97" s="59" t="s">
        <v>106</v>
      </c>
    </row>
    <row r="98" spans="2:31">
      <c r="B98" s="12"/>
      <c r="D98" s="162"/>
      <c r="E98" s="165"/>
      <c r="F98" s="165"/>
      <c r="G98" s="147"/>
      <c r="H98" s="147"/>
      <c r="I98" s="144"/>
      <c r="J98" s="124"/>
      <c r="K98" s="162"/>
      <c r="L98" s="162"/>
      <c r="M98" s="162"/>
      <c r="N98" s="152"/>
      <c r="O98" s="197"/>
      <c r="P98" s="197"/>
      <c r="Q98" s="197"/>
      <c r="R98" s="197"/>
      <c r="S98" s="197"/>
      <c r="T98" s="197"/>
      <c r="U98" s="197"/>
      <c r="V98" s="197"/>
      <c r="W98" s="197"/>
      <c r="X98" s="197"/>
      <c r="Y98" s="197"/>
      <c r="Z98" s="149"/>
      <c r="AA98" s="149"/>
      <c r="AB98" s="103" t="s">
        <v>99</v>
      </c>
      <c r="AE98" s="23"/>
    </row>
    <row r="99" spans="2:31">
      <c r="B99" s="12"/>
      <c r="D99" s="162"/>
      <c r="E99" s="165"/>
      <c r="F99" s="165"/>
      <c r="G99" s="147"/>
      <c r="H99" s="147"/>
      <c r="I99" s="144"/>
      <c r="J99" s="124"/>
      <c r="K99" s="162"/>
      <c r="L99" s="162"/>
      <c r="M99" s="162"/>
      <c r="N99" s="152"/>
      <c r="O99" s="197"/>
      <c r="P99" s="197"/>
      <c r="Q99" s="197"/>
      <c r="R99" s="197"/>
      <c r="S99" s="197"/>
      <c r="T99" s="197"/>
      <c r="U99" s="197"/>
      <c r="V99" s="197"/>
      <c r="W99" s="197"/>
      <c r="X99" s="197"/>
      <c r="Y99" s="197"/>
      <c r="Z99" s="149"/>
      <c r="AA99" s="149"/>
      <c r="AB99" s="59" t="s">
        <v>107</v>
      </c>
      <c r="AE99" s="23"/>
    </row>
    <row r="100" spans="2:31">
      <c r="B100" s="12"/>
      <c r="D100" s="163"/>
      <c r="E100" s="166"/>
      <c r="F100" s="166"/>
      <c r="G100" s="148"/>
      <c r="H100" s="148"/>
      <c r="I100" s="145"/>
      <c r="J100" s="124"/>
      <c r="K100" s="163"/>
      <c r="L100" s="163"/>
      <c r="M100" s="163"/>
      <c r="N100" s="153"/>
      <c r="O100" s="198"/>
      <c r="P100" s="198"/>
      <c r="Q100" s="198"/>
      <c r="R100" s="198"/>
      <c r="S100" s="198"/>
      <c r="T100" s="198"/>
      <c r="U100" s="198"/>
      <c r="V100" s="198"/>
      <c r="W100" s="198"/>
      <c r="X100" s="198"/>
      <c r="Y100" s="198"/>
      <c r="Z100" s="149"/>
      <c r="AA100" s="149"/>
      <c r="AB100" s="109" t="s">
        <v>108</v>
      </c>
      <c r="AE100" s="23"/>
    </row>
    <row r="101" spans="2:31" ht="15">
      <c r="B101" s="12">
        <v>1968</v>
      </c>
      <c r="D101" s="161" t="s">
        <v>109</v>
      </c>
      <c r="E101" s="164" t="s">
        <v>110</v>
      </c>
      <c r="F101" s="127" t="s">
        <v>435</v>
      </c>
      <c r="G101" s="146">
        <v>101000</v>
      </c>
      <c r="H101" s="146">
        <v>101000</v>
      </c>
      <c r="I101" s="143">
        <f>H101/AA101*100</f>
        <v>0.51120699869713082</v>
      </c>
      <c r="J101" s="124"/>
      <c r="K101" s="161" t="s">
        <v>112</v>
      </c>
      <c r="L101" s="161" t="s">
        <v>113</v>
      </c>
      <c r="M101" s="161" t="s">
        <v>114</v>
      </c>
      <c r="N101" s="131" t="s">
        <v>447</v>
      </c>
      <c r="O101" s="202">
        <v>1</v>
      </c>
      <c r="P101" s="202"/>
      <c r="Q101" s="202">
        <v>1</v>
      </c>
      <c r="R101" s="202"/>
      <c r="S101" s="202">
        <v>1</v>
      </c>
      <c r="T101" s="202"/>
      <c r="U101" s="202">
        <v>1</v>
      </c>
      <c r="V101" s="202">
        <v>1</v>
      </c>
      <c r="W101" s="202">
        <v>1</v>
      </c>
      <c r="X101" s="202"/>
      <c r="Y101" s="202"/>
      <c r="Z101" s="149" t="s">
        <v>111</v>
      </c>
      <c r="AA101" s="149">
        <f>1083646+5565670+3500777+4173030+5434040</f>
        <v>19757163</v>
      </c>
      <c r="AB101" s="59" t="s">
        <v>106</v>
      </c>
    </row>
    <row r="102" spans="2:31" ht="15">
      <c r="B102" s="12"/>
      <c r="D102" s="162"/>
      <c r="E102" s="165"/>
      <c r="F102" s="128" t="s">
        <v>436</v>
      </c>
      <c r="G102" s="147"/>
      <c r="H102" s="147"/>
      <c r="I102" s="144"/>
      <c r="J102" s="124"/>
      <c r="K102" s="162"/>
      <c r="L102" s="162"/>
      <c r="M102" s="162"/>
      <c r="N102" s="131">
        <v>1966</v>
      </c>
      <c r="O102" s="202"/>
      <c r="P102" s="202"/>
      <c r="Q102" s="202"/>
      <c r="R102" s="202"/>
      <c r="S102" s="202"/>
      <c r="T102" s="202"/>
      <c r="U102" s="202"/>
      <c r="V102" s="202"/>
      <c r="W102" s="202"/>
      <c r="X102" s="202"/>
      <c r="Y102" s="202"/>
      <c r="Z102" s="149"/>
      <c r="AA102" s="149"/>
      <c r="AB102" s="103" t="s">
        <v>99</v>
      </c>
      <c r="AE102" s="23"/>
    </row>
    <row r="103" spans="2:31" ht="15">
      <c r="B103" s="12"/>
      <c r="D103" s="162"/>
      <c r="E103" s="165"/>
      <c r="F103" s="128" t="s">
        <v>437</v>
      </c>
      <c r="G103" s="147"/>
      <c r="H103" s="147"/>
      <c r="I103" s="144"/>
      <c r="J103" s="124"/>
      <c r="K103" s="162"/>
      <c r="L103" s="162"/>
      <c r="M103" s="162"/>
      <c r="N103" s="131" t="s">
        <v>448</v>
      </c>
      <c r="O103" s="202"/>
      <c r="P103" s="202"/>
      <c r="Q103" s="202"/>
      <c r="R103" s="202"/>
      <c r="S103" s="202"/>
      <c r="T103" s="202"/>
      <c r="U103" s="202"/>
      <c r="V103" s="202"/>
      <c r="W103" s="202"/>
      <c r="X103" s="202"/>
      <c r="Y103" s="202"/>
      <c r="Z103" s="149"/>
      <c r="AA103" s="149"/>
      <c r="AB103" s="103" t="s">
        <v>115</v>
      </c>
      <c r="AE103" s="23"/>
    </row>
    <row r="104" spans="2:31" s="1" customFormat="1" ht="15">
      <c r="B104" s="12"/>
      <c r="D104" s="162"/>
      <c r="E104" s="165"/>
      <c r="F104" s="128" t="s">
        <v>250</v>
      </c>
      <c r="G104" s="147"/>
      <c r="H104" s="147"/>
      <c r="I104" s="144"/>
      <c r="J104" s="120"/>
      <c r="K104" s="162"/>
      <c r="L104" s="162"/>
      <c r="M104" s="162"/>
      <c r="N104" s="131">
        <v>1966</v>
      </c>
      <c r="O104" s="202"/>
      <c r="P104" s="202"/>
      <c r="Q104" s="202"/>
      <c r="R104" s="202"/>
      <c r="S104" s="202"/>
      <c r="T104" s="202"/>
      <c r="U104" s="202"/>
      <c r="V104" s="202"/>
      <c r="W104" s="202"/>
      <c r="X104" s="202"/>
      <c r="Y104" s="202"/>
      <c r="Z104" s="149"/>
      <c r="AA104" s="149"/>
      <c r="AB104" s="109" t="s">
        <v>116</v>
      </c>
      <c r="AE104" s="23"/>
    </row>
    <row r="105" spans="2:31" s="1" customFormat="1" ht="15">
      <c r="B105" s="12"/>
      <c r="D105" s="163"/>
      <c r="E105" s="166"/>
      <c r="F105" s="128" t="s">
        <v>438</v>
      </c>
      <c r="G105" s="148"/>
      <c r="H105" s="148"/>
      <c r="I105" s="145"/>
      <c r="J105" s="122"/>
      <c r="K105" s="163"/>
      <c r="L105" s="163"/>
      <c r="M105" s="163"/>
      <c r="N105" s="131" t="s">
        <v>448</v>
      </c>
      <c r="O105" s="202"/>
      <c r="P105" s="202"/>
      <c r="Q105" s="202"/>
      <c r="R105" s="202"/>
      <c r="S105" s="202"/>
      <c r="T105" s="202"/>
      <c r="U105" s="202"/>
      <c r="V105" s="202"/>
      <c r="W105" s="202"/>
      <c r="X105" s="202"/>
      <c r="Y105" s="202"/>
      <c r="Z105" s="123"/>
      <c r="AA105" s="123"/>
      <c r="AB105" s="104"/>
      <c r="AE105" s="23"/>
    </row>
    <row r="106" spans="2:31" s="1" customFormat="1">
      <c r="B106" s="12">
        <v>1972</v>
      </c>
      <c r="D106" s="161">
        <v>1972</v>
      </c>
      <c r="E106" s="164" t="s">
        <v>117</v>
      </c>
      <c r="F106" s="164" t="s">
        <v>118</v>
      </c>
      <c r="G106" s="146">
        <v>100000</v>
      </c>
      <c r="H106" s="146">
        <v>100000</v>
      </c>
      <c r="I106" s="143">
        <f>H106/AA106*100</f>
        <v>1.7217667228095195E-2</v>
      </c>
      <c r="J106" s="124"/>
      <c r="K106" s="161"/>
      <c r="L106" s="161" t="s">
        <v>119</v>
      </c>
      <c r="M106" s="161" t="s">
        <v>120</v>
      </c>
      <c r="N106" s="151">
        <v>1972</v>
      </c>
      <c r="O106" s="196">
        <v>1</v>
      </c>
      <c r="P106" s="196"/>
      <c r="Q106" s="196"/>
      <c r="R106" s="196"/>
      <c r="S106" s="196"/>
      <c r="T106" s="196">
        <v>1</v>
      </c>
      <c r="U106" s="196">
        <v>1</v>
      </c>
      <c r="V106" s="196">
        <v>1</v>
      </c>
      <c r="W106" s="196"/>
      <c r="X106" s="196"/>
      <c r="Y106" s="196"/>
      <c r="Z106" s="149" t="s">
        <v>121</v>
      </c>
      <c r="AA106" s="149">
        <v>580798773</v>
      </c>
      <c r="AB106" s="103" t="s">
        <v>99</v>
      </c>
      <c r="AC106" s="24"/>
    </row>
    <row r="107" spans="2:31" s="1" customFormat="1">
      <c r="B107" s="12"/>
      <c r="D107" s="162"/>
      <c r="E107" s="165"/>
      <c r="F107" s="165"/>
      <c r="G107" s="147"/>
      <c r="H107" s="147"/>
      <c r="I107" s="144"/>
      <c r="J107" s="124"/>
      <c r="K107" s="162"/>
      <c r="L107" s="162"/>
      <c r="M107" s="162"/>
      <c r="N107" s="152"/>
      <c r="O107" s="197"/>
      <c r="P107" s="197"/>
      <c r="Q107" s="197"/>
      <c r="R107" s="197"/>
      <c r="S107" s="197"/>
      <c r="T107" s="197"/>
      <c r="U107" s="197"/>
      <c r="V107" s="197"/>
      <c r="W107" s="197"/>
      <c r="X107" s="197"/>
      <c r="Y107" s="197"/>
      <c r="Z107" s="149"/>
      <c r="AA107" s="149"/>
      <c r="AB107" s="103" t="s">
        <v>122</v>
      </c>
      <c r="AC107" s="24"/>
    </row>
    <row r="108" spans="2:31" s="1" customFormat="1">
      <c r="B108" s="12"/>
      <c r="D108" s="163"/>
      <c r="E108" s="166"/>
      <c r="F108" s="166"/>
      <c r="G108" s="148"/>
      <c r="H108" s="148"/>
      <c r="I108" s="145"/>
      <c r="J108" s="124"/>
      <c r="K108" s="163"/>
      <c r="L108" s="163"/>
      <c r="M108" s="163"/>
      <c r="N108" s="153"/>
      <c r="O108" s="198"/>
      <c r="P108" s="198"/>
      <c r="Q108" s="198"/>
      <c r="R108" s="198"/>
      <c r="S108" s="198"/>
      <c r="T108" s="198"/>
      <c r="U108" s="198"/>
      <c r="V108" s="198"/>
      <c r="W108" s="198"/>
      <c r="X108" s="198"/>
      <c r="Y108" s="198"/>
      <c r="Z108" s="149"/>
      <c r="AA108" s="149"/>
      <c r="AB108" s="59"/>
      <c r="AC108" s="24"/>
    </row>
    <row r="109" spans="2:31" s="1" customFormat="1">
      <c r="B109" s="12"/>
      <c r="D109" s="161" t="s">
        <v>123</v>
      </c>
      <c r="E109" s="164" t="s">
        <v>124</v>
      </c>
      <c r="F109" s="164" t="s">
        <v>88</v>
      </c>
      <c r="G109" s="146" t="s">
        <v>125</v>
      </c>
      <c r="H109" s="146">
        <f>(200000+500000)/2</f>
        <v>350000</v>
      </c>
      <c r="I109" s="143">
        <f>H109/AA109*100</f>
        <v>1.1614197207940353</v>
      </c>
      <c r="J109" s="124"/>
      <c r="K109" s="161" t="s">
        <v>126</v>
      </c>
      <c r="L109" s="161" t="s">
        <v>127</v>
      </c>
      <c r="M109" s="161" t="s">
        <v>128</v>
      </c>
      <c r="N109" s="151" t="s">
        <v>451</v>
      </c>
      <c r="O109" s="196">
        <v>1</v>
      </c>
      <c r="P109" s="196"/>
      <c r="Q109" s="196">
        <v>1</v>
      </c>
      <c r="R109" s="196"/>
      <c r="S109" s="196">
        <v>1</v>
      </c>
      <c r="T109" s="196"/>
      <c r="U109" s="196"/>
      <c r="V109" s="196">
        <v>1</v>
      </c>
      <c r="W109" s="196">
        <v>1</v>
      </c>
      <c r="X109" s="196"/>
      <c r="Y109" s="196"/>
      <c r="Z109" s="149" t="s">
        <v>129</v>
      </c>
      <c r="AA109" s="149">
        <v>30135531</v>
      </c>
      <c r="AB109" s="59" t="s">
        <v>106</v>
      </c>
      <c r="AC109" s="24"/>
    </row>
    <row r="110" spans="2:31" s="1" customFormat="1">
      <c r="B110" s="12"/>
      <c r="D110" s="162"/>
      <c r="E110" s="165"/>
      <c r="F110" s="165"/>
      <c r="G110" s="147"/>
      <c r="H110" s="147"/>
      <c r="I110" s="144"/>
      <c r="J110" s="124"/>
      <c r="K110" s="162"/>
      <c r="L110" s="162"/>
      <c r="M110" s="162"/>
      <c r="N110" s="152"/>
      <c r="O110" s="197"/>
      <c r="P110" s="197"/>
      <c r="Q110" s="197"/>
      <c r="R110" s="197"/>
      <c r="S110" s="197"/>
      <c r="T110" s="197"/>
      <c r="U110" s="197"/>
      <c r="V110" s="197"/>
      <c r="W110" s="197"/>
      <c r="X110" s="197"/>
      <c r="Y110" s="197"/>
      <c r="Z110" s="149"/>
      <c r="AA110" s="149"/>
      <c r="AB110" s="103" t="s">
        <v>99</v>
      </c>
      <c r="AC110" s="24"/>
    </row>
    <row r="111" spans="2:31" s="1" customFormat="1">
      <c r="B111" s="12"/>
      <c r="D111" s="163"/>
      <c r="E111" s="166"/>
      <c r="F111" s="166"/>
      <c r="G111" s="148"/>
      <c r="H111" s="148"/>
      <c r="I111" s="145"/>
      <c r="J111" s="124"/>
      <c r="K111" s="163"/>
      <c r="L111" s="163"/>
      <c r="M111" s="163"/>
      <c r="N111" s="153"/>
      <c r="O111" s="198"/>
      <c r="P111" s="198"/>
      <c r="Q111" s="198"/>
      <c r="R111" s="198"/>
      <c r="S111" s="198"/>
      <c r="T111" s="198"/>
      <c r="U111" s="198"/>
      <c r="V111" s="198"/>
      <c r="W111" s="198"/>
      <c r="X111" s="198"/>
      <c r="Y111" s="198"/>
      <c r="Z111" s="149"/>
      <c r="AA111" s="149"/>
      <c r="AB111" s="103" t="s">
        <v>98</v>
      </c>
      <c r="AC111" s="24"/>
    </row>
    <row r="112" spans="2:31" s="1" customFormat="1">
      <c r="B112" s="12">
        <v>1974</v>
      </c>
      <c r="D112" s="161" t="s">
        <v>130</v>
      </c>
      <c r="E112" s="164" t="s">
        <v>131</v>
      </c>
      <c r="F112" s="164" t="s">
        <v>131</v>
      </c>
      <c r="G112" s="146">
        <v>20000</v>
      </c>
      <c r="H112" s="146">
        <v>20000</v>
      </c>
      <c r="I112" s="143">
        <f>H112/AA112*100</f>
        <v>0.54876128116003753</v>
      </c>
      <c r="J112" s="124"/>
      <c r="K112" s="161" t="s">
        <v>132</v>
      </c>
      <c r="L112" s="161" t="s">
        <v>133</v>
      </c>
      <c r="M112" s="161" t="s">
        <v>134</v>
      </c>
      <c r="N112" s="151">
        <v>1973</v>
      </c>
      <c r="O112" s="196">
        <v>1</v>
      </c>
      <c r="P112" s="196"/>
      <c r="Q112" s="196">
        <v>1</v>
      </c>
      <c r="R112" s="196">
        <v>1</v>
      </c>
      <c r="S112" s="196">
        <v>1</v>
      </c>
      <c r="T112" s="196">
        <v>1</v>
      </c>
      <c r="U112" s="196">
        <v>1</v>
      </c>
      <c r="V112" s="196">
        <v>1</v>
      </c>
      <c r="W112" s="196">
        <v>1</v>
      </c>
      <c r="X112" s="196"/>
      <c r="Y112" s="196"/>
      <c r="Z112" s="149" t="s">
        <v>135</v>
      </c>
      <c r="AA112" s="149">
        <v>3644572</v>
      </c>
      <c r="AB112" s="103" t="s">
        <v>99</v>
      </c>
      <c r="AC112" s="24"/>
    </row>
    <row r="113" spans="2:29" s="1" customFormat="1">
      <c r="B113" s="12"/>
      <c r="D113" s="162"/>
      <c r="E113" s="165"/>
      <c r="F113" s="165"/>
      <c r="G113" s="147"/>
      <c r="H113" s="147"/>
      <c r="I113" s="144"/>
      <c r="J113" s="124"/>
      <c r="K113" s="162"/>
      <c r="L113" s="162"/>
      <c r="M113" s="162"/>
      <c r="N113" s="152"/>
      <c r="O113" s="197"/>
      <c r="P113" s="197"/>
      <c r="Q113" s="197"/>
      <c r="R113" s="197"/>
      <c r="S113" s="197"/>
      <c r="T113" s="197"/>
      <c r="U113" s="197"/>
      <c r="V113" s="197"/>
      <c r="W113" s="197"/>
      <c r="X113" s="197"/>
      <c r="Y113" s="197"/>
      <c r="Z113" s="149"/>
      <c r="AA113" s="149"/>
      <c r="AB113" s="103" t="s">
        <v>136</v>
      </c>
      <c r="AC113" s="24"/>
    </row>
    <row r="114" spans="2:29" s="1" customFormat="1">
      <c r="B114" s="12"/>
      <c r="D114" s="163"/>
      <c r="E114" s="166"/>
      <c r="F114" s="166"/>
      <c r="G114" s="148"/>
      <c r="H114" s="148"/>
      <c r="I114" s="145"/>
      <c r="J114" s="124"/>
      <c r="K114" s="163"/>
      <c r="L114" s="163"/>
      <c r="M114" s="163"/>
      <c r="N114" s="153"/>
      <c r="O114" s="198"/>
      <c r="P114" s="198"/>
      <c r="Q114" s="198"/>
      <c r="R114" s="198"/>
      <c r="S114" s="198"/>
      <c r="T114" s="198"/>
      <c r="U114" s="198"/>
      <c r="V114" s="198"/>
      <c r="W114" s="198"/>
      <c r="X114" s="198"/>
      <c r="Y114" s="198"/>
      <c r="Z114" s="149"/>
      <c r="AA114" s="149"/>
      <c r="AB114" s="59"/>
      <c r="AC114" s="24"/>
    </row>
    <row r="115" spans="2:29" s="1" customFormat="1">
      <c r="B115" s="12"/>
      <c r="D115" s="161">
        <v>1974</v>
      </c>
      <c r="E115" s="164" t="s">
        <v>137</v>
      </c>
      <c r="F115" s="164" t="s">
        <v>138</v>
      </c>
      <c r="G115" s="146">
        <v>1500000</v>
      </c>
      <c r="H115" s="146">
        <v>1500000</v>
      </c>
      <c r="I115" s="143">
        <f>H115/AA115*100</f>
        <v>2.116157254241382</v>
      </c>
      <c r="J115" s="124"/>
      <c r="K115" s="161" t="s">
        <v>139</v>
      </c>
      <c r="L115" s="161" t="s">
        <v>140</v>
      </c>
      <c r="M115" s="161" t="s">
        <v>514</v>
      </c>
      <c r="N115" s="151">
        <v>1974</v>
      </c>
      <c r="O115" s="196"/>
      <c r="P115" s="196">
        <v>1</v>
      </c>
      <c r="Q115" s="196"/>
      <c r="R115" s="196">
        <v>1</v>
      </c>
      <c r="S115" s="196">
        <v>1</v>
      </c>
      <c r="T115" s="196">
        <v>1</v>
      </c>
      <c r="U115" s="196"/>
      <c r="V115" s="196">
        <v>1</v>
      </c>
      <c r="W115" s="196">
        <v>1</v>
      </c>
      <c r="X115" s="196">
        <v>1</v>
      </c>
      <c r="Y115" s="196"/>
      <c r="Z115" s="141" t="s">
        <v>142</v>
      </c>
      <c r="AA115" s="149">
        <v>70883201</v>
      </c>
      <c r="AB115" s="103" t="s">
        <v>99</v>
      </c>
      <c r="AC115" s="24"/>
    </row>
    <row r="116" spans="2:29" s="1" customFormat="1">
      <c r="B116" s="12"/>
      <c r="D116" s="162"/>
      <c r="E116" s="165"/>
      <c r="F116" s="165"/>
      <c r="G116" s="147"/>
      <c r="H116" s="147"/>
      <c r="I116" s="144"/>
      <c r="J116" s="124"/>
      <c r="K116" s="162"/>
      <c r="L116" s="162"/>
      <c r="M116" s="162"/>
      <c r="N116" s="152"/>
      <c r="O116" s="197"/>
      <c r="P116" s="197"/>
      <c r="Q116" s="197"/>
      <c r="R116" s="197"/>
      <c r="S116" s="197"/>
      <c r="T116" s="197"/>
      <c r="U116" s="197"/>
      <c r="V116" s="197"/>
      <c r="W116" s="197"/>
      <c r="X116" s="197"/>
      <c r="Y116" s="197"/>
      <c r="Z116" s="141"/>
      <c r="AA116" s="149"/>
      <c r="AB116" s="103" t="s">
        <v>143</v>
      </c>
      <c r="AC116" s="24"/>
    </row>
    <row r="117" spans="2:29" s="1" customFormat="1">
      <c r="B117" s="12"/>
      <c r="D117" s="163"/>
      <c r="E117" s="166"/>
      <c r="F117" s="166"/>
      <c r="G117" s="148"/>
      <c r="H117" s="148"/>
      <c r="I117" s="145"/>
      <c r="J117" s="124"/>
      <c r="K117" s="163"/>
      <c r="L117" s="163"/>
      <c r="M117" s="163"/>
      <c r="N117" s="153"/>
      <c r="O117" s="198"/>
      <c r="P117" s="198"/>
      <c r="Q117" s="198"/>
      <c r="R117" s="198"/>
      <c r="S117" s="198"/>
      <c r="T117" s="198"/>
      <c r="U117" s="198"/>
      <c r="V117" s="198"/>
      <c r="W117" s="198"/>
      <c r="X117" s="198"/>
      <c r="Y117" s="198"/>
      <c r="Z117" s="141"/>
      <c r="AA117" s="149"/>
      <c r="AB117" s="103" t="s">
        <v>144</v>
      </c>
      <c r="AC117" s="24"/>
    </row>
    <row r="118" spans="2:29" s="1" customFormat="1">
      <c r="B118" s="12">
        <v>1975</v>
      </c>
      <c r="D118" s="161" t="s">
        <v>145</v>
      </c>
      <c r="E118" s="164" t="s">
        <v>146</v>
      </c>
      <c r="F118" s="164" t="s">
        <v>147</v>
      </c>
      <c r="G118" s="146" t="s">
        <v>148</v>
      </c>
      <c r="H118" s="146">
        <f>(1500000+2000000)/2</f>
        <v>1750000</v>
      </c>
      <c r="I118" s="143">
        <f>H118/AA118*100</f>
        <v>23.125774878642542</v>
      </c>
      <c r="J118" s="124"/>
      <c r="K118" s="161" t="s">
        <v>149</v>
      </c>
      <c r="L118" s="161" t="s">
        <v>150</v>
      </c>
      <c r="M118" s="161" t="s">
        <v>151</v>
      </c>
      <c r="N118" s="151" t="s">
        <v>434</v>
      </c>
      <c r="O118" s="196"/>
      <c r="P118" s="196"/>
      <c r="Q118" s="196">
        <v>1</v>
      </c>
      <c r="R118" s="196"/>
      <c r="S118" s="196">
        <v>1</v>
      </c>
      <c r="T118" s="196">
        <v>1</v>
      </c>
      <c r="U118" s="196">
        <v>1</v>
      </c>
      <c r="V118" s="196">
        <v>1</v>
      </c>
      <c r="W118" s="196"/>
      <c r="X118" s="196"/>
      <c r="Y118" s="196"/>
      <c r="Z118" s="141"/>
      <c r="AA118" s="149">
        <v>7567314</v>
      </c>
      <c r="AB118" s="103" t="s">
        <v>99</v>
      </c>
      <c r="AC118" s="24"/>
    </row>
    <row r="119" spans="2:29" s="1" customFormat="1">
      <c r="B119" s="12"/>
      <c r="D119" s="162"/>
      <c r="E119" s="165"/>
      <c r="F119" s="165"/>
      <c r="G119" s="147"/>
      <c r="H119" s="147"/>
      <c r="I119" s="144"/>
      <c r="J119" s="124"/>
      <c r="K119" s="162"/>
      <c r="L119" s="162"/>
      <c r="M119" s="162"/>
      <c r="N119" s="152"/>
      <c r="O119" s="197"/>
      <c r="P119" s="197"/>
      <c r="Q119" s="197"/>
      <c r="R119" s="197"/>
      <c r="S119" s="197"/>
      <c r="T119" s="197"/>
      <c r="U119" s="197"/>
      <c r="V119" s="197"/>
      <c r="W119" s="197"/>
      <c r="X119" s="197"/>
      <c r="Y119" s="197"/>
      <c r="Z119" s="141"/>
      <c r="AA119" s="149"/>
      <c r="AB119" s="103" t="s">
        <v>152</v>
      </c>
      <c r="AC119" s="24"/>
    </row>
    <row r="120" spans="2:29" s="1" customFormat="1">
      <c r="B120" s="12"/>
      <c r="D120" s="163"/>
      <c r="E120" s="166"/>
      <c r="F120" s="166"/>
      <c r="G120" s="148"/>
      <c r="H120" s="148"/>
      <c r="I120" s="145"/>
      <c r="J120" s="124"/>
      <c r="K120" s="163"/>
      <c r="L120" s="163"/>
      <c r="M120" s="163"/>
      <c r="N120" s="153"/>
      <c r="O120" s="198"/>
      <c r="P120" s="198"/>
      <c r="Q120" s="198"/>
      <c r="R120" s="198"/>
      <c r="S120" s="198"/>
      <c r="T120" s="198"/>
      <c r="U120" s="198"/>
      <c r="V120" s="198"/>
      <c r="W120" s="198"/>
      <c r="X120" s="198"/>
      <c r="Y120" s="198"/>
      <c r="Z120" s="141"/>
      <c r="AA120" s="149"/>
      <c r="AB120" s="59"/>
      <c r="AC120" s="24"/>
    </row>
    <row r="121" spans="2:29" s="1" customFormat="1">
      <c r="B121" s="12">
        <v>1980</v>
      </c>
      <c r="D121" s="161" t="s">
        <v>153</v>
      </c>
      <c r="E121" s="164" t="s">
        <v>154</v>
      </c>
      <c r="F121" s="164" t="s">
        <v>155</v>
      </c>
      <c r="G121" s="146" t="s">
        <v>156</v>
      </c>
      <c r="H121" s="146">
        <f>(30000+50000)/2</f>
        <v>40000</v>
      </c>
      <c r="I121" s="143">
        <f>H121/AA121*100</f>
        <v>0.31873071230975464</v>
      </c>
      <c r="J121" s="124"/>
      <c r="K121" s="161" t="s">
        <v>157</v>
      </c>
      <c r="L121" s="161" t="s">
        <v>158</v>
      </c>
      <c r="M121" s="161" t="s">
        <v>159</v>
      </c>
      <c r="N121" s="151">
        <v>1979</v>
      </c>
      <c r="O121" s="196">
        <v>1</v>
      </c>
      <c r="P121" s="196"/>
      <c r="Q121" s="196"/>
      <c r="R121" s="196"/>
      <c r="S121" s="196">
        <v>1</v>
      </c>
      <c r="T121" s="196">
        <v>1</v>
      </c>
      <c r="U121" s="196"/>
      <c r="V121" s="196">
        <v>1</v>
      </c>
      <c r="W121" s="196">
        <v>1</v>
      </c>
      <c r="X121" s="196"/>
      <c r="Y121" s="196"/>
      <c r="Z121" s="141" t="s">
        <v>160</v>
      </c>
      <c r="AA121" s="149">
        <v>12549779</v>
      </c>
      <c r="AB121" s="59" t="s">
        <v>161</v>
      </c>
      <c r="AC121" s="24"/>
    </row>
    <row r="122" spans="2:29" s="1" customFormat="1">
      <c r="B122" s="12"/>
      <c r="D122" s="162"/>
      <c r="E122" s="165"/>
      <c r="F122" s="165"/>
      <c r="G122" s="147"/>
      <c r="H122" s="147"/>
      <c r="I122" s="144"/>
      <c r="J122" s="124"/>
      <c r="K122" s="162"/>
      <c r="L122" s="162"/>
      <c r="M122" s="162"/>
      <c r="N122" s="152"/>
      <c r="O122" s="197"/>
      <c r="P122" s="197"/>
      <c r="Q122" s="197"/>
      <c r="R122" s="197"/>
      <c r="S122" s="197"/>
      <c r="T122" s="197"/>
      <c r="U122" s="197"/>
      <c r="V122" s="197"/>
      <c r="W122" s="197"/>
      <c r="X122" s="197"/>
      <c r="Y122" s="197"/>
      <c r="Z122" s="141"/>
      <c r="AA122" s="149"/>
      <c r="AB122" s="103" t="s">
        <v>99</v>
      </c>
      <c r="AC122" s="24"/>
    </row>
    <row r="123" spans="2:29" s="1" customFormat="1">
      <c r="B123" s="12"/>
      <c r="D123" s="163"/>
      <c r="E123" s="166"/>
      <c r="F123" s="166"/>
      <c r="G123" s="148"/>
      <c r="H123" s="148"/>
      <c r="I123" s="145"/>
      <c r="J123" s="124"/>
      <c r="K123" s="163"/>
      <c r="L123" s="163"/>
      <c r="M123" s="163"/>
      <c r="N123" s="153"/>
      <c r="O123" s="198"/>
      <c r="P123" s="198"/>
      <c r="Q123" s="198"/>
      <c r="R123" s="198"/>
      <c r="S123" s="198"/>
      <c r="T123" s="198"/>
      <c r="U123" s="198"/>
      <c r="V123" s="198"/>
      <c r="W123" s="198"/>
      <c r="X123" s="198"/>
      <c r="Y123" s="198"/>
      <c r="Z123" s="141"/>
      <c r="AA123" s="149"/>
      <c r="AB123" s="103" t="s">
        <v>162</v>
      </c>
      <c r="AC123" s="24"/>
    </row>
    <row r="124" spans="2:29" s="1" customFormat="1">
      <c r="B124" s="12">
        <v>1982</v>
      </c>
      <c r="D124" s="161" t="s">
        <v>163</v>
      </c>
      <c r="E124" s="164" t="s">
        <v>48</v>
      </c>
      <c r="F124" s="164" t="s">
        <v>48</v>
      </c>
      <c r="G124" s="146">
        <v>100000</v>
      </c>
      <c r="H124" s="146">
        <v>100000</v>
      </c>
      <c r="I124" s="143">
        <f>H124/AA124*100</f>
        <v>0.78559168290942938</v>
      </c>
      <c r="J124" s="124"/>
      <c r="K124" s="161" t="s">
        <v>164</v>
      </c>
      <c r="L124" s="161" t="s">
        <v>165</v>
      </c>
      <c r="M124" s="161" t="s">
        <v>166</v>
      </c>
      <c r="N124" s="151">
        <v>1981</v>
      </c>
      <c r="O124" s="196">
        <v>1</v>
      </c>
      <c r="P124" s="196"/>
      <c r="Q124" s="196"/>
      <c r="R124" s="196"/>
      <c r="S124" s="196"/>
      <c r="T124" s="196">
        <v>1</v>
      </c>
      <c r="U124" s="196">
        <v>1</v>
      </c>
      <c r="V124" s="196"/>
      <c r="W124" s="196"/>
      <c r="X124" s="196"/>
      <c r="Y124" s="196"/>
      <c r="Z124" s="141"/>
      <c r="AA124" s="149">
        <v>12729259</v>
      </c>
      <c r="AB124" s="103" t="s">
        <v>99</v>
      </c>
      <c r="AC124" s="24"/>
    </row>
    <row r="125" spans="2:29" s="1" customFormat="1">
      <c r="B125" s="12"/>
      <c r="D125" s="162"/>
      <c r="E125" s="165"/>
      <c r="F125" s="165"/>
      <c r="G125" s="147"/>
      <c r="H125" s="147"/>
      <c r="I125" s="144"/>
      <c r="J125" s="124"/>
      <c r="K125" s="162"/>
      <c r="L125" s="162"/>
      <c r="M125" s="162"/>
      <c r="N125" s="152"/>
      <c r="O125" s="197"/>
      <c r="P125" s="197"/>
      <c r="Q125" s="197"/>
      <c r="R125" s="197"/>
      <c r="S125" s="197"/>
      <c r="T125" s="197"/>
      <c r="U125" s="197"/>
      <c r="V125" s="197"/>
      <c r="W125" s="197"/>
      <c r="X125" s="197"/>
      <c r="Y125" s="197"/>
      <c r="Z125" s="141"/>
      <c r="AA125" s="149"/>
      <c r="AB125" s="59" t="s">
        <v>167</v>
      </c>
      <c r="AC125" s="24"/>
    </row>
    <row r="126" spans="2:29" s="1" customFormat="1">
      <c r="B126" s="12"/>
      <c r="D126" s="163"/>
      <c r="E126" s="166"/>
      <c r="F126" s="166"/>
      <c r="G126" s="148"/>
      <c r="H126" s="148"/>
      <c r="I126" s="145"/>
      <c r="J126" s="124"/>
      <c r="K126" s="163"/>
      <c r="L126" s="163"/>
      <c r="M126" s="163"/>
      <c r="N126" s="153"/>
      <c r="O126" s="198"/>
      <c r="P126" s="198"/>
      <c r="Q126" s="198"/>
      <c r="R126" s="198"/>
      <c r="S126" s="198"/>
      <c r="T126" s="198"/>
      <c r="U126" s="198"/>
      <c r="V126" s="198"/>
      <c r="W126" s="198"/>
      <c r="X126" s="198"/>
      <c r="Y126" s="198"/>
      <c r="Z126" s="141"/>
      <c r="AA126" s="149"/>
      <c r="AB126" s="59"/>
      <c r="AC126" s="24"/>
    </row>
    <row r="127" spans="2:29" s="1" customFormat="1">
      <c r="B127" s="12">
        <v>1984</v>
      </c>
      <c r="D127" s="161" t="s">
        <v>168</v>
      </c>
      <c r="E127" s="164" t="s">
        <v>169</v>
      </c>
      <c r="F127" s="164" t="s">
        <v>170</v>
      </c>
      <c r="G127" s="146">
        <v>250000</v>
      </c>
      <c r="H127" s="146">
        <v>250000</v>
      </c>
      <c r="I127" s="143">
        <f>H127/AA127*100</f>
        <v>1.5099073780536896</v>
      </c>
      <c r="J127" s="124"/>
      <c r="K127" s="161" t="s">
        <v>171</v>
      </c>
      <c r="L127" s="161" t="s">
        <v>172</v>
      </c>
      <c r="M127" s="161" t="s">
        <v>173</v>
      </c>
      <c r="N127" s="151">
        <v>1983</v>
      </c>
      <c r="O127" s="196">
        <v>1</v>
      </c>
      <c r="P127" s="196"/>
      <c r="Q127" s="196"/>
      <c r="R127" s="196"/>
      <c r="S127" s="196">
        <v>1</v>
      </c>
      <c r="T127" s="196"/>
      <c r="U127" s="196"/>
      <c r="V127" s="196">
        <v>1</v>
      </c>
      <c r="W127" s="196"/>
      <c r="X127" s="196"/>
      <c r="Y127" s="196"/>
      <c r="Z127" s="141" t="s">
        <v>174</v>
      </c>
      <c r="AA127" s="149">
        <v>16557307</v>
      </c>
      <c r="AB127" s="103" t="s">
        <v>99</v>
      </c>
      <c r="AC127" s="24"/>
    </row>
    <row r="128" spans="2:29" s="1" customFormat="1">
      <c r="B128" s="12"/>
      <c r="D128" s="162"/>
      <c r="E128" s="165"/>
      <c r="F128" s="165"/>
      <c r="G128" s="147"/>
      <c r="H128" s="147"/>
      <c r="I128" s="144"/>
      <c r="J128" s="124"/>
      <c r="K128" s="162"/>
      <c r="L128" s="162"/>
      <c r="M128" s="162"/>
      <c r="N128" s="152"/>
      <c r="O128" s="197"/>
      <c r="P128" s="197"/>
      <c r="Q128" s="197"/>
      <c r="R128" s="197"/>
      <c r="S128" s="197"/>
      <c r="T128" s="197"/>
      <c r="U128" s="197"/>
      <c r="V128" s="197"/>
      <c r="W128" s="197"/>
      <c r="X128" s="197"/>
      <c r="Y128" s="197"/>
      <c r="Z128" s="141"/>
      <c r="AA128" s="149"/>
      <c r="AB128" s="103" t="s">
        <v>175</v>
      </c>
      <c r="AC128" s="24"/>
    </row>
    <row r="129" spans="2:29" s="1" customFormat="1">
      <c r="B129" s="12"/>
      <c r="D129" s="163"/>
      <c r="E129" s="166"/>
      <c r="F129" s="166"/>
      <c r="G129" s="148"/>
      <c r="H129" s="148"/>
      <c r="I129" s="145"/>
      <c r="J129" s="124"/>
      <c r="K129" s="163"/>
      <c r="L129" s="163"/>
      <c r="M129" s="163"/>
      <c r="N129" s="153"/>
      <c r="O129" s="198"/>
      <c r="P129" s="198"/>
      <c r="Q129" s="198"/>
      <c r="R129" s="198"/>
      <c r="S129" s="198"/>
      <c r="T129" s="198"/>
      <c r="U129" s="198"/>
      <c r="V129" s="198"/>
      <c r="W129" s="198"/>
      <c r="X129" s="198"/>
      <c r="Y129" s="198"/>
      <c r="Z129" s="141"/>
      <c r="AA129" s="149"/>
      <c r="AB129" s="59"/>
      <c r="AC129" s="24"/>
    </row>
    <row r="130" spans="2:29" s="1" customFormat="1">
      <c r="B130" s="12"/>
      <c r="D130" s="161" t="s">
        <v>168</v>
      </c>
      <c r="E130" s="164" t="s">
        <v>176</v>
      </c>
      <c r="F130" s="164" t="s">
        <v>88</v>
      </c>
      <c r="G130" s="146">
        <v>1000000</v>
      </c>
      <c r="H130" s="146">
        <v>1000000</v>
      </c>
      <c r="I130" s="143">
        <f>H130/AA130*100</f>
        <v>2.5320551856363598</v>
      </c>
      <c r="J130" s="124"/>
      <c r="K130" s="161" t="s">
        <v>515</v>
      </c>
      <c r="L130" s="161" t="s">
        <v>178</v>
      </c>
      <c r="M130" s="161" t="s">
        <v>516</v>
      </c>
      <c r="N130" s="151" t="s">
        <v>457</v>
      </c>
      <c r="O130" s="196">
        <v>1</v>
      </c>
      <c r="P130" s="196"/>
      <c r="Q130" s="196">
        <v>1</v>
      </c>
      <c r="R130" s="196"/>
      <c r="S130" s="196">
        <v>1</v>
      </c>
      <c r="T130" s="196">
        <v>1</v>
      </c>
      <c r="U130" s="196">
        <v>1</v>
      </c>
      <c r="V130" s="196">
        <v>1</v>
      </c>
      <c r="W130" s="196">
        <v>1</v>
      </c>
      <c r="X130" s="196"/>
      <c r="Y130" s="196"/>
      <c r="Z130" s="141"/>
      <c r="AA130" s="149">
        <v>39493610</v>
      </c>
      <c r="AB130" s="59" t="s">
        <v>517</v>
      </c>
      <c r="AC130" s="24"/>
    </row>
    <row r="131" spans="2:29" s="1" customFormat="1">
      <c r="B131" s="12"/>
      <c r="D131" s="162"/>
      <c r="E131" s="165"/>
      <c r="F131" s="165"/>
      <c r="G131" s="147"/>
      <c r="H131" s="147"/>
      <c r="I131" s="144"/>
      <c r="J131" s="124"/>
      <c r="K131" s="162"/>
      <c r="L131" s="162"/>
      <c r="M131" s="162"/>
      <c r="N131" s="152"/>
      <c r="O131" s="197"/>
      <c r="P131" s="197"/>
      <c r="Q131" s="197"/>
      <c r="R131" s="197"/>
      <c r="S131" s="197"/>
      <c r="T131" s="197"/>
      <c r="U131" s="197"/>
      <c r="V131" s="197"/>
      <c r="W131" s="197"/>
      <c r="X131" s="197"/>
      <c r="Y131" s="197"/>
      <c r="Z131" s="141"/>
      <c r="AA131" s="149"/>
      <c r="AB131" s="59" t="s">
        <v>518</v>
      </c>
      <c r="AC131" s="24"/>
    </row>
    <row r="132" spans="2:29" s="1" customFormat="1">
      <c r="B132" s="12"/>
      <c r="D132" s="163"/>
      <c r="E132" s="166"/>
      <c r="F132" s="166"/>
      <c r="G132" s="148"/>
      <c r="H132" s="148"/>
      <c r="I132" s="145"/>
      <c r="J132" s="124"/>
      <c r="K132" s="163"/>
      <c r="L132" s="163"/>
      <c r="M132" s="163"/>
      <c r="N132" s="153"/>
      <c r="O132" s="198"/>
      <c r="P132" s="198"/>
      <c r="Q132" s="198"/>
      <c r="R132" s="198"/>
      <c r="S132" s="198"/>
      <c r="T132" s="198"/>
      <c r="U132" s="198"/>
      <c r="V132" s="198"/>
      <c r="W132" s="198"/>
      <c r="X132" s="198"/>
      <c r="Y132" s="198"/>
      <c r="Z132" s="141"/>
      <c r="AA132" s="149"/>
      <c r="AB132" s="103" t="s">
        <v>98</v>
      </c>
      <c r="AC132" s="24"/>
    </row>
    <row r="133" spans="2:29" s="1" customFormat="1">
      <c r="B133" s="12">
        <v>1988</v>
      </c>
      <c r="D133" s="161">
        <v>1988</v>
      </c>
      <c r="E133" s="164" t="s">
        <v>180</v>
      </c>
      <c r="F133" s="164" t="s">
        <v>170</v>
      </c>
      <c r="G133" s="146">
        <v>250000</v>
      </c>
      <c r="H133" s="146">
        <v>250000</v>
      </c>
      <c r="I133" s="143">
        <f>H133/AA133*100</f>
        <v>1.3381710178278636</v>
      </c>
      <c r="J133" s="124"/>
      <c r="K133" s="161" t="s">
        <v>181</v>
      </c>
      <c r="L133" s="161" t="s">
        <v>182</v>
      </c>
      <c r="M133" s="161" t="s">
        <v>183</v>
      </c>
      <c r="N133" s="151" t="s">
        <v>459</v>
      </c>
      <c r="O133" s="196">
        <v>1</v>
      </c>
      <c r="P133" s="196"/>
      <c r="Q133" s="196"/>
      <c r="R133" s="196"/>
      <c r="S133" s="196">
        <v>1</v>
      </c>
      <c r="T133" s="196">
        <v>1</v>
      </c>
      <c r="U133" s="196"/>
      <c r="V133" s="196">
        <v>1</v>
      </c>
      <c r="W133" s="196"/>
      <c r="X133" s="196">
        <v>1</v>
      </c>
      <c r="Y133" s="196"/>
      <c r="Z133" s="141" t="s">
        <v>184</v>
      </c>
      <c r="AA133" s="149">
        <v>18682216</v>
      </c>
      <c r="AB133" s="103" t="s">
        <v>99</v>
      </c>
      <c r="AC133" s="24"/>
    </row>
    <row r="134" spans="2:29" s="1" customFormat="1">
      <c r="B134" s="12"/>
      <c r="D134" s="162"/>
      <c r="E134" s="165"/>
      <c r="F134" s="165"/>
      <c r="G134" s="147"/>
      <c r="H134" s="147"/>
      <c r="I134" s="144"/>
      <c r="J134" s="124"/>
      <c r="K134" s="162"/>
      <c r="L134" s="162"/>
      <c r="M134" s="162"/>
      <c r="N134" s="152"/>
      <c r="O134" s="197"/>
      <c r="P134" s="197"/>
      <c r="Q134" s="197"/>
      <c r="R134" s="197"/>
      <c r="S134" s="197"/>
      <c r="T134" s="197"/>
      <c r="U134" s="197"/>
      <c r="V134" s="197"/>
      <c r="W134" s="197"/>
      <c r="X134" s="197"/>
      <c r="Y134" s="197"/>
      <c r="Z134" s="141"/>
      <c r="AA134" s="149"/>
      <c r="AB134" s="103" t="s">
        <v>185</v>
      </c>
      <c r="AC134" s="24"/>
    </row>
    <row r="135" spans="2:29" s="1" customFormat="1">
      <c r="B135" s="12"/>
      <c r="D135" s="163"/>
      <c r="E135" s="166"/>
      <c r="F135" s="166"/>
      <c r="G135" s="148"/>
      <c r="H135" s="148"/>
      <c r="I135" s="145"/>
      <c r="J135" s="124"/>
      <c r="K135" s="163"/>
      <c r="L135" s="163"/>
      <c r="M135" s="163"/>
      <c r="N135" s="153"/>
      <c r="O135" s="198"/>
      <c r="P135" s="198"/>
      <c r="Q135" s="198"/>
      <c r="R135" s="198"/>
      <c r="S135" s="198"/>
      <c r="T135" s="198"/>
      <c r="U135" s="198"/>
      <c r="V135" s="198"/>
      <c r="W135" s="198"/>
      <c r="X135" s="198"/>
      <c r="Y135" s="198"/>
      <c r="Z135" s="141"/>
      <c r="AA135" s="149"/>
      <c r="AB135" s="55"/>
      <c r="AC135" s="24"/>
    </row>
    <row r="136" spans="2:29" s="1" customFormat="1">
      <c r="B136" s="12">
        <v>1991</v>
      </c>
      <c r="D136" s="161" t="s">
        <v>187</v>
      </c>
      <c r="E136" s="164" t="s">
        <v>188</v>
      </c>
      <c r="F136" s="164" t="s">
        <v>131</v>
      </c>
      <c r="G136" s="146">
        <v>300000</v>
      </c>
      <c r="H136" s="146">
        <v>300000</v>
      </c>
      <c r="I136" s="143">
        <f>H136/AA136*100</f>
        <v>4.7471877264309645</v>
      </c>
      <c r="J136" s="124"/>
      <c r="K136" s="161" t="s">
        <v>189</v>
      </c>
      <c r="L136" s="161" t="s">
        <v>190</v>
      </c>
      <c r="M136" s="161" t="s">
        <v>191</v>
      </c>
      <c r="N136" s="151">
        <v>1988</v>
      </c>
      <c r="O136" s="196">
        <v>1</v>
      </c>
      <c r="P136" s="196"/>
      <c r="Q136" s="196"/>
      <c r="R136" s="196"/>
      <c r="S136" s="196"/>
      <c r="T136" s="196">
        <v>1</v>
      </c>
      <c r="U136" s="196"/>
      <c r="V136" s="196">
        <v>1</v>
      </c>
      <c r="W136" s="196"/>
      <c r="X136" s="196"/>
      <c r="Y136" s="196"/>
      <c r="Z136" s="141" t="s">
        <v>192</v>
      </c>
      <c r="AA136" s="149">
        <v>6319531</v>
      </c>
      <c r="AB136" s="103" t="s">
        <v>186</v>
      </c>
      <c r="AC136" s="24"/>
    </row>
    <row r="137" spans="2:29" s="1" customFormat="1">
      <c r="B137" s="12"/>
      <c r="D137" s="162"/>
      <c r="E137" s="165"/>
      <c r="F137" s="165"/>
      <c r="G137" s="147"/>
      <c r="H137" s="147"/>
      <c r="I137" s="144"/>
      <c r="J137" s="124"/>
      <c r="K137" s="162"/>
      <c r="L137" s="162"/>
      <c r="M137" s="162"/>
      <c r="N137" s="152"/>
      <c r="O137" s="197"/>
      <c r="P137" s="197"/>
      <c r="Q137" s="197"/>
      <c r="R137" s="197"/>
      <c r="S137" s="197"/>
      <c r="T137" s="197"/>
      <c r="U137" s="197"/>
      <c r="V137" s="197"/>
      <c r="W137" s="197"/>
      <c r="X137" s="197"/>
      <c r="Y137" s="197"/>
      <c r="Z137" s="141"/>
      <c r="AA137" s="149"/>
      <c r="AB137" s="103" t="s">
        <v>193</v>
      </c>
      <c r="AC137" s="24"/>
    </row>
    <row r="138" spans="2:29" s="1" customFormat="1">
      <c r="B138" s="12"/>
      <c r="D138" s="163"/>
      <c r="E138" s="166"/>
      <c r="F138" s="166"/>
      <c r="G138" s="148"/>
      <c r="H138" s="148"/>
      <c r="I138" s="145"/>
      <c r="J138" s="124"/>
      <c r="K138" s="163"/>
      <c r="L138" s="163"/>
      <c r="M138" s="163"/>
      <c r="N138" s="153"/>
      <c r="O138" s="198"/>
      <c r="P138" s="198"/>
      <c r="Q138" s="198"/>
      <c r="R138" s="198"/>
      <c r="S138" s="198"/>
      <c r="T138" s="198"/>
      <c r="U138" s="198"/>
      <c r="V138" s="198"/>
      <c r="W138" s="198"/>
      <c r="X138" s="198"/>
      <c r="Y138" s="198"/>
      <c r="Z138" s="141"/>
      <c r="AA138" s="149"/>
      <c r="AB138" s="103" t="s">
        <v>194</v>
      </c>
      <c r="AC138" s="24"/>
    </row>
    <row r="139" spans="2:29" s="1" customFormat="1">
      <c r="B139" s="12">
        <v>1996</v>
      </c>
      <c r="D139" s="161">
        <v>1996</v>
      </c>
      <c r="E139" s="164" t="s">
        <v>195</v>
      </c>
      <c r="F139" s="164" t="s">
        <v>196</v>
      </c>
      <c r="G139" s="146" t="s">
        <v>197</v>
      </c>
      <c r="H139" s="146">
        <f>(200000+3500000)/2</f>
        <v>1850000</v>
      </c>
      <c r="I139" s="143">
        <f>H139/AA139*100</f>
        <v>8.402781947626778</v>
      </c>
      <c r="J139" s="124"/>
      <c r="K139" s="161" t="s">
        <v>198</v>
      </c>
      <c r="L139" s="161" t="s">
        <v>199</v>
      </c>
      <c r="M139" s="161" t="s">
        <v>200</v>
      </c>
      <c r="N139" s="151" t="s">
        <v>434</v>
      </c>
      <c r="O139" s="196"/>
      <c r="P139" s="196">
        <v>1</v>
      </c>
      <c r="Q139" s="196"/>
      <c r="R139" s="196">
        <v>1</v>
      </c>
      <c r="S139" s="196">
        <v>1</v>
      </c>
      <c r="T139" s="196"/>
      <c r="U139" s="196">
        <v>1</v>
      </c>
      <c r="V139" s="196">
        <v>1</v>
      </c>
      <c r="W139" s="196"/>
      <c r="X139" s="196">
        <v>1</v>
      </c>
      <c r="Y139" s="196"/>
      <c r="Z139" s="141" t="s">
        <v>201</v>
      </c>
      <c r="AA139" s="149">
        <v>22016518</v>
      </c>
      <c r="AB139" s="103" t="s">
        <v>202</v>
      </c>
      <c r="AC139" s="24"/>
    </row>
    <row r="140" spans="2:29" s="1" customFormat="1">
      <c r="B140" s="12"/>
      <c r="D140" s="162"/>
      <c r="E140" s="165"/>
      <c r="F140" s="165"/>
      <c r="G140" s="147"/>
      <c r="H140" s="147"/>
      <c r="I140" s="144"/>
      <c r="J140" s="124"/>
      <c r="K140" s="162"/>
      <c r="L140" s="162"/>
      <c r="M140" s="162"/>
      <c r="N140" s="152"/>
      <c r="O140" s="197"/>
      <c r="P140" s="197"/>
      <c r="Q140" s="197"/>
      <c r="R140" s="197"/>
      <c r="S140" s="197"/>
      <c r="T140" s="197"/>
      <c r="U140" s="197"/>
      <c r="V140" s="197"/>
      <c r="W140" s="197"/>
      <c r="X140" s="197"/>
      <c r="Y140" s="197"/>
      <c r="Z140" s="141"/>
      <c r="AA140" s="149"/>
      <c r="AB140" s="103" t="s">
        <v>203</v>
      </c>
      <c r="AC140" s="24"/>
    </row>
    <row r="141" spans="2:29" s="1" customFormat="1">
      <c r="B141" s="12"/>
      <c r="D141" s="163"/>
      <c r="E141" s="166"/>
      <c r="F141" s="166"/>
      <c r="G141" s="148"/>
      <c r="H141" s="148"/>
      <c r="I141" s="145"/>
      <c r="J141" s="124"/>
      <c r="K141" s="163"/>
      <c r="L141" s="163"/>
      <c r="M141" s="163"/>
      <c r="N141" s="153"/>
      <c r="O141" s="198"/>
      <c r="P141" s="198"/>
      <c r="Q141" s="198"/>
      <c r="R141" s="198"/>
      <c r="S141" s="198"/>
      <c r="T141" s="198"/>
      <c r="U141" s="198"/>
      <c r="V141" s="198"/>
      <c r="W141" s="198"/>
      <c r="X141" s="198"/>
      <c r="Y141" s="198"/>
      <c r="Z141" s="141"/>
      <c r="AA141" s="149"/>
      <c r="AB141" s="59"/>
      <c r="AC141" s="24"/>
    </row>
    <row r="142" spans="2:29" s="1" customFormat="1">
      <c r="B142" s="12">
        <v>1998</v>
      </c>
      <c r="D142" s="161">
        <v>1998</v>
      </c>
      <c r="E142" s="164" t="s">
        <v>204</v>
      </c>
      <c r="F142" s="164" t="s">
        <v>170</v>
      </c>
      <c r="G142" s="146">
        <v>70000</v>
      </c>
      <c r="H142" s="146">
        <v>70000</v>
      </c>
      <c r="I142" s="143">
        <f>H142/AA142*100</f>
        <v>0.26423816193216682</v>
      </c>
      <c r="J142" s="124"/>
      <c r="K142" s="161" t="s">
        <v>205</v>
      </c>
      <c r="L142" s="161" t="s">
        <v>206</v>
      </c>
      <c r="M142" s="161"/>
      <c r="N142" s="151" t="s">
        <v>463</v>
      </c>
      <c r="O142" s="196">
        <v>1</v>
      </c>
      <c r="P142" s="196"/>
      <c r="Q142" s="196">
        <v>1</v>
      </c>
      <c r="R142" s="196">
        <v>1</v>
      </c>
      <c r="S142" s="196">
        <v>1</v>
      </c>
      <c r="T142" s="196">
        <v>1</v>
      </c>
      <c r="U142" s="196"/>
      <c r="V142" s="196"/>
      <c r="W142" s="196"/>
      <c r="X142" s="196">
        <v>1</v>
      </c>
      <c r="Y142" s="196"/>
      <c r="Z142" s="141"/>
      <c r="AA142" s="149">
        <v>26491253</v>
      </c>
      <c r="AB142" s="103" t="s">
        <v>207</v>
      </c>
      <c r="AC142" s="25"/>
    </row>
    <row r="143" spans="2:29" s="1" customFormat="1">
      <c r="B143" s="12"/>
      <c r="D143" s="162"/>
      <c r="E143" s="165"/>
      <c r="F143" s="165"/>
      <c r="G143" s="147"/>
      <c r="H143" s="147"/>
      <c r="I143" s="144"/>
      <c r="J143" s="124"/>
      <c r="K143" s="162"/>
      <c r="L143" s="162"/>
      <c r="M143" s="162"/>
      <c r="N143" s="152"/>
      <c r="O143" s="197"/>
      <c r="P143" s="197"/>
      <c r="Q143" s="197"/>
      <c r="R143" s="197"/>
      <c r="S143" s="197"/>
      <c r="T143" s="197"/>
      <c r="U143" s="197"/>
      <c r="V143" s="197"/>
      <c r="W143" s="197"/>
      <c r="X143" s="197"/>
      <c r="Y143" s="197"/>
      <c r="Z143" s="141"/>
      <c r="AA143" s="149"/>
      <c r="AB143" s="103" t="s">
        <v>208</v>
      </c>
      <c r="AC143" s="24"/>
    </row>
    <row r="144" spans="2:29" s="1" customFormat="1">
      <c r="B144" s="12"/>
      <c r="D144" s="163"/>
      <c r="E144" s="166"/>
      <c r="F144" s="166"/>
      <c r="G144" s="148"/>
      <c r="H144" s="148"/>
      <c r="I144" s="145"/>
      <c r="J144" s="124"/>
      <c r="K144" s="163"/>
      <c r="L144" s="163"/>
      <c r="M144" s="163"/>
      <c r="N144" s="153"/>
      <c r="O144" s="198"/>
      <c r="P144" s="198"/>
      <c r="Q144" s="198"/>
      <c r="R144" s="198"/>
      <c r="S144" s="198"/>
      <c r="T144" s="198"/>
      <c r="U144" s="198"/>
      <c r="V144" s="198"/>
      <c r="W144" s="198"/>
      <c r="X144" s="198"/>
      <c r="Y144" s="198"/>
      <c r="Z144" s="141"/>
      <c r="AA144" s="149"/>
      <c r="AB144" s="103" t="s">
        <v>99</v>
      </c>
      <c r="AC144" s="24"/>
    </row>
    <row r="145" spans="2:29" s="1" customFormat="1">
      <c r="B145" s="12"/>
      <c r="D145" s="161" t="s">
        <v>209</v>
      </c>
      <c r="E145" s="164" t="s">
        <v>210</v>
      </c>
      <c r="F145" s="164" t="s">
        <v>88</v>
      </c>
      <c r="G145" s="146" t="s">
        <v>211</v>
      </c>
      <c r="H145" s="146">
        <f>(19900+100000)/2</f>
        <v>59950</v>
      </c>
      <c r="I145" s="143">
        <f>H145/AA145*100</f>
        <v>9.6144683202226411E-2</v>
      </c>
      <c r="J145" s="124"/>
      <c r="K145" s="161"/>
      <c r="L145" s="161" t="s">
        <v>212</v>
      </c>
      <c r="M145" s="161" t="s">
        <v>213</v>
      </c>
      <c r="N145" s="151" t="s">
        <v>466</v>
      </c>
      <c r="O145" s="196">
        <v>1</v>
      </c>
      <c r="P145" s="196"/>
      <c r="Q145" s="196">
        <v>1</v>
      </c>
      <c r="R145" s="196">
        <v>1</v>
      </c>
      <c r="S145" s="196">
        <v>1</v>
      </c>
      <c r="T145" s="196">
        <v>1</v>
      </c>
      <c r="U145" s="196"/>
      <c r="V145" s="196"/>
      <c r="W145" s="196">
        <v>1</v>
      </c>
      <c r="X145" s="196">
        <v>1</v>
      </c>
      <c r="Y145" s="196"/>
      <c r="Z145" s="141" t="s">
        <v>214</v>
      </c>
      <c r="AA145" s="149">
        <v>62353942</v>
      </c>
      <c r="AB145" s="103" t="s">
        <v>215</v>
      </c>
      <c r="AC145" s="24"/>
    </row>
    <row r="146" spans="2:29" s="1" customFormat="1">
      <c r="B146" s="12"/>
      <c r="D146" s="162"/>
      <c r="E146" s="165"/>
      <c r="F146" s="165"/>
      <c r="G146" s="147"/>
      <c r="H146" s="147"/>
      <c r="I146" s="144"/>
      <c r="J146" s="124"/>
      <c r="K146" s="162"/>
      <c r="L146" s="162"/>
      <c r="M146" s="162"/>
      <c r="N146" s="152"/>
      <c r="O146" s="197"/>
      <c r="P146" s="197"/>
      <c r="Q146" s="197"/>
      <c r="R146" s="197"/>
      <c r="S146" s="197"/>
      <c r="T146" s="197"/>
      <c r="U146" s="197"/>
      <c r="V146" s="197"/>
      <c r="W146" s="197"/>
      <c r="X146" s="197"/>
      <c r="Y146" s="197"/>
      <c r="Z146" s="141"/>
      <c r="AA146" s="149"/>
      <c r="AB146" s="103" t="s">
        <v>519</v>
      </c>
      <c r="AC146" s="24"/>
    </row>
    <row r="147" spans="2:29" s="1" customFormat="1">
      <c r="B147" s="12"/>
      <c r="D147" s="163"/>
      <c r="E147" s="166"/>
      <c r="F147" s="166"/>
      <c r="G147" s="148"/>
      <c r="H147" s="148"/>
      <c r="I147" s="145"/>
      <c r="J147" s="124"/>
      <c r="K147" s="163"/>
      <c r="L147" s="163"/>
      <c r="M147" s="163"/>
      <c r="N147" s="153"/>
      <c r="O147" s="198"/>
      <c r="P147" s="198"/>
      <c r="Q147" s="198"/>
      <c r="R147" s="198"/>
      <c r="S147" s="198"/>
      <c r="T147" s="198"/>
      <c r="U147" s="198"/>
      <c r="V147" s="198"/>
      <c r="W147" s="198"/>
      <c r="X147" s="198"/>
      <c r="Y147" s="198"/>
      <c r="Z147" s="141"/>
      <c r="AA147" s="149"/>
      <c r="AB147" s="59" t="s">
        <v>107</v>
      </c>
      <c r="AC147" s="24"/>
    </row>
    <row r="148" spans="2:29" s="1" customFormat="1" ht="15">
      <c r="B148" s="12"/>
      <c r="D148" s="161" t="s">
        <v>217</v>
      </c>
      <c r="E148" s="164" t="s">
        <v>218</v>
      </c>
      <c r="F148" s="127" t="s">
        <v>383</v>
      </c>
      <c r="G148" s="146" t="s">
        <v>220</v>
      </c>
      <c r="H148" s="146">
        <f>(3800000+5400000)/2</f>
        <v>4600000</v>
      </c>
      <c r="I148" s="143">
        <f>H148/AA148*100</f>
        <v>8.8239922200011556</v>
      </c>
      <c r="J148" s="124"/>
      <c r="K148" s="161" t="s">
        <v>221</v>
      </c>
      <c r="L148" s="161" t="s">
        <v>222</v>
      </c>
      <c r="M148" s="161" t="s">
        <v>223</v>
      </c>
      <c r="N148" s="131" t="s">
        <v>434</v>
      </c>
      <c r="O148" s="196"/>
      <c r="P148" s="196"/>
      <c r="Q148" s="196"/>
      <c r="R148" s="196"/>
      <c r="S148" s="196">
        <v>1</v>
      </c>
      <c r="T148" s="196">
        <v>1</v>
      </c>
      <c r="U148" s="196"/>
      <c r="V148" s="196">
        <v>1</v>
      </c>
      <c r="W148" s="196"/>
      <c r="X148" s="196"/>
      <c r="Y148" s="196"/>
      <c r="Z148" s="141"/>
      <c r="AA148" s="149">
        <f>44960941+7169658</f>
        <v>52130599</v>
      </c>
      <c r="AB148" s="103" t="s">
        <v>224</v>
      </c>
      <c r="AC148" s="24"/>
    </row>
    <row r="149" spans="2:29" s="1" customFormat="1" ht="15">
      <c r="B149" s="12"/>
      <c r="D149" s="162"/>
      <c r="E149" s="165"/>
      <c r="F149" s="128" t="s">
        <v>439</v>
      </c>
      <c r="G149" s="147"/>
      <c r="H149" s="147"/>
      <c r="I149" s="144"/>
      <c r="J149" s="124"/>
      <c r="K149" s="162"/>
      <c r="L149" s="162"/>
      <c r="M149" s="162"/>
      <c r="N149" s="151" t="s">
        <v>463</v>
      </c>
      <c r="O149" s="197"/>
      <c r="P149" s="197"/>
      <c r="Q149" s="197"/>
      <c r="R149" s="197"/>
      <c r="S149" s="197"/>
      <c r="T149" s="197"/>
      <c r="U149" s="197"/>
      <c r="V149" s="197"/>
      <c r="W149" s="197"/>
      <c r="X149" s="197"/>
      <c r="Y149" s="197"/>
      <c r="Z149" s="141"/>
      <c r="AA149" s="149"/>
      <c r="AB149" s="103" t="s">
        <v>225</v>
      </c>
      <c r="AC149" s="24"/>
    </row>
    <row r="150" spans="2:29" s="1" customFormat="1">
      <c r="B150" s="12"/>
      <c r="D150" s="163"/>
      <c r="E150" s="166"/>
      <c r="F150" s="129"/>
      <c r="G150" s="148"/>
      <c r="H150" s="148"/>
      <c r="I150" s="145"/>
      <c r="J150" s="124"/>
      <c r="K150" s="163"/>
      <c r="L150" s="163"/>
      <c r="M150" s="163"/>
      <c r="N150" s="153"/>
      <c r="O150" s="198"/>
      <c r="P150" s="198"/>
      <c r="Q150" s="198"/>
      <c r="R150" s="198"/>
      <c r="S150" s="198"/>
      <c r="T150" s="198"/>
      <c r="U150" s="198"/>
      <c r="V150" s="198"/>
      <c r="W150" s="198"/>
      <c r="X150" s="198"/>
      <c r="Y150" s="198"/>
      <c r="Z150" s="141"/>
      <c r="AA150" s="149"/>
      <c r="AB150" s="59"/>
      <c r="AC150" s="24"/>
    </row>
    <row r="151" spans="2:29" s="1" customFormat="1">
      <c r="B151" s="12">
        <v>2000</v>
      </c>
      <c r="D151" s="161" t="s">
        <v>226</v>
      </c>
      <c r="E151" s="164" t="s">
        <v>227</v>
      </c>
      <c r="F151" s="164" t="s">
        <v>228</v>
      </c>
      <c r="G151" s="146"/>
      <c r="H151" s="146"/>
      <c r="I151" s="143"/>
      <c r="J151" s="124"/>
      <c r="K151" s="161" t="s">
        <v>229</v>
      </c>
      <c r="L151" s="161" t="s">
        <v>230</v>
      </c>
      <c r="M151" s="161" t="s">
        <v>231</v>
      </c>
      <c r="N151" s="151" t="s">
        <v>474</v>
      </c>
      <c r="O151" s="196">
        <v>1</v>
      </c>
      <c r="P151" s="196"/>
      <c r="Q151" s="196"/>
      <c r="R151" s="196">
        <v>1</v>
      </c>
      <c r="S151" s="196"/>
      <c r="T151" s="196"/>
      <c r="U151" s="196"/>
      <c r="V151" s="196">
        <v>1</v>
      </c>
      <c r="W151" s="196">
        <v>1</v>
      </c>
      <c r="X151" s="196"/>
      <c r="Y151" s="196">
        <v>1</v>
      </c>
      <c r="Z151" s="141" t="s">
        <v>232</v>
      </c>
      <c r="AA151" s="149"/>
      <c r="AB151" s="103" t="s">
        <v>233</v>
      </c>
      <c r="AC151" s="24"/>
    </row>
    <row r="152" spans="2:29" s="1" customFormat="1">
      <c r="B152" s="12"/>
      <c r="D152" s="162"/>
      <c r="E152" s="165"/>
      <c r="F152" s="165"/>
      <c r="G152" s="147"/>
      <c r="H152" s="147"/>
      <c r="I152" s="144"/>
      <c r="J152" s="124"/>
      <c r="K152" s="162"/>
      <c r="L152" s="162"/>
      <c r="M152" s="162"/>
      <c r="N152" s="152"/>
      <c r="O152" s="197"/>
      <c r="P152" s="197"/>
      <c r="Q152" s="197"/>
      <c r="R152" s="197"/>
      <c r="S152" s="197"/>
      <c r="T152" s="197"/>
      <c r="U152" s="197"/>
      <c r="V152" s="197"/>
      <c r="W152" s="197"/>
      <c r="X152" s="197"/>
      <c r="Y152" s="197"/>
      <c r="Z152" s="141"/>
      <c r="AA152" s="149"/>
      <c r="AB152" s="59"/>
      <c r="AC152" s="24"/>
    </row>
    <row r="153" spans="2:29" s="1" customFormat="1">
      <c r="B153" s="12"/>
      <c r="D153" s="163"/>
      <c r="E153" s="166"/>
      <c r="F153" s="166"/>
      <c r="G153" s="148"/>
      <c r="H153" s="148"/>
      <c r="I153" s="145"/>
      <c r="J153" s="124"/>
      <c r="K153" s="163"/>
      <c r="L153" s="163"/>
      <c r="M153" s="163"/>
      <c r="N153" s="153"/>
      <c r="O153" s="198"/>
      <c r="P153" s="198"/>
      <c r="Q153" s="198"/>
      <c r="R153" s="198"/>
      <c r="S153" s="198"/>
      <c r="T153" s="198"/>
      <c r="U153" s="198"/>
      <c r="V153" s="198"/>
      <c r="W153" s="198"/>
      <c r="X153" s="198"/>
      <c r="Y153" s="198"/>
      <c r="Z153" s="141"/>
      <c r="AA153" s="149"/>
      <c r="AB153" s="59"/>
      <c r="AC153" s="24"/>
    </row>
    <row r="154" spans="2:29" s="1" customFormat="1">
      <c r="B154" s="12">
        <v>2003</v>
      </c>
      <c r="D154" s="161" t="s">
        <v>234</v>
      </c>
      <c r="E154" s="164" t="s">
        <v>235</v>
      </c>
      <c r="F154" s="164" t="s">
        <v>170</v>
      </c>
      <c r="G154" s="146"/>
      <c r="H154" s="146"/>
      <c r="I154" s="143"/>
      <c r="J154" s="124"/>
      <c r="K154" s="161" t="s">
        <v>236</v>
      </c>
      <c r="L154" s="161"/>
      <c r="M154" s="161" t="s">
        <v>237</v>
      </c>
      <c r="N154" s="171">
        <v>1999</v>
      </c>
      <c r="O154" s="199">
        <v>1</v>
      </c>
      <c r="P154" s="199"/>
      <c r="Q154" s="199"/>
      <c r="R154" s="199"/>
      <c r="S154" s="199"/>
      <c r="T154" s="196">
        <v>1</v>
      </c>
      <c r="U154" s="199"/>
      <c r="V154" s="199">
        <v>1</v>
      </c>
      <c r="W154" s="199"/>
      <c r="X154" s="199"/>
      <c r="Y154" s="196">
        <v>1</v>
      </c>
      <c r="Z154" s="141" t="s">
        <v>238</v>
      </c>
      <c r="AA154" s="149"/>
      <c r="AB154" s="103" t="s">
        <v>239</v>
      </c>
      <c r="AC154" s="24"/>
    </row>
    <row r="155" spans="2:29" s="1" customFormat="1">
      <c r="B155" s="12"/>
      <c r="D155" s="162"/>
      <c r="E155" s="165"/>
      <c r="F155" s="165"/>
      <c r="G155" s="147"/>
      <c r="H155" s="147"/>
      <c r="I155" s="144"/>
      <c r="J155" s="124"/>
      <c r="K155" s="162"/>
      <c r="L155" s="162"/>
      <c r="M155" s="162"/>
      <c r="N155" s="172"/>
      <c r="O155" s="200"/>
      <c r="P155" s="200"/>
      <c r="Q155" s="200"/>
      <c r="R155" s="200"/>
      <c r="S155" s="200"/>
      <c r="T155" s="197"/>
      <c r="U155" s="200"/>
      <c r="V155" s="200"/>
      <c r="W155" s="200"/>
      <c r="X155" s="200"/>
      <c r="Y155" s="197"/>
      <c r="Z155" s="141"/>
      <c r="AA155" s="149"/>
      <c r="AB155" s="59"/>
      <c r="AC155" s="24"/>
    </row>
    <row r="156" spans="2:29" s="1" customFormat="1">
      <c r="B156" s="12"/>
      <c r="D156" s="163"/>
      <c r="E156" s="166"/>
      <c r="F156" s="166"/>
      <c r="G156" s="148"/>
      <c r="H156" s="148"/>
      <c r="I156" s="145"/>
      <c r="J156" s="124"/>
      <c r="K156" s="163"/>
      <c r="L156" s="163"/>
      <c r="M156" s="163"/>
      <c r="N156" s="173"/>
      <c r="O156" s="201"/>
      <c r="P156" s="201"/>
      <c r="Q156" s="201"/>
      <c r="R156" s="201"/>
      <c r="S156" s="201"/>
      <c r="T156" s="198"/>
      <c r="U156" s="201"/>
      <c r="V156" s="201"/>
      <c r="W156" s="201"/>
      <c r="X156" s="201"/>
      <c r="Y156" s="198"/>
      <c r="Z156" s="141"/>
      <c r="AA156" s="149"/>
      <c r="AB156" s="59"/>
      <c r="AC156" s="24"/>
    </row>
    <row r="157" spans="2:29" s="1" customFormat="1">
      <c r="B157" s="12">
        <v>2005</v>
      </c>
      <c r="D157" s="161" t="s">
        <v>240</v>
      </c>
      <c r="E157" s="164" t="s">
        <v>241</v>
      </c>
      <c r="F157" s="164" t="s">
        <v>242</v>
      </c>
      <c r="G157" s="146"/>
      <c r="H157" s="146"/>
      <c r="I157" s="143"/>
      <c r="J157" s="124"/>
      <c r="K157" s="161" t="s">
        <v>243</v>
      </c>
      <c r="L157" s="161" t="s">
        <v>244</v>
      </c>
      <c r="M157" s="161" t="s">
        <v>245</v>
      </c>
      <c r="N157" s="151" t="s">
        <v>475</v>
      </c>
      <c r="O157" s="196">
        <v>1</v>
      </c>
      <c r="P157" s="196">
        <v>1</v>
      </c>
      <c r="Q157" s="196"/>
      <c r="R157" s="196"/>
      <c r="S157" s="196"/>
      <c r="T157" s="196"/>
      <c r="U157" s="196"/>
      <c r="V157" s="196"/>
      <c r="W157" s="196"/>
      <c r="X157" s="196"/>
      <c r="Y157" s="196">
        <v>1</v>
      </c>
      <c r="Z157" s="141" t="s">
        <v>246</v>
      </c>
      <c r="AA157" s="149"/>
      <c r="AB157" s="59" t="s">
        <v>107</v>
      </c>
      <c r="AC157" s="24"/>
    </row>
    <row r="158" spans="2:29" s="1" customFormat="1">
      <c r="B158" s="12"/>
      <c r="D158" s="162"/>
      <c r="E158" s="165"/>
      <c r="F158" s="165"/>
      <c r="G158" s="147"/>
      <c r="H158" s="147"/>
      <c r="I158" s="144"/>
      <c r="J158" s="124"/>
      <c r="K158" s="162"/>
      <c r="L158" s="162"/>
      <c r="M158" s="162"/>
      <c r="N158" s="152"/>
      <c r="O158" s="197"/>
      <c r="P158" s="197"/>
      <c r="Q158" s="197"/>
      <c r="R158" s="197"/>
      <c r="S158" s="197"/>
      <c r="T158" s="197"/>
      <c r="U158" s="197"/>
      <c r="V158" s="197"/>
      <c r="W158" s="197"/>
      <c r="X158" s="197"/>
      <c r="Y158" s="197"/>
      <c r="Z158" s="141"/>
      <c r="AA158" s="149"/>
      <c r="AB158" s="103" t="s">
        <v>247</v>
      </c>
      <c r="AC158" s="24"/>
    </row>
    <row r="159" spans="2:29" s="1" customFormat="1">
      <c r="B159" s="12"/>
      <c r="D159" s="163"/>
      <c r="E159" s="166"/>
      <c r="F159" s="166"/>
      <c r="G159" s="148"/>
      <c r="H159" s="148"/>
      <c r="I159" s="145"/>
      <c r="J159" s="124"/>
      <c r="K159" s="163"/>
      <c r="L159" s="163"/>
      <c r="M159" s="163"/>
      <c r="N159" s="153"/>
      <c r="O159" s="198"/>
      <c r="P159" s="198"/>
      <c r="Q159" s="198"/>
      <c r="R159" s="198"/>
      <c r="S159" s="198"/>
      <c r="T159" s="198"/>
      <c r="U159" s="198"/>
      <c r="V159" s="198"/>
      <c r="W159" s="198"/>
      <c r="X159" s="198"/>
      <c r="Y159" s="198"/>
      <c r="Z159" s="141"/>
      <c r="AA159" s="149"/>
      <c r="AB159" s="59"/>
      <c r="AC159" s="24"/>
    </row>
    <row r="160" spans="2:29" s="1" customFormat="1">
      <c r="B160" s="12"/>
      <c r="D160" s="161" t="s">
        <v>248</v>
      </c>
      <c r="E160" s="164" t="s">
        <v>249</v>
      </c>
      <c r="F160" s="164" t="s">
        <v>250</v>
      </c>
      <c r="G160" s="146"/>
      <c r="H160" s="146"/>
      <c r="I160" s="143"/>
      <c r="J160" s="124"/>
      <c r="K160" s="161" t="s">
        <v>251</v>
      </c>
      <c r="L160" s="161" t="s">
        <v>252</v>
      </c>
      <c r="M160" s="161" t="s">
        <v>253</v>
      </c>
      <c r="N160" s="151">
        <v>2005</v>
      </c>
      <c r="O160" s="196">
        <v>1</v>
      </c>
      <c r="P160" s="196"/>
      <c r="Q160" s="196">
        <v>1</v>
      </c>
      <c r="R160" s="196">
        <v>1</v>
      </c>
      <c r="S160" s="196">
        <v>1</v>
      </c>
      <c r="T160" s="196"/>
      <c r="U160" s="196"/>
      <c r="V160" s="196"/>
      <c r="W160" s="196">
        <v>1</v>
      </c>
      <c r="X160" s="196"/>
      <c r="Y160" s="196"/>
      <c r="Z160" s="141" t="s">
        <v>254</v>
      </c>
      <c r="AA160" s="149"/>
      <c r="AB160" s="103" t="s">
        <v>255</v>
      </c>
      <c r="AC160" s="24"/>
    </row>
    <row r="161" spans="2:29" s="1" customFormat="1">
      <c r="B161" s="12"/>
      <c r="D161" s="162"/>
      <c r="E161" s="165"/>
      <c r="F161" s="165"/>
      <c r="G161" s="147"/>
      <c r="H161" s="147"/>
      <c r="I161" s="144"/>
      <c r="J161" s="124"/>
      <c r="K161" s="162"/>
      <c r="L161" s="162"/>
      <c r="M161" s="162"/>
      <c r="N161" s="152"/>
      <c r="O161" s="197"/>
      <c r="P161" s="197"/>
      <c r="Q161" s="197"/>
      <c r="R161" s="197"/>
      <c r="S161" s="197"/>
      <c r="T161" s="197"/>
      <c r="U161" s="197"/>
      <c r="V161" s="197"/>
      <c r="W161" s="197"/>
      <c r="X161" s="197"/>
      <c r="Y161" s="197"/>
      <c r="Z161" s="141"/>
      <c r="AA161" s="149"/>
      <c r="AB161" s="103" t="s">
        <v>256</v>
      </c>
      <c r="AC161" s="24"/>
    </row>
    <row r="162" spans="2:29" s="1" customFormat="1">
      <c r="B162" s="12"/>
      <c r="D162" s="163"/>
      <c r="E162" s="166"/>
      <c r="F162" s="166"/>
      <c r="G162" s="148"/>
      <c r="H162" s="148"/>
      <c r="I162" s="145"/>
      <c r="J162" s="124"/>
      <c r="K162" s="163"/>
      <c r="L162" s="163"/>
      <c r="M162" s="163"/>
      <c r="N162" s="153"/>
      <c r="O162" s="198"/>
      <c r="P162" s="198"/>
      <c r="Q162" s="198"/>
      <c r="R162" s="198"/>
      <c r="S162" s="198"/>
      <c r="T162" s="198"/>
      <c r="U162" s="198"/>
      <c r="V162" s="198"/>
      <c r="W162" s="198"/>
      <c r="X162" s="198"/>
      <c r="Y162" s="198"/>
      <c r="Z162" s="141"/>
      <c r="AA162" s="149"/>
      <c r="AB162" s="103" t="s">
        <v>257</v>
      </c>
      <c r="AC162" s="24"/>
    </row>
    <row r="163" spans="2:29" s="1" customFormat="1" ht="15">
      <c r="B163" s="12">
        <v>2006</v>
      </c>
      <c r="D163" s="161">
        <v>2006</v>
      </c>
      <c r="E163" s="164" t="s">
        <v>258</v>
      </c>
      <c r="F163" s="127" t="s">
        <v>440</v>
      </c>
      <c r="G163" s="146"/>
      <c r="H163" s="146"/>
      <c r="I163" s="143"/>
      <c r="J163" s="124"/>
      <c r="K163" s="161"/>
      <c r="L163" s="161"/>
      <c r="M163" s="161"/>
      <c r="N163" s="131" t="s">
        <v>476</v>
      </c>
      <c r="O163" s="196">
        <v>1</v>
      </c>
      <c r="P163" s="196"/>
      <c r="Q163" s="196"/>
      <c r="R163" s="196"/>
      <c r="S163" s="196"/>
      <c r="T163" s="196">
        <v>1</v>
      </c>
      <c r="U163" s="196"/>
      <c r="V163" s="196"/>
      <c r="W163" s="196"/>
      <c r="X163" s="196"/>
      <c r="Y163" s="196"/>
      <c r="Z163" s="141"/>
      <c r="AA163" s="149"/>
      <c r="AB163" s="59"/>
      <c r="AC163" s="24"/>
    </row>
    <row r="164" spans="2:29" s="1" customFormat="1" ht="15">
      <c r="B164" s="12"/>
      <c r="D164" s="162"/>
      <c r="E164" s="165"/>
      <c r="F164" s="128" t="s">
        <v>441</v>
      </c>
      <c r="G164" s="147"/>
      <c r="H164" s="147"/>
      <c r="I164" s="144"/>
      <c r="J164" s="124"/>
      <c r="K164" s="162"/>
      <c r="L164" s="162"/>
      <c r="M164" s="162"/>
      <c r="N164" s="131">
        <v>2008</v>
      </c>
      <c r="O164" s="197"/>
      <c r="P164" s="197"/>
      <c r="Q164" s="197"/>
      <c r="R164" s="197"/>
      <c r="S164" s="197"/>
      <c r="T164" s="197"/>
      <c r="U164" s="197"/>
      <c r="V164" s="197"/>
      <c r="W164" s="197"/>
      <c r="X164" s="197"/>
      <c r="Y164" s="197"/>
      <c r="Z164" s="141"/>
      <c r="AA164" s="149"/>
      <c r="AB164" s="59"/>
      <c r="AC164" s="24"/>
    </row>
    <row r="165" spans="2:29" s="1" customFormat="1" ht="15">
      <c r="B165" s="12"/>
      <c r="D165" s="162"/>
      <c r="E165" s="165"/>
      <c r="F165" s="128" t="s">
        <v>88</v>
      </c>
      <c r="G165" s="147"/>
      <c r="H165" s="147"/>
      <c r="I165" s="144"/>
      <c r="J165" s="124"/>
      <c r="K165" s="162"/>
      <c r="L165" s="162"/>
      <c r="M165" s="162"/>
      <c r="N165" s="131" t="s">
        <v>477</v>
      </c>
      <c r="O165" s="197"/>
      <c r="P165" s="197"/>
      <c r="Q165" s="197"/>
      <c r="R165" s="197"/>
      <c r="S165" s="197"/>
      <c r="T165" s="197"/>
      <c r="U165" s="197"/>
      <c r="V165" s="197"/>
      <c r="W165" s="197"/>
      <c r="X165" s="197"/>
      <c r="Y165" s="197"/>
      <c r="Z165" s="141"/>
      <c r="AA165" s="149"/>
      <c r="AB165" s="59"/>
      <c r="AC165" s="24"/>
    </row>
    <row r="166" spans="2:29" s="1" customFormat="1" ht="15">
      <c r="B166" s="12"/>
      <c r="D166" s="162"/>
      <c r="E166" s="165"/>
      <c r="F166" s="128" t="s">
        <v>442</v>
      </c>
      <c r="G166" s="147"/>
      <c r="H166" s="147"/>
      <c r="I166" s="144"/>
      <c r="J166" s="124"/>
      <c r="K166" s="162"/>
      <c r="L166" s="162"/>
      <c r="M166" s="162"/>
      <c r="N166" s="131" t="s">
        <v>479</v>
      </c>
      <c r="O166" s="197"/>
      <c r="P166" s="197"/>
      <c r="Q166" s="197"/>
      <c r="R166" s="197"/>
      <c r="S166" s="197"/>
      <c r="T166" s="197"/>
      <c r="U166" s="197"/>
      <c r="V166" s="197"/>
      <c r="W166" s="197"/>
      <c r="X166" s="197"/>
      <c r="Y166" s="197"/>
      <c r="Z166" s="141"/>
      <c r="AA166" s="149"/>
      <c r="AB166" s="59"/>
      <c r="AC166" s="24"/>
    </row>
    <row r="167" spans="2:29" s="1" customFormat="1" ht="15">
      <c r="B167" s="12"/>
      <c r="D167" s="163"/>
      <c r="E167" s="166"/>
      <c r="F167" s="129" t="s">
        <v>131</v>
      </c>
      <c r="G167" s="148"/>
      <c r="H167" s="148"/>
      <c r="I167" s="145"/>
      <c r="J167" s="124"/>
      <c r="K167" s="163"/>
      <c r="L167" s="163"/>
      <c r="M167" s="163"/>
      <c r="N167" s="131" t="s">
        <v>479</v>
      </c>
      <c r="O167" s="198"/>
      <c r="P167" s="198"/>
      <c r="Q167" s="198"/>
      <c r="R167" s="198"/>
      <c r="S167" s="198"/>
      <c r="T167" s="198"/>
      <c r="U167" s="198"/>
      <c r="V167" s="198"/>
      <c r="W167" s="198"/>
      <c r="X167" s="198"/>
      <c r="Y167" s="198"/>
      <c r="Z167" s="141"/>
      <c r="AA167" s="149"/>
      <c r="AB167" s="59"/>
      <c r="AC167" s="24"/>
    </row>
    <row r="168" spans="2:29" s="1" customFormat="1" ht="15">
      <c r="B168" s="12">
        <v>2011</v>
      </c>
      <c r="D168" s="161" t="s">
        <v>260</v>
      </c>
      <c r="E168" s="164" t="s">
        <v>188</v>
      </c>
      <c r="F168" s="127" t="s">
        <v>131</v>
      </c>
      <c r="G168" s="146">
        <v>258000</v>
      </c>
      <c r="H168" s="146"/>
      <c r="I168" s="143"/>
      <c r="J168" s="124"/>
      <c r="K168" s="161"/>
      <c r="L168" s="161"/>
      <c r="M168" s="161"/>
      <c r="N168" s="131" t="s">
        <v>482</v>
      </c>
      <c r="O168" s="196">
        <v>1</v>
      </c>
      <c r="P168" s="196"/>
      <c r="Q168" s="196"/>
      <c r="R168" s="196"/>
      <c r="S168" s="196"/>
      <c r="T168" s="196">
        <v>1</v>
      </c>
      <c r="U168" s="196"/>
      <c r="V168" s="196"/>
      <c r="W168" s="196"/>
      <c r="X168" s="196"/>
      <c r="Y168" s="196"/>
      <c r="Z168" s="141"/>
      <c r="AA168" s="149" t="s">
        <v>262</v>
      </c>
      <c r="AB168" s="59" t="s">
        <v>263</v>
      </c>
      <c r="AC168" s="24"/>
    </row>
    <row r="169" spans="2:29" s="1" customFormat="1" ht="15">
      <c r="B169" s="12"/>
      <c r="D169" s="162"/>
      <c r="E169" s="165"/>
      <c r="F169" s="128" t="s">
        <v>88</v>
      </c>
      <c r="G169" s="147"/>
      <c r="H169" s="147"/>
      <c r="I169" s="144"/>
      <c r="J169" s="124"/>
      <c r="K169" s="162"/>
      <c r="L169" s="162"/>
      <c r="M169" s="162"/>
      <c r="N169" s="131" t="s">
        <v>485</v>
      </c>
      <c r="O169" s="197"/>
      <c r="P169" s="197"/>
      <c r="Q169" s="197"/>
      <c r="R169" s="197"/>
      <c r="S169" s="197"/>
      <c r="T169" s="197"/>
      <c r="U169" s="197"/>
      <c r="V169" s="197"/>
      <c r="W169" s="197"/>
      <c r="X169" s="197"/>
      <c r="Y169" s="197"/>
      <c r="Z169" s="141"/>
      <c r="AA169" s="149"/>
      <c r="AB169" s="59"/>
      <c r="AC169" s="24"/>
    </row>
    <row r="170" spans="2:29" s="1" customFormat="1" ht="15">
      <c r="B170" s="12"/>
      <c r="D170" s="163"/>
      <c r="E170" s="166"/>
      <c r="F170" s="129" t="s">
        <v>442</v>
      </c>
      <c r="G170" s="148"/>
      <c r="H170" s="148"/>
      <c r="I170" s="145"/>
      <c r="J170" s="124"/>
      <c r="K170" s="163"/>
      <c r="L170" s="163"/>
      <c r="M170" s="163"/>
      <c r="N170" s="131" t="s">
        <v>482</v>
      </c>
      <c r="O170" s="198"/>
      <c r="P170" s="198"/>
      <c r="Q170" s="198"/>
      <c r="R170" s="198"/>
      <c r="S170" s="198"/>
      <c r="T170" s="198"/>
      <c r="U170" s="198"/>
      <c r="V170" s="198"/>
      <c r="W170" s="198"/>
      <c r="X170" s="198"/>
      <c r="Y170" s="198"/>
      <c r="Z170" s="141"/>
      <c r="AA170" s="149"/>
      <c r="AB170" s="59"/>
      <c r="AC170" s="24"/>
    </row>
    <row r="171" spans="2:29" s="1" customFormat="1" ht="15">
      <c r="B171" s="157">
        <v>2012</v>
      </c>
      <c r="C171" s="4"/>
      <c r="D171" s="160">
        <v>2012</v>
      </c>
      <c r="E171" s="161" t="s">
        <v>264</v>
      </c>
      <c r="F171" s="127" t="s">
        <v>443</v>
      </c>
      <c r="G171" s="146"/>
      <c r="H171" s="146"/>
      <c r="I171" s="146"/>
      <c r="J171" s="143"/>
      <c r="K171" s="161"/>
      <c r="L171" s="161"/>
      <c r="M171" s="161"/>
      <c r="N171" s="131">
        <v>2011</v>
      </c>
      <c r="O171" s="196">
        <v>1</v>
      </c>
      <c r="P171" s="196"/>
      <c r="Q171" s="196"/>
      <c r="R171" s="196"/>
      <c r="S171" s="196"/>
      <c r="T171" s="196"/>
      <c r="U171" s="196"/>
      <c r="V171" s="196"/>
      <c r="W171" s="196"/>
      <c r="X171" s="196"/>
      <c r="Y171" s="196"/>
      <c r="AB171" s="55"/>
    </row>
    <row r="172" spans="2:29" s="1" customFormat="1" ht="15">
      <c r="B172" s="158"/>
      <c r="C172" s="4"/>
      <c r="D172" s="160"/>
      <c r="E172" s="162"/>
      <c r="F172" s="128" t="s">
        <v>444</v>
      </c>
      <c r="G172" s="147"/>
      <c r="H172" s="147"/>
      <c r="I172" s="147"/>
      <c r="J172" s="144"/>
      <c r="K172" s="162"/>
      <c r="L172" s="162"/>
      <c r="M172" s="162"/>
      <c r="N172" s="131">
        <v>2012</v>
      </c>
      <c r="O172" s="197"/>
      <c r="P172" s="197"/>
      <c r="Q172" s="197"/>
      <c r="R172" s="197"/>
      <c r="S172" s="197"/>
      <c r="T172" s="197"/>
      <c r="U172" s="197"/>
      <c r="V172" s="197"/>
      <c r="W172" s="197"/>
      <c r="X172" s="197"/>
      <c r="Y172" s="197"/>
      <c r="AB172" s="55"/>
    </row>
    <row r="173" spans="2:29" s="1" customFormat="1" ht="15">
      <c r="B173" s="158"/>
      <c r="C173" s="4"/>
      <c r="D173" s="160"/>
      <c r="E173" s="162"/>
      <c r="F173" s="128" t="s">
        <v>250</v>
      </c>
      <c r="G173" s="147"/>
      <c r="H173" s="147"/>
      <c r="I173" s="147"/>
      <c r="J173" s="144"/>
      <c r="K173" s="162"/>
      <c r="L173" s="162"/>
      <c r="M173" s="162"/>
      <c r="N173" s="131" t="s">
        <v>487</v>
      </c>
      <c r="O173" s="197"/>
      <c r="P173" s="197"/>
      <c r="Q173" s="197"/>
      <c r="R173" s="197"/>
      <c r="S173" s="197"/>
      <c r="T173" s="197"/>
      <c r="U173" s="197"/>
      <c r="V173" s="197"/>
      <c r="W173" s="197"/>
      <c r="X173" s="197"/>
      <c r="Y173" s="197"/>
      <c r="AB173" s="55"/>
    </row>
    <row r="174" spans="2:29" s="1" customFormat="1" ht="15">
      <c r="B174" s="158"/>
      <c r="C174" s="4"/>
      <c r="D174" s="160"/>
      <c r="E174" s="162"/>
      <c r="F174" s="128" t="s">
        <v>435</v>
      </c>
      <c r="G174" s="147"/>
      <c r="H174" s="147"/>
      <c r="I174" s="147"/>
      <c r="J174" s="144"/>
      <c r="K174" s="162"/>
      <c r="L174" s="162"/>
      <c r="M174" s="162"/>
      <c r="N174" s="131" t="s">
        <v>488</v>
      </c>
      <c r="O174" s="197"/>
      <c r="P174" s="197"/>
      <c r="Q174" s="197"/>
      <c r="R174" s="197"/>
      <c r="S174" s="197"/>
      <c r="T174" s="197"/>
      <c r="U174" s="197"/>
      <c r="V174" s="197"/>
      <c r="W174" s="197"/>
      <c r="X174" s="197"/>
      <c r="Y174" s="197"/>
      <c r="AB174" s="55"/>
    </row>
    <row r="175" spans="2:29" s="1" customFormat="1" ht="15">
      <c r="B175" s="158"/>
      <c r="C175" s="4"/>
      <c r="D175" s="160"/>
      <c r="E175" s="162"/>
      <c r="F175" s="128" t="s">
        <v>436</v>
      </c>
      <c r="G175" s="147"/>
      <c r="H175" s="147"/>
      <c r="I175" s="147"/>
      <c r="J175" s="144"/>
      <c r="K175" s="162"/>
      <c r="L175" s="162"/>
      <c r="M175" s="162"/>
      <c r="N175" s="131" t="s">
        <v>488</v>
      </c>
      <c r="O175" s="197"/>
      <c r="P175" s="197"/>
      <c r="Q175" s="197"/>
      <c r="R175" s="197"/>
      <c r="S175" s="197"/>
      <c r="T175" s="197"/>
      <c r="U175" s="197"/>
      <c r="V175" s="197"/>
      <c r="W175" s="197"/>
      <c r="X175" s="197"/>
      <c r="Y175" s="197"/>
      <c r="AB175" s="55"/>
    </row>
    <row r="176" spans="2:29" s="1" customFormat="1" ht="15">
      <c r="B176" s="159"/>
      <c r="C176" s="65"/>
      <c r="D176" s="160"/>
      <c r="E176" s="163"/>
      <c r="F176" s="129" t="s">
        <v>438</v>
      </c>
      <c r="G176" s="148"/>
      <c r="H176" s="148"/>
      <c r="I176" s="148"/>
      <c r="J176" s="145"/>
      <c r="K176" s="163"/>
      <c r="L176" s="163"/>
      <c r="M176" s="163"/>
      <c r="N176" s="73">
        <v>2011</v>
      </c>
      <c r="O176" s="198"/>
      <c r="P176" s="198"/>
      <c r="Q176" s="198"/>
      <c r="R176" s="198"/>
      <c r="S176" s="198"/>
      <c r="T176" s="198"/>
      <c r="U176" s="198"/>
      <c r="V176" s="198"/>
      <c r="W176" s="198"/>
      <c r="X176" s="198"/>
      <c r="Y176" s="198"/>
      <c r="AB176" s="124"/>
    </row>
    <row r="177" spans="4:27">
      <c r="O177" s="56">
        <f>SUM(O4:O176)</f>
        <v>33</v>
      </c>
      <c r="P177" s="56">
        <f t="shared" ref="P177:AA177" si="0">SUM(P4:P176)</f>
        <v>4</v>
      </c>
      <c r="Q177" s="56">
        <f t="shared" si="0"/>
        <v>14</v>
      </c>
      <c r="R177" s="56">
        <f t="shared" si="0"/>
        <v>21</v>
      </c>
      <c r="S177" s="56">
        <f t="shared" si="0"/>
        <v>29</v>
      </c>
      <c r="T177" s="56">
        <f t="shared" si="0"/>
        <v>34</v>
      </c>
      <c r="U177" s="56">
        <f t="shared" si="0"/>
        <v>22</v>
      </c>
      <c r="V177" s="56">
        <f t="shared" si="0"/>
        <v>38</v>
      </c>
      <c r="W177" s="56">
        <f t="shared" si="0"/>
        <v>12</v>
      </c>
      <c r="X177" s="56">
        <f>SUM(X4:X176)</f>
        <v>6</v>
      </c>
      <c r="Y177" s="56">
        <f>SUM(Y4:Y176)</f>
        <v>5</v>
      </c>
      <c r="Z177" s="56">
        <f t="shared" si="0"/>
        <v>0</v>
      </c>
      <c r="AA177" s="56">
        <f t="shared" si="0"/>
        <v>1060220299</v>
      </c>
    </row>
    <row r="178" spans="4:27">
      <c r="O178" s="56">
        <f>Y177</f>
        <v>5</v>
      </c>
      <c r="P178" s="56">
        <f>X177</f>
        <v>6</v>
      </c>
      <c r="Q178" s="56">
        <f>W177</f>
        <v>12</v>
      </c>
      <c r="R178" s="56">
        <f>V177</f>
        <v>38</v>
      </c>
      <c r="S178" s="56">
        <f>U177</f>
        <v>22</v>
      </c>
      <c r="T178" s="56">
        <f>T177</f>
        <v>34</v>
      </c>
      <c r="U178" s="56">
        <f>S177</f>
        <v>29</v>
      </c>
      <c r="V178" s="56">
        <f>R177</f>
        <v>21</v>
      </c>
      <c r="W178" s="56">
        <f>Q177</f>
        <v>14</v>
      </c>
      <c r="X178" s="56">
        <f>P177</f>
        <v>4</v>
      </c>
      <c r="Y178" s="56">
        <f>O177</f>
        <v>33</v>
      </c>
    </row>
    <row r="179" spans="4:27">
      <c r="D179" s="18" t="s">
        <v>106</v>
      </c>
      <c r="E179" s="18" t="s">
        <v>398</v>
      </c>
      <c r="F179" s="18"/>
    </row>
    <row r="180" spans="4:27">
      <c r="D180" s="18" t="s">
        <v>161</v>
      </c>
      <c r="E180" s="18" t="s">
        <v>399</v>
      </c>
      <c r="F180" s="19" t="s">
        <v>400</v>
      </c>
    </row>
    <row r="181" spans="4:27">
      <c r="D181" s="18" t="s">
        <v>99</v>
      </c>
      <c r="E181" s="18" t="s">
        <v>401</v>
      </c>
      <c r="F181" s="17" t="s">
        <v>402</v>
      </c>
    </row>
    <row r="182" spans="4:27">
      <c r="D182" s="18" t="s">
        <v>107</v>
      </c>
      <c r="E182" s="18" t="s">
        <v>403</v>
      </c>
      <c r="F182" s="17"/>
    </row>
  </sheetData>
  <mergeCells count="1209">
    <mergeCell ref="I2:I3"/>
    <mergeCell ref="K2:K3"/>
    <mergeCell ref="L2:L3"/>
    <mergeCell ref="M2:M3"/>
    <mergeCell ref="B2:B3"/>
    <mergeCell ref="D2:D3"/>
    <mergeCell ref="E2:E3"/>
    <mergeCell ref="F2:F3"/>
    <mergeCell ref="G2:G3"/>
    <mergeCell ref="H2:H3"/>
    <mergeCell ref="S94:S96"/>
    <mergeCell ref="T94:T96"/>
    <mergeCell ref="X94:X96"/>
    <mergeCell ref="P97:P100"/>
    <mergeCell ref="Z94:Z96"/>
    <mergeCell ref="AA94:AA96"/>
    <mergeCell ref="D97:D100"/>
    <mergeCell ref="E97:E100"/>
    <mergeCell ref="F97:F100"/>
    <mergeCell ref="G97:G100"/>
    <mergeCell ref="H97:H100"/>
    <mergeCell ref="R94:R96"/>
    <mergeCell ref="N94:N96"/>
    <mergeCell ref="O94:O96"/>
    <mergeCell ref="Q94:Q96"/>
    <mergeCell ref="P94:P96"/>
    <mergeCell ref="D94:D96"/>
    <mergeCell ref="E94:E96"/>
    <mergeCell ref="F94:F96"/>
    <mergeCell ref="G94:G96"/>
    <mergeCell ref="H94:H96"/>
    <mergeCell ref="I94:I96"/>
    <mergeCell ref="K94:K96"/>
    <mergeCell ref="L94:L96"/>
    <mergeCell ref="M94:M96"/>
    <mergeCell ref="Z101:Z104"/>
    <mergeCell ref="AA101:AA104"/>
    <mergeCell ref="D106:D108"/>
    <mergeCell ref="E106:E108"/>
    <mergeCell ref="F106:F108"/>
    <mergeCell ref="G106:G108"/>
    <mergeCell ref="H106:H108"/>
    <mergeCell ref="X97:X100"/>
    <mergeCell ref="Z97:Z100"/>
    <mergeCell ref="AA97:AA100"/>
    <mergeCell ref="D101:D105"/>
    <mergeCell ref="E101:E105"/>
    <mergeCell ref="G101:G105"/>
    <mergeCell ref="H101:H105"/>
    <mergeCell ref="I101:I105"/>
    <mergeCell ref="K101:K105"/>
    <mergeCell ref="L101:L105"/>
    <mergeCell ref="U97:U100"/>
    <mergeCell ref="Q97:Q100"/>
    <mergeCell ref="R97:R100"/>
    <mergeCell ref="I97:I100"/>
    <mergeCell ref="K97:K100"/>
    <mergeCell ref="L97:L100"/>
    <mergeCell ref="M97:M100"/>
    <mergeCell ref="N97:N100"/>
    <mergeCell ref="O97:O100"/>
    <mergeCell ref="AA106:AA108"/>
    <mergeCell ref="X101:X105"/>
    <mergeCell ref="U106:U108"/>
    <mergeCell ref="Q106:Q108"/>
    <mergeCell ref="R106:R108"/>
    <mergeCell ref="I106:I108"/>
    <mergeCell ref="K106:K108"/>
    <mergeCell ref="L106:L108"/>
    <mergeCell ref="M106:M108"/>
    <mergeCell ref="N106:N108"/>
    <mergeCell ref="O106:O108"/>
    <mergeCell ref="AA109:AA111"/>
    <mergeCell ref="S109:S111"/>
    <mergeCell ref="T109:T111"/>
    <mergeCell ref="Z109:Z111"/>
    <mergeCell ref="R109:R111"/>
    <mergeCell ref="L109:L111"/>
    <mergeCell ref="M109:M111"/>
    <mergeCell ref="N109:N111"/>
    <mergeCell ref="O109:O111"/>
    <mergeCell ref="Q109:Q111"/>
    <mergeCell ref="D112:D114"/>
    <mergeCell ref="E112:E114"/>
    <mergeCell ref="F112:F114"/>
    <mergeCell ref="G112:G114"/>
    <mergeCell ref="H112:H114"/>
    <mergeCell ref="I112:I114"/>
    <mergeCell ref="K112:K114"/>
    <mergeCell ref="L112:L114"/>
    <mergeCell ref="M112:M114"/>
    <mergeCell ref="Z106:Z108"/>
    <mergeCell ref="U115:U117"/>
    <mergeCell ref="Q115:Q117"/>
    <mergeCell ref="R115:R117"/>
    <mergeCell ref="I115:I117"/>
    <mergeCell ref="K115:K117"/>
    <mergeCell ref="L115:L117"/>
    <mergeCell ref="M115:M117"/>
    <mergeCell ref="N115:N117"/>
    <mergeCell ref="O115:O117"/>
    <mergeCell ref="Z112:Z114"/>
    <mergeCell ref="U109:U111"/>
    <mergeCell ref="U112:U114"/>
    <mergeCell ref="X112:X114"/>
    <mergeCell ref="X106:X108"/>
    <mergeCell ref="T115:T117"/>
    <mergeCell ref="D109:D111"/>
    <mergeCell ref="E109:E111"/>
    <mergeCell ref="F109:F111"/>
    <mergeCell ref="G109:G111"/>
    <mergeCell ref="H109:H111"/>
    <mergeCell ref="I109:I111"/>
    <mergeCell ref="K109:K111"/>
    <mergeCell ref="AA112:AA114"/>
    <mergeCell ref="D115:D117"/>
    <mergeCell ref="E115:E117"/>
    <mergeCell ref="F115:F117"/>
    <mergeCell ref="G115:G117"/>
    <mergeCell ref="H115:H117"/>
    <mergeCell ref="R112:R114"/>
    <mergeCell ref="N112:N114"/>
    <mergeCell ref="O112:O114"/>
    <mergeCell ref="Q112:Q114"/>
    <mergeCell ref="Z115:Z117"/>
    <mergeCell ref="AA115:AA117"/>
    <mergeCell ref="W112:W114"/>
    <mergeCell ref="W115:W117"/>
    <mergeCell ref="AA118:AA120"/>
    <mergeCell ref="D121:D123"/>
    <mergeCell ref="E121:E123"/>
    <mergeCell ref="F121:F123"/>
    <mergeCell ref="G121:G123"/>
    <mergeCell ref="H121:H123"/>
    <mergeCell ref="I121:I123"/>
    <mergeCell ref="K121:K123"/>
    <mergeCell ref="L121:L123"/>
    <mergeCell ref="M121:M123"/>
    <mergeCell ref="S118:S120"/>
    <mergeCell ref="X118:X120"/>
    <mergeCell ref="Z118:Z120"/>
    <mergeCell ref="R118:R120"/>
    <mergeCell ref="L118:L120"/>
    <mergeCell ref="M118:M120"/>
    <mergeCell ref="N118:N120"/>
    <mergeCell ref="O118:O120"/>
    <mergeCell ref="Q118:Q120"/>
    <mergeCell ref="P118:P120"/>
    <mergeCell ref="D118:D120"/>
    <mergeCell ref="E118:E120"/>
    <mergeCell ref="F118:F120"/>
    <mergeCell ref="G118:G120"/>
    <mergeCell ref="H118:H120"/>
    <mergeCell ref="I118:I120"/>
    <mergeCell ref="K118:K120"/>
    <mergeCell ref="U124:U126"/>
    <mergeCell ref="Q124:Q126"/>
    <mergeCell ref="R124:R126"/>
    <mergeCell ref="I124:I126"/>
    <mergeCell ref="K124:K126"/>
    <mergeCell ref="L124:L126"/>
    <mergeCell ref="M124:M126"/>
    <mergeCell ref="N124:N126"/>
    <mergeCell ref="O124:O126"/>
    <mergeCell ref="U118:U120"/>
    <mergeCell ref="T118:T120"/>
    <mergeCell ref="T121:T123"/>
    <mergeCell ref="T124:T126"/>
    <mergeCell ref="Z121:Z123"/>
    <mergeCell ref="AA121:AA123"/>
    <mergeCell ref="D124:D126"/>
    <mergeCell ref="E124:E126"/>
    <mergeCell ref="F124:F126"/>
    <mergeCell ref="G124:G126"/>
    <mergeCell ref="H124:H126"/>
    <mergeCell ref="R121:R123"/>
    <mergeCell ref="N121:N123"/>
    <mergeCell ref="O121:O123"/>
    <mergeCell ref="Q121:Q123"/>
    <mergeCell ref="P121:P123"/>
    <mergeCell ref="Z124:Z126"/>
    <mergeCell ref="AA124:AA126"/>
    <mergeCell ref="U121:U123"/>
    <mergeCell ref="AA127:AA129"/>
    <mergeCell ref="D130:D132"/>
    <mergeCell ref="E130:E132"/>
    <mergeCell ref="F130:F132"/>
    <mergeCell ref="G130:G132"/>
    <mergeCell ref="H130:H132"/>
    <mergeCell ref="I130:I132"/>
    <mergeCell ref="K130:K132"/>
    <mergeCell ref="L130:L132"/>
    <mergeCell ref="M130:M132"/>
    <mergeCell ref="S127:S129"/>
    <mergeCell ref="T127:T129"/>
    <mergeCell ref="X127:X129"/>
    <mergeCell ref="Z127:Z129"/>
    <mergeCell ref="R127:R129"/>
    <mergeCell ref="L127:L129"/>
    <mergeCell ref="M127:M129"/>
    <mergeCell ref="N136:N138"/>
    <mergeCell ref="O136:O138"/>
    <mergeCell ref="Z139:Z141"/>
    <mergeCell ref="Q127:Q129"/>
    <mergeCell ref="Z130:Z132"/>
    <mergeCell ref="D127:D129"/>
    <mergeCell ref="E127:E129"/>
    <mergeCell ref="F127:F129"/>
    <mergeCell ref="G127:G129"/>
    <mergeCell ref="H127:H129"/>
    <mergeCell ref="I127:I129"/>
    <mergeCell ref="K127:K129"/>
    <mergeCell ref="U133:U135"/>
    <mergeCell ref="Q133:Q135"/>
    <mergeCell ref="R133:R135"/>
    <mergeCell ref="I133:I135"/>
    <mergeCell ref="K133:K135"/>
    <mergeCell ref="L133:L135"/>
    <mergeCell ref="M133:M135"/>
    <mergeCell ref="N133:N135"/>
    <mergeCell ref="O133:O135"/>
    <mergeCell ref="N142:N144"/>
    <mergeCell ref="O142:O144"/>
    <mergeCell ref="T145:T147"/>
    <mergeCell ref="AA130:AA132"/>
    <mergeCell ref="D133:D135"/>
    <mergeCell ref="E133:E135"/>
    <mergeCell ref="F133:F135"/>
    <mergeCell ref="G133:G135"/>
    <mergeCell ref="H133:H135"/>
    <mergeCell ref="R130:R132"/>
    <mergeCell ref="N130:N132"/>
    <mergeCell ref="O130:O132"/>
    <mergeCell ref="Q130:Q132"/>
    <mergeCell ref="Z133:Z135"/>
    <mergeCell ref="AA133:AA135"/>
    <mergeCell ref="T130:T132"/>
    <mergeCell ref="AA136:AA138"/>
    <mergeCell ref="D139:D141"/>
    <mergeCell ref="E139:E141"/>
    <mergeCell ref="F139:F141"/>
    <mergeCell ref="G139:G141"/>
    <mergeCell ref="H139:H141"/>
    <mergeCell ref="I139:I141"/>
    <mergeCell ref="K139:K141"/>
    <mergeCell ref="L139:L141"/>
    <mergeCell ref="M139:M141"/>
    <mergeCell ref="S136:S138"/>
    <mergeCell ref="X136:X138"/>
    <mergeCell ref="Z136:Z138"/>
    <mergeCell ref="R136:R138"/>
    <mergeCell ref="L136:L138"/>
    <mergeCell ref="M136:M138"/>
    <mergeCell ref="E145:E147"/>
    <mergeCell ref="F145:F147"/>
    <mergeCell ref="T136:T138"/>
    <mergeCell ref="AA139:AA141"/>
    <mergeCell ref="D142:D144"/>
    <mergeCell ref="E142:E144"/>
    <mergeCell ref="F142:F144"/>
    <mergeCell ref="G142:G144"/>
    <mergeCell ref="H142:H144"/>
    <mergeCell ref="R139:R141"/>
    <mergeCell ref="N139:N141"/>
    <mergeCell ref="O139:O141"/>
    <mergeCell ref="Q139:Q141"/>
    <mergeCell ref="Z142:Z144"/>
    <mergeCell ref="AA142:AA144"/>
    <mergeCell ref="T139:T141"/>
    <mergeCell ref="D136:D138"/>
    <mergeCell ref="E136:E138"/>
    <mergeCell ref="F136:F138"/>
    <mergeCell ref="G136:G138"/>
    <mergeCell ref="H136:H138"/>
    <mergeCell ref="I136:I138"/>
    <mergeCell ref="K136:K138"/>
    <mergeCell ref="H145:H147"/>
    <mergeCell ref="I145:I147"/>
    <mergeCell ref="K145:K147"/>
    <mergeCell ref="U142:U144"/>
    <mergeCell ref="Q142:Q144"/>
    <mergeCell ref="R142:R144"/>
    <mergeCell ref="I142:I144"/>
    <mergeCell ref="K142:K144"/>
    <mergeCell ref="L142:L144"/>
    <mergeCell ref="G151:G153"/>
    <mergeCell ref="H151:H153"/>
    <mergeCell ref="I151:I153"/>
    <mergeCell ref="U148:U150"/>
    <mergeCell ref="Z148:Z150"/>
    <mergeCell ref="Z151:Z153"/>
    <mergeCell ref="Y151:Y153"/>
    <mergeCell ref="AA148:AA150"/>
    <mergeCell ref="N149:N150"/>
    <mergeCell ref="AA145:AA147"/>
    <mergeCell ref="D148:D150"/>
    <mergeCell ref="E148:E150"/>
    <mergeCell ref="G148:G150"/>
    <mergeCell ref="H148:H150"/>
    <mergeCell ref="I148:I150"/>
    <mergeCell ref="K148:K150"/>
    <mergeCell ref="L148:L150"/>
    <mergeCell ref="M148:M150"/>
    <mergeCell ref="O148:O150"/>
    <mergeCell ref="S145:S147"/>
    <mergeCell ref="G145:G147"/>
    <mergeCell ref="O145:O147"/>
    <mergeCell ref="Y145:Y147"/>
    <mergeCell ref="Y148:Y150"/>
    <mergeCell ref="X145:X147"/>
    <mergeCell ref="Z145:Z147"/>
    <mergeCell ref="U145:U147"/>
    <mergeCell ref="R145:R147"/>
    <mergeCell ref="L145:L147"/>
    <mergeCell ref="M145:M147"/>
    <mergeCell ref="N145:N147"/>
    <mergeCell ref="D145:D147"/>
    <mergeCell ref="Y154:Y156"/>
    <mergeCell ref="Y157:Y159"/>
    <mergeCell ref="AA154:AA156"/>
    <mergeCell ref="U154:U156"/>
    <mergeCell ref="R154:R156"/>
    <mergeCell ref="M154:M156"/>
    <mergeCell ref="N154:N156"/>
    <mergeCell ref="O154:O156"/>
    <mergeCell ref="Q154:Q156"/>
    <mergeCell ref="AA151:AA153"/>
    <mergeCell ref="D154:D156"/>
    <mergeCell ref="E154:E156"/>
    <mergeCell ref="F154:F156"/>
    <mergeCell ref="G154:G156"/>
    <mergeCell ref="H154:H156"/>
    <mergeCell ref="I154:I156"/>
    <mergeCell ref="K154:K156"/>
    <mergeCell ref="L154:L156"/>
    <mergeCell ref="S151:S153"/>
    <mergeCell ref="T151:T153"/>
    <mergeCell ref="X151:X153"/>
    <mergeCell ref="U151:U153"/>
    <mergeCell ref="R151:R153"/>
    <mergeCell ref="K151:K153"/>
    <mergeCell ref="L151:L153"/>
    <mergeCell ref="M151:M153"/>
    <mergeCell ref="N151:N153"/>
    <mergeCell ref="O151:O153"/>
    <mergeCell ref="D151:D153"/>
    <mergeCell ref="Z154:Z156"/>
    <mergeCell ref="E151:E153"/>
    <mergeCell ref="F151:F153"/>
    <mergeCell ref="Z157:Z159"/>
    <mergeCell ref="AA157:AA159"/>
    <mergeCell ref="D160:D162"/>
    <mergeCell ref="E160:E162"/>
    <mergeCell ref="F160:F162"/>
    <mergeCell ref="G160:G162"/>
    <mergeCell ref="H160:H162"/>
    <mergeCell ref="I160:I162"/>
    <mergeCell ref="K160:K162"/>
    <mergeCell ref="L160:L162"/>
    <mergeCell ref="S157:S159"/>
    <mergeCell ref="T157:T159"/>
    <mergeCell ref="X157:X159"/>
    <mergeCell ref="U157:U159"/>
    <mergeCell ref="W157:W159"/>
    <mergeCell ref="R157:R159"/>
    <mergeCell ref="K157:K159"/>
    <mergeCell ref="L157:L159"/>
    <mergeCell ref="M157:M159"/>
    <mergeCell ref="N157:N159"/>
    <mergeCell ref="D157:D159"/>
    <mergeCell ref="E157:E159"/>
    <mergeCell ref="F157:F159"/>
    <mergeCell ref="G157:G159"/>
    <mergeCell ref="H157:H159"/>
    <mergeCell ref="I157:I159"/>
    <mergeCell ref="O157:O159"/>
    <mergeCell ref="Z163:Z167"/>
    <mergeCell ref="AA163:AA167"/>
    <mergeCell ref="P163:P167"/>
    <mergeCell ref="U163:U167"/>
    <mergeCell ref="D163:D167"/>
    <mergeCell ref="E163:E167"/>
    <mergeCell ref="G163:G167"/>
    <mergeCell ref="H163:H167"/>
    <mergeCell ref="I163:I167"/>
    <mergeCell ref="K163:K167"/>
    <mergeCell ref="W163:W167"/>
    <mergeCell ref="Y163:Y167"/>
    <mergeCell ref="Z160:Z162"/>
    <mergeCell ref="AA160:AA162"/>
    <mergeCell ref="U160:U162"/>
    <mergeCell ref="W160:W162"/>
    <mergeCell ref="R160:R162"/>
    <mergeCell ref="M160:M162"/>
    <mergeCell ref="N160:N162"/>
    <mergeCell ref="O160:O162"/>
    <mergeCell ref="Q160:Q162"/>
    <mergeCell ref="P160:P162"/>
    <mergeCell ref="Y160:Y162"/>
    <mergeCell ref="L163:L167"/>
    <mergeCell ref="M163:M167"/>
    <mergeCell ref="O163:O167"/>
    <mergeCell ref="B171:B176"/>
    <mergeCell ref="D171:D176"/>
    <mergeCell ref="E171:E176"/>
    <mergeCell ref="G171:G176"/>
    <mergeCell ref="H171:H176"/>
    <mergeCell ref="I171:I176"/>
    <mergeCell ref="Z168:Z170"/>
    <mergeCell ref="AA168:AA170"/>
    <mergeCell ref="P168:P170"/>
    <mergeCell ref="S168:S170"/>
    <mergeCell ref="T168:T170"/>
    <mergeCell ref="D168:D170"/>
    <mergeCell ref="E168:E170"/>
    <mergeCell ref="G168:G170"/>
    <mergeCell ref="H168:H170"/>
    <mergeCell ref="I168:I170"/>
    <mergeCell ref="K168:K170"/>
    <mergeCell ref="W168:W170"/>
    <mergeCell ref="Y168:Y170"/>
    <mergeCell ref="J171:J176"/>
    <mergeCell ref="K171:K176"/>
    <mergeCell ref="L171:L176"/>
    <mergeCell ref="M171:M176"/>
    <mergeCell ref="O171:O176"/>
    <mergeCell ref="L168:L170"/>
    <mergeCell ref="M168:M170"/>
    <mergeCell ref="O168:O170"/>
    <mergeCell ref="M101:M105"/>
    <mergeCell ref="O101:O105"/>
    <mergeCell ref="P171:P176"/>
    <mergeCell ref="Q171:Q176"/>
    <mergeCell ref="Q101:Q105"/>
    <mergeCell ref="Q148:Q150"/>
    <mergeCell ref="Q151:Q153"/>
    <mergeCell ref="Q157:Q159"/>
    <mergeCell ref="Q163:Q167"/>
    <mergeCell ref="Q168:Q170"/>
    <mergeCell ref="P142:P144"/>
    <mergeCell ref="P145:P147"/>
    <mergeCell ref="P148:P150"/>
    <mergeCell ref="P151:P153"/>
    <mergeCell ref="P154:P156"/>
    <mergeCell ref="P157:P159"/>
    <mergeCell ref="P124:P126"/>
    <mergeCell ref="P127:P129"/>
    <mergeCell ref="P130:P132"/>
    <mergeCell ref="P133:P135"/>
    <mergeCell ref="P136:P138"/>
    <mergeCell ref="P139:P141"/>
    <mergeCell ref="Q145:Q147"/>
    <mergeCell ref="P101:P105"/>
    <mergeCell ref="P106:P108"/>
    <mergeCell ref="P109:P111"/>
    <mergeCell ref="P112:P114"/>
    <mergeCell ref="P115:P117"/>
    <mergeCell ref="Q136:Q138"/>
    <mergeCell ref="N127:N129"/>
    <mergeCell ref="O127:O129"/>
    <mergeCell ref="M142:M144"/>
    <mergeCell ref="S97:S100"/>
    <mergeCell ref="S101:S105"/>
    <mergeCell ref="S106:S108"/>
    <mergeCell ref="S124:S126"/>
    <mergeCell ref="S133:S135"/>
    <mergeCell ref="S142:S144"/>
    <mergeCell ref="S148:S150"/>
    <mergeCell ref="S163:S167"/>
    <mergeCell ref="S115:S117"/>
    <mergeCell ref="S160:S162"/>
    <mergeCell ref="S139:S141"/>
    <mergeCell ref="S130:S132"/>
    <mergeCell ref="S121:S123"/>
    <mergeCell ref="S112:S114"/>
    <mergeCell ref="S171:S176"/>
    <mergeCell ref="R101:R105"/>
    <mergeCell ref="R148:R150"/>
    <mergeCell ref="R163:R167"/>
    <mergeCell ref="R168:R170"/>
    <mergeCell ref="R171:R176"/>
    <mergeCell ref="S154:S156"/>
    <mergeCell ref="T154:T156"/>
    <mergeCell ref="T171:T176"/>
    <mergeCell ref="T101:T105"/>
    <mergeCell ref="T133:T135"/>
    <mergeCell ref="T142:T144"/>
    <mergeCell ref="T148:T150"/>
    <mergeCell ref="T163:T167"/>
    <mergeCell ref="T160:T162"/>
    <mergeCell ref="T106:T108"/>
    <mergeCell ref="T112:T114"/>
    <mergeCell ref="X163:X167"/>
    <mergeCell ref="X168:X170"/>
    <mergeCell ref="X171:X176"/>
    <mergeCell ref="U127:U129"/>
    <mergeCell ref="U130:U132"/>
    <mergeCell ref="U136:U138"/>
    <mergeCell ref="U139:U141"/>
    <mergeCell ref="X160:X162"/>
    <mergeCell ref="X154:X156"/>
    <mergeCell ref="X142:X144"/>
    <mergeCell ref="X139:X141"/>
    <mergeCell ref="X133:X135"/>
    <mergeCell ref="X130:X132"/>
    <mergeCell ref="X124:X126"/>
    <mergeCell ref="X121:X123"/>
    <mergeCell ref="X115:X117"/>
    <mergeCell ref="U168:U170"/>
    <mergeCell ref="U171:U176"/>
    <mergeCell ref="W171:W176"/>
    <mergeCell ref="V148:V150"/>
    <mergeCell ref="X109:X111"/>
    <mergeCell ref="X148:X150"/>
    <mergeCell ref="O1:Q1"/>
    <mergeCell ref="R1:S1"/>
    <mergeCell ref="W139:W141"/>
    <mergeCell ref="W142:W144"/>
    <mergeCell ref="W145:W147"/>
    <mergeCell ref="W148:W150"/>
    <mergeCell ref="W151:W153"/>
    <mergeCell ref="W154:W156"/>
    <mergeCell ref="W121:W123"/>
    <mergeCell ref="W124:W126"/>
    <mergeCell ref="W127:W129"/>
    <mergeCell ref="W130:W132"/>
    <mergeCell ref="W133:W135"/>
    <mergeCell ref="W136:W138"/>
    <mergeCell ref="W94:W96"/>
    <mergeCell ref="W97:W100"/>
    <mergeCell ref="W101:W105"/>
    <mergeCell ref="W106:W108"/>
    <mergeCell ref="W109:W111"/>
    <mergeCell ref="T97:T100"/>
    <mergeCell ref="W118:W120"/>
    <mergeCell ref="V151:V153"/>
    <mergeCell ref="V154:V156"/>
    <mergeCell ref="U94:U96"/>
    <mergeCell ref="U101:U105"/>
    <mergeCell ref="V88:V90"/>
    <mergeCell ref="W88:W90"/>
    <mergeCell ref="P79:P81"/>
    <mergeCell ref="Q79:Q81"/>
    <mergeCell ref="R79:R81"/>
    <mergeCell ref="S79:S81"/>
    <mergeCell ref="S46:S48"/>
    <mergeCell ref="V94:V96"/>
    <mergeCell ref="V97:V100"/>
    <mergeCell ref="V101:V105"/>
    <mergeCell ref="V106:V108"/>
    <mergeCell ref="V109:V111"/>
    <mergeCell ref="V112:V114"/>
    <mergeCell ref="V115:V117"/>
    <mergeCell ref="V118:V120"/>
    <mergeCell ref="V121:V123"/>
    <mergeCell ref="V124:V126"/>
    <mergeCell ref="V127:V129"/>
    <mergeCell ref="V130:V132"/>
    <mergeCell ref="V133:V135"/>
    <mergeCell ref="V136:V138"/>
    <mergeCell ref="V139:V141"/>
    <mergeCell ref="V142:V144"/>
    <mergeCell ref="V145:V147"/>
    <mergeCell ref="N91:N93"/>
    <mergeCell ref="O91:O93"/>
    <mergeCell ref="P91:P93"/>
    <mergeCell ref="Q91:Q93"/>
    <mergeCell ref="R91:R93"/>
    <mergeCell ref="S91:S93"/>
    <mergeCell ref="Y91:Y93"/>
    <mergeCell ref="T91:T93"/>
    <mergeCell ref="U91:U93"/>
    <mergeCell ref="V91:V93"/>
    <mergeCell ref="Y171:Y176"/>
    <mergeCell ref="V157:V159"/>
    <mergeCell ref="V160:V162"/>
    <mergeCell ref="V163:V167"/>
    <mergeCell ref="V168:V170"/>
    <mergeCell ref="V171:V176"/>
    <mergeCell ref="Y94:Y96"/>
    <mergeCell ref="Y97:Y100"/>
    <mergeCell ref="Y101:Y105"/>
    <mergeCell ref="Y106:Y108"/>
    <mergeCell ref="Y109:Y111"/>
    <mergeCell ref="Y112:Y114"/>
    <mergeCell ref="Y115:Y117"/>
    <mergeCell ref="Y118:Y120"/>
    <mergeCell ref="Y121:Y123"/>
    <mergeCell ref="Y124:Y126"/>
    <mergeCell ref="Y127:Y129"/>
    <mergeCell ref="Y130:Y132"/>
    <mergeCell ref="Y133:Y135"/>
    <mergeCell ref="Y136:Y138"/>
    <mergeCell ref="Y139:Y141"/>
    <mergeCell ref="Y142:Y144"/>
    <mergeCell ref="Y85:Y87"/>
    <mergeCell ref="T85:T87"/>
    <mergeCell ref="U85:U87"/>
    <mergeCell ref="W91:W93"/>
    <mergeCell ref="X91:X93"/>
    <mergeCell ref="D88:D90"/>
    <mergeCell ref="E88:E90"/>
    <mergeCell ref="F88:F90"/>
    <mergeCell ref="G88:G90"/>
    <mergeCell ref="H88:H90"/>
    <mergeCell ref="I88:I90"/>
    <mergeCell ref="K88:K90"/>
    <mergeCell ref="L88:L90"/>
    <mergeCell ref="M88:M90"/>
    <mergeCell ref="N88:N90"/>
    <mergeCell ref="O88:O90"/>
    <mergeCell ref="P88:P90"/>
    <mergeCell ref="Q88:Q90"/>
    <mergeCell ref="R88:R90"/>
    <mergeCell ref="S88:S90"/>
    <mergeCell ref="Y88:Y90"/>
    <mergeCell ref="T88:T90"/>
    <mergeCell ref="U88:U90"/>
    <mergeCell ref="D91:D93"/>
    <mergeCell ref="E91:E93"/>
    <mergeCell ref="F91:F93"/>
    <mergeCell ref="G91:G93"/>
    <mergeCell ref="H91:H93"/>
    <mergeCell ref="I91:I93"/>
    <mergeCell ref="K91:K93"/>
    <mergeCell ref="L91:L93"/>
    <mergeCell ref="M91:M93"/>
    <mergeCell ref="X88:X90"/>
    <mergeCell ref="D85:D87"/>
    <mergeCell ref="E85:E87"/>
    <mergeCell ref="F85:F87"/>
    <mergeCell ref="G85:G87"/>
    <mergeCell ref="H85:H87"/>
    <mergeCell ref="I85:I87"/>
    <mergeCell ref="K85:K87"/>
    <mergeCell ref="L85:L87"/>
    <mergeCell ref="M85:M87"/>
    <mergeCell ref="N85:N87"/>
    <mergeCell ref="O85:O87"/>
    <mergeCell ref="P85:P87"/>
    <mergeCell ref="Q85:Q87"/>
    <mergeCell ref="R85:R87"/>
    <mergeCell ref="S85:S87"/>
    <mergeCell ref="V85:V87"/>
    <mergeCell ref="W85:W87"/>
    <mergeCell ref="X85:X87"/>
    <mergeCell ref="D82:D84"/>
    <mergeCell ref="E82:E84"/>
    <mergeCell ref="F82:F84"/>
    <mergeCell ref="G82:G84"/>
    <mergeCell ref="H82:H84"/>
    <mergeCell ref="I82:I84"/>
    <mergeCell ref="K82:K84"/>
    <mergeCell ref="L82:L84"/>
    <mergeCell ref="M82:M84"/>
    <mergeCell ref="N82:N84"/>
    <mergeCell ref="O82:O84"/>
    <mergeCell ref="P82:P84"/>
    <mergeCell ref="Q82:Q84"/>
    <mergeCell ref="R82:R84"/>
    <mergeCell ref="S82:S84"/>
    <mergeCell ref="T82:T84"/>
    <mergeCell ref="Y76:Y78"/>
    <mergeCell ref="U82:U84"/>
    <mergeCell ref="V82:V84"/>
    <mergeCell ref="W82:W84"/>
    <mergeCell ref="X82:X84"/>
    <mergeCell ref="D79:D81"/>
    <mergeCell ref="E79:E81"/>
    <mergeCell ref="F79:F81"/>
    <mergeCell ref="G79:G81"/>
    <mergeCell ref="H79:H81"/>
    <mergeCell ref="I79:I81"/>
    <mergeCell ref="K79:K81"/>
    <mergeCell ref="L79:L81"/>
    <mergeCell ref="M79:M81"/>
    <mergeCell ref="N79:N81"/>
    <mergeCell ref="O79:O81"/>
    <mergeCell ref="Y67:Y69"/>
    <mergeCell ref="T67:T69"/>
    <mergeCell ref="U67:U69"/>
    <mergeCell ref="V67:V69"/>
    <mergeCell ref="W67:W69"/>
    <mergeCell ref="D76:D78"/>
    <mergeCell ref="E76:E78"/>
    <mergeCell ref="F76:F78"/>
    <mergeCell ref="G76:G78"/>
    <mergeCell ref="H76:H78"/>
    <mergeCell ref="I76:I78"/>
    <mergeCell ref="K76:K78"/>
    <mergeCell ref="L76:L78"/>
    <mergeCell ref="M76:M78"/>
    <mergeCell ref="N76:N78"/>
    <mergeCell ref="O76:O78"/>
    <mergeCell ref="P76:P78"/>
    <mergeCell ref="Q76:Q78"/>
    <mergeCell ref="R76:R78"/>
    <mergeCell ref="S76:S78"/>
    <mergeCell ref="T76:T78"/>
    <mergeCell ref="U76:U78"/>
    <mergeCell ref="S70:S72"/>
    <mergeCell ref="Y79:Y81"/>
    <mergeCell ref="Y82:Y84"/>
    <mergeCell ref="T79:T81"/>
    <mergeCell ref="U79:U81"/>
    <mergeCell ref="V79:V81"/>
    <mergeCell ref="W79:W81"/>
    <mergeCell ref="X79:X81"/>
    <mergeCell ref="V76:V78"/>
    <mergeCell ref="W76:W78"/>
    <mergeCell ref="X76:X78"/>
    <mergeCell ref="Y70:Y72"/>
    <mergeCell ref="T70:T72"/>
    <mergeCell ref="U70:U72"/>
    <mergeCell ref="V70:V72"/>
    <mergeCell ref="W70:W72"/>
    <mergeCell ref="X70:X72"/>
    <mergeCell ref="Y73:Y75"/>
    <mergeCell ref="T73:T75"/>
    <mergeCell ref="U73:U75"/>
    <mergeCell ref="V73:V75"/>
    <mergeCell ref="W73:W75"/>
    <mergeCell ref="X73:X75"/>
    <mergeCell ref="S73:S75"/>
    <mergeCell ref="D70:D72"/>
    <mergeCell ref="E70:E72"/>
    <mergeCell ref="F70:F72"/>
    <mergeCell ref="G70:G72"/>
    <mergeCell ref="H70:H72"/>
    <mergeCell ref="I70:I72"/>
    <mergeCell ref="K70:K72"/>
    <mergeCell ref="L70:L72"/>
    <mergeCell ref="M70:M72"/>
    <mergeCell ref="N70:N72"/>
    <mergeCell ref="O70:O72"/>
    <mergeCell ref="P70:P72"/>
    <mergeCell ref="Q70:Q72"/>
    <mergeCell ref="R70:R72"/>
    <mergeCell ref="D73:D75"/>
    <mergeCell ref="E73:E75"/>
    <mergeCell ref="F73:F75"/>
    <mergeCell ref="G73:G75"/>
    <mergeCell ref="H73:H75"/>
    <mergeCell ref="I73:I75"/>
    <mergeCell ref="K73:K75"/>
    <mergeCell ref="L73:L75"/>
    <mergeCell ref="M73:M75"/>
    <mergeCell ref="N73:N75"/>
    <mergeCell ref="O73:O75"/>
    <mergeCell ref="P73:P75"/>
    <mergeCell ref="Q73:Q75"/>
    <mergeCell ref="R73:R75"/>
    <mergeCell ref="X67:X69"/>
    <mergeCell ref="D64:D66"/>
    <mergeCell ref="E64:E66"/>
    <mergeCell ref="F64:F66"/>
    <mergeCell ref="G64:G66"/>
    <mergeCell ref="H64:H66"/>
    <mergeCell ref="I64:I66"/>
    <mergeCell ref="K64:K66"/>
    <mergeCell ref="L64:L66"/>
    <mergeCell ref="M64:M66"/>
    <mergeCell ref="N64:N66"/>
    <mergeCell ref="O64:O66"/>
    <mergeCell ref="P64:P66"/>
    <mergeCell ref="Q64:Q66"/>
    <mergeCell ref="R64:R66"/>
    <mergeCell ref="D67:D69"/>
    <mergeCell ref="E67:E69"/>
    <mergeCell ref="F67:F69"/>
    <mergeCell ref="G67:G69"/>
    <mergeCell ref="H67:H69"/>
    <mergeCell ref="I67:I69"/>
    <mergeCell ref="K67:K69"/>
    <mergeCell ref="L67:L69"/>
    <mergeCell ref="M67:M69"/>
    <mergeCell ref="N67:N69"/>
    <mergeCell ref="O67:O69"/>
    <mergeCell ref="P67:P69"/>
    <mergeCell ref="Q67:Q69"/>
    <mergeCell ref="R67:R69"/>
    <mergeCell ref="S67:S69"/>
    <mergeCell ref="N61:N63"/>
    <mergeCell ref="O61:O63"/>
    <mergeCell ref="P61:P63"/>
    <mergeCell ref="Q61:Q63"/>
    <mergeCell ref="R61:R63"/>
    <mergeCell ref="S61:S63"/>
    <mergeCell ref="Y61:Y63"/>
    <mergeCell ref="D61:D63"/>
    <mergeCell ref="E61:E63"/>
    <mergeCell ref="F61:F63"/>
    <mergeCell ref="G61:G63"/>
    <mergeCell ref="H61:H63"/>
    <mergeCell ref="I61:I63"/>
    <mergeCell ref="K61:K63"/>
    <mergeCell ref="L61:L63"/>
    <mergeCell ref="M61:M63"/>
    <mergeCell ref="S64:S66"/>
    <mergeCell ref="Y64:Y66"/>
    <mergeCell ref="T64:T66"/>
    <mergeCell ref="U64:U66"/>
    <mergeCell ref="V64:V66"/>
    <mergeCell ref="W64:W66"/>
    <mergeCell ref="X64:X66"/>
    <mergeCell ref="T61:T63"/>
    <mergeCell ref="U61:U63"/>
    <mergeCell ref="V61:V63"/>
    <mergeCell ref="W61:W63"/>
    <mergeCell ref="X61:X63"/>
    <mergeCell ref="D55:D57"/>
    <mergeCell ref="E55:E57"/>
    <mergeCell ref="F55:F57"/>
    <mergeCell ref="G55:G57"/>
    <mergeCell ref="H55:H57"/>
    <mergeCell ref="I55:I57"/>
    <mergeCell ref="K55:K57"/>
    <mergeCell ref="L55:L57"/>
    <mergeCell ref="M55:M57"/>
    <mergeCell ref="N55:N57"/>
    <mergeCell ref="O55:O57"/>
    <mergeCell ref="P55:P57"/>
    <mergeCell ref="Q55:Q57"/>
    <mergeCell ref="R55:R57"/>
    <mergeCell ref="D58:D60"/>
    <mergeCell ref="E58:E60"/>
    <mergeCell ref="F58:F60"/>
    <mergeCell ref="G58:G60"/>
    <mergeCell ref="H58:H60"/>
    <mergeCell ref="I58:I60"/>
    <mergeCell ref="K58:K60"/>
    <mergeCell ref="L58:L60"/>
    <mergeCell ref="M58:M60"/>
    <mergeCell ref="N58:N60"/>
    <mergeCell ref="O58:O60"/>
    <mergeCell ref="P58:P60"/>
    <mergeCell ref="Q58:Q60"/>
    <mergeCell ref="R58:R60"/>
    <mergeCell ref="S55:S57"/>
    <mergeCell ref="Y55:Y57"/>
    <mergeCell ref="T55:T57"/>
    <mergeCell ref="U55:U57"/>
    <mergeCell ref="V55:V57"/>
    <mergeCell ref="W55:W57"/>
    <mergeCell ref="X55:X57"/>
    <mergeCell ref="T52:T54"/>
    <mergeCell ref="U52:U54"/>
    <mergeCell ref="V52:V54"/>
    <mergeCell ref="W52:W54"/>
    <mergeCell ref="X52:X54"/>
    <mergeCell ref="Y58:Y60"/>
    <mergeCell ref="T58:T60"/>
    <mergeCell ref="U58:U60"/>
    <mergeCell ref="V58:V60"/>
    <mergeCell ref="W58:W60"/>
    <mergeCell ref="X58:X60"/>
    <mergeCell ref="S58:S60"/>
    <mergeCell ref="K49:K51"/>
    <mergeCell ref="L49:L51"/>
    <mergeCell ref="M49:M51"/>
    <mergeCell ref="N49:N51"/>
    <mergeCell ref="O49:O51"/>
    <mergeCell ref="P49:P51"/>
    <mergeCell ref="Q49:Q51"/>
    <mergeCell ref="R49:R51"/>
    <mergeCell ref="S49:S51"/>
    <mergeCell ref="N52:N54"/>
    <mergeCell ref="O52:O54"/>
    <mergeCell ref="P52:P54"/>
    <mergeCell ref="Q52:Q54"/>
    <mergeCell ref="R52:R54"/>
    <mergeCell ref="S52:S54"/>
    <mergeCell ref="Y52:Y54"/>
    <mergeCell ref="D52:D54"/>
    <mergeCell ref="E52:E54"/>
    <mergeCell ref="F52:F54"/>
    <mergeCell ref="G52:G54"/>
    <mergeCell ref="H52:H54"/>
    <mergeCell ref="I52:I54"/>
    <mergeCell ref="K52:K54"/>
    <mergeCell ref="L52:L54"/>
    <mergeCell ref="M52:M54"/>
    <mergeCell ref="Y46:Y48"/>
    <mergeCell ref="T46:T48"/>
    <mergeCell ref="U46:U48"/>
    <mergeCell ref="V46:V48"/>
    <mergeCell ref="W46:W48"/>
    <mergeCell ref="X46:X48"/>
    <mergeCell ref="Y49:Y51"/>
    <mergeCell ref="T49:T51"/>
    <mergeCell ref="U49:U51"/>
    <mergeCell ref="V49:V51"/>
    <mergeCell ref="W49:W51"/>
    <mergeCell ref="X49:X51"/>
    <mergeCell ref="D46:D48"/>
    <mergeCell ref="E46:E48"/>
    <mergeCell ref="F46:F48"/>
    <mergeCell ref="G46:G48"/>
    <mergeCell ref="H46:H48"/>
    <mergeCell ref="I46:I48"/>
    <mergeCell ref="K46:K48"/>
    <mergeCell ref="L46:L48"/>
    <mergeCell ref="M46:M48"/>
    <mergeCell ref="N46:N48"/>
    <mergeCell ref="O46:O48"/>
    <mergeCell ref="P46:P48"/>
    <mergeCell ref="Q46:Q48"/>
    <mergeCell ref="R46:R48"/>
    <mergeCell ref="D49:D51"/>
    <mergeCell ref="E49:E51"/>
    <mergeCell ref="F49:F51"/>
    <mergeCell ref="G49:G51"/>
    <mergeCell ref="H49:H51"/>
    <mergeCell ref="I49:I51"/>
    <mergeCell ref="Y37:Y39"/>
    <mergeCell ref="D37:D39"/>
    <mergeCell ref="E37:E39"/>
    <mergeCell ref="F37:F39"/>
    <mergeCell ref="G37:G39"/>
    <mergeCell ref="H37:H39"/>
    <mergeCell ref="I37:I39"/>
    <mergeCell ref="K37:K39"/>
    <mergeCell ref="L37:L39"/>
    <mergeCell ref="M37:M39"/>
    <mergeCell ref="Y43:Y45"/>
    <mergeCell ref="T43:T45"/>
    <mergeCell ref="U43:U45"/>
    <mergeCell ref="V43:V45"/>
    <mergeCell ref="W43:W45"/>
    <mergeCell ref="X43:X45"/>
    <mergeCell ref="D43:D45"/>
    <mergeCell ref="E43:E45"/>
    <mergeCell ref="F43:F45"/>
    <mergeCell ref="G43:G45"/>
    <mergeCell ref="H43:H45"/>
    <mergeCell ref="I43:I45"/>
    <mergeCell ref="K43:K45"/>
    <mergeCell ref="L43:L45"/>
    <mergeCell ref="M43:M45"/>
    <mergeCell ref="N43:N45"/>
    <mergeCell ref="O43:O45"/>
    <mergeCell ref="P43:P45"/>
    <mergeCell ref="Q43:Q45"/>
    <mergeCell ref="R43:R45"/>
    <mergeCell ref="S43:S45"/>
    <mergeCell ref="T37:T39"/>
    <mergeCell ref="U37:U39"/>
    <mergeCell ref="V37:V39"/>
    <mergeCell ref="W37:W39"/>
    <mergeCell ref="X37:X39"/>
    <mergeCell ref="D34:D36"/>
    <mergeCell ref="E34:E36"/>
    <mergeCell ref="F34:F36"/>
    <mergeCell ref="G34:G36"/>
    <mergeCell ref="H34:H36"/>
    <mergeCell ref="I34:I36"/>
    <mergeCell ref="K34:K36"/>
    <mergeCell ref="L34:L36"/>
    <mergeCell ref="M34:M36"/>
    <mergeCell ref="N34:N36"/>
    <mergeCell ref="O34:O36"/>
    <mergeCell ref="P34:P36"/>
    <mergeCell ref="Q34:Q36"/>
    <mergeCell ref="R34:R36"/>
    <mergeCell ref="S34:S36"/>
    <mergeCell ref="N37:N39"/>
    <mergeCell ref="O37:O39"/>
    <mergeCell ref="P37:P39"/>
    <mergeCell ref="Q37:Q39"/>
    <mergeCell ref="R37:R39"/>
    <mergeCell ref="S37:S39"/>
    <mergeCell ref="Y34:Y36"/>
    <mergeCell ref="T34:T36"/>
    <mergeCell ref="U34:U36"/>
    <mergeCell ref="V34:V36"/>
    <mergeCell ref="W34:W36"/>
    <mergeCell ref="X34:X36"/>
    <mergeCell ref="D31:D33"/>
    <mergeCell ref="E31:E33"/>
    <mergeCell ref="F31:F33"/>
    <mergeCell ref="G31:G33"/>
    <mergeCell ref="H31:H33"/>
    <mergeCell ref="I31:I33"/>
    <mergeCell ref="K31:K33"/>
    <mergeCell ref="L31:L33"/>
    <mergeCell ref="M31:M33"/>
    <mergeCell ref="N31:N33"/>
    <mergeCell ref="O31:O33"/>
    <mergeCell ref="P31:P33"/>
    <mergeCell ref="Q31:Q33"/>
    <mergeCell ref="R31:R33"/>
    <mergeCell ref="N28:N30"/>
    <mergeCell ref="O28:O30"/>
    <mergeCell ref="P28:P30"/>
    <mergeCell ref="Q28:Q30"/>
    <mergeCell ref="R28:R30"/>
    <mergeCell ref="S28:S30"/>
    <mergeCell ref="Y28:Y30"/>
    <mergeCell ref="D28:D30"/>
    <mergeCell ref="E28:E30"/>
    <mergeCell ref="F28:F30"/>
    <mergeCell ref="G28:G30"/>
    <mergeCell ref="H28:H30"/>
    <mergeCell ref="I28:I30"/>
    <mergeCell ref="K28:K30"/>
    <mergeCell ref="L28:L30"/>
    <mergeCell ref="M28:M30"/>
    <mergeCell ref="S31:S33"/>
    <mergeCell ref="Y31:Y33"/>
    <mergeCell ref="T31:T33"/>
    <mergeCell ref="U31:U33"/>
    <mergeCell ref="V31:V33"/>
    <mergeCell ref="W31:W33"/>
    <mergeCell ref="X31:X33"/>
    <mergeCell ref="T28:T30"/>
    <mergeCell ref="U28:U30"/>
    <mergeCell ref="V28:V30"/>
    <mergeCell ref="W28:W30"/>
    <mergeCell ref="X28:X30"/>
    <mergeCell ref="D22:D24"/>
    <mergeCell ref="E22:E24"/>
    <mergeCell ref="F22:F24"/>
    <mergeCell ref="G22:G24"/>
    <mergeCell ref="H22:H24"/>
    <mergeCell ref="I22:I24"/>
    <mergeCell ref="K22:K24"/>
    <mergeCell ref="L22:L24"/>
    <mergeCell ref="M22:M24"/>
    <mergeCell ref="N22:N24"/>
    <mergeCell ref="O22:O24"/>
    <mergeCell ref="P22:P24"/>
    <mergeCell ref="Q22:Q24"/>
    <mergeCell ref="R22:R24"/>
    <mergeCell ref="D25:D27"/>
    <mergeCell ref="E25:E27"/>
    <mergeCell ref="F25:F27"/>
    <mergeCell ref="G25:G27"/>
    <mergeCell ref="H25:H27"/>
    <mergeCell ref="I25:I27"/>
    <mergeCell ref="K25:K27"/>
    <mergeCell ref="L25:L27"/>
    <mergeCell ref="M25:M27"/>
    <mergeCell ref="N25:N27"/>
    <mergeCell ref="O25:O27"/>
    <mergeCell ref="P25:P27"/>
    <mergeCell ref="Q25:Q27"/>
    <mergeCell ref="R25:R27"/>
    <mergeCell ref="S22:S24"/>
    <mergeCell ref="Y22:Y24"/>
    <mergeCell ref="T22:T24"/>
    <mergeCell ref="U22:U24"/>
    <mergeCell ref="V22:V24"/>
    <mergeCell ref="W22:W24"/>
    <mergeCell ref="X22:X24"/>
    <mergeCell ref="T19:T21"/>
    <mergeCell ref="U19:U21"/>
    <mergeCell ref="V19:V21"/>
    <mergeCell ref="W19:W21"/>
    <mergeCell ref="X19:X21"/>
    <mergeCell ref="Y25:Y27"/>
    <mergeCell ref="T25:T27"/>
    <mergeCell ref="U25:U27"/>
    <mergeCell ref="V25:V27"/>
    <mergeCell ref="W25:W27"/>
    <mergeCell ref="X25:X27"/>
    <mergeCell ref="S25:S27"/>
    <mergeCell ref="S16:S18"/>
    <mergeCell ref="N19:N21"/>
    <mergeCell ref="O19:O21"/>
    <mergeCell ref="P19:P21"/>
    <mergeCell ref="Q19:Q21"/>
    <mergeCell ref="R19:R21"/>
    <mergeCell ref="S19:S21"/>
    <mergeCell ref="Y19:Y21"/>
    <mergeCell ref="D19:D21"/>
    <mergeCell ref="E19:E21"/>
    <mergeCell ref="F19:F21"/>
    <mergeCell ref="G19:G21"/>
    <mergeCell ref="H19:H21"/>
    <mergeCell ref="I19:I21"/>
    <mergeCell ref="K19:K21"/>
    <mergeCell ref="L19:L21"/>
    <mergeCell ref="M19:M21"/>
    <mergeCell ref="Y16:Y18"/>
    <mergeCell ref="T16:T18"/>
    <mergeCell ref="U16:U18"/>
    <mergeCell ref="V16:V18"/>
    <mergeCell ref="W16:W18"/>
    <mergeCell ref="X16:X18"/>
    <mergeCell ref="H13:H15"/>
    <mergeCell ref="I13:I15"/>
    <mergeCell ref="K13:K15"/>
    <mergeCell ref="L13:L15"/>
    <mergeCell ref="M13:M15"/>
    <mergeCell ref="N13:N15"/>
    <mergeCell ref="O13:O15"/>
    <mergeCell ref="P13:P15"/>
    <mergeCell ref="Q13:Q15"/>
    <mergeCell ref="R13:R15"/>
    <mergeCell ref="D16:D18"/>
    <mergeCell ref="E16:E18"/>
    <mergeCell ref="F16:F18"/>
    <mergeCell ref="G16:G18"/>
    <mergeCell ref="H16:H18"/>
    <mergeCell ref="I16:I18"/>
    <mergeCell ref="K16:K18"/>
    <mergeCell ref="L16:L18"/>
    <mergeCell ref="M16:M18"/>
    <mergeCell ref="N16:N18"/>
    <mergeCell ref="O16:O18"/>
    <mergeCell ref="P16:P18"/>
    <mergeCell ref="Q16:Q18"/>
    <mergeCell ref="R16:R18"/>
    <mergeCell ref="N10:N12"/>
    <mergeCell ref="O10:O12"/>
    <mergeCell ref="P10:P12"/>
    <mergeCell ref="Q10:Q12"/>
    <mergeCell ref="R10:R12"/>
    <mergeCell ref="S10:S12"/>
    <mergeCell ref="Y10:Y12"/>
    <mergeCell ref="D10:D12"/>
    <mergeCell ref="E10:E12"/>
    <mergeCell ref="F10:F12"/>
    <mergeCell ref="G10:G12"/>
    <mergeCell ref="H10:H12"/>
    <mergeCell ref="I10:I12"/>
    <mergeCell ref="K10:K12"/>
    <mergeCell ref="L10:L12"/>
    <mergeCell ref="M10:M12"/>
    <mergeCell ref="S13:S15"/>
    <mergeCell ref="Y13:Y15"/>
    <mergeCell ref="T13:T15"/>
    <mergeCell ref="U13:U15"/>
    <mergeCell ref="V13:V15"/>
    <mergeCell ref="W13:W15"/>
    <mergeCell ref="X13:X15"/>
    <mergeCell ref="T10:T12"/>
    <mergeCell ref="U10:U12"/>
    <mergeCell ref="V10:V12"/>
    <mergeCell ref="W10:W12"/>
    <mergeCell ref="X10:X12"/>
    <mergeCell ref="D13:D15"/>
    <mergeCell ref="E13:E15"/>
    <mergeCell ref="F13:F15"/>
    <mergeCell ref="G13:G15"/>
    <mergeCell ref="V7:V9"/>
    <mergeCell ref="W7:W9"/>
    <mergeCell ref="X7:X9"/>
    <mergeCell ref="D4:D6"/>
    <mergeCell ref="E4:E6"/>
    <mergeCell ref="F4:F6"/>
    <mergeCell ref="G4:G6"/>
    <mergeCell ref="H4:H6"/>
    <mergeCell ref="I4:I6"/>
    <mergeCell ref="K4:K6"/>
    <mergeCell ref="L4:L6"/>
    <mergeCell ref="M4:M6"/>
    <mergeCell ref="N4:N6"/>
    <mergeCell ref="O4:O6"/>
    <mergeCell ref="P4:P6"/>
    <mergeCell ref="Q4:Q6"/>
    <mergeCell ref="R4:R6"/>
    <mergeCell ref="D7:D9"/>
    <mergeCell ref="E7:E9"/>
    <mergeCell ref="F7:F9"/>
    <mergeCell ref="G7:G9"/>
    <mergeCell ref="H7:H9"/>
    <mergeCell ref="I7:I9"/>
    <mergeCell ref="K7:K9"/>
    <mergeCell ref="L7:L9"/>
    <mergeCell ref="M7:M9"/>
    <mergeCell ref="N7:N9"/>
    <mergeCell ref="O7:O9"/>
    <mergeCell ref="P7:P9"/>
    <mergeCell ref="Q7:Q9"/>
    <mergeCell ref="R7:R9"/>
    <mergeCell ref="S7:S9"/>
    <mergeCell ref="T40:T42"/>
    <mergeCell ref="U40:U42"/>
    <mergeCell ref="V40:V42"/>
    <mergeCell ref="W40:W42"/>
    <mergeCell ref="X40:X42"/>
    <mergeCell ref="U1:V1"/>
    <mergeCell ref="N40:N42"/>
    <mergeCell ref="O40:O42"/>
    <mergeCell ref="P40:P42"/>
    <mergeCell ref="Q40:Q42"/>
    <mergeCell ref="R40:R42"/>
    <mergeCell ref="S40:S42"/>
    <mergeCell ref="Y40:Y42"/>
    <mergeCell ref="D40:D42"/>
    <mergeCell ref="E40:E42"/>
    <mergeCell ref="F40:F42"/>
    <mergeCell ref="G40:G42"/>
    <mergeCell ref="H40:H42"/>
    <mergeCell ref="I40:I42"/>
    <mergeCell ref="K40:K42"/>
    <mergeCell ref="L40:L42"/>
    <mergeCell ref="M40:M42"/>
    <mergeCell ref="S4:S6"/>
    <mergeCell ref="Y4:Y6"/>
    <mergeCell ref="T4:T6"/>
    <mergeCell ref="U4:U6"/>
    <mergeCell ref="V4:V6"/>
    <mergeCell ref="W4:W6"/>
    <mergeCell ref="X4:X6"/>
    <mergeCell ref="Y7:Y9"/>
    <mergeCell ref="T7:T9"/>
    <mergeCell ref="U7:U9"/>
  </mergeCells>
  <phoneticPr fontId="20"/>
  <hyperlinks>
    <hyperlink ref="AB145" r:id="rId1" xr:uid="{00000000-0004-0000-0600-000000000000}"/>
    <hyperlink ref="AB103" r:id="rId2" xr:uid="{00000000-0004-0000-0600-000001000000}"/>
    <hyperlink ref="AB107" r:id="rId3" xr:uid="{00000000-0004-0000-0600-000002000000}"/>
    <hyperlink ref="AB113" r:id="rId4" xr:uid="{00000000-0004-0000-0600-000003000000}"/>
    <hyperlink ref="AB116" r:id="rId5" xr:uid="{00000000-0004-0000-0600-000004000000}"/>
    <hyperlink ref="AB117" r:id="rId6" xr:uid="{00000000-0004-0000-0600-000005000000}"/>
    <hyperlink ref="AB119" r:id="rId7" xr:uid="{00000000-0004-0000-0600-000006000000}"/>
    <hyperlink ref="AB123" r:id="rId8" xr:uid="{00000000-0004-0000-0600-000007000000}"/>
    <hyperlink ref="AB134" r:id="rId9" xr:uid="{00000000-0004-0000-0600-000008000000}"/>
    <hyperlink ref="AB137" r:id="rId10" xr:uid="{00000000-0004-0000-0600-000009000000}"/>
    <hyperlink ref="AB138" r:id="rId11" display="http://www.fews.net/docs/Publications/Lives Lost, Lives Saved.pdf" xr:uid="{00000000-0004-0000-0600-00000A000000}"/>
    <hyperlink ref="AB139" r:id="rId12" xr:uid="{00000000-0004-0000-0600-00000B000000}"/>
    <hyperlink ref="AB142" r:id="rId13" xr:uid="{00000000-0004-0000-0600-00000C000000}"/>
    <hyperlink ref="AB143" r:id="rId14" xr:uid="{00000000-0004-0000-0600-00000D000000}"/>
    <hyperlink ref="AB146" r:id="rId15" display="http://onlinelibrary.wiley.com/doi/10.1111/j.0361-3666.2005.00286.x/pdf" xr:uid="{00000000-0004-0000-0600-00000E000000}"/>
    <hyperlink ref="AB148" r:id="rId16" xr:uid="{00000000-0004-0000-0600-00000F000000}"/>
    <hyperlink ref="AB149" r:id="rId17" xr:uid="{00000000-0004-0000-0600-000010000000}"/>
    <hyperlink ref="AB151" r:id="rId18" xr:uid="{00000000-0004-0000-0600-000011000000}"/>
    <hyperlink ref="AB168" r:id="rId19" xr:uid="{00000000-0004-0000-0600-000012000000}"/>
    <hyperlink ref="AB154" r:id="rId20" xr:uid="{00000000-0004-0000-0600-000013000000}"/>
    <hyperlink ref="AB160" r:id="rId21" xr:uid="{00000000-0004-0000-0600-000014000000}"/>
    <hyperlink ref="AB161" r:id="rId22" xr:uid="{00000000-0004-0000-0600-000015000000}"/>
    <hyperlink ref="F180" r:id="rId23" location="v=onepage&amp;q&amp;f=false" display="http://books.google.co.jp/books/p/princeton?id=LoN2XkjJio4C&amp;printsec=frontcover&amp;hl=en&amp;source=gbs_ViewAPI&amp;redir_esc=y - v=onepage&amp;q&amp;f=false" xr:uid="{00000000-0004-0000-0600-000016000000}"/>
    <hyperlink ref="F181" r:id="rId24" xr:uid="{00000000-0004-0000-0600-000017000000}"/>
    <hyperlink ref="AB158" r:id="rId25" xr:uid="{00000000-0004-0000-0600-000018000000}"/>
    <hyperlink ref="AB162" r:id="rId26" xr:uid="{00000000-0004-0000-0600-000019000000}"/>
    <hyperlink ref="AB82" r:id="rId27" xr:uid="{00000000-0004-0000-0600-00001A000000}"/>
    <hyperlink ref="AB75" r:id="rId28" xr:uid="{00000000-0004-0000-0600-00001B000000}"/>
    <hyperlink ref="AB70" r:id="rId29" xr:uid="{00000000-0004-0000-0600-00001C000000}"/>
    <hyperlink ref="AB67" r:id="rId30" xr:uid="{00000000-0004-0000-0600-00001D000000}"/>
    <hyperlink ref="AB56" r:id="rId31" xr:uid="{00000000-0004-0000-0600-00001E000000}"/>
    <hyperlink ref="AB52" r:id="rId32" xr:uid="{00000000-0004-0000-0600-00001F000000}"/>
    <hyperlink ref="AB46" r:id="rId33" xr:uid="{00000000-0004-0000-0600-000020000000}"/>
    <hyperlink ref="AB43" r:id="rId34" xr:uid="{00000000-0004-0000-0600-000021000000}"/>
    <hyperlink ref="AB38" r:id="rId35" xr:uid="{00000000-0004-0000-0600-000022000000}"/>
    <hyperlink ref="AB22" r:id="rId36" xr:uid="{00000000-0004-0000-0600-000023000000}"/>
    <hyperlink ref="AB16" r:id="rId37" xr:uid="{00000000-0004-0000-0600-000024000000}"/>
    <hyperlink ref="AB10" r:id="rId38" xr:uid="{00000000-0004-0000-0600-000025000000}"/>
  </hyperlinks>
  <pageMargins left="0.5" right="0.5" top="0.25" bottom="0.25" header="0.3" footer="0.3"/>
  <pageSetup paperSize="9" scale="21" fitToWidth="0" orientation="portrait" r:id="rId39"/>
  <drawing r:id="rId40"/>
  <legacyDrawing r:id="rId4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sheetPr>
  <dimension ref="B2:E13"/>
  <sheetViews>
    <sheetView workbookViewId="0">
      <selection activeCell="D13" sqref="D13"/>
    </sheetView>
  </sheetViews>
  <sheetFormatPr baseColWidth="10" defaultColWidth="9.1640625" defaultRowHeight="14"/>
  <cols>
    <col min="1" max="1" width="9.1640625" style="111"/>
    <col min="2" max="2" width="15.5" style="66" customWidth="1"/>
    <col min="3" max="3" width="30.33203125" style="66" customWidth="1"/>
    <col min="4" max="4" width="29.6640625" style="66" customWidth="1"/>
    <col min="5" max="16384" width="9.1640625" style="111"/>
  </cols>
  <sheetData>
    <row r="2" spans="2:5" ht="15">
      <c r="B2" s="139" t="s">
        <v>521</v>
      </c>
      <c r="C2" s="139" t="s">
        <v>522</v>
      </c>
      <c r="D2" s="139" t="s">
        <v>523</v>
      </c>
      <c r="E2" s="111" t="s">
        <v>524</v>
      </c>
    </row>
    <row r="3" spans="2:5" ht="15">
      <c r="B3" s="208" t="s">
        <v>525</v>
      </c>
      <c r="C3" s="67" t="s">
        <v>269</v>
      </c>
      <c r="D3" s="67"/>
    </row>
    <row r="4" spans="2:5" ht="15">
      <c r="B4" s="208"/>
      <c r="C4" s="67" t="s">
        <v>270</v>
      </c>
      <c r="D4" s="67"/>
    </row>
    <row r="5" spans="2:5" ht="30">
      <c r="B5" s="208"/>
      <c r="C5" s="67" t="s">
        <v>504</v>
      </c>
      <c r="D5" s="67" t="s">
        <v>526</v>
      </c>
    </row>
    <row r="6" spans="2:5" ht="30">
      <c r="B6" s="208" t="s">
        <v>490</v>
      </c>
      <c r="C6" s="67" t="s">
        <v>497</v>
      </c>
      <c r="D6" s="67" t="s">
        <v>527</v>
      </c>
    </row>
    <row r="7" spans="2:5" ht="45">
      <c r="B7" s="208"/>
      <c r="C7" s="67" t="s">
        <v>528</v>
      </c>
      <c r="D7" s="67" t="s">
        <v>529</v>
      </c>
    </row>
    <row r="8" spans="2:5" ht="15">
      <c r="B8" s="139" t="s">
        <v>491</v>
      </c>
      <c r="C8" s="67" t="s">
        <v>530</v>
      </c>
      <c r="D8" s="67"/>
    </row>
    <row r="9" spans="2:5" ht="30">
      <c r="B9" s="139" t="s">
        <v>500</v>
      </c>
      <c r="C9" s="67" t="s">
        <v>531</v>
      </c>
      <c r="D9" s="67" t="s">
        <v>532</v>
      </c>
    </row>
    <row r="10" spans="2:5" ht="75">
      <c r="B10" s="139" t="s">
        <v>492</v>
      </c>
      <c r="C10" s="67" t="s">
        <v>533</v>
      </c>
      <c r="D10" s="67" t="s">
        <v>534</v>
      </c>
    </row>
    <row r="11" spans="2:5" ht="30">
      <c r="B11" s="139" t="s">
        <v>535</v>
      </c>
      <c r="C11" s="67" t="s">
        <v>536</v>
      </c>
      <c r="D11" s="67" t="s">
        <v>537</v>
      </c>
    </row>
    <row r="12" spans="2:5" ht="30">
      <c r="B12" s="139" t="s">
        <v>494</v>
      </c>
      <c r="C12" s="67" t="s">
        <v>503</v>
      </c>
      <c r="D12" s="67" t="s">
        <v>538</v>
      </c>
    </row>
    <row r="13" spans="2:5" ht="15">
      <c r="B13" s="139" t="s">
        <v>504</v>
      </c>
      <c r="C13" s="67"/>
      <c r="D13" s="67" t="s">
        <v>539</v>
      </c>
    </row>
  </sheetData>
  <mergeCells count="2">
    <mergeCell ref="B3:B5"/>
    <mergeCell ref="B6:B7"/>
  </mergeCells>
  <phoneticPr fontId="2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G12"/>
  <sheetViews>
    <sheetView workbookViewId="0">
      <selection activeCell="F9" sqref="B2:F9"/>
    </sheetView>
  </sheetViews>
  <sheetFormatPr baseColWidth="10" defaultColWidth="9.1640625" defaultRowHeight="14"/>
  <cols>
    <col min="1" max="1" width="9.1640625" style="25"/>
    <col min="2" max="2" width="18.83203125" style="66" customWidth="1"/>
    <col min="3" max="3" width="31.5" style="66" customWidth="1"/>
    <col min="4" max="4" width="13.33203125" style="66" customWidth="1"/>
    <col min="5" max="5" width="66.5" style="66" customWidth="1"/>
    <col min="6" max="6" width="28.1640625" style="66" customWidth="1"/>
    <col min="7" max="7" width="17.6640625" style="25" customWidth="1"/>
    <col min="8" max="16384" width="9.1640625" style="25"/>
  </cols>
  <sheetData>
    <row r="2" spans="2:7" ht="15">
      <c r="B2" s="68" t="s">
        <v>540</v>
      </c>
      <c r="C2" s="68" t="s">
        <v>541</v>
      </c>
      <c r="D2" s="68" t="s">
        <v>542</v>
      </c>
      <c r="E2" s="68" t="s">
        <v>543</v>
      </c>
      <c r="F2" s="68" t="s">
        <v>544</v>
      </c>
      <c r="G2" s="82" t="s">
        <v>545</v>
      </c>
    </row>
    <row r="3" spans="2:7" ht="105">
      <c r="B3" s="67" t="s">
        <v>420</v>
      </c>
      <c r="C3" s="67" t="s">
        <v>546</v>
      </c>
      <c r="D3" s="67" t="s">
        <v>547</v>
      </c>
      <c r="E3" s="67" t="s">
        <v>548</v>
      </c>
      <c r="F3" s="69" t="s">
        <v>549</v>
      </c>
      <c r="G3" s="81" t="s">
        <v>550</v>
      </c>
    </row>
    <row r="4" spans="2:7" ht="45">
      <c r="B4" s="67" t="s">
        <v>424</v>
      </c>
      <c r="C4" s="67" t="s">
        <v>551</v>
      </c>
      <c r="D4" s="67" t="s">
        <v>552</v>
      </c>
      <c r="E4" s="67" t="s">
        <v>553</v>
      </c>
      <c r="F4" s="69" t="s">
        <v>554</v>
      </c>
      <c r="G4" s="81" t="s">
        <v>555</v>
      </c>
    </row>
    <row r="5" spans="2:7" ht="60">
      <c r="B5" s="67" t="s">
        <v>425</v>
      </c>
      <c r="C5" s="67" t="s">
        <v>556</v>
      </c>
      <c r="D5" s="67" t="s">
        <v>465</v>
      </c>
      <c r="E5" s="67" t="s">
        <v>557</v>
      </c>
      <c r="F5" s="69" t="s">
        <v>558</v>
      </c>
      <c r="G5" s="81" t="s">
        <v>555</v>
      </c>
    </row>
    <row r="6" spans="2:7" ht="45">
      <c r="B6" s="67" t="s">
        <v>559</v>
      </c>
      <c r="C6" s="67" t="s">
        <v>560</v>
      </c>
      <c r="D6" s="67" t="s">
        <v>465</v>
      </c>
      <c r="E6" s="67" t="s">
        <v>561</v>
      </c>
      <c r="F6" s="69" t="s">
        <v>562</v>
      </c>
      <c r="G6" s="81" t="s">
        <v>555</v>
      </c>
    </row>
    <row r="7" spans="2:7" ht="105">
      <c r="B7" s="67" t="s">
        <v>563</v>
      </c>
      <c r="C7" s="67" t="s">
        <v>564</v>
      </c>
      <c r="D7" s="67" t="s">
        <v>565</v>
      </c>
      <c r="E7" s="67" t="s">
        <v>566</v>
      </c>
      <c r="F7" s="69" t="s">
        <v>567</v>
      </c>
      <c r="G7" s="80"/>
    </row>
    <row r="8" spans="2:7" ht="105">
      <c r="B8" s="67" t="s">
        <v>280</v>
      </c>
      <c r="C8" s="67" t="s">
        <v>564</v>
      </c>
      <c r="D8" s="67" t="s">
        <v>565</v>
      </c>
      <c r="E8" s="67" t="s">
        <v>568</v>
      </c>
      <c r="F8" s="69" t="s">
        <v>567</v>
      </c>
      <c r="G8" s="80"/>
    </row>
    <row r="9" spans="2:7" ht="30">
      <c r="B9" s="67" t="s">
        <v>569</v>
      </c>
      <c r="C9" s="67" t="s">
        <v>564</v>
      </c>
      <c r="D9" s="67" t="s">
        <v>547</v>
      </c>
      <c r="E9" s="67" t="s">
        <v>570</v>
      </c>
      <c r="F9" s="69" t="s">
        <v>571</v>
      </c>
      <c r="G9" s="80"/>
    </row>
    <row r="10" spans="2:7" ht="105">
      <c r="B10" s="67" t="s">
        <v>572</v>
      </c>
      <c r="C10" s="67" t="s">
        <v>573</v>
      </c>
      <c r="D10" s="67" t="s">
        <v>574</v>
      </c>
      <c r="E10" s="67" t="s">
        <v>575</v>
      </c>
      <c r="F10" s="67"/>
      <c r="G10" s="81" t="s">
        <v>576</v>
      </c>
    </row>
    <row r="12" spans="2:7" ht="75" customHeight="1">
      <c r="B12" s="209" t="s">
        <v>577</v>
      </c>
      <c r="C12" s="210"/>
      <c r="D12" s="210"/>
    </row>
  </sheetData>
  <mergeCells count="1">
    <mergeCell ref="B12:D12"/>
  </mergeCells>
  <phoneticPr fontId="20"/>
  <hyperlinks>
    <hyperlink ref="F4" r:id="rId1" xr:uid="{00000000-0004-0000-0800-000000000000}"/>
    <hyperlink ref="F5" r:id="rId2" xr:uid="{00000000-0004-0000-0800-000001000000}"/>
    <hyperlink ref="F6" r:id="rId3" xr:uid="{00000000-0004-0000-0800-000002000000}"/>
    <hyperlink ref="F3" r:id="rId4" xr:uid="{00000000-0004-0000-0800-000003000000}"/>
    <hyperlink ref="F7" r:id="rId5" location="home" xr:uid="{00000000-0004-0000-0800-000004000000}"/>
    <hyperlink ref="F8" r:id="rId6" location="home" xr:uid="{00000000-0004-0000-0800-000005000000}"/>
    <hyperlink ref="F9" r:id="rId7" xr:uid="{00000000-0004-0000-0800-000006000000}"/>
  </hyperlinks>
  <pageMargins left="0.7" right="0.7" top="0.75" bottom="0.75" header="0.3" footer="0.3"/>
  <drawing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BC4"/>
  <sheetViews>
    <sheetView workbookViewId="0">
      <selection activeCell="P3" sqref="P3"/>
    </sheetView>
  </sheetViews>
  <sheetFormatPr baseColWidth="10" defaultColWidth="8.83203125" defaultRowHeight="14"/>
  <cols>
    <col min="2" max="3" width="5.83203125" customWidth="1"/>
    <col min="4" max="53" width="5.5" customWidth="1"/>
  </cols>
  <sheetData>
    <row r="1" spans="2:55">
      <c r="B1" s="89" t="s">
        <v>88</v>
      </c>
      <c r="C1" s="88"/>
      <c r="D1" s="87"/>
      <c r="E1" s="87">
        <v>1965</v>
      </c>
      <c r="F1" s="87">
        <v>1966</v>
      </c>
      <c r="G1" s="87">
        <v>1967</v>
      </c>
      <c r="H1" s="87">
        <v>1968</v>
      </c>
      <c r="I1" s="87">
        <v>1969</v>
      </c>
      <c r="J1" s="87">
        <v>1970</v>
      </c>
      <c r="K1" s="87">
        <v>1971</v>
      </c>
      <c r="L1" s="87">
        <v>1972</v>
      </c>
      <c r="M1" s="87">
        <v>1973</v>
      </c>
      <c r="N1" s="87">
        <v>1974</v>
      </c>
      <c r="O1" s="87">
        <v>1975</v>
      </c>
      <c r="P1" s="87">
        <v>1976</v>
      </c>
      <c r="Q1" s="87">
        <v>1977</v>
      </c>
      <c r="R1" s="87">
        <v>1978</v>
      </c>
      <c r="S1" s="87">
        <v>1979</v>
      </c>
      <c r="T1" s="87">
        <v>1980</v>
      </c>
      <c r="U1" s="87">
        <v>1981</v>
      </c>
      <c r="V1" s="87">
        <v>1982</v>
      </c>
      <c r="W1" s="87">
        <v>1983</v>
      </c>
      <c r="X1" s="87">
        <v>1984</v>
      </c>
      <c r="Y1" s="87">
        <v>1985</v>
      </c>
      <c r="Z1" s="87">
        <v>1986</v>
      </c>
      <c r="AA1" s="87">
        <v>1987</v>
      </c>
      <c r="AB1" s="87">
        <v>1988</v>
      </c>
      <c r="AC1" s="87">
        <v>1989</v>
      </c>
      <c r="AD1" s="87">
        <v>1990</v>
      </c>
      <c r="AE1" s="87">
        <v>1991</v>
      </c>
      <c r="AF1" s="87">
        <v>1992</v>
      </c>
      <c r="AG1" s="87">
        <v>1993</v>
      </c>
      <c r="AH1" s="87">
        <v>1994</v>
      </c>
      <c r="AI1" s="87">
        <v>1995</v>
      </c>
      <c r="AJ1" s="87">
        <v>1996</v>
      </c>
      <c r="AK1" s="87">
        <v>1997</v>
      </c>
      <c r="AL1" s="87">
        <v>1998</v>
      </c>
      <c r="AM1" s="87">
        <v>1999</v>
      </c>
      <c r="AN1" s="87">
        <v>2000</v>
      </c>
      <c r="AO1" s="87">
        <v>2001</v>
      </c>
      <c r="AP1" s="87">
        <v>2002</v>
      </c>
      <c r="AQ1" s="87">
        <v>2003</v>
      </c>
      <c r="AR1" s="87">
        <v>2004</v>
      </c>
      <c r="AS1" s="87">
        <v>2005</v>
      </c>
      <c r="AT1" s="87">
        <v>2006</v>
      </c>
      <c r="AU1" s="87">
        <v>2007</v>
      </c>
      <c r="AV1" s="87">
        <v>2008</v>
      </c>
      <c r="AW1" s="87">
        <v>2009</v>
      </c>
      <c r="AX1" s="87">
        <v>2010</v>
      </c>
      <c r="AY1" s="87">
        <v>2011</v>
      </c>
      <c r="AZ1" s="87">
        <v>2012</v>
      </c>
      <c r="BA1" s="86">
        <v>2013</v>
      </c>
    </row>
    <row r="2" spans="2:55">
      <c r="B2" s="90" t="s">
        <v>269</v>
      </c>
      <c r="C2" s="91"/>
      <c r="D2" s="92"/>
      <c r="E2" s="93"/>
      <c r="F2" s="92"/>
      <c r="G2" s="92"/>
      <c r="H2" s="92"/>
      <c r="I2" s="93"/>
      <c r="J2" s="92"/>
      <c r="K2" s="92"/>
      <c r="L2" s="92"/>
      <c r="M2" s="93"/>
      <c r="N2" s="93"/>
      <c r="O2" s="93"/>
      <c r="P2" s="93"/>
      <c r="Q2" s="93"/>
      <c r="R2" s="93"/>
      <c r="S2" s="92"/>
      <c r="T2" s="92"/>
      <c r="U2" s="92"/>
      <c r="V2" s="92"/>
      <c r="W2" s="93"/>
      <c r="X2" s="93"/>
      <c r="Y2" s="92"/>
      <c r="Z2" s="92"/>
      <c r="AA2" s="93"/>
      <c r="AB2" s="92"/>
      <c r="AC2" s="93"/>
      <c r="AD2" s="93"/>
      <c r="AE2" s="93"/>
      <c r="AF2" s="93"/>
      <c r="AG2" s="93"/>
      <c r="AH2" s="93"/>
      <c r="AI2" s="92"/>
      <c r="AJ2" s="92"/>
      <c r="AK2" s="93"/>
      <c r="AL2" s="93"/>
      <c r="AM2" s="93"/>
      <c r="AN2" s="93"/>
      <c r="AO2" s="92"/>
      <c r="AP2" s="92"/>
      <c r="AQ2" s="93"/>
      <c r="AR2" s="93"/>
      <c r="AS2" s="93"/>
      <c r="AT2" s="93"/>
      <c r="AU2" s="92"/>
      <c r="AV2" s="93"/>
      <c r="AW2" s="93"/>
      <c r="AX2" s="93"/>
      <c r="AY2" s="93"/>
      <c r="AZ2" s="93"/>
      <c r="BA2" s="94"/>
      <c r="BB2" s="83"/>
      <c r="BC2" s="83"/>
    </row>
    <row r="3" spans="2:55">
      <c r="B3" s="97" t="s">
        <v>419</v>
      </c>
      <c r="C3" s="98"/>
      <c r="D3" s="85"/>
      <c r="E3" s="85"/>
      <c r="F3" s="85"/>
      <c r="G3" s="85"/>
      <c r="H3" s="85"/>
      <c r="I3" s="85"/>
      <c r="J3" s="85"/>
      <c r="K3" s="85"/>
      <c r="L3" s="85"/>
      <c r="M3" s="85"/>
      <c r="N3" s="85"/>
      <c r="O3" s="85"/>
      <c r="P3" s="85"/>
      <c r="Q3" s="85"/>
      <c r="R3" s="85"/>
      <c r="S3" s="85"/>
      <c r="T3" s="85"/>
      <c r="U3" s="85"/>
      <c r="V3" s="85"/>
      <c r="W3" s="85"/>
      <c r="X3" s="85"/>
      <c r="Y3" s="85"/>
      <c r="Z3" s="85"/>
      <c r="AA3" s="85"/>
      <c r="AB3" s="85"/>
      <c r="AC3" s="96"/>
      <c r="AD3" s="96"/>
      <c r="AE3" s="96"/>
      <c r="AF3" s="85"/>
      <c r="AG3" s="96"/>
      <c r="AH3" s="85"/>
      <c r="AI3" s="85"/>
      <c r="AJ3" s="85"/>
      <c r="AK3" s="85"/>
      <c r="AL3" s="85"/>
      <c r="AM3" s="85"/>
      <c r="AN3" s="85"/>
      <c r="AO3" s="85"/>
      <c r="AP3" s="96"/>
      <c r="AQ3" s="96"/>
      <c r="AR3" s="96"/>
      <c r="AS3" s="85"/>
      <c r="AT3" s="96"/>
      <c r="AU3" s="96"/>
      <c r="AV3" s="96"/>
      <c r="AW3" s="85"/>
      <c r="AX3" s="85"/>
      <c r="AY3" s="85"/>
      <c r="AZ3" s="85"/>
      <c r="BA3" s="84"/>
      <c r="BB3" s="83"/>
      <c r="BC3" s="83"/>
    </row>
    <row r="4" spans="2:55">
      <c r="B4" s="99" t="s">
        <v>578</v>
      </c>
      <c r="C4" s="99"/>
      <c r="D4" s="85"/>
      <c r="E4" s="85"/>
      <c r="F4" s="95"/>
      <c r="G4" s="85"/>
      <c r="H4" s="85"/>
      <c r="I4" s="85"/>
      <c r="J4" s="85"/>
      <c r="K4" s="85"/>
      <c r="L4" s="95"/>
      <c r="M4" s="95"/>
      <c r="N4" s="85"/>
      <c r="O4" s="85"/>
      <c r="P4" s="85"/>
      <c r="Q4" s="85"/>
      <c r="R4" s="85"/>
      <c r="S4" s="85"/>
      <c r="T4" s="85"/>
      <c r="U4" s="85"/>
      <c r="V4" s="85"/>
      <c r="W4" s="85"/>
      <c r="X4" s="95"/>
      <c r="Y4" s="95"/>
      <c r="Z4" s="85"/>
      <c r="AA4" s="85"/>
      <c r="AB4" s="85"/>
      <c r="AC4" s="85"/>
      <c r="AD4" s="85"/>
      <c r="AE4" s="85"/>
      <c r="AF4" s="85"/>
      <c r="AG4" s="85"/>
      <c r="AH4" s="85"/>
      <c r="AI4" s="85"/>
      <c r="AJ4" s="85"/>
      <c r="AK4" s="85"/>
      <c r="AL4" s="95"/>
      <c r="AM4" s="85"/>
      <c r="AN4" s="85"/>
      <c r="AO4" s="85"/>
      <c r="AP4" s="85"/>
      <c r="AQ4" s="85"/>
      <c r="AR4" s="85"/>
      <c r="AS4" s="85"/>
      <c r="AT4" s="95"/>
      <c r="AU4" s="85"/>
      <c r="AV4" s="85"/>
      <c r="AW4" s="85"/>
      <c r="AX4" s="85"/>
      <c r="AY4" s="95"/>
      <c r="AZ4" s="95"/>
      <c r="BA4" s="84"/>
    </row>
  </sheetData>
  <phoneticPr fontId="2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10</vt:i4>
      </vt:variant>
    </vt:vector>
  </HeadingPairs>
  <TitlesOfParts>
    <vt:vector size="10" baseType="lpstr">
      <vt:lpstr>Sheet3</vt:lpstr>
      <vt:lpstr>DB20c_chronology</vt:lpstr>
      <vt:lpstr>DB20c</vt:lpstr>
      <vt:lpstr>DB1960s-_dummy</vt:lpstr>
      <vt:lpstr>DB1960s-</vt:lpstr>
      <vt:lpstr>DB1960s-_all</vt:lpstr>
      <vt:lpstr>DB1960s-_factors</vt:lpstr>
      <vt:lpstr>Factors_Keywords</vt:lpstr>
      <vt:lpstr>Notes</vt:lpstr>
      <vt:lpstr>Ethiopia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misato</dc:creator>
  <cp:keywords/>
  <dc:description/>
  <cp:lastModifiedBy>舟橋壮真</cp:lastModifiedBy>
  <cp:revision/>
  <dcterms:created xsi:type="dcterms:W3CDTF">2014-01-11T02:42:32Z</dcterms:created>
  <dcterms:modified xsi:type="dcterms:W3CDTF">2019-09-02T14:57:46Z</dcterms:modified>
  <cp:category/>
  <cp:contentStatus/>
</cp:coreProperties>
</file>