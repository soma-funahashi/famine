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3"/>
  <workbookPr codeName="ThisWorkbook"/>
  <mc:AlternateContent xmlns:mc="http://schemas.openxmlformats.org/markup-compatibility/2006">
    <mc:Choice Requires="x15">
      <x15ac:absPath xmlns:x15ac="http://schemas.microsoft.com/office/spreadsheetml/2010/11/ac" url="/Users/SomaFunahashi/Downloads/"/>
    </mc:Choice>
  </mc:AlternateContent>
  <xr:revisionPtr revIDLastSave="0" documentId="13_ncr:1_{65A22BC0-AA8B-E24A-98BA-C43A1634A6B8}" xr6:coauthVersionLast="40" xr6:coauthVersionMax="40" xr10:uidLastSave="{00000000-0000-0000-0000-000000000000}"/>
  <bookViews>
    <workbookView xWindow="0" yWindow="460" windowWidth="28800" windowHeight="17540" activeTab="5" xr2:uid="{00000000-000D-0000-FFFF-FFFF00000000}"/>
  </bookViews>
  <sheets>
    <sheet name="Model_all_famine" sheetId="1" r:id="rId1"/>
    <sheet name="Model_drought_induced_famine" sheetId="3" r:id="rId2"/>
    <sheet name="Model_drought_induced_famine_ch" sheetId="9" r:id="rId3"/>
    <sheet name="1961-2012_Famine" sheetId="8" r:id="rId4"/>
    <sheet name="all_1961-1990" sheetId="4" r:id="rId5"/>
    <sheet name="Correlation" sheetId="5" r:id="rId6"/>
    <sheet name="GDP_per_cap" sheetId="6" r:id="rId7"/>
    <sheet name="UrbanPopRate" sheetId="7" r:id="rId8"/>
    <sheet name="GDP_per_cap (2)" sheetId="10" r:id="rId9"/>
    <sheet name="UrbanPopRate (2)" sheetId="11" r:id="rId10"/>
    <sheet name="Sheet2" sheetId="2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H60" i="11" l="1"/>
  <c r="BI60" i="11"/>
  <c r="BH61" i="11"/>
  <c r="BI61" i="11"/>
  <c r="BH62" i="11"/>
  <c r="BI62" i="11"/>
  <c r="BH63" i="11"/>
  <c r="BI63" i="11"/>
  <c r="BH64" i="11"/>
  <c r="BI64" i="11"/>
  <c r="BH65" i="11"/>
  <c r="BI65" i="11"/>
  <c r="BH66" i="11"/>
  <c r="BI66" i="11"/>
  <c r="BH67" i="11"/>
  <c r="BI67" i="11"/>
  <c r="BH68" i="11"/>
  <c r="BI68" i="11"/>
  <c r="BH69" i="11"/>
  <c r="BI69" i="11"/>
  <c r="BH70" i="11"/>
  <c r="BI70" i="11"/>
  <c r="BH71" i="11"/>
  <c r="BI71" i="11"/>
  <c r="BH72" i="11"/>
  <c r="BI72" i="11"/>
  <c r="BH73" i="11"/>
  <c r="BI73" i="11"/>
  <c r="BH74" i="11"/>
  <c r="BI74" i="11"/>
  <c r="BH75" i="11"/>
  <c r="BI75" i="11"/>
  <c r="BH76" i="11"/>
  <c r="BI76" i="11"/>
  <c r="BH77" i="11"/>
  <c r="BI77" i="11"/>
  <c r="BH78" i="11"/>
  <c r="BI78" i="11"/>
  <c r="BH79" i="11"/>
  <c r="BI79" i="11"/>
  <c r="BH80" i="11"/>
  <c r="BI80" i="11"/>
  <c r="BH81" i="11"/>
  <c r="BI81" i="11"/>
  <c r="BH82" i="11"/>
  <c r="BI82" i="11"/>
  <c r="BH83" i="11"/>
  <c r="BI83" i="11"/>
  <c r="BH84" i="11"/>
  <c r="BI84" i="11"/>
  <c r="BH85" i="11"/>
  <c r="BI85" i="11"/>
  <c r="BH86" i="11"/>
  <c r="BI86" i="11"/>
  <c r="BH87" i="11"/>
  <c r="BI87" i="11"/>
  <c r="BH88" i="11"/>
  <c r="BI88" i="11"/>
  <c r="BH89" i="11"/>
  <c r="BI89" i="11"/>
  <c r="BH90" i="11"/>
  <c r="BI90" i="11"/>
  <c r="BH91" i="11"/>
  <c r="BI91" i="11"/>
  <c r="BH92" i="11"/>
  <c r="BI92" i="11"/>
  <c r="BH93" i="11"/>
  <c r="BI93" i="11"/>
  <c r="BH94" i="11"/>
  <c r="BI94" i="11"/>
  <c r="BH95" i="11"/>
  <c r="BI95" i="11"/>
  <c r="BH96" i="11"/>
  <c r="BI96" i="11"/>
  <c r="BH97" i="11"/>
  <c r="BI97" i="11"/>
  <c r="BH98" i="11"/>
  <c r="BI98" i="11"/>
  <c r="BH99" i="11"/>
  <c r="BI99" i="11"/>
  <c r="BH100" i="11"/>
  <c r="BI100" i="11"/>
  <c r="BH101" i="11"/>
  <c r="BI101" i="11"/>
  <c r="BH102" i="11"/>
  <c r="BI102" i="11"/>
  <c r="BH103" i="11"/>
  <c r="BI103" i="11"/>
  <c r="BH104" i="11"/>
  <c r="BI104" i="11"/>
  <c r="BH105" i="11"/>
  <c r="BI105" i="11"/>
  <c r="BH106" i="11"/>
  <c r="BI106" i="11"/>
  <c r="BH107" i="11"/>
  <c r="BI107" i="11"/>
  <c r="BH108" i="11"/>
  <c r="BI108" i="11"/>
  <c r="BH109" i="11"/>
  <c r="BI109" i="11"/>
  <c r="BH110" i="11"/>
  <c r="BI110" i="11"/>
  <c r="BH111" i="11"/>
  <c r="BI111" i="11"/>
  <c r="BH112" i="11"/>
  <c r="BI112" i="11"/>
  <c r="BH113" i="11"/>
  <c r="BI113" i="11"/>
  <c r="BH114" i="11"/>
  <c r="BI114" i="11"/>
  <c r="BH115" i="11"/>
  <c r="BI115" i="11"/>
  <c r="BH116" i="11"/>
  <c r="BI116" i="11"/>
  <c r="BH117" i="11"/>
  <c r="BI117" i="11"/>
  <c r="BH118" i="11"/>
  <c r="BI118" i="11"/>
  <c r="BH119" i="11"/>
  <c r="BI119" i="11"/>
  <c r="BH120" i="11"/>
  <c r="BI120" i="11"/>
  <c r="BH121" i="11"/>
  <c r="BI121" i="11"/>
  <c r="BH122" i="11"/>
  <c r="BI122" i="11"/>
  <c r="BH123" i="11"/>
  <c r="BI123" i="11"/>
  <c r="BH124" i="11"/>
  <c r="BI124" i="11"/>
  <c r="BH125" i="11"/>
  <c r="BI125" i="11"/>
  <c r="BH126" i="11"/>
  <c r="BI126" i="11"/>
  <c r="BH127" i="11"/>
  <c r="BI127" i="11"/>
  <c r="BH128" i="11"/>
  <c r="BI128" i="11"/>
  <c r="BH129" i="11"/>
  <c r="BI129" i="11"/>
  <c r="BH130" i="11"/>
  <c r="BI130" i="11"/>
  <c r="BH131" i="11"/>
  <c r="BI131" i="11"/>
  <c r="BH132" i="11"/>
  <c r="BI132" i="11"/>
  <c r="BH133" i="11"/>
  <c r="BI133" i="11"/>
  <c r="BH134" i="11"/>
  <c r="BI134" i="11"/>
  <c r="BH135" i="11"/>
  <c r="BI135" i="11"/>
  <c r="BH136" i="11"/>
  <c r="BI136" i="11"/>
  <c r="BH137" i="11"/>
  <c r="BI137" i="11"/>
  <c r="BH138" i="11"/>
  <c r="BI138" i="11"/>
  <c r="BH139" i="11"/>
  <c r="BI139" i="11"/>
  <c r="BH140" i="11"/>
  <c r="BI140" i="11"/>
  <c r="BH141" i="11"/>
  <c r="BI141" i="11"/>
  <c r="BH142" i="11"/>
  <c r="BI142" i="11"/>
  <c r="BH143" i="11"/>
  <c r="BI143" i="11"/>
  <c r="BH144" i="11"/>
  <c r="BI144" i="11"/>
  <c r="BH145" i="11"/>
  <c r="BI145" i="11"/>
  <c r="BH146" i="11"/>
  <c r="BI146" i="11"/>
  <c r="BH147" i="11"/>
  <c r="BI147" i="11"/>
  <c r="BH148" i="11"/>
  <c r="BI148" i="11"/>
  <c r="BH149" i="11"/>
  <c r="BI149" i="11"/>
  <c r="BH150" i="11"/>
  <c r="BI150" i="11"/>
  <c r="BH151" i="11"/>
  <c r="BI151" i="11"/>
  <c r="BH152" i="11"/>
  <c r="BI152" i="11"/>
  <c r="BH153" i="11"/>
  <c r="BI153" i="11"/>
  <c r="BH154" i="11"/>
  <c r="BI154" i="11"/>
  <c r="BH155" i="11"/>
  <c r="BI155" i="11"/>
  <c r="BH156" i="11"/>
  <c r="BI156" i="11"/>
  <c r="BH3" i="11"/>
  <c r="BI3" i="11"/>
  <c r="BH4" i="11"/>
  <c r="BI4" i="11"/>
  <c r="BH5" i="11"/>
  <c r="BI5" i="11"/>
  <c r="BH6" i="11"/>
  <c r="BI6" i="11"/>
  <c r="BH7" i="11"/>
  <c r="BI7" i="11"/>
  <c r="BH8" i="11"/>
  <c r="BI8" i="11"/>
  <c r="BH9" i="11"/>
  <c r="BI9" i="11"/>
  <c r="BH10" i="11"/>
  <c r="BI10" i="11"/>
  <c r="BH11" i="11"/>
  <c r="BI11" i="11"/>
  <c r="BH12" i="11"/>
  <c r="BI12" i="11"/>
  <c r="BH13" i="11"/>
  <c r="BI13" i="11"/>
  <c r="BH14" i="11"/>
  <c r="BI14" i="11"/>
  <c r="BH15" i="11"/>
  <c r="BI15" i="11"/>
  <c r="BH16" i="11"/>
  <c r="BI16" i="11"/>
  <c r="BH17" i="11"/>
  <c r="BI17" i="11"/>
  <c r="BH18" i="11"/>
  <c r="BI18" i="11"/>
  <c r="BH19" i="11"/>
  <c r="BI19" i="11"/>
  <c r="BH20" i="11"/>
  <c r="BI20" i="11"/>
  <c r="BH21" i="11"/>
  <c r="BI21" i="11"/>
  <c r="BH22" i="11"/>
  <c r="BI22" i="11"/>
  <c r="BH23" i="11"/>
  <c r="BI23" i="11"/>
  <c r="BH24" i="11"/>
  <c r="BI24" i="11"/>
  <c r="BH25" i="11"/>
  <c r="BI25" i="11"/>
  <c r="BH26" i="11"/>
  <c r="BI26" i="11"/>
  <c r="BH27" i="11"/>
  <c r="BI27" i="11"/>
  <c r="BH28" i="11"/>
  <c r="BI28" i="11"/>
  <c r="BH29" i="11"/>
  <c r="BI29" i="11"/>
  <c r="BH30" i="11"/>
  <c r="BI30" i="11"/>
  <c r="BH31" i="11"/>
  <c r="BI31" i="11"/>
  <c r="BH32" i="11"/>
  <c r="BI32" i="11"/>
  <c r="BH33" i="11"/>
  <c r="BI33" i="11"/>
  <c r="BH34" i="11"/>
  <c r="BI34" i="11"/>
  <c r="BH35" i="11"/>
  <c r="BI35" i="11"/>
  <c r="BH36" i="11"/>
  <c r="BI36" i="11"/>
  <c r="BH37" i="11"/>
  <c r="BI37" i="11"/>
  <c r="BH38" i="11"/>
  <c r="BI38" i="11"/>
  <c r="BH39" i="11"/>
  <c r="BI39" i="11"/>
  <c r="BH40" i="11"/>
  <c r="BI40" i="11"/>
  <c r="BH41" i="11"/>
  <c r="BI41" i="11"/>
  <c r="BH42" i="11"/>
  <c r="BI42" i="11"/>
  <c r="BH43" i="11"/>
  <c r="BI43" i="11"/>
  <c r="BH44" i="11"/>
  <c r="BI44" i="11"/>
  <c r="BH45" i="11"/>
  <c r="BI45" i="11"/>
  <c r="BH46" i="11"/>
  <c r="BI46" i="11"/>
  <c r="BH47" i="11"/>
  <c r="BI47" i="11"/>
  <c r="BH48" i="11"/>
  <c r="BI48" i="11"/>
  <c r="BH49" i="11"/>
  <c r="BI49" i="11"/>
  <c r="BH50" i="11"/>
  <c r="BI50" i="11"/>
  <c r="BH51" i="11"/>
  <c r="BI51" i="11"/>
  <c r="BH52" i="11"/>
  <c r="BI52" i="11"/>
  <c r="BH53" i="11"/>
  <c r="BI53" i="11"/>
  <c r="BH54" i="11"/>
  <c r="BI54" i="11"/>
  <c r="BH55" i="11"/>
  <c r="BI55" i="11"/>
  <c r="BH56" i="11"/>
  <c r="BI56" i="11"/>
  <c r="BH57" i="11"/>
  <c r="BI57" i="11"/>
  <c r="BH58" i="11"/>
  <c r="BI58" i="11"/>
  <c r="BH59" i="11"/>
  <c r="BI59" i="11"/>
  <c r="BI2" i="11"/>
  <c r="BH2" i="11"/>
  <c r="BI157" i="11"/>
  <c r="BH157" i="11"/>
  <c r="V16" i="9"/>
  <c r="R16" i="9"/>
  <c r="R8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2" i="9"/>
  <c r="V13" i="9" s="1"/>
  <c r="Z16" i="9"/>
  <c r="G124" i="9"/>
  <c r="G3" i="9"/>
  <c r="G4" i="9"/>
  <c r="G5" i="9"/>
  <c r="G6" i="9"/>
  <c r="G7" i="9"/>
  <c r="G8" i="9"/>
  <c r="G9" i="9"/>
  <c r="Q5" i="9" s="1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2" i="9"/>
  <c r="Q13" i="9" s="1"/>
  <c r="Z24" i="9"/>
  <c r="V24" i="9"/>
  <c r="R24" i="9"/>
  <c r="J124" i="9"/>
  <c r="I124" i="9"/>
  <c r="J123" i="9"/>
  <c r="I123" i="9"/>
  <c r="J122" i="9"/>
  <c r="I122" i="9"/>
  <c r="J121" i="9"/>
  <c r="I121" i="9"/>
  <c r="J120" i="9"/>
  <c r="I120" i="9"/>
  <c r="J119" i="9"/>
  <c r="I119" i="9"/>
  <c r="J118" i="9"/>
  <c r="I118" i="9"/>
  <c r="J117" i="9"/>
  <c r="I117" i="9"/>
  <c r="J116" i="9"/>
  <c r="I116" i="9"/>
  <c r="J115" i="9"/>
  <c r="I115" i="9"/>
  <c r="J114" i="9"/>
  <c r="I114" i="9"/>
  <c r="J113" i="9"/>
  <c r="I113" i="9"/>
  <c r="J112" i="9"/>
  <c r="I112" i="9"/>
  <c r="J111" i="9"/>
  <c r="I111" i="9"/>
  <c r="J110" i="9"/>
  <c r="I110" i="9"/>
  <c r="J109" i="9"/>
  <c r="I109" i="9"/>
  <c r="J108" i="9"/>
  <c r="I108" i="9"/>
  <c r="J107" i="9"/>
  <c r="I107" i="9"/>
  <c r="J106" i="9"/>
  <c r="I106" i="9"/>
  <c r="J105" i="9"/>
  <c r="I105" i="9"/>
  <c r="J104" i="9"/>
  <c r="I104" i="9"/>
  <c r="J103" i="9"/>
  <c r="I103" i="9"/>
  <c r="J102" i="9"/>
  <c r="I102" i="9"/>
  <c r="J101" i="9"/>
  <c r="I101" i="9"/>
  <c r="J100" i="9"/>
  <c r="I100" i="9"/>
  <c r="J99" i="9"/>
  <c r="I99" i="9"/>
  <c r="J98" i="9"/>
  <c r="I98" i="9"/>
  <c r="J97" i="9"/>
  <c r="I97" i="9"/>
  <c r="J96" i="9"/>
  <c r="I96" i="9"/>
  <c r="J95" i="9"/>
  <c r="I95" i="9"/>
  <c r="J94" i="9"/>
  <c r="I94" i="9"/>
  <c r="J93" i="9"/>
  <c r="I93" i="9"/>
  <c r="J92" i="9"/>
  <c r="I92" i="9"/>
  <c r="J91" i="9"/>
  <c r="I91" i="9"/>
  <c r="J90" i="9"/>
  <c r="I90" i="9"/>
  <c r="J89" i="9"/>
  <c r="I89" i="9"/>
  <c r="J88" i="9"/>
  <c r="I88" i="9"/>
  <c r="J87" i="9"/>
  <c r="I87" i="9"/>
  <c r="J86" i="9"/>
  <c r="I86" i="9"/>
  <c r="J85" i="9"/>
  <c r="I85" i="9"/>
  <c r="J84" i="9"/>
  <c r="I84" i="9"/>
  <c r="J83" i="9"/>
  <c r="I83" i="9"/>
  <c r="J82" i="9"/>
  <c r="I82" i="9"/>
  <c r="J81" i="9"/>
  <c r="I81" i="9"/>
  <c r="J80" i="9"/>
  <c r="I80" i="9"/>
  <c r="J79" i="9"/>
  <c r="I79" i="9"/>
  <c r="J78" i="9"/>
  <c r="I78" i="9"/>
  <c r="J77" i="9"/>
  <c r="I77" i="9"/>
  <c r="J76" i="9"/>
  <c r="I76" i="9"/>
  <c r="J75" i="9"/>
  <c r="I75" i="9"/>
  <c r="J74" i="9"/>
  <c r="I74" i="9"/>
  <c r="J73" i="9"/>
  <c r="I73" i="9"/>
  <c r="J72" i="9"/>
  <c r="I72" i="9"/>
  <c r="J71" i="9"/>
  <c r="I71" i="9"/>
  <c r="J70" i="9"/>
  <c r="I70" i="9"/>
  <c r="J69" i="9"/>
  <c r="I69" i="9"/>
  <c r="J68" i="9"/>
  <c r="I68" i="9"/>
  <c r="J67" i="9"/>
  <c r="I67" i="9"/>
  <c r="J66" i="9"/>
  <c r="I66" i="9"/>
  <c r="J65" i="9"/>
  <c r="I65" i="9"/>
  <c r="J64" i="9"/>
  <c r="I64" i="9"/>
  <c r="J63" i="9"/>
  <c r="I63" i="9"/>
  <c r="J62" i="9"/>
  <c r="I62" i="9"/>
  <c r="J61" i="9"/>
  <c r="I61" i="9"/>
  <c r="J60" i="9"/>
  <c r="I60" i="9"/>
  <c r="J59" i="9"/>
  <c r="I59" i="9"/>
  <c r="J58" i="9"/>
  <c r="I58" i="9"/>
  <c r="J57" i="9"/>
  <c r="I57" i="9"/>
  <c r="J56" i="9"/>
  <c r="I56" i="9"/>
  <c r="J55" i="9"/>
  <c r="I55" i="9"/>
  <c r="J54" i="9"/>
  <c r="I54" i="9"/>
  <c r="J53" i="9"/>
  <c r="I53" i="9"/>
  <c r="J52" i="9"/>
  <c r="I52" i="9"/>
  <c r="J51" i="9"/>
  <c r="I51" i="9"/>
  <c r="J50" i="9"/>
  <c r="I50" i="9"/>
  <c r="J49" i="9"/>
  <c r="I49" i="9"/>
  <c r="J48" i="9"/>
  <c r="I48" i="9"/>
  <c r="J47" i="9"/>
  <c r="I47" i="9"/>
  <c r="J46" i="9"/>
  <c r="I46" i="9"/>
  <c r="J45" i="9"/>
  <c r="I45" i="9"/>
  <c r="J44" i="9"/>
  <c r="I44" i="9"/>
  <c r="J43" i="9"/>
  <c r="I43" i="9"/>
  <c r="J42" i="9"/>
  <c r="I42" i="9"/>
  <c r="J41" i="9"/>
  <c r="I41" i="9"/>
  <c r="J40" i="9"/>
  <c r="I40" i="9"/>
  <c r="J39" i="9"/>
  <c r="I39" i="9"/>
  <c r="J38" i="9"/>
  <c r="I38" i="9"/>
  <c r="J37" i="9"/>
  <c r="I37" i="9"/>
  <c r="J36" i="9"/>
  <c r="I36" i="9"/>
  <c r="J35" i="9"/>
  <c r="I35" i="9"/>
  <c r="J34" i="9"/>
  <c r="I34" i="9"/>
  <c r="J33" i="9"/>
  <c r="I33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J24" i="9"/>
  <c r="I24" i="9"/>
  <c r="J23" i="9"/>
  <c r="I23" i="9"/>
  <c r="J22" i="9"/>
  <c r="I22" i="9"/>
  <c r="J21" i="9"/>
  <c r="I21" i="9"/>
  <c r="J20" i="9"/>
  <c r="AC21" i="9" s="1"/>
  <c r="I20" i="9"/>
  <c r="Z21" i="9" s="1"/>
  <c r="J19" i="9"/>
  <c r="I19" i="9"/>
  <c r="J18" i="9"/>
  <c r="AD20" i="9" s="1"/>
  <c r="I18" i="9"/>
  <c r="Y21" i="9" s="1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Z15" i="9" s="1"/>
  <c r="J9" i="9"/>
  <c r="I9" i="9"/>
  <c r="Z8" i="9"/>
  <c r="V8" i="9"/>
  <c r="J8" i="9"/>
  <c r="I8" i="9"/>
  <c r="J7" i="9"/>
  <c r="I7" i="9"/>
  <c r="J6" i="9"/>
  <c r="I6" i="9"/>
  <c r="J5" i="9"/>
  <c r="I5" i="9"/>
  <c r="Y12" i="9" s="1"/>
  <c r="J4" i="9"/>
  <c r="I4" i="9"/>
  <c r="J3" i="9"/>
  <c r="I3" i="9"/>
  <c r="Y13" i="9" s="1"/>
  <c r="J2" i="9"/>
  <c r="I2" i="9"/>
  <c r="Z13" i="9" s="1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AK157" i="8"/>
  <c r="AL157" i="8"/>
  <c r="AM157" i="8"/>
  <c r="AN157" i="8"/>
  <c r="AO157" i="8"/>
  <c r="AP157" i="8"/>
  <c r="AQ157" i="8"/>
  <c r="AR157" i="8"/>
  <c r="AS157" i="8"/>
  <c r="AT157" i="8"/>
  <c r="AU157" i="8"/>
  <c r="AV157" i="8"/>
  <c r="AW157" i="8"/>
  <c r="AX157" i="8"/>
  <c r="AY157" i="8"/>
  <c r="AZ157" i="8"/>
  <c r="BA157" i="8"/>
  <c r="BB157" i="8"/>
  <c r="BC157" i="8"/>
  <c r="BD156" i="8"/>
  <c r="BD3" i="8"/>
  <c r="BE3" i="8"/>
  <c r="BD4" i="8"/>
  <c r="BE4" i="8"/>
  <c r="BD5" i="8"/>
  <c r="BE5" i="8"/>
  <c r="BD6" i="8"/>
  <c r="BE6" i="8"/>
  <c r="BD7" i="8"/>
  <c r="BE7" i="8"/>
  <c r="BD8" i="8"/>
  <c r="BE8" i="8"/>
  <c r="BD9" i="8"/>
  <c r="BE9" i="8"/>
  <c r="BD10" i="8"/>
  <c r="BE10" i="8"/>
  <c r="BD11" i="8"/>
  <c r="BE11" i="8"/>
  <c r="BD12" i="8"/>
  <c r="BE12" i="8"/>
  <c r="BD13" i="8"/>
  <c r="BE13" i="8"/>
  <c r="BD14" i="8"/>
  <c r="BE14" i="8"/>
  <c r="BD15" i="8"/>
  <c r="BE15" i="8"/>
  <c r="BD16" i="8"/>
  <c r="BE16" i="8"/>
  <c r="BD17" i="8"/>
  <c r="BE17" i="8"/>
  <c r="BD18" i="8"/>
  <c r="BE18" i="8"/>
  <c r="BD19" i="8"/>
  <c r="BE19" i="8"/>
  <c r="BD20" i="8"/>
  <c r="BE20" i="8"/>
  <c r="BD21" i="8"/>
  <c r="BE21" i="8"/>
  <c r="BD22" i="8"/>
  <c r="BE22" i="8"/>
  <c r="BD23" i="8"/>
  <c r="BE23" i="8"/>
  <c r="BD24" i="8"/>
  <c r="BE24" i="8"/>
  <c r="BD25" i="8"/>
  <c r="BE25" i="8"/>
  <c r="BD26" i="8"/>
  <c r="BE26" i="8"/>
  <c r="BD27" i="8"/>
  <c r="BE27" i="8"/>
  <c r="BD28" i="8"/>
  <c r="BE28" i="8"/>
  <c r="BD29" i="8"/>
  <c r="BE29" i="8"/>
  <c r="BD30" i="8"/>
  <c r="BE30" i="8"/>
  <c r="BD31" i="8"/>
  <c r="BE31" i="8"/>
  <c r="BD32" i="8"/>
  <c r="BE32" i="8"/>
  <c r="BD33" i="8"/>
  <c r="BE33" i="8"/>
  <c r="BD34" i="8"/>
  <c r="BE34" i="8"/>
  <c r="BD35" i="8"/>
  <c r="BE35" i="8"/>
  <c r="BD36" i="8"/>
  <c r="BE36" i="8"/>
  <c r="BD37" i="8"/>
  <c r="BE37" i="8"/>
  <c r="BD38" i="8"/>
  <c r="BE38" i="8"/>
  <c r="BD39" i="8"/>
  <c r="BE39" i="8"/>
  <c r="BD40" i="8"/>
  <c r="BE40" i="8"/>
  <c r="BD41" i="8"/>
  <c r="BE41" i="8"/>
  <c r="BD42" i="8"/>
  <c r="BE42" i="8"/>
  <c r="BD43" i="8"/>
  <c r="BE43" i="8"/>
  <c r="BD44" i="8"/>
  <c r="BE44" i="8"/>
  <c r="BD45" i="8"/>
  <c r="BE45" i="8"/>
  <c r="BD46" i="8"/>
  <c r="BE46" i="8"/>
  <c r="BD47" i="8"/>
  <c r="BE47" i="8"/>
  <c r="BD48" i="8"/>
  <c r="BE48" i="8"/>
  <c r="BD49" i="8"/>
  <c r="BE49" i="8"/>
  <c r="BD50" i="8"/>
  <c r="BE50" i="8"/>
  <c r="BD51" i="8"/>
  <c r="BE51" i="8"/>
  <c r="BD52" i="8"/>
  <c r="BE52" i="8"/>
  <c r="BD53" i="8"/>
  <c r="BE53" i="8"/>
  <c r="BD54" i="8"/>
  <c r="BE54" i="8"/>
  <c r="BD55" i="8"/>
  <c r="BE55" i="8"/>
  <c r="BD56" i="8"/>
  <c r="BE56" i="8"/>
  <c r="BD57" i="8"/>
  <c r="BE57" i="8"/>
  <c r="BD58" i="8"/>
  <c r="BE58" i="8"/>
  <c r="BD59" i="8"/>
  <c r="BE59" i="8"/>
  <c r="BD60" i="8"/>
  <c r="BE60" i="8"/>
  <c r="BD61" i="8"/>
  <c r="BE61" i="8"/>
  <c r="BD62" i="8"/>
  <c r="BE62" i="8"/>
  <c r="BD63" i="8"/>
  <c r="BE63" i="8"/>
  <c r="BD64" i="8"/>
  <c r="BE64" i="8"/>
  <c r="BD65" i="8"/>
  <c r="BE65" i="8"/>
  <c r="BD66" i="8"/>
  <c r="BE66" i="8"/>
  <c r="BD67" i="8"/>
  <c r="BE67" i="8"/>
  <c r="BD68" i="8"/>
  <c r="BE68" i="8"/>
  <c r="BD69" i="8"/>
  <c r="BE69" i="8"/>
  <c r="BD70" i="8"/>
  <c r="BE70" i="8"/>
  <c r="BD71" i="8"/>
  <c r="BE71" i="8"/>
  <c r="BD72" i="8"/>
  <c r="BE72" i="8"/>
  <c r="BD73" i="8"/>
  <c r="BE73" i="8"/>
  <c r="BD74" i="8"/>
  <c r="BE74" i="8"/>
  <c r="BD75" i="8"/>
  <c r="BE75" i="8"/>
  <c r="BD76" i="8"/>
  <c r="BE76" i="8"/>
  <c r="BD77" i="8"/>
  <c r="BE77" i="8"/>
  <c r="BD78" i="8"/>
  <c r="BE78" i="8"/>
  <c r="BD79" i="8"/>
  <c r="BE79" i="8"/>
  <c r="BD80" i="8"/>
  <c r="BE80" i="8"/>
  <c r="BD81" i="8"/>
  <c r="BE81" i="8"/>
  <c r="BD82" i="8"/>
  <c r="BE82" i="8"/>
  <c r="BD83" i="8"/>
  <c r="BE83" i="8"/>
  <c r="BD84" i="8"/>
  <c r="BE84" i="8"/>
  <c r="BD85" i="8"/>
  <c r="BE85" i="8"/>
  <c r="BD86" i="8"/>
  <c r="BE86" i="8"/>
  <c r="BD87" i="8"/>
  <c r="BE87" i="8"/>
  <c r="BD88" i="8"/>
  <c r="BE88" i="8"/>
  <c r="BD89" i="8"/>
  <c r="BE89" i="8"/>
  <c r="BD90" i="8"/>
  <c r="BE90" i="8"/>
  <c r="BD91" i="8"/>
  <c r="BE91" i="8"/>
  <c r="BD92" i="8"/>
  <c r="BE92" i="8"/>
  <c r="BD93" i="8"/>
  <c r="BE93" i="8"/>
  <c r="BD94" i="8"/>
  <c r="BE94" i="8"/>
  <c r="BD95" i="8"/>
  <c r="BE95" i="8"/>
  <c r="BD96" i="8"/>
  <c r="BE96" i="8"/>
  <c r="BD97" i="8"/>
  <c r="BE97" i="8"/>
  <c r="BD98" i="8"/>
  <c r="BE98" i="8"/>
  <c r="BD99" i="8"/>
  <c r="BE99" i="8"/>
  <c r="BD100" i="8"/>
  <c r="BE100" i="8"/>
  <c r="BD101" i="8"/>
  <c r="BE101" i="8"/>
  <c r="BD102" i="8"/>
  <c r="BE102" i="8"/>
  <c r="BD103" i="8"/>
  <c r="BE103" i="8"/>
  <c r="BD104" i="8"/>
  <c r="BE104" i="8"/>
  <c r="BD105" i="8"/>
  <c r="BE105" i="8"/>
  <c r="BD106" i="8"/>
  <c r="BE106" i="8"/>
  <c r="BD107" i="8"/>
  <c r="BE107" i="8"/>
  <c r="BD108" i="8"/>
  <c r="BE108" i="8"/>
  <c r="BD109" i="8"/>
  <c r="BE109" i="8"/>
  <c r="BD110" i="8"/>
  <c r="BE110" i="8"/>
  <c r="BD111" i="8"/>
  <c r="BE111" i="8"/>
  <c r="BD112" i="8"/>
  <c r="BE112" i="8"/>
  <c r="BD113" i="8"/>
  <c r="BE113" i="8"/>
  <c r="BD114" i="8"/>
  <c r="BE114" i="8"/>
  <c r="BD115" i="8"/>
  <c r="BE115" i="8"/>
  <c r="BD116" i="8"/>
  <c r="BE116" i="8"/>
  <c r="BD117" i="8"/>
  <c r="BE117" i="8"/>
  <c r="BD118" i="8"/>
  <c r="BE118" i="8"/>
  <c r="BD119" i="8"/>
  <c r="BE119" i="8"/>
  <c r="BD120" i="8"/>
  <c r="BE120" i="8"/>
  <c r="BD121" i="8"/>
  <c r="BE121" i="8"/>
  <c r="BD122" i="8"/>
  <c r="BE122" i="8"/>
  <c r="BD123" i="8"/>
  <c r="BE123" i="8"/>
  <c r="BD124" i="8"/>
  <c r="BE124" i="8"/>
  <c r="BD125" i="8"/>
  <c r="BE125" i="8"/>
  <c r="BD126" i="8"/>
  <c r="BE126" i="8"/>
  <c r="BD127" i="8"/>
  <c r="BE127" i="8"/>
  <c r="BD128" i="8"/>
  <c r="BE128" i="8"/>
  <c r="BD129" i="8"/>
  <c r="BE129" i="8"/>
  <c r="BD130" i="8"/>
  <c r="BE130" i="8"/>
  <c r="BD131" i="8"/>
  <c r="BE131" i="8"/>
  <c r="BD132" i="8"/>
  <c r="BE132" i="8"/>
  <c r="BD133" i="8"/>
  <c r="BE133" i="8"/>
  <c r="BD134" i="8"/>
  <c r="BE134" i="8"/>
  <c r="BD135" i="8"/>
  <c r="BE135" i="8"/>
  <c r="BD136" i="8"/>
  <c r="BE136" i="8"/>
  <c r="BD137" i="8"/>
  <c r="BE137" i="8"/>
  <c r="BD138" i="8"/>
  <c r="BE138" i="8"/>
  <c r="BD139" i="8"/>
  <c r="BE139" i="8"/>
  <c r="BD140" i="8"/>
  <c r="BE140" i="8"/>
  <c r="BD141" i="8"/>
  <c r="BE141" i="8"/>
  <c r="BD142" i="8"/>
  <c r="BE142" i="8"/>
  <c r="BD143" i="8"/>
  <c r="BE143" i="8"/>
  <c r="BD144" i="8"/>
  <c r="BE144" i="8"/>
  <c r="BD145" i="8"/>
  <c r="BE145" i="8"/>
  <c r="BD146" i="8"/>
  <c r="BE146" i="8"/>
  <c r="BD147" i="8"/>
  <c r="BE147" i="8"/>
  <c r="BD148" i="8"/>
  <c r="BE148" i="8"/>
  <c r="BD149" i="8"/>
  <c r="BE149" i="8"/>
  <c r="BD150" i="8"/>
  <c r="BE150" i="8"/>
  <c r="BD151" i="8"/>
  <c r="BE151" i="8"/>
  <c r="BD152" i="8"/>
  <c r="BE152" i="8"/>
  <c r="BD153" i="8"/>
  <c r="BE153" i="8"/>
  <c r="BD154" i="8"/>
  <c r="BE154" i="8"/>
  <c r="BD155" i="8"/>
  <c r="BE155" i="8"/>
  <c r="BE156" i="8"/>
  <c r="U12" i="9" l="1"/>
  <c r="AD21" i="9"/>
  <c r="Z12" i="9"/>
  <c r="U5" i="9"/>
  <c r="V12" i="9"/>
  <c r="Y20" i="9"/>
  <c r="U13" i="9"/>
  <c r="T16" i="9" s="1"/>
  <c r="Z20" i="9"/>
  <c r="U20" i="9"/>
  <c r="V20" i="9"/>
  <c r="V15" i="9"/>
  <c r="AC20" i="9"/>
  <c r="Z23" i="9"/>
  <c r="Q4" i="9"/>
  <c r="Q12" i="9"/>
  <c r="R14" i="9" s="1"/>
  <c r="R12" i="9"/>
  <c r="R13" i="9"/>
  <c r="R23" i="9"/>
  <c r="R15" i="9"/>
  <c r="BJ2" i="11"/>
  <c r="BK2" i="11"/>
  <c r="U21" i="9"/>
  <c r="V21" i="9"/>
  <c r="T24" i="9" s="1"/>
  <c r="V23" i="9"/>
  <c r="V5" i="9"/>
  <c r="R5" i="9"/>
  <c r="R4" i="9"/>
  <c r="Q21" i="9"/>
  <c r="R20" i="9"/>
  <c r="R21" i="9"/>
  <c r="Q20" i="9"/>
  <c r="AD24" i="9" s="1"/>
  <c r="X16" i="9"/>
  <c r="Z14" i="9"/>
  <c r="AC4" i="9"/>
  <c r="V4" i="9"/>
  <c r="Z4" i="9"/>
  <c r="V7" i="9"/>
  <c r="AD5" i="9"/>
  <c r="U4" i="9"/>
  <c r="Y5" i="9"/>
  <c r="R7" i="9"/>
  <c r="Z5" i="9"/>
  <c r="AC5" i="9"/>
  <c r="Z7" i="9"/>
  <c r="AD4" i="9"/>
  <c r="Y4" i="9"/>
  <c r="AB8" i="9" l="1"/>
  <c r="R6" i="9"/>
  <c r="X24" i="9"/>
  <c r="Z22" i="9"/>
  <c r="P8" i="9"/>
  <c r="AB24" i="9"/>
  <c r="AD22" i="9"/>
  <c r="V22" i="9"/>
  <c r="V14" i="9"/>
  <c r="T8" i="9"/>
  <c r="P16" i="9"/>
  <c r="R22" i="9"/>
  <c r="P24" i="9"/>
  <c r="AD23" i="9" s="1"/>
  <c r="V6" i="9"/>
  <c r="X8" i="9"/>
  <c r="Z6" i="9"/>
  <c r="AD8" i="9"/>
  <c r="AD6" i="9"/>
  <c r="AD7" i="9" l="1"/>
  <c r="BE2" i="8" l="1"/>
  <c r="BE157" i="8" s="1"/>
  <c r="BD2" i="8" l="1"/>
  <c r="BD157" i="8" s="1"/>
  <c r="BD156" i="7" l="1"/>
  <c r="BD155" i="7"/>
  <c r="BD154" i="7"/>
  <c r="BD153" i="7"/>
  <c r="BD152" i="7"/>
  <c r="BD151" i="7"/>
  <c r="BD150" i="7"/>
  <c r="BD149" i="7"/>
  <c r="BD148" i="7"/>
  <c r="BD147" i="7"/>
  <c r="BD146" i="7"/>
  <c r="BD145" i="7"/>
  <c r="BD144" i="7"/>
  <c r="BD143" i="7"/>
  <c r="BD142" i="7"/>
  <c r="BD141" i="7"/>
  <c r="BD140" i="7"/>
  <c r="BD139" i="7"/>
  <c r="BD138" i="7"/>
  <c r="BD137" i="7"/>
  <c r="BD136" i="7"/>
  <c r="BD135" i="7"/>
  <c r="BD134" i="7"/>
  <c r="BD133" i="7"/>
  <c r="BD132" i="7"/>
  <c r="BD131" i="7"/>
  <c r="BD130" i="7"/>
  <c r="BD129" i="7"/>
  <c r="BD128" i="7"/>
  <c r="BD127" i="7"/>
  <c r="BD126" i="7"/>
  <c r="BD125" i="7"/>
  <c r="BD124" i="7"/>
  <c r="BD123" i="7"/>
  <c r="BD122" i="7"/>
  <c r="BD121" i="7"/>
  <c r="BD120" i="7"/>
  <c r="BD119" i="7"/>
  <c r="BD118" i="7"/>
  <c r="BD117" i="7"/>
  <c r="BD116" i="7"/>
  <c r="BD115" i="7"/>
  <c r="BD114" i="7"/>
  <c r="BD113" i="7"/>
  <c r="BD112" i="7"/>
  <c r="BD111" i="7"/>
  <c r="BD110" i="7"/>
  <c r="BD109" i="7"/>
  <c r="BD108" i="7"/>
  <c r="BD107" i="7"/>
  <c r="BD106" i="7"/>
  <c r="BD105" i="7"/>
  <c r="BD104" i="7"/>
  <c r="BD103" i="7"/>
  <c r="BD102" i="7"/>
  <c r="BD101" i="7"/>
  <c r="BD100" i="7"/>
  <c r="BD99" i="7"/>
  <c r="BD98" i="7"/>
  <c r="BD97" i="7"/>
  <c r="BD96" i="7"/>
  <c r="BD95" i="7"/>
  <c r="BD94" i="7"/>
  <c r="BD93" i="7"/>
  <c r="BD92" i="7"/>
  <c r="BD91" i="7"/>
  <c r="BD90" i="7"/>
  <c r="BD89" i="7"/>
  <c r="BD88" i="7"/>
  <c r="BD87" i="7"/>
  <c r="BD86" i="7"/>
  <c r="BD85" i="7"/>
  <c r="BD84" i="7"/>
  <c r="BD83" i="7"/>
  <c r="BD82" i="7"/>
  <c r="BD81" i="7"/>
  <c r="BD80" i="7"/>
  <c r="BD79" i="7"/>
  <c r="BD78" i="7"/>
  <c r="BD77" i="7"/>
  <c r="BD76" i="7"/>
  <c r="BD75" i="7"/>
  <c r="BD74" i="7"/>
  <c r="BD73" i="7"/>
  <c r="BD72" i="7"/>
  <c r="BD71" i="7"/>
  <c r="BD70" i="7"/>
  <c r="BD69" i="7"/>
  <c r="BD68" i="7"/>
  <c r="BD67" i="7"/>
  <c r="BD66" i="7"/>
  <c r="BD65" i="7"/>
  <c r="BD64" i="7"/>
  <c r="BD63" i="7"/>
  <c r="BD62" i="7"/>
  <c r="BD61" i="7"/>
  <c r="BD60" i="7"/>
  <c r="BD59" i="7"/>
  <c r="BD58" i="7"/>
  <c r="BD57" i="7"/>
  <c r="BD56" i="7"/>
  <c r="BD55" i="7"/>
  <c r="BD54" i="7"/>
  <c r="BD53" i="7"/>
  <c r="BD52" i="7"/>
  <c r="BD51" i="7"/>
  <c r="BD50" i="7"/>
  <c r="BD49" i="7"/>
  <c r="BD48" i="7"/>
  <c r="BD47" i="7"/>
  <c r="BD46" i="7"/>
  <c r="BD45" i="7"/>
  <c r="BD44" i="7"/>
  <c r="BD43" i="7"/>
  <c r="BD42" i="7"/>
  <c r="BD41" i="7"/>
  <c r="BD40" i="7"/>
  <c r="BD39" i="7"/>
  <c r="BD38" i="7"/>
  <c r="BD37" i="7"/>
  <c r="BD36" i="7"/>
  <c r="BD35" i="7"/>
  <c r="BD34" i="7"/>
  <c r="BD33" i="7"/>
  <c r="BD32" i="7"/>
  <c r="BD31" i="7"/>
  <c r="BD30" i="7"/>
  <c r="BD29" i="7"/>
  <c r="BD28" i="7"/>
  <c r="BD27" i="7"/>
  <c r="BD26" i="7"/>
  <c r="BD25" i="7"/>
  <c r="BD24" i="7"/>
  <c r="BD23" i="7"/>
  <c r="BD22" i="7"/>
  <c r="BD21" i="7"/>
  <c r="BD20" i="7"/>
  <c r="BD19" i="7"/>
  <c r="BD18" i="7"/>
  <c r="BD17" i="7"/>
  <c r="BD16" i="7"/>
  <c r="BD15" i="7"/>
  <c r="BD14" i="7"/>
  <c r="BD13" i="7"/>
  <c r="BD12" i="7"/>
  <c r="BD11" i="7"/>
  <c r="BD10" i="7"/>
  <c r="BD9" i="7"/>
  <c r="BD8" i="7"/>
  <c r="BD7" i="7"/>
  <c r="BD6" i="7"/>
  <c r="BD5" i="7"/>
  <c r="BD4" i="7"/>
  <c r="BD3" i="7"/>
  <c r="BD2" i="7"/>
  <c r="BF157" i="4"/>
  <c r="BE157" i="4"/>
  <c r="BD157" i="4"/>
  <c r="BC157" i="4"/>
  <c r="BB157" i="4"/>
  <c r="BA157" i="4"/>
  <c r="AZ157" i="4"/>
  <c r="AY157" i="4"/>
  <c r="AX157" i="4"/>
  <c r="AW157" i="4"/>
  <c r="AV157" i="4"/>
  <c r="AU157" i="4"/>
  <c r="AT157" i="4"/>
  <c r="AS157" i="4"/>
  <c r="AR157" i="4"/>
  <c r="AQ157" i="4"/>
  <c r="AP157" i="4"/>
  <c r="AO157" i="4"/>
  <c r="AN157" i="4"/>
  <c r="AM157" i="4"/>
  <c r="AL157" i="4"/>
  <c r="AK157" i="4"/>
  <c r="AJ157" i="4"/>
  <c r="AI157" i="4"/>
  <c r="AH157" i="4"/>
  <c r="AG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BF156" i="4"/>
  <c r="BE156" i="4"/>
  <c r="BD156" i="4"/>
  <c r="BC156" i="4"/>
  <c r="BB156" i="4"/>
  <c r="BA156" i="4"/>
  <c r="AZ156" i="4"/>
  <c r="AY156" i="4"/>
  <c r="AX156" i="4"/>
  <c r="AW156" i="4"/>
  <c r="AV156" i="4"/>
  <c r="AU156" i="4"/>
  <c r="AT156" i="4"/>
  <c r="AS156" i="4"/>
  <c r="AR156" i="4"/>
  <c r="AQ156" i="4"/>
  <c r="AP156" i="4"/>
  <c r="AO156" i="4"/>
  <c r="AN156" i="4"/>
  <c r="AM156" i="4"/>
  <c r="AL156" i="4"/>
  <c r="AK156" i="4"/>
  <c r="AJ156" i="4"/>
  <c r="AI156" i="4"/>
  <c r="AH156" i="4"/>
  <c r="AG156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BF155" i="4"/>
  <c r="BE155" i="4"/>
  <c r="BD155" i="4"/>
  <c r="BC155" i="4"/>
  <c r="BB155" i="4"/>
  <c r="BA155" i="4"/>
  <c r="AZ155" i="4"/>
  <c r="AY155" i="4"/>
  <c r="AX155" i="4"/>
  <c r="AW155" i="4"/>
  <c r="AV155" i="4"/>
  <c r="AU155" i="4"/>
  <c r="AT155" i="4"/>
  <c r="AS155" i="4"/>
  <c r="AR155" i="4"/>
  <c r="AQ155" i="4"/>
  <c r="AP155" i="4"/>
  <c r="AO155" i="4"/>
  <c r="AN155" i="4"/>
  <c r="AM155" i="4"/>
  <c r="AL155" i="4"/>
  <c r="AK155" i="4"/>
  <c r="AJ155" i="4"/>
  <c r="AI155" i="4"/>
  <c r="AH155" i="4"/>
  <c r="AG155" i="4"/>
  <c r="AF155" i="4"/>
  <c r="AE155" i="4"/>
  <c r="AD155" i="4"/>
  <c r="AC155" i="4"/>
  <c r="AB155" i="4"/>
  <c r="AA155" i="4"/>
  <c r="Z155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BF154" i="4"/>
  <c r="BE154" i="4"/>
  <c r="BD154" i="4"/>
  <c r="BC154" i="4"/>
  <c r="BB154" i="4"/>
  <c r="BA154" i="4"/>
  <c r="AZ154" i="4"/>
  <c r="AY154" i="4"/>
  <c r="AX154" i="4"/>
  <c r="AW154" i="4"/>
  <c r="AV154" i="4"/>
  <c r="AU154" i="4"/>
  <c r="AT154" i="4"/>
  <c r="AS154" i="4"/>
  <c r="AR154" i="4"/>
  <c r="AQ154" i="4"/>
  <c r="AP154" i="4"/>
  <c r="AO154" i="4"/>
  <c r="AN154" i="4"/>
  <c r="AM154" i="4"/>
  <c r="AL154" i="4"/>
  <c r="AK154" i="4"/>
  <c r="AJ154" i="4"/>
  <c r="AI154" i="4"/>
  <c r="AH154" i="4"/>
  <c r="AG154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BF153" i="4"/>
  <c r="BE153" i="4"/>
  <c r="BD153" i="4"/>
  <c r="BC153" i="4"/>
  <c r="BB153" i="4"/>
  <c r="BA153" i="4"/>
  <c r="AZ153" i="4"/>
  <c r="AY153" i="4"/>
  <c r="AX153" i="4"/>
  <c r="AW153" i="4"/>
  <c r="AV153" i="4"/>
  <c r="AU153" i="4"/>
  <c r="AT153" i="4"/>
  <c r="AS153" i="4"/>
  <c r="AR153" i="4"/>
  <c r="AQ153" i="4"/>
  <c r="AP153" i="4"/>
  <c r="AO153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BF152" i="4"/>
  <c r="BE152" i="4"/>
  <c r="BD152" i="4"/>
  <c r="BC152" i="4"/>
  <c r="BB152" i="4"/>
  <c r="BA152" i="4"/>
  <c r="AZ152" i="4"/>
  <c r="AY152" i="4"/>
  <c r="AX152" i="4"/>
  <c r="AW152" i="4"/>
  <c r="AV152" i="4"/>
  <c r="AU152" i="4"/>
  <c r="AT152" i="4"/>
  <c r="AS152" i="4"/>
  <c r="AR152" i="4"/>
  <c r="AQ152" i="4"/>
  <c r="AP152" i="4"/>
  <c r="AO152" i="4"/>
  <c r="AN152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BF151" i="4"/>
  <c r="BE151" i="4"/>
  <c r="BD151" i="4"/>
  <c r="BC151" i="4"/>
  <c r="BB151" i="4"/>
  <c r="BA151" i="4"/>
  <c r="AZ151" i="4"/>
  <c r="AY151" i="4"/>
  <c r="AX151" i="4"/>
  <c r="AW151" i="4"/>
  <c r="AV151" i="4"/>
  <c r="AU151" i="4"/>
  <c r="AT151" i="4"/>
  <c r="AS151" i="4"/>
  <c r="AR151" i="4"/>
  <c r="AQ151" i="4"/>
  <c r="AP151" i="4"/>
  <c r="AO151" i="4"/>
  <c r="AN151" i="4"/>
  <c r="AM151" i="4"/>
  <c r="AL151" i="4"/>
  <c r="AK151" i="4"/>
  <c r="AJ151" i="4"/>
  <c r="AI151" i="4"/>
  <c r="AH151" i="4"/>
  <c r="AG151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BF150" i="4"/>
  <c r="BE150" i="4"/>
  <c r="BD150" i="4"/>
  <c r="BC150" i="4"/>
  <c r="BB150" i="4"/>
  <c r="BA150" i="4"/>
  <c r="AZ150" i="4"/>
  <c r="AY150" i="4"/>
  <c r="AX150" i="4"/>
  <c r="AW150" i="4"/>
  <c r="AV150" i="4"/>
  <c r="AU150" i="4"/>
  <c r="AT150" i="4"/>
  <c r="AS150" i="4"/>
  <c r="AR150" i="4"/>
  <c r="AQ150" i="4"/>
  <c r="AP150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BF149" i="4"/>
  <c r="BE149" i="4"/>
  <c r="BD149" i="4"/>
  <c r="BC149" i="4"/>
  <c r="BB149" i="4"/>
  <c r="BA149" i="4"/>
  <c r="AZ149" i="4"/>
  <c r="AY149" i="4"/>
  <c r="AX149" i="4"/>
  <c r="AW149" i="4"/>
  <c r="AV149" i="4"/>
  <c r="AU149" i="4"/>
  <c r="AT149" i="4"/>
  <c r="AS149" i="4"/>
  <c r="AR149" i="4"/>
  <c r="AQ149" i="4"/>
  <c r="AP149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BF148" i="4"/>
  <c r="BE148" i="4"/>
  <c r="BD148" i="4"/>
  <c r="BC148" i="4"/>
  <c r="BB148" i="4"/>
  <c r="BA148" i="4"/>
  <c r="AZ148" i="4"/>
  <c r="AY148" i="4"/>
  <c r="AX148" i="4"/>
  <c r="AW148" i="4"/>
  <c r="AV148" i="4"/>
  <c r="AU148" i="4"/>
  <c r="AT148" i="4"/>
  <c r="AS148" i="4"/>
  <c r="AR148" i="4"/>
  <c r="AQ148" i="4"/>
  <c r="AP148" i="4"/>
  <c r="AO148" i="4"/>
  <c r="AN148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BF147" i="4"/>
  <c r="BE147" i="4"/>
  <c r="BD147" i="4"/>
  <c r="BC147" i="4"/>
  <c r="BB147" i="4"/>
  <c r="BA147" i="4"/>
  <c r="AZ147" i="4"/>
  <c r="AY147" i="4"/>
  <c r="AX147" i="4"/>
  <c r="AW147" i="4"/>
  <c r="AV147" i="4"/>
  <c r="AU147" i="4"/>
  <c r="AT147" i="4"/>
  <c r="AS147" i="4"/>
  <c r="AR147" i="4"/>
  <c r="AQ147" i="4"/>
  <c r="AP147" i="4"/>
  <c r="AO147" i="4"/>
  <c r="AN147" i="4"/>
  <c r="AM147" i="4"/>
  <c r="AL147" i="4"/>
  <c r="AK147" i="4"/>
  <c r="AJ147" i="4"/>
  <c r="AI147" i="4"/>
  <c r="AH147" i="4"/>
  <c r="AG147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BF146" i="4"/>
  <c r="BE146" i="4"/>
  <c r="BD146" i="4"/>
  <c r="BC146" i="4"/>
  <c r="BB146" i="4"/>
  <c r="BA146" i="4"/>
  <c r="AZ146" i="4"/>
  <c r="AY146" i="4"/>
  <c r="AX146" i="4"/>
  <c r="AW146" i="4"/>
  <c r="AV146" i="4"/>
  <c r="AU146" i="4"/>
  <c r="AT146" i="4"/>
  <c r="AS146" i="4"/>
  <c r="AR146" i="4"/>
  <c r="AQ146" i="4"/>
  <c r="AP146" i="4"/>
  <c r="AO146" i="4"/>
  <c r="AN146" i="4"/>
  <c r="AM146" i="4"/>
  <c r="AL146" i="4"/>
  <c r="AK146" i="4"/>
  <c r="AJ146" i="4"/>
  <c r="AI146" i="4"/>
  <c r="AH146" i="4"/>
  <c r="AG146" i="4"/>
  <c r="AF146" i="4"/>
  <c r="AE146" i="4"/>
  <c r="AD146" i="4"/>
  <c r="AC146" i="4"/>
  <c r="AB146" i="4"/>
  <c r="AA146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BF145" i="4"/>
  <c r="BE145" i="4"/>
  <c r="BD145" i="4"/>
  <c r="BC145" i="4"/>
  <c r="BB145" i="4"/>
  <c r="BA145" i="4"/>
  <c r="AZ145" i="4"/>
  <c r="AY145" i="4"/>
  <c r="AX145" i="4"/>
  <c r="AW145" i="4"/>
  <c r="AV145" i="4"/>
  <c r="AU145" i="4"/>
  <c r="AT145" i="4"/>
  <c r="AS145" i="4"/>
  <c r="AR145" i="4"/>
  <c r="AQ145" i="4"/>
  <c r="AP145" i="4"/>
  <c r="AO145" i="4"/>
  <c r="AN145" i="4"/>
  <c r="AM145" i="4"/>
  <c r="AL145" i="4"/>
  <c r="AK145" i="4"/>
  <c r="AJ145" i="4"/>
  <c r="AI145" i="4"/>
  <c r="AH145" i="4"/>
  <c r="AG145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BF144" i="4"/>
  <c r="BE144" i="4"/>
  <c r="BD144" i="4"/>
  <c r="BC144" i="4"/>
  <c r="BB144" i="4"/>
  <c r="BA144" i="4"/>
  <c r="AZ144" i="4"/>
  <c r="AY144" i="4"/>
  <c r="AX144" i="4"/>
  <c r="AW144" i="4"/>
  <c r="AV144" i="4"/>
  <c r="AU144" i="4"/>
  <c r="AT144" i="4"/>
  <c r="AS144" i="4"/>
  <c r="AR144" i="4"/>
  <c r="AQ144" i="4"/>
  <c r="AP144" i="4"/>
  <c r="AO144" i="4"/>
  <c r="AN144" i="4"/>
  <c r="AM144" i="4"/>
  <c r="AL144" i="4"/>
  <c r="AK144" i="4"/>
  <c r="AJ144" i="4"/>
  <c r="AI144" i="4"/>
  <c r="AH144" i="4"/>
  <c r="AG144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BF143" i="4"/>
  <c r="BE143" i="4"/>
  <c r="BD143" i="4"/>
  <c r="BC143" i="4"/>
  <c r="BB143" i="4"/>
  <c r="BA143" i="4"/>
  <c r="AZ143" i="4"/>
  <c r="AY143" i="4"/>
  <c r="AX143" i="4"/>
  <c r="AW143" i="4"/>
  <c r="AV143" i="4"/>
  <c r="AU143" i="4"/>
  <c r="AT143" i="4"/>
  <c r="AS143" i="4"/>
  <c r="AR143" i="4"/>
  <c r="AQ143" i="4"/>
  <c r="AP143" i="4"/>
  <c r="AO143" i="4"/>
  <c r="AN143" i="4"/>
  <c r="AM143" i="4"/>
  <c r="AL143" i="4"/>
  <c r="AK143" i="4"/>
  <c r="AJ143" i="4"/>
  <c r="AI143" i="4"/>
  <c r="AH143" i="4"/>
  <c r="AG143" i="4"/>
  <c r="AF143" i="4"/>
  <c r="AE143" i="4"/>
  <c r="AD143" i="4"/>
  <c r="AC143" i="4"/>
  <c r="AB143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BF142" i="4"/>
  <c r="BE142" i="4"/>
  <c r="BD142" i="4"/>
  <c r="BC142" i="4"/>
  <c r="BB142" i="4"/>
  <c r="BA142" i="4"/>
  <c r="AZ142" i="4"/>
  <c r="AY142" i="4"/>
  <c r="AX142" i="4"/>
  <c r="AW142" i="4"/>
  <c r="AV142" i="4"/>
  <c r="AU142" i="4"/>
  <c r="AT142" i="4"/>
  <c r="AS142" i="4"/>
  <c r="AR142" i="4"/>
  <c r="AQ142" i="4"/>
  <c r="AP142" i="4"/>
  <c r="AO142" i="4"/>
  <c r="AN142" i="4"/>
  <c r="AM142" i="4"/>
  <c r="AL142" i="4"/>
  <c r="AK142" i="4"/>
  <c r="AJ142" i="4"/>
  <c r="AI142" i="4"/>
  <c r="AH142" i="4"/>
  <c r="AG142" i="4"/>
  <c r="AF142" i="4"/>
  <c r="AE142" i="4"/>
  <c r="AD142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BF141" i="4"/>
  <c r="BE141" i="4"/>
  <c r="BD141" i="4"/>
  <c r="BC141" i="4"/>
  <c r="BB141" i="4"/>
  <c r="BA141" i="4"/>
  <c r="AZ141" i="4"/>
  <c r="AY141" i="4"/>
  <c r="AX141" i="4"/>
  <c r="AW141" i="4"/>
  <c r="AV141" i="4"/>
  <c r="AU141" i="4"/>
  <c r="AT141" i="4"/>
  <c r="AS141" i="4"/>
  <c r="AR141" i="4"/>
  <c r="AQ141" i="4"/>
  <c r="AP141" i="4"/>
  <c r="AO141" i="4"/>
  <c r="AN141" i="4"/>
  <c r="AM141" i="4"/>
  <c r="AL141" i="4"/>
  <c r="AK141" i="4"/>
  <c r="AJ141" i="4"/>
  <c r="AI141" i="4"/>
  <c r="AH141" i="4"/>
  <c r="AG141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BF140" i="4"/>
  <c r="BE140" i="4"/>
  <c r="BD140" i="4"/>
  <c r="BC140" i="4"/>
  <c r="BB140" i="4"/>
  <c r="BA140" i="4"/>
  <c r="AZ140" i="4"/>
  <c r="AY140" i="4"/>
  <c r="AX140" i="4"/>
  <c r="AW140" i="4"/>
  <c r="AV140" i="4"/>
  <c r="AU140" i="4"/>
  <c r="AT140" i="4"/>
  <c r="AS140" i="4"/>
  <c r="AR140" i="4"/>
  <c r="AQ140" i="4"/>
  <c r="AP140" i="4"/>
  <c r="AO140" i="4"/>
  <c r="AN140" i="4"/>
  <c r="AM140" i="4"/>
  <c r="AL140" i="4"/>
  <c r="AK140" i="4"/>
  <c r="AJ140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BF139" i="4"/>
  <c r="BE139" i="4"/>
  <c r="BD139" i="4"/>
  <c r="BC139" i="4"/>
  <c r="BB139" i="4"/>
  <c r="BA139" i="4"/>
  <c r="AZ139" i="4"/>
  <c r="AY139" i="4"/>
  <c r="AX139" i="4"/>
  <c r="AW139" i="4"/>
  <c r="AV139" i="4"/>
  <c r="AU139" i="4"/>
  <c r="AT139" i="4"/>
  <c r="AS139" i="4"/>
  <c r="AR139" i="4"/>
  <c r="AQ139" i="4"/>
  <c r="AP139" i="4"/>
  <c r="AO139" i="4"/>
  <c r="AN139" i="4"/>
  <c r="AM139" i="4"/>
  <c r="AL139" i="4"/>
  <c r="AK139" i="4"/>
  <c r="AJ139" i="4"/>
  <c r="AI139" i="4"/>
  <c r="AH139" i="4"/>
  <c r="AG139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BF138" i="4"/>
  <c r="BE138" i="4"/>
  <c r="BD138" i="4"/>
  <c r="BC138" i="4"/>
  <c r="BB138" i="4"/>
  <c r="BA138" i="4"/>
  <c r="AZ138" i="4"/>
  <c r="AY138" i="4"/>
  <c r="AX138" i="4"/>
  <c r="AW138" i="4"/>
  <c r="AV138" i="4"/>
  <c r="AU138" i="4"/>
  <c r="AT138" i="4"/>
  <c r="AS138" i="4"/>
  <c r="AR138" i="4"/>
  <c r="AQ138" i="4"/>
  <c r="AP138" i="4"/>
  <c r="AO138" i="4"/>
  <c r="AN138" i="4"/>
  <c r="AM138" i="4"/>
  <c r="AL138" i="4"/>
  <c r="AK138" i="4"/>
  <c r="AJ138" i="4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BF137" i="4"/>
  <c r="BE137" i="4"/>
  <c r="BD137" i="4"/>
  <c r="BC137" i="4"/>
  <c r="BB137" i="4"/>
  <c r="BA137" i="4"/>
  <c r="AZ137" i="4"/>
  <c r="AY137" i="4"/>
  <c r="AX137" i="4"/>
  <c r="AW137" i="4"/>
  <c r="AV137" i="4"/>
  <c r="AU137" i="4"/>
  <c r="AT137" i="4"/>
  <c r="AS137" i="4"/>
  <c r="AR137" i="4"/>
  <c r="AQ137" i="4"/>
  <c r="AP137" i="4"/>
  <c r="AO137" i="4"/>
  <c r="AN137" i="4"/>
  <c r="AM137" i="4"/>
  <c r="AL137" i="4"/>
  <c r="AK137" i="4"/>
  <c r="AJ137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BF136" i="4"/>
  <c r="BE136" i="4"/>
  <c r="BD136" i="4"/>
  <c r="BC136" i="4"/>
  <c r="BB136" i="4"/>
  <c r="BA136" i="4"/>
  <c r="AZ136" i="4"/>
  <c r="AY136" i="4"/>
  <c r="AX136" i="4"/>
  <c r="AW136" i="4"/>
  <c r="AV136" i="4"/>
  <c r="AU136" i="4"/>
  <c r="AT136" i="4"/>
  <c r="AS136" i="4"/>
  <c r="AR136" i="4"/>
  <c r="AQ136" i="4"/>
  <c r="AP136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BF135" i="4"/>
  <c r="BE135" i="4"/>
  <c r="BD135" i="4"/>
  <c r="BC135" i="4"/>
  <c r="BB135" i="4"/>
  <c r="BA135" i="4"/>
  <c r="AZ135" i="4"/>
  <c r="AY135" i="4"/>
  <c r="AX135" i="4"/>
  <c r="AW135" i="4"/>
  <c r="AV135" i="4"/>
  <c r="AU135" i="4"/>
  <c r="AT135" i="4"/>
  <c r="AS135" i="4"/>
  <c r="AR135" i="4"/>
  <c r="AQ135" i="4"/>
  <c r="AP135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BF134" i="4"/>
  <c r="BE134" i="4"/>
  <c r="BD134" i="4"/>
  <c r="BC134" i="4"/>
  <c r="BB134" i="4"/>
  <c r="BA134" i="4"/>
  <c r="AZ134" i="4"/>
  <c r="AY134" i="4"/>
  <c r="AX134" i="4"/>
  <c r="AW134" i="4"/>
  <c r="AV134" i="4"/>
  <c r="AU134" i="4"/>
  <c r="AT134" i="4"/>
  <c r="AS134" i="4"/>
  <c r="AR134" i="4"/>
  <c r="AQ134" i="4"/>
  <c r="AP134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BF133" i="4"/>
  <c r="BE133" i="4"/>
  <c r="BD133" i="4"/>
  <c r="BC133" i="4"/>
  <c r="BB133" i="4"/>
  <c r="BA133" i="4"/>
  <c r="AZ133" i="4"/>
  <c r="AY133" i="4"/>
  <c r="AX133" i="4"/>
  <c r="AW133" i="4"/>
  <c r="AV133" i="4"/>
  <c r="AU133" i="4"/>
  <c r="AT133" i="4"/>
  <c r="AS133" i="4"/>
  <c r="AR133" i="4"/>
  <c r="AQ133" i="4"/>
  <c r="AP133" i="4"/>
  <c r="AO133" i="4"/>
  <c r="AN133" i="4"/>
  <c r="AM133" i="4"/>
  <c r="AL133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BF132" i="4"/>
  <c r="BE132" i="4"/>
  <c r="BD132" i="4"/>
  <c r="BC132" i="4"/>
  <c r="BB132" i="4"/>
  <c r="BA132" i="4"/>
  <c r="AZ132" i="4"/>
  <c r="AY132" i="4"/>
  <c r="AX132" i="4"/>
  <c r="AW132" i="4"/>
  <c r="AV132" i="4"/>
  <c r="AU132" i="4"/>
  <c r="AT132" i="4"/>
  <c r="AS132" i="4"/>
  <c r="AR132" i="4"/>
  <c r="AQ132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BF131" i="4"/>
  <c r="BE131" i="4"/>
  <c r="BD131" i="4"/>
  <c r="BC131" i="4"/>
  <c r="BB131" i="4"/>
  <c r="BA131" i="4"/>
  <c r="AZ131" i="4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BF130" i="4"/>
  <c r="BE130" i="4"/>
  <c r="BD130" i="4"/>
  <c r="BC130" i="4"/>
  <c r="BB130" i="4"/>
  <c r="BA130" i="4"/>
  <c r="AZ130" i="4"/>
  <c r="AY130" i="4"/>
  <c r="AX130" i="4"/>
  <c r="AW130" i="4"/>
  <c r="AV130" i="4"/>
  <c r="AU130" i="4"/>
  <c r="AT130" i="4"/>
  <c r="AS130" i="4"/>
  <c r="AR130" i="4"/>
  <c r="AQ130" i="4"/>
  <c r="AP130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BF129" i="4"/>
  <c r="BE129" i="4"/>
  <c r="BD129" i="4"/>
  <c r="BC129" i="4"/>
  <c r="BB129" i="4"/>
  <c r="BA129" i="4"/>
  <c r="AZ129" i="4"/>
  <c r="AY129" i="4"/>
  <c r="AX129" i="4"/>
  <c r="AW129" i="4"/>
  <c r="AV129" i="4"/>
  <c r="AU129" i="4"/>
  <c r="AT129" i="4"/>
  <c r="AS129" i="4"/>
  <c r="AR129" i="4"/>
  <c r="AQ129" i="4"/>
  <c r="AP129" i="4"/>
  <c r="AO129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BF128" i="4"/>
  <c r="BE128" i="4"/>
  <c r="BD128" i="4"/>
  <c r="BC128" i="4"/>
  <c r="BB128" i="4"/>
  <c r="BA128" i="4"/>
  <c r="AZ128" i="4"/>
  <c r="AY128" i="4"/>
  <c r="AX128" i="4"/>
  <c r="AW128" i="4"/>
  <c r="AV128" i="4"/>
  <c r="AU128" i="4"/>
  <c r="AT128" i="4"/>
  <c r="AS128" i="4"/>
  <c r="AR128" i="4"/>
  <c r="AQ128" i="4"/>
  <c r="AP128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BF127" i="4"/>
  <c r="BE127" i="4"/>
  <c r="BD127" i="4"/>
  <c r="BC127" i="4"/>
  <c r="BB127" i="4"/>
  <c r="BA127" i="4"/>
  <c r="AZ127" i="4"/>
  <c r="AY127" i="4"/>
  <c r="AX127" i="4"/>
  <c r="AW127" i="4"/>
  <c r="AV127" i="4"/>
  <c r="AU127" i="4"/>
  <c r="AT127" i="4"/>
  <c r="AS127" i="4"/>
  <c r="AR127" i="4"/>
  <c r="AQ127" i="4"/>
  <c r="AP127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BF126" i="4"/>
  <c r="BE126" i="4"/>
  <c r="BD126" i="4"/>
  <c r="BC126" i="4"/>
  <c r="BB126" i="4"/>
  <c r="BA126" i="4"/>
  <c r="AZ126" i="4"/>
  <c r="AY126" i="4"/>
  <c r="AX126" i="4"/>
  <c r="AW126" i="4"/>
  <c r="AV126" i="4"/>
  <c r="AU126" i="4"/>
  <c r="AT126" i="4"/>
  <c r="AS126" i="4"/>
  <c r="AR126" i="4"/>
  <c r="AQ126" i="4"/>
  <c r="AP126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BF125" i="4"/>
  <c r="BE125" i="4"/>
  <c r="BD125" i="4"/>
  <c r="BC125" i="4"/>
  <c r="BB125" i="4"/>
  <c r="BA125" i="4"/>
  <c r="AZ125" i="4"/>
  <c r="AY125" i="4"/>
  <c r="AX125" i="4"/>
  <c r="AW125" i="4"/>
  <c r="AV125" i="4"/>
  <c r="AU125" i="4"/>
  <c r="AT125" i="4"/>
  <c r="AS125" i="4"/>
  <c r="AR125" i="4"/>
  <c r="AQ125" i="4"/>
  <c r="AP125" i="4"/>
  <c r="AO125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BF124" i="4"/>
  <c r="BE124" i="4"/>
  <c r="BD124" i="4"/>
  <c r="BC124" i="4"/>
  <c r="BB124" i="4"/>
  <c r="BA124" i="4"/>
  <c r="AZ124" i="4"/>
  <c r="AY124" i="4"/>
  <c r="AX124" i="4"/>
  <c r="AW124" i="4"/>
  <c r="AV124" i="4"/>
  <c r="AU124" i="4"/>
  <c r="AT124" i="4"/>
  <c r="AS124" i="4"/>
  <c r="AR124" i="4"/>
  <c r="AQ124" i="4"/>
  <c r="AP124" i="4"/>
  <c r="AO124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BF123" i="4"/>
  <c r="BE123" i="4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BF122" i="4"/>
  <c r="BE122" i="4"/>
  <c r="BD122" i="4"/>
  <c r="BC122" i="4"/>
  <c r="BB122" i="4"/>
  <c r="BA122" i="4"/>
  <c r="AZ122" i="4"/>
  <c r="AY122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BF121" i="4"/>
  <c r="BE121" i="4"/>
  <c r="BD121" i="4"/>
  <c r="BC121" i="4"/>
  <c r="BB121" i="4"/>
  <c r="BA121" i="4"/>
  <c r="AZ121" i="4"/>
  <c r="AY121" i="4"/>
  <c r="AX121" i="4"/>
  <c r="AW121" i="4"/>
  <c r="AV121" i="4"/>
  <c r="AU121" i="4"/>
  <c r="AT121" i="4"/>
  <c r="AS121" i="4"/>
  <c r="AR121" i="4"/>
  <c r="AQ121" i="4"/>
  <c r="AP121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BF120" i="4"/>
  <c r="BE120" i="4"/>
  <c r="BD120" i="4"/>
  <c r="BC120" i="4"/>
  <c r="BB120" i="4"/>
  <c r="BA120" i="4"/>
  <c r="AZ120" i="4"/>
  <c r="AY120" i="4"/>
  <c r="AX120" i="4"/>
  <c r="AW120" i="4"/>
  <c r="AV120" i="4"/>
  <c r="AU120" i="4"/>
  <c r="AT120" i="4"/>
  <c r="AS120" i="4"/>
  <c r="AR120" i="4"/>
  <c r="AQ120" i="4"/>
  <c r="AP120" i="4"/>
  <c r="AO120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BF119" i="4"/>
  <c r="BE119" i="4"/>
  <c r="BD119" i="4"/>
  <c r="BC119" i="4"/>
  <c r="BB119" i="4"/>
  <c r="BA119" i="4"/>
  <c r="AZ119" i="4"/>
  <c r="AY119" i="4"/>
  <c r="AX119" i="4"/>
  <c r="AW119" i="4"/>
  <c r="AV119" i="4"/>
  <c r="AU119" i="4"/>
  <c r="AT119" i="4"/>
  <c r="AS119" i="4"/>
  <c r="AR119" i="4"/>
  <c r="AQ119" i="4"/>
  <c r="AP119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BF118" i="4"/>
  <c r="BE118" i="4"/>
  <c r="BD118" i="4"/>
  <c r="BC118" i="4"/>
  <c r="BB118" i="4"/>
  <c r="BA118" i="4"/>
  <c r="AZ118" i="4"/>
  <c r="AY118" i="4"/>
  <c r="AX118" i="4"/>
  <c r="AW118" i="4"/>
  <c r="AV118" i="4"/>
  <c r="AU118" i="4"/>
  <c r="AT118" i="4"/>
  <c r="AS118" i="4"/>
  <c r="AR118" i="4"/>
  <c r="AQ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H2" i="3" l="1"/>
  <c r="G2" i="1" l="1"/>
  <c r="J124" i="3" l="1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AB5" i="3" s="1"/>
  <c r="J7" i="1"/>
  <c r="J2" i="1"/>
  <c r="AB8" i="1"/>
  <c r="J3" i="1"/>
  <c r="J4" i="1"/>
  <c r="J5" i="1"/>
  <c r="AA4" i="1" s="1"/>
  <c r="J6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I124" i="3"/>
  <c r="H124" i="3"/>
  <c r="G124" i="3"/>
  <c r="I123" i="3"/>
  <c r="H123" i="3"/>
  <c r="G123" i="3"/>
  <c r="I122" i="3"/>
  <c r="H122" i="3"/>
  <c r="G122" i="3"/>
  <c r="I121" i="3"/>
  <c r="H121" i="3"/>
  <c r="G121" i="3"/>
  <c r="I120" i="3"/>
  <c r="H120" i="3"/>
  <c r="G120" i="3"/>
  <c r="I119" i="3"/>
  <c r="H119" i="3"/>
  <c r="G119" i="3"/>
  <c r="I118" i="3"/>
  <c r="H118" i="3"/>
  <c r="G118" i="3"/>
  <c r="I117" i="3"/>
  <c r="H117" i="3"/>
  <c r="G117" i="3"/>
  <c r="I116" i="3"/>
  <c r="H116" i="3"/>
  <c r="G116" i="3"/>
  <c r="I115" i="3"/>
  <c r="H115" i="3"/>
  <c r="G115" i="3"/>
  <c r="I114" i="3"/>
  <c r="H114" i="3"/>
  <c r="G114" i="3"/>
  <c r="I113" i="3"/>
  <c r="H113" i="3"/>
  <c r="G113" i="3"/>
  <c r="I112" i="3"/>
  <c r="H112" i="3"/>
  <c r="G112" i="3"/>
  <c r="I111" i="3"/>
  <c r="H111" i="3"/>
  <c r="G111" i="3"/>
  <c r="I110" i="3"/>
  <c r="H110" i="3"/>
  <c r="G110" i="3"/>
  <c r="I109" i="3"/>
  <c r="H109" i="3"/>
  <c r="G109" i="3"/>
  <c r="I108" i="3"/>
  <c r="H108" i="3"/>
  <c r="G108" i="3"/>
  <c r="I107" i="3"/>
  <c r="H107" i="3"/>
  <c r="G107" i="3"/>
  <c r="I106" i="3"/>
  <c r="H106" i="3"/>
  <c r="G106" i="3"/>
  <c r="I105" i="3"/>
  <c r="H105" i="3"/>
  <c r="I104" i="3"/>
  <c r="H104" i="3"/>
  <c r="G104" i="3"/>
  <c r="I103" i="3"/>
  <c r="H103" i="3"/>
  <c r="G103" i="3"/>
  <c r="I102" i="3"/>
  <c r="H102" i="3"/>
  <c r="G102" i="3"/>
  <c r="I101" i="3"/>
  <c r="H101" i="3"/>
  <c r="G101" i="3"/>
  <c r="I100" i="3"/>
  <c r="H100" i="3"/>
  <c r="G100" i="3"/>
  <c r="I99" i="3"/>
  <c r="H99" i="3"/>
  <c r="G99" i="3"/>
  <c r="I98" i="3"/>
  <c r="H98" i="3"/>
  <c r="G98" i="3"/>
  <c r="I97" i="3"/>
  <c r="H97" i="3"/>
  <c r="G97" i="3"/>
  <c r="I96" i="3"/>
  <c r="H96" i="3"/>
  <c r="G96" i="3"/>
  <c r="I95" i="3"/>
  <c r="H95" i="3"/>
  <c r="G95" i="3"/>
  <c r="I94" i="3"/>
  <c r="H94" i="3"/>
  <c r="G94" i="3"/>
  <c r="I93" i="3"/>
  <c r="H93" i="3"/>
  <c r="G93" i="3"/>
  <c r="I92" i="3"/>
  <c r="H92" i="3"/>
  <c r="G92" i="3"/>
  <c r="I91" i="3"/>
  <c r="H91" i="3"/>
  <c r="G91" i="3"/>
  <c r="I90" i="3"/>
  <c r="H90" i="3"/>
  <c r="G90" i="3"/>
  <c r="I89" i="3"/>
  <c r="H89" i="3"/>
  <c r="G89" i="3"/>
  <c r="I88" i="3"/>
  <c r="H88" i="3"/>
  <c r="G88" i="3"/>
  <c r="I87" i="3"/>
  <c r="H87" i="3"/>
  <c r="G87" i="3"/>
  <c r="I86" i="3"/>
  <c r="H86" i="3"/>
  <c r="G86" i="3"/>
  <c r="I85" i="3"/>
  <c r="H85" i="3"/>
  <c r="G85" i="3"/>
  <c r="I84" i="3"/>
  <c r="H84" i="3"/>
  <c r="G84" i="3"/>
  <c r="I83" i="3"/>
  <c r="H83" i="3"/>
  <c r="G83" i="3"/>
  <c r="I82" i="3"/>
  <c r="H82" i="3"/>
  <c r="G82" i="3"/>
  <c r="I81" i="3"/>
  <c r="H81" i="3"/>
  <c r="G81" i="3"/>
  <c r="I80" i="3"/>
  <c r="H80" i="3"/>
  <c r="G80" i="3"/>
  <c r="I79" i="3"/>
  <c r="H79" i="3"/>
  <c r="G79" i="3"/>
  <c r="I78" i="3"/>
  <c r="H78" i="3"/>
  <c r="G78" i="3"/>
  <c r="I77" i="3"/>
  <c r="H77" i="3"/>
  <c r="G77" i="3"/>
  <c r="I76" i="3"/>
  <c r="H76" i="3"/>
  <c r="G76" i="3"/>
  <c r="I75" i="3"/>
  <c r="H75" i="3"/>
  <c r="G75" i="3"/>
  <c r="I74" i="3"/>
  <c r="H74" i="3"/>
  <c r="G74" i="3"/>
  <c r="I73" i="3"/>
  <c r="H73" i="3"/>
  <c r="G73" i="3"/>
  <c r="I72" i="3"/>
  <c r="H72" i="3"/>
  <c r="G72" i="3"/>
  <c r="I71" i="3"/>
  <c r="H71" i="3"/>
  <c r="G71" i="3"/>
  <c r="I70" i="3"/>
  <c r="H70" i="3"/>
  <c r="G70" i="3"/>
  <c r="I69" i="3"/>
  <c r="H69" i="3"/>
  <c r="G69" i="3"/>
  <c r="I68" i="3"/>
  <c r="H68" i="3"/>
  <c r="G68" i="3"/>
  <c r="I67" i="3"/>
  <c r="H67" i="3"/>
  <c r="G67" i="3"/>
  <c r="I66" i="3"/>
  <c r="H66" i="3"/>
  <c r="G66" i="3"/>
  <c r="I65" i="3"/>
  <c r="H65" i="3"/>
  <c r="G65" i="3"/>
  <c r="I64" i="3"/>
  <c r="H64" i="3"/>
  <c r="G64" i="3"/>
  <c r="I63" i="3"/>
  <c r="H63" i="3"/>
  <c r="G63" i="3"/>
  <c r="I62" i="3"/>
  <c r="H62" i="3"/>
  <c r="G62" i="3"/>
  <c r="I61" i="3"/>
  <c r="H61" i="3"/>
  <c r="G61" i="3"/>
  <c r="I60" i="3"/>
  <c r="H60" i="3"/>
  <c r="G60" i="3"/>
  <c r="I59" i="3"/>
  <c r="H59" i="3"/>
  <c r="G59" i="3"/>
  <c r="I58" i="3"/>
  <c r="H58" i="3"/>
  <c r="G58" i="3"/>
  <c r="I57" i="3"/>
  <c r="H57" i="3"/>
  <c r="G57" i="3"/>
  <c r="I56" i="3"/>
  <c r="H56" i="3"/>
  <c r="G56" i="3"/>
  <c r="I55" i="3"/>
  <c r="H55" i="3"/>
  <c r="G55" i="3"/>
  <c r="I54" i="3"/>
  <c r="H54" i="3"/>
  <c r="G54" i="3"/>
  <c r="I53" i="3"/>
  <c r="H53" i="3"/>
  <c r="G53" i="3"/>
  <c r="I52" i="3"/>
  <c r="H52" i="3"/>
  <c r="G52" i="3"/>
  <c r="I51" i="3"/>
  <c r="H51" i="3"/>
  <c r="G51" i="3"/>
  <c r="I50" i="3"/>
  <c r="H50" i="3"/>
  <c r="G50" i="3"/>
  <c r="I49" i="3"/>
  <c r="H49" i="3"/>
  <c r="G49" i="3"/>
  <c r="I48" i="3"/>
  <c r="H48" i="3"/>
  <c r="G48" i="3"/>
  <c r="I47" i="3"/>
  <c r="H47" i="3"/>
  <c r="G47" i="3"/>
  <c r="I46" i="3"/>
  <c r="H46" i="3"/>
  <c r="G46" i="3"/>
  <c r="I45" i="3"/>
  <c r="H45" i="3"/>
  <c r="G45" i="3"/>
  <c r="I44" i="3"/>
  <c r="H44" i="3"/>
  <c r="G44" i="3"/>
  <c r="I43" i="3"/>
  <c r="H43" i="3"/>
  <c r="G43" i="3"/>
  <c r="I42" i="3"/>
  <c r="H42" i="3"/>
  <c r="G42" i="3"/>
  <c r="I41" i="3"/>
  <c r="H41" i="3"/>
  <c r="G41" i="3"/>
  <c r="I40" i="3"/>
  <c r="H40" i="3"/>
  <c r="G40" i="3"/>
  <c r="I39" i="3"/>
  <c r="H39" i="3"/>
  <c r="G39" i="3"/>
  <c r="I38" i="3"/>
  <c r="H38" i="3"/>
  <c r="G38" i="3"/>
  <c r="I37" i="3"/>
  <c r="H37" i="3"/>
  <c r="G37" i="3"/>
  <c r="I36" i="3"/>
  <c r="H36" i="3"/>
  <c r="G36" i="3"/>
  <c r="I35" i="3"/>
  <c r="H35" i="3"/>
  <c r="G35" i="3"/>
  <c r="I34" i="3"/>
  <c r="H34" i="3"/>
  <c r="G34" i="3"/>
  <c r="I33" i="3"/>
  <c r="H33" i="3"/>
  <c r="G33" i="3"/>
  <c r="I32" i="3"/>
  <c r="H32" i="3"/>
  <c r="G32" i="3"/>
  <c r="I31" i="3"/>
  <c r="H31" i="3"/>
  <c r="G31" i="3"/>
  <c r="I30" i="3"/>
  <c r="H30" i="3"/>
  <c r="G30" i="3"/>
  <c r="I29" i="3"/>
  <c r="H29" i="3"/>
  <c r="G29" i="3"/>
  <c r="I28" i="3"/>
  <c r="H28" i="3"/>
  <c r="G28" i="3"/>
  <c r="I27" i="3"/>
  <c r="H27" i="3"/>
  <c r="G27" i="3"/>
  <c r="I26" i="3"/>
  <c r="H26" i="3"/>
  <c r="G26" i="3"/>
  <c r="I25" i="3"/>
  <c r="H25" i="3"/>
  <c r="G25" i="3"/>
  <c r="I24" i="3"/>
  <c r="H24" i="3"/>
  <c r="G24" i="3"/>
  <c r="I23" i="3"/>
  <c r="H23" i="3"/>
  <c r="G23" i="3"/>
  <c r="I22" i="3"/>
  <c r="H22" i="3"/>
  <c r="G22" i="3"/>
  <c r="I21" i="3"/>
  <c r="H21" i="3"/>
  <c r="G21" i="3"/>
  <c r="I20" i="3"/>
  <c r="H20" i="3"/>
  <c r="G20" i="3"/>
  <c r="I19" i="3"/>
  <c r="H19" i="3"/>
  <c r="G19" i="3"/>
  <c r="I18" i="3"/>
  <c r="H18" i="3"/>
  <c r="G18" i="3"/>
  <c r="I17" i="3"/>
  <c r="H17" i="3"/>
  <c r="G17" i="3"/>
  <c r="I16" i="3"/>
  <c r="H16" i="3"/>
  <c r="G16" i="3"/>
  <c r="I15" i="3"/>
  <c r="H15" i="3"/>
  <c r="G15" i="3"/>
  <c r="I14" i="3"/>
  <c r="H14" i="3"/>
  <c r="G14" i="3"/>
  <c r="I13" i="3"/>
  <c r="H13" i="3"/>
  <c r="G13" i="3"/>
  <c r="I12" i="3"/>
  <c r="H12" i="3"/>
  <c r="G12" i="3"/>
  <c r="I11" i="3"/>
  <c r="H11" i="3"/>
  <c r="G11" i="3"/>
  <c r="I10" i="3"/>
  <c r="H10" i="3"/>
  <c r="G10" i="3"/>
  <c r="I9" i="3"/>
  <c r="H9" i="3"/>
  <c r="G9" i="3"/>
  <c r="X8" i="3"/>
  <c r="T8" i="3"/>
  <c r="P8" i="3"/>
  <c r="I8" i="3"/>
  <c r="H8" i="3"/>
  <c r="G8" i="3"/>
  <c r="I7" i="3"/>
  <c r="H7" i="3"/>
  <c r="S4" i="3" s="1"/>
  <c r="G7" i="3"/>
  <c r="I6" i="3"/>
  <c r="H6" i="3"/>
  <c r="G6" i="3"/>
  <c r="I5" i="3"/>
  <c r="H5" i="3"/>
  <c r="G5" i="3"/>
  <c r="I4" i="3"/>
  <c r="H4" i="3"/>
  <c r="G4" i="3"/>
  <c r="I3" i="3"/>
  <c r="H3" i="3"/>
  <c r="G3" i="3"/>
  <c r="I2" i="3"/>
  <c r="G2" i="3"/>
  <c r="X5" i="3" l="1"/>
  <c r="AA4" i="3"/>
  <c r="T5" i="3"/>
  <c r="T4" i="3"/>
  <c r="AA5" i="3"/>
  <c r="AB4" i="3"/>
  <c r="Z8" i="3" s="1"/>
  <c r="W5" i="3"/>
  <c r="AB7" i="1"/>
  <c r="AB5" i="1"/>
  <c r="AA5" i="1"/>
  <c r="AB4" i="1"/>
  <c r="AB6" i="3"/>
  <c r="O5" i="3"/>
  <c r="P5" i="3"/>
  <c r="P7" i="3"/>
  <c r="S5" i="3"/>
  <c r="R8" i="3" s="1"/>
  <c r="W4" i="3"/>
  <c r="O4" i="3"/>
  <c r="P4" i="3"/>
  <c r="T7" i="3"/>
  <c r="X7" i="3"/>
  <c r="X4" i="3"/>
  <c r="Z8" i="1" l="1"/>
  <c r="AB8" i="3"/>
  <c r="AB6" i="1"/>
  <c r="V8" i="3"/>
  <c r="X6" i="3"/>
  <c r="T6" i="3"/>
  <c r="N8" i="3"/>
  <c r="AB7" i="3" s="1"/>
  <c r="P6" i="3"/>
  <c r="G3" i="1" l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I2" i="1"/>
  <c r="H2" i="1"/>
  <c r="X8" i="1"/>
  <c r="T8" i="1"/>
  <c r="P8" i="1"/>
  <c r="T7" i="1" l="1"/>
  <c r="W4" i="1"/>
  <c r="W5" i="1"/>
  <c r="X5" i="1"/>
  <c r="X7" i="1"/>
  <c r="X4" i="1"/>
  <c r="T5" i="1"/>
  <c r="S5" i="1"/>
  <c r="P7" i="1"/>
  <c r="S4" i="1"/>
  <c r="T4" i="1"/>
  <c r="P5" i="1"/>
  <c r="O5" i="1"/>
  <c r="O4" i="1"/>
  <c r="P4" i="1"/>
  <c r="R8" i="1" l="1"/>
  <c r="V8" i="1"/>
  <c r="X6" i="1"/>
  <c r="T6" i="1"/>
  <c r="N8" i="1"/>
  <c r="P6" i="1"/>
</calcChain>
</file>

<file path=xl/sharedStrings.xml><?xml version="1.0" encoding="utf-8"?>
<sst xmlns="http://schemas.openxmlformats.org/spreadsheetml/2006/main" count="2143" uniqueCount="258">
  <si>
    <t>Zimbabwe</t>
  </si>
  <si>
    <t>Zambia</t>
  </si>
  <si>
    <t>Yemen</t>
  </si>
  <si>
    <t>Viet Nam</t>
  </si>
  <si>
    <t>Venezuela</t>
  </si>
  <si>
    <t>Uzbekistan</t>
  </si>
  <si>
    <t>Uruguay</t>
  </si>
  <si>
    <t>United States</t>
  </si>
  <si>
    <t>United Kingdom</t>
  </si>
  <si>
    <t>United Arab Emirates</t>
  </si>
  <si>
    <t>Ukraine</t>
  </si>
  <si>
    <t>Uganda</t>
  </si>
  <si>
    <t>Turkmenistan</t>
  </si>
  <si>
    <t>Turkey</t>
  </si>
  <si>
    <t>Tunisia</t>
  </si>
  <si>
    <t>Trinidad And Tobago</t>
  </si>
  <si>
    <t>Togo</t>
  </si>
  <si>
    <t>Timor-Leste</t>
  </si>
  <si>
    <t>Thailand</t>
  </si>
  <si>
    <t>Tanzania, United Republic Of</t>
  </si>
  <si>
    <t>Tajikistan</t>
  </si>
  <si>
    <t>Syrian Arab Republic</t>
  </si>
  <si>
    <t>Switzerland</t>
  </si>
  <si>
    <t>Sweden</t>
  </si>
  <si>
    <t>Swaziland</t>
  </si>
  <si>
    <t>Sudan</t>
  </si>
  <si>
    <t>Sri Lanka</t>
  </si>
  <si>
    <t>Spain</t>
  </si>
  <si>
    <t>South Africa</t>
  </si>
  <si>
    <t>Somalia</t>
  </si>
  <si>
    <t>Slovenia</t>
  </si>
  <si>
    <t>Slovakia</t>
  </si>
  <si>
    <t>Singapore</t>
  </si>
  <si>
    <t>Sierra Leone</t>
  </si>
  <si>
    <t>Senegal</t>
  </si>
  <si>
    <t>Saudi Arabia</t>
  </si>
  <si>
    <t>Rwanda</t>
  </si>
  <si>
    <t>Russian Federation</t>
  </si>
  <si>
    <t>Romania</t>
  </si>
  <si>
    <t>Qatar</t>
  </si>
  <si>
    <t>Puerto Rico</t>
  </si>
  <si>
    <t>Portugal</t>
  </si>
  <si>
    <t>Poland</t>
  </si>
  <si>
    <t>Philippines</t>
  </si>
  <si>
    <t>Peru</t>
  </si>
  <si>
    <t>Paraguay</t>
  </si>
  <si>
    <t>Papua New Guinea</t>
  </si>
  <si>
    <t>Panama</t>
  </si>
  <si>
    <t>Palestinian Territory, Occupied</t>
  </si>
  <si>
    <t>Pakistan</t>
  </si>
  <si>
    <t>Oman</t>
  </si>
  <si>
    <t>Norway</t>
  </si>
  <si>
    <t>Nigeria</t>
  </si>
  <si>
    <t>Niger</t>
  </si>
  <si>
    <t>Nicaragua</t>
  </si>
  <si>
    <t>New Zealand</t>
  </si>
  <si>
    <t>Netherlands</t>
  </si>
  <si>
    <t>Nepal</t>
  </si>
  <si>
    <t>Namibia</t>
  </si>
  <si>
    <t>Myanmar</t>
  </si>
  <si>
    <t>Mozambique</t>
  </si>
  <si>
    <t>Morocco</t>
  </si>
  <si>
    <t>Mongolia</t>
  </si>
  <si>
    <t>Moldova, Republic Of</t>
  </si>
  <si>
    <t>Mexico</t>
  </si>
  <si>
    <t>Mauritius</t>
  </si>
  <si>
    <t>Mauritania</t>
  </si>
  <si>
    <t>Mali</t>
  </si>
  <si>
    <t>Malaysia</t>
  </si>
  <si>
    <t>Malawi</t>
  </si>
  <si>
    <t>Madagascar</t>
  </si>
  <si>
    <t>Macedonia, The Former Yugoslav Republic Of</t>
  </si>
  <si>
    <t>Lithuania</t>
  </si>
  <si>
    <t>Libyan Arab Jamahiriya</t>
  </si>
  <si>
    <t>Liberia</t>
  </si>
  <si>
    <t>Lesotho</t>
  </si>
  <si>
    <t>Lebanon</t>
  </si>
  <si>
    <t>Latvia</t>
  </si>
  <si>
    <t>Lao People'S Democratic Republic</t>
  </si>
  <si>
    <t>Kyrgyzstan</t>
  </si>
  <si>
    <t>Kuwait</t>
  </si>
  <si>
    <t>Korea, Republic Of</t>
  </si>
  <si>
    <t>Korea, Democratic People'S Republic Of</t>
  </si>
  <si>
    <t>Kenya</t>
  </si>
  <si>
    <t>Kazakhstan</t>
  </si>
  <si>
    <t>Jordan</t>
  </si>
  <si>
    <t>Japan</t>
  </si>
  <si>
    <t>Jamaica</t>
  </si>
  <si>
    <t>Italy</t>
  </si>
  <si>
    <t>Israel</t>
  </si>
  <si>
    <t>Ireland</t>
  </si>
  <si>
    <t>Iraq</t>
  </si>
  <si>
    <t>Iran, Islamic Republic Of</t>
  </si>
  <si>
    <t>Indonesia</t>
  </si>
  <si>
    <t>India</t>
  </si>
  <si>
    <t>Hungary</t>
  </si>
  <si>
    <t>Hong Kong</t>
  </si>
  <si>
    <t>Honduras</t>
  </si>
  <si>
    <t>Haiti</t>
  </si>
  <si>
    <t>Guinea-Bissau</t>
  </si>
  <si>
    <t>Guinea</t>
  </si>
  <si>
    <t>Guatemala</t>
  </si>
  <si>
    <t>Greece</t>
  </si>
  <si>
    <t>Ghana</t>
  </si>
  <si>
    <t>Germany</t>
  </si>
  <si>
    <t>Georgia</t>
  </si>
  <si>
    <t>Gambia</t>
  </si>
  <si>
    <t>Gabon</t>
  </si>
  <si>
    <t>France</t>
  </si>
  <si>
    <t>Finland</t>
  </si>
  <si>
    <t>Ethiopia</t>
  </si>
  <si>
    <t>Estonia</t>
  </si>
  <si>
    <t>Eritrea</t>
  </si>
  <si>
    <t>El Salvador</t>
  </si>
  <si>
    <t>Egypt</t>
  </si>
  <si>
    <t>Ecuador</t>
  </si>
  <si>
    <t>Dominican Republic</t>
  </si>
  <si>
    <t>Denmark</t>
  </si>
  <si>
    <t>Czech Republic</t>
  </si>
  <si>
    <t>Cyprus</t>
  </si>
  <si>
    <t>Cuba</t>
  </si>
  <si>
    <t>Croatia</t>
  </si>
  <si>
    <t>Cote D'Ivoire</t>
  </si>
  <si>
    <t>Costa Rica</t>
  </si>
  <si>
    <t>Congo, The Democratic Republic Of The</t>
  </si>
  <si>
    <t>Congo</t>
  </si>
  <si>
    <t>Colombia</t>
  </si>
  <si>
    <t>China</t>
  </si>
  <si>
    <t>Chile</t>
  </si>
  <si>
    <t>Chad</t>
  </si>
  <si>
    <t>Central African Republic</t>
  </si>
  <si>
    <t>Canada</t>
  </si>
  <si>
    <t>Cameroon</t>
  </si>
  <si>
    <t>Cambodia</t>
  </si>
  <si>
    <t>Burundi</t>
  </si>
  <si>
    <t>Burkina Faso</t>
  </si>
  <si>
    <t>Bulgaria</t>
  </si>
  <si>
    <t>Brazil</t>
  </si>
  <si>
    <t>Botswana</t>
  </si>
  <si>
    <t>Bosnia And Herzegovina</t>
  </si>
  <si>
    <t>Bolivia</t>
  </si>
  <si>
    <t>Benin</t>
  </si>
  <si>
    <t>Belgium</t>
  </si>
  <si>
    <t>Belarus</t>
  </si>
  <si>
    <t>Bangladesh</t>
  </si>
  <si>
    <t>Bahrain</t>
  </si>
  <si>
    <t>Azerbaijan</t>
  </si>
  <si>
    <t>Austria</t>
  </si>
  <si>
    <t>Australia</t>
  </si>
  <si>
    <t>Armenia</t>
  </si>
  <si>
    <t>Argentina</t>
  </si>
  <si>
    <t>Angola</t>
  </si>
  <si>
    <t>Algeria</t>
    <phoneticPr fontId="0"/>
  </si>
  <si>
    <t>Albania</t>
  </si>
  <si>
    <t>Afghanistan</t>
  </si>
  <si>
    <t>famine</t>
  </si>
  <si>
    <t>GDP per cap</t>
  </si>
  <si>
    <t>Group</t>
  </si>
  <si>
    <t>country</t>
    <phoneticPr fontId="0"/>
  </si>
  <si>
    <t>code</t>
    <phoneticPr fontId="0"/>
  </si>
  <si>
    <t>Urban Population Rate (%)</t>
  </si>
  <si>
    <t>Correl</t>
  </si>
  <si>
    <t>o</t>
  </si>
  <si>
    <t>x</t>
  </si>
  <si>
    <t>GDP</t>
  </si>
  <si>
    <t xml:space="preserve">Urban Population </t>
  </si>
  <si>
    <t>Sum</t>
  </si>
  <si>
    <t>HIT</t>
  </si>
  <si>
    <t>Sum_est</t>
  </si>
  <si>
    <t>Sum_fam</t>
  </si>
  <si>
    <t>Model</t>
  </si>
  <si>
    <t>Actual</t>
  </si>
  <si>
    <t>est_1</t>
  </si>
  <si>
    <t>est_2</t>
  </si>
  <si>
    <t>est_3</t>
  </si>
  <si>
    <t>GDP, Correl, Urban</t>
  </si>
  <si>
    <t>GDP, Urban</t>
  </si>
  <si>
    <t>GDP, Correl</t>
  </si>
  <si>
    <t>est_4</t>
  </si>
  <si>
    <t>Correl, Urban</t>
  </si>
  <si>
    <t>G3にfamineがないから</t>
  </si>
  <si>
    <t>d</t>
  </si>
  <si>
    <t>Urban pop.</t>
  </si>
  <si>
    <t>code</t>
    <phoneticPr fontId="0"/>
  </si>
  <si>
    <t>country</t>
    <phoneticPr fontId="0"/>
  </si>
  <si>
    <t>Algeria</t>
    <phoneticPr fontId="0"/>
  </si>
  <si>
    <t>GDP per capita (current US$) byWB</t>
  </si>
  <si>
    <t>county</t>
  </si>
  <si>
    <t>ave</t>
  </si>
  <si>
    <t>code</t>
  </si>
  <si>
    <t>Urban population (% of total)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</si>
  <si>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</si>
  <si>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</si>
  <si>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</si>
  <si>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</si>
  <si>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</si>
  <si>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</si>
  <si>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</si>
  <si>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</si>
  <si>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</si>
  <si>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</si>
  <si>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</si>
  <si>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</si>
  <si>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</si>
  <si>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</si>
  <si>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</si>
  <si>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</si>
  <si>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</si>
  <si>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</si>
  <si>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</si>
  <si>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</si>
  <si>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</si>
  <si>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</si>
  <si>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</si>
  <si>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</si>
  <si>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</si>
  <si>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</si>
  <si>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</si>
  <si>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</si>
  <si>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</si>
  <si>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</si>
  <si>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</si>
  <si>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</si>
  <si>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</si>
  <si>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</si>
  <si>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</si>
  <si>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</si>
  <si>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</si>
  <si>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</si>
  <si>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</si>
  <si>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</si>
  <si>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</si>
  <si>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</si>
  <si>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</si>
  <si>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</si>
  <si>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</si>
  <si>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</si>
  <si>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</si>
  <si>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</si>
  <si>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</si>
  <si>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</si>
  <si>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</si>
  <si>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</si>
  <si>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</si>
  <si>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Ave.61-90</t>
  </si>
  <si>
    <t>Algeria</t>
    <phoneticPr fontId="0"/>
  </si>
  <si>
    <t>Occupied Palestinian Territory</t>
    <phoneticPr fontId="0"/>
  </si>
  <si>
    <t>country</t>
    <phoneticPr fontId="0"/>
  </si>
  <si>
    <t>4Groups</t>
  </si>
  <si>
    <t>1961-1987</t>
  </si>
  <si>
    <t>1988-2012</t>
  </si>
  <si>
    <t>famine2012</t>
  </si>
  <si>
    <t>famine2011</t>
  </si>
  <si>
    <t>1961-2012</t>
  </si>
  <si>
    <t>est_latter</t>
  </si>
  <si>
    <t>est_former</t>
  </si>
  <si>
    <t>Ave.61-87</t>
  </si>
  <si>
    <t>Ave.88-12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</si>
</sst>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#\ ###\ ###\ ##0;\-#\ ###\ ###\ ##0;0"/>
  </numFmts>
  <fonts count="5">
    <font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9"/>
      <color indexed="8"/>
      <name val="Arial"/>
      <family val="2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-0.249977111117893"/>
      </left>
      <right/>
      <top style="thin">
        <color theme="8" tint="-0.249977111117893"/>
      </top>
      <bottom/>
      <diagonal/>
    </border>
    <border>
      <left/>
      <right/>
      <top style="thin">
        <color theme="8" tint="-0.249977111117893"/>
      </top>
      <bottom/>
      <diagonal/>
    </border>
    <border>
      <left/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 style="thin">
        <color indexed="64"/>
      </right>
      <top style="medium">
        <color rgb="FF7030A0"/>
      </top>
      <bottom/>
      <diagonal/>
    </border>
    <border>
      <left/>
      <right/>
      <top style="medium">
        <color rgb="FF7030A0"/>
      </top>
      <bottom style="thin">
        <color indexed="64"/>
      </bottom>
      <diagonal/>
    </border>
    <border>
      <left/>
      <right style="medium">
        <color indexed="64"/>
      </right>
      <top style="medium">
        <color rgb="FF7030A0"/>
      </top>
      <bottom style="thin">
        <color indexed="64"/>
      </bottom>
      <diagonal/>
    </border>
    <border>
      <left style="medium">
        <color indexed="64"/>
      </left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 style="thin">
        <color indexed="64"/>
      </bottom>
      <diagonal/>
    </border>
    <border>
      <left style="medium">
        <color rgb="FF7030A0"/>
      </left>
      <right/>
      <top/>
      <bottom style="thin">
        <color indexed="64"/>
      </bottom>
      <diagonal/>
    </border>
    <border>
      <left/>
      <right style="medium">
        <color rgb="FF7030A0"/>
      </right>
      <top style="thin">
        <color indexed="64"/>
      </top>
      <bottom style="thin">
        <color indexed="64"/>
      </bottom>
      <diagonal/>
    </border>
    <border>
      <left style="medium">
        <color rgb="FF7030A0"/>
      </left>
      <right style="thin">
        <color indexed="64"/>
      </right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7030A0"/>
      </right>
      <top/>
      <bottom style="thin">
        <color indexed="64"/>
      </bottom>
      <diagonal/>
    </border>
    <border>
      <left style="medium">
        <color rgb="FF7030A0"/>
      </left>
      <right/>
      <top style="thin">
        <color indexed="64"/>
      </top>
      <bottom/>
      <diagonal/>
    </border>
    <border>
      <left/>
      <right style="medium">
        <color rgb="FF7030A0"/>
      </right>
      <top style="thin">
        <color indexed="64"/>
      </top>
      <bottom/>
      <diagonal/>
    </border>
    <border>
      <left style="medium">
        <color rgb="FF7030A0"/>
      </left>
      <right/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 style="thin">
        <color indexed="64"/>
      </right>
      <top/>
      <bottom style="medium">
        <color rgb="FF7030A0"/>
      </bottom>
      <diagonal/>
    </border>
    <border>
      <left style="thin">
        <color indexed="64"/>
      </left>
      <right/>
      <top/>
      <bottom style="medium">
        <color rgb="FF7030A0"/>
      </bottom>
      <diagonal/>
    </border>
    <border>
      <left/>
      <right style="medium">
        <color indexed="64"/>
      </right>
      <top/>
      <bottom style="medium">
        <color rgb="FF7030A0"/>
      </bottom>
      <diagonal/>
    </border>
    <border>
      <left style="medium">
        <color indexed="64"/>
      </left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82">
    <xf numFmtId="0" fontId="0" fillId="0" borderId="0" xfId="0"/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0" xfId="0" quotePrefix="1" applyNumberFormat="1" applyBorder="1" applyAlignment="1"/>
    <xf numFmtId="0" fontId="0" fillId="0" borderId="3" xfId="0" applyBorder="1"/>
    <xf numFmtId="0" fontId="0" fillId="0" borderId="2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/>
    <xf numFmtId="0" fontId="0" fillId="2" borderId="0" xfId="0" quotePrefix="1" applyNumberFormat="1" applyFill="1" applyBorder="1" applyAlignment="1"/>
    <xf numFmtId="0" fontId="0" fillId="2" borderId="0" xfId="0" applyFill="1" applyBorder="1"/>
    <xf numFmtId="0" fontId="0" fillId="3" borderId="4" xfId="0" applyFill="1" applyBorder="1"/>
    <xf numFmtId="0" fontId="0" fillId="3" borderId="5" xfId="0" applyFill="1" applyBorder="1"/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3" borderId="21" xfId="0" applyFill="1" applyBorder="1"/>
    <xf numFmtId="0" fontId="0" fillId="0" borderId="22" xfId="0" applyBorder="1"/>
    <xf numFmtId="0" fontId="0" fillId="3" borderId="17" xfId="0" applyFill="1" applyBorder="1"/>
    <xf numFmtId="0" fontId="0" fillId="0" borderId="23" xfId="0" applyBorder="1"/>
    <xf numFmtId="0" fontId="0" fillId="0" borderId="25" xfId="0" applyBorder="1"/>
    <xf numFmtId="0" fontId="0" fillId="3" borderId="26" xfId="0" applyFill="1" applyBorder="1"/>
    <xf numFmtId="0" fontId="1" fillId="0" borderId="0" xfId="0" applyFont="1" applyBorder="1"/>
    <xf numFmtId="176" fontId="0" fillId="4" borderId="24" xfId="0" applyNumberFormat="1" applyFill="1" applyBorder="1"/>
    <xf numFmtId="0" fontId="0" fillId="0" borderId="2" xfId="0" applyFill="1" applyBorder="1"/>
    <xf numFmtId="0" fontId="0" fillId="5" borderId="27" xfId="0" applyFill="1" applyBorder="1"/>
    <xf numFmtId="0" fontId="0" fillId="5" borderId="28" xfId="0" applyFill="1" applyBorder="1"/>
    <xf numFmtId="0" fontId="0" fillId="5" borderId="8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2" fillId="0" borderId="0" xfId="1">
      <alignment vertical="center"/>
    </xf>
    <xf numFmtId="0" fontId="2" fillId="0" borderId="0" xfId="1" quotePrefix="1" applyNumberFormat="1" applyAlignment="1"/>
    <xf numFmtId="0" fontId="2" fillId="0" borderId="0" xfId="1" applyAlignment="1">
      <alignment horizontal="left"/>
    </xf>
    <xf numFmtId="0" fontId="2" fillId="0" borderId="0" xfId="1" applyAlignment="1"/>
    <xf numFmtId="177" fontId="3" fillId="0" borderId="0" xfId="1" applyNumberFormat="1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/>
    <xf numFmtId="0" fontId="0" fillId="6" borderId="0" xfId="0" applyFill="1" applyBorder="1"/>
    <xf numFmtId="0" fontId="1" fillId="0" borderId="0" xfId="0" applyFont="1" applyFill="1" applyBorder="1"/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/>
    <xf numFmtId="0" fontId="0" fillId="3" borderId="50" xfId="0" applyFill="1" applyBorder="1"/>
    <xf numFmtId="0" fontId="0" fillId="0" borderId="51" xfId="0" applyBorder="1"/>
    <xf numFmtId="0" fontId="0" fillId="3" borderId="46" xfId="0" applyFill="1" applyBorder="1"/>
    <xf numFmtId="0" fontId="0" fillId="0" borderId="52" xfId="0" applyBorder="1"/>
    <xf numFmtId="176" fontId="0" fillId="4" borderId="53" xfId="0" applyNumberFormat="1" applyFill="1" applyBorder="1"/>
    <xf numFmtId="0" fontId="0" fillId="0" borderId="54" xfId="0" applyBorder="1"/>
    <xf numFmtId="0" fontId="0" fillId="3" borderId="55" xfId="0" applyFill="1" applyBorder="1"/>
    <xf numFmtId="0" fontId="0" fillId="0" borderId="56" xfId="0" applyBorder="1"/>
    <xf numFmtId="0" fontId="0" fillId="3" borderId="57" xfId="0" applyFill="1" applyBorder="1"/>
    <xf numFmtId="0" fontId="2" fillId="2" borderId="0" xfId="1" quotePrefix="1" applyNumberFormat="1" applyFill="1" applyAlignment="1"/>
    <xf numFmtId="0" fontId="2" fillId="2" borderId="0" xfId="1" applyFill="1" applyAlignment="1"/>
    <xf numFmtId="0" fontId="2" fillId="2" borderId="0" xfId="1" applyFill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GDP_per_cap!$AZ$2:$AZ$156</c:f>
              <c:numCache>
                <c:formatCode>General</c:formatCode>
                <c:ptCount val="155"/>
                <c:pt idx="0">
                  <c:v>561.19761748479527</c:v>
                </c:pt>
                <c:pt idx="1">
                  <c:v>3764.326347991479</c:v>
                </c:pt>
                <c:pt idx="2">
                  <c:v>4364.9617089520762</c:v>
                </c:pt>
                <c:pt idx="3">
                  <c:v>4218.6491255737947</c:v>
                </c:pt>
                <c:pt idx="4">
                  <c:v>9132.958027222392</c:v>
                </c:pt>
                <c:pt idx="5">
                  <c:v>3124.7842960128969</c:v>
                </c:pt>
                <c:pt idx="6">
                  <c:v>51586.08734915324</c:v>
                </c:pt>
                <c:pt idx="7">
                  <c:v>44916.360837375345</c:v>
                </c:pt>
                <c:pt idx="8">
                  <c:v>5843.1697532975668</c:v>
                </c:pt>
                <c:pt idx="9">
                  <c:v>20545.988272572929</c:v>
                </c:pt>
                <c:pt idx="10">
                  <c:v>664.0642316845159</c:v>
                </c:pt>
                <c:pt idx="11">
                  <c:v>5818.8548592158049</c:v>
                </c:pt>
                <c:pt idx="12">
                  <c:v>43000.150896451385</c:v>
                </c:pt>
                <c:pt idx="13">
                  <c:v>689.64833134415653</c:v>
                </c:pt>
                <c:pt idx="14">
                  <c:v>1934.6752575573205</c:v>
                </c:pt>
                <c:pt idx="15">
                  <c:v>4361.8771375268871</c:v>
                </c:pt>
                <c:pt idx="16">
                  <c:v>6980.3649288379638</c:v>
                </c:pt>
                <c:pt idx="17">
                  <c:v>10978.09355377202</c:v>
                </c:pt>
                <c:pt idx="18">
                  <c:v>6334.6782693085897</c:v>
                </c:pt>
                <c:pt idx="19">
                  <c:v>592.60746992056966</c:v>
                </c:pt>
                <c:pt idx="20">
                  <c:v>219.52979945079323</c:v>
                </c:pt>
                <c:pt idx="21">
                  <c:v>782.61888859226622</c:v>
                </c:pt>
                <c:pt idx="22">
                  <c:v>1090.3825973684234</c:v>
                </c:pt>
                <c:pt idx="23">
                  <c:v>46211.533860069801</c:v>
                </c:pt>
                <c:pt idx="24">
                  <c:v>456.27215815841589</c:v>
                </c:pt>
                <c:pt idx="25">
                  <c:v>728.67796489932903</c:v>
                </c:pt>
                <c:pt idx="26">
                  <c:v>12670.673414549507</c:v>
                </c:pt>
                <c:pt idx="27">
                  <c:v>4447.7562107007579</c:v>
                </c:pt>
                <c:pt idx="28">
                  <c:v>6179.7702122403443</c:v>
                </c:pt>
                <c:pt idx="29">
                  <c:v>2920.4067080001232</c:v>
                </c:pt>
                <c:pt idx="30">
                  <c:v>210.76917709346858</c:v>
                </c:pt>
                <c:pt idx="31">
                  <c:v>7783.4356055437356</c:v>
                </c:pt>
                <c:pt idx="32">
                  <c:v>1207.8451404201344</c:v>
                </c:pt>
                <c:pt idx="33">
                  <c:v>13326.506278007912</c:v>
                </c:pt>
                <c:pt idx="35">
                  <c:v>20959.286690609901</c:v>
                </c:pt>
                <c:pt idx="36">
                  <c:v>18866.855225859697</c:v>
                </c:pt>
                <c:pt idx="37">
                  <c:v>56485.894435376424</c:v>
                </c:pt>
                <c:pt idx="38">
                  <c:v>5156.7285201280974</c:v>
                </c:pt>
                <c:pt idx="39">
                  <c:v>4500.5915577233418</c:v>
                </c:pt>
                <c:pt idx="40">
                  <c:v>2803.5329626527396</c:v>
                </c:pt>
                <c:pt idx="41">
                  <c:v>3444.4561484482233</c:v>
                </c:pt>
                <c:pt idx="42">
                  <c:v>368.74775819689802</c:v>
                </c:pt>
                <c:pt idx="43">
                  <c:v>14062.232891971071</c:v>
                </c:pt>
                <c:pt idx="44">
                  <c:v>341.07721845763342</c:v>
                </c:pt>
                <c:pt idx="45">
                  <c:v>43863.966925318739</c:v>
                </c:pt>
                <c:pt idx="46">
                  <c:v>39186.022443069494</c:v>
                </c:pt>
                <c:pt idx="47">
                  <c:v>9342.7145735406739</c:v>
                </c:pt>
                <c:pt idx="48">
                  <c:v>566.33532544388584</c:v>
                </c:pt>
                <c:pt idx="49">
                  <c:v>2613.6814129315339</c:v>
                </c:pt>
                <c:pt idx="50">
                  <c:v>40163.817401931403</c:v>
                </c:pt>
                <c:pt idx="51">
                  <c:v>1326.06611191972</c:v>
                </c:pt>
                <c:pt idx="52">
                  <c:v>25850.501958671703</c:v>
                </c:pt>
                <c:pt idx="53">
                  <c:v>2882.4002187143305</c:v>
                </c:pt>
                <c:pt idx="54">
                  <c:v>435.4488880125715</c:v>
                </c:pt>
                <c:pt idx="55">
                  <c:v>526.52102387731384</c:v>
                </c:pt>
                <c:pt idx="56">
                  <c:v>670.40329244585132</c:v>
                </c:pt>
                <c:pt idx="57">
                  <c:v>2077.7869343529051</c:v>
                </c:pt>
                <c:pt idx="59">
                  <c:v>12795.651535664641</c:v>
                </c:pt>
                <c:pt idx="60">
                  <c:v>1419.1126739622159</c:v>
                </c:pt>
                <c:pt idx="61">
                  <c:v>2946.9685135846044</c:v>
                </c:pt>
                <c:pt idx="62">
                  <c:v>5674.9239273508483</c:v>
                </c:pt>
                <c:pt idx="63">
                  <c:v>4375.9062245060413</c:v>
                </c:pt>
                <c:pt idx="64">
                  <c:v>46018.578874520535</c:v>
                </c:pt>
                <c:pt idx="65">
                  <c:v>30389.122186575631</c:v>
                </c:pt>
                <c:pt idx="66">
                  <c:v>33760.589748738435</c:v>
                </c:pt>
                <c:pt idx="67">
                  <c:v>4887.7761982102884</c:v>
                </c:pt>
                <c:pt idx="68">
                  <c:v>43117.768273275658</c:v>
                </c:pt>
                <c:pt idx="69">
                  <c:v>4370.7210331811511</c:v>
                </c:pt>
                <c:pt idx="70">
                  <c:v>9070.0097292678147</c:v>
                </c:pt>
                <c:pt idx="71">
                  <c:v>787.85742826013131</c:v>
                </c:pt>
                <c:pt idx="73">
                  <c:v>20540.176925139524</c:v>
                </c:pt>
                <c:pt idx="74">
                  <c:v>40090.746272744211</c:v>
                </c:pt>
                <c:pt idx="75">
                  <c:v>880.03851414418637</c:v>
                </c:pt>
                <c:pt idx="76">
                  <c:v>1122.8523155898163</c:v>
                </c:pt>
                <c:pt idx="77">
                  <c:v>10743.281633815557</c:v>
                </c:pt>
                <c:pt idx="78">
                  <c:v>8551.8524162705453</c:v>
                </c:pt>
                <c:pt idx="79">
                  <c:v>1097.0401877652239</c:v>
                </c:pt>
                <c:pt idx="80">
                  <c:v>326.60428044353245</c:v>
                </c:pt>
                <c:pt idx="82">
                  <c:v>11148.941278758188</c:v>
                </c:pt>
                <c:pt idx="83">
                  <c:v>4442.3007685395778</c:v>
                </c:pt>
                <c:pt idx="84">
                  <c:v>419.22381329404357</c:v>
                </c:pt>
                <c:pt idx="85">
                  <c:v>359.57952683673221</c:v>
                </c:pt>
                <c:pt idx="86">
                  <c:v>8729.0997904091055</c:v>
                </c:pt>
                <c:pt idx="87">
                  <c:v>673.69466138146663</c:v>
                </c:pt>
                <c:pt idx="88">
                  <c:v>1017.1662775218101</c:v>
                </c:pt>
                <c:pt idx="89">
                  <c:v>7586.9695334291637</c:v>
                </c:pt>
                <c:pt idx="90">
                  <c:v>8779.1371924060113</c:v>
                </c:pt>
                <c:pt idx="91">
                  <c:v>1631.5331945336395</c:v>
                </c:pt>
                <c:pt idx="92">
                  <c:v>2285.6453775170312</c:v>
                </c:pt>
                <c:pt idx="93">
                  <c:v>2868.6441666067135</c:v>
                </c:pt>
                <c:pt idx="94">
                  <c:v>386.96316546406609</c:v>
                </c:pt>
                <c:pt idx="96">
                  <c:v>5078.5130198766728</c:v>
                </c:pt>
                <c:pt idx="97">
                  <c:v>594.34187558376914</c:v>
                </c:pt>
                <c:pt idx="98">
                  <c:v>46622.902516596478</c:v>
                </c:pt>
                <c:pt idx="99">
                  <c:v>31999.548033170151</c:v>
                </c:pt>
                <c:pt idx="100">
                  <c:v>1474.7488188903944</c:v>
                </c:pt>
                <c:pt idx="101">
                  <c:v>340.42371463805631</c:v>
                </c:pt>
                <c:pt idx="102">
                  <c:v>1431.6012391418221</c:v>
                </c:pt>
                <c:pt idx="103">
                  <c:v>86155.529049276214</c:v>
                </c:pt>
                <c:pt idx="104">
                  <c:v>20983.900335404142</c:v>
                </c:pt>
                <c:pt idx="105">
                  <c:v>1019.2216912603388</c:v>
                </c:pt>
                <c:pt idx="107">
                  <c:v>7229.1122005541947</c:v>
                </c:pt>
                <c:pt idx="108">
                  <c:v>1382.1437493387666</c:v>
                </c:pt>
                <c:pt idx="109">
                  <c:v>3100.5016399172205</c:v>
                </c:pt>
                <c:pt idx="110">
                  <c:v>5247.0959345042274</c:v>
                </c:pt>
                <c:pt idx="111">
                  <c:v>2135.9184137048051</c:v>
                </c:pt>
                <c:pt idx="112">
                  <c:v>12302.029919186125</c:v>
                </c:pt>
                <c:pt idx="113">
                  <c:v>21381.903956712114</c:v>
                </c:pt>
                <c:pt idx="114">
                  <c:v>26106.388033133328</c:v>
                </c:pt>
                <c:pt idx="115">
                  <c:v>71510.155746257253</c:v>
                </c:pt>
                <c:pt idx="116">
                  <c:v>7686.9225234910555</c:v>
                </c:pt>
                <c:pt idx="117">
                  <c:v>10709.502432563364</c:v>
                </c:pt>
                <c:pt idx="118">
                  <c:v>519.0223544709487</c:v>
                </c:pt>
                <c:pt idx="119">
                  <c:v>19326.582554817593</c:v>
                </c:pt>
                <c:pt idx="120">
                  <c:v>992.64383491016144</c:v>
                </c:pt>
                <c:pt idx="121">
                  <c:v>447.75332377400576</c:v>
                </c:pt>
                <c:pt idx="122">
                  <c:v>42783.722448135355</c:v>
                </c:pt>
                <c:pt idx="123">
                  <c:v>16062.419819845736</c:v>
                </c:pt>
                <c:pt idx="124">
                  <c:v>22942.364428653545</c:v>
                </c:pt>
                <c:pt idx="126">
                  <c:v>7266.078871331285</c:v>
                </c:pt>
                <c:pt idx="127">
                  <c:v>29956.1563511721</c:v>
                </c:pt>
                <c:pt idx="128">
                  <c:v>2399.9200536543817</c:v>
                </c:pt>
                <c:pt idx="129">
                  <c:v>1817.3371277802785</c:v>
                </c:pt>
                <c:pt idx="130">
                  <c:v>3093.5395296203706</c:v>
                </c:pt>
                <c:pt idx="131">
                  <c:v>49359.866919853121</c:v>
                </c:pt>
                <c:pt idx="132">
                  <c:v>70572.656937853608</c:v>
                </c:pt>
                <c:pt idx="133">
                  <c:v>2746.8538100240316</c:v>
                </c:pt>
                <c:pt idx="134">
                  <c:v>739.67494813738392</c:v>
                </c:pt>
                <c:pt idx="136">
                  <c:v>4802.6627576621331</c:v>
                </c:pt>
                <c:pt idx="137">
                  <c:v>765.95051912381768</c:v>
                </c:pt>
                <c:pt idx="138">
                  <c:v>503.16178846463691</c:v>
                </c:pt>
                <c:pt idx="139">
                  <c:v>15572.688762412001</c:v>
                </c:pt>
                <c:pt idx="140">
                  <c:v>4206.7799215762498</c:v>
                </c:pt>
                <c:pt idx="141">
                  <c:v>10135.420911873671</c:v>
                </c:pt>
                <c:pt idx="142">
                  <c:v>4479.033231467849</c:v>
                </c:pt>
                <c:pt idx="143">
                  <c:v>505.98768493116575</c:v>
                </c:pt>
                <c:pt idx="144">
                  <c:v>2973.9817087455513</c:v>
                </c:pt>
                <c:pt idx="145">
                  <c:v>34048.530247914903</c:v>
                </c:pt>
                <c:pt idx="146">
                  <c:v>36232.814420707029</c:v>
                </c:pt>
                <c:pt idx="147">
                  <c:v>46615.51085750974</c:v>
                </c:pt>
                <c:pt idx="148">
                  <c:v>11520.272592662337</c:v>
                </c:pt>
                <c:pt idx="149">
                  <c:v>1364.7874596791189</c:v>
                </c:pt>
                <c:pt idx="150">
                  <c:v>13559.33118330574</c:v>
                </c:pt>
                <c:pt idx="151">
                  <c:v>1224.2469175143124</c:v>
                </c:pt>
                <c:pt idx="152">
                  <c:v>1400.6676849886519</c:v>
                </c:pt>
                <c:pt idx="153">
                  <c:v>1224.953862933736</c:v>
                </c:pt>
                <c:pt idx="154">
                  <c:v>568.42754187850824</c:v>
                </c:pt>
              </c:numCache>
            </c:numRef>
          </c:xVal>
          <c:yVal>
            <c:numRef>
              <c:f>[1]SelfSuf!$AZ$3:$AZ$157</c:f>
              <c:numCache>
                <c:formatCode>General</c:formatCode>
                <c:ptCount val="155"/>
                <c:pt idx="0">
                  <c:v>0.80592583452964006</c:v>
                </c:pt>
                <c:pt idx="1">
                  <c:v>0.62290080722126806</c:v>
                </c:pt>
                <c:pt idx="2">
                  <c:v>0.33565257821287425</c:v>
                </c:pt>
                <c:pt idx="3">
                  <c:v>0.59078974281040664</c:v>
                </c:pt>
                <c:pt idx="4">
                  <c:v>2.1710395610711548</c:v>
                </c:pt>
                <c:pt idx="5">
                  <c:v>0.42262606426409238</c:v>
                </c:pt>
                <c:pt idx="6">
                  <c:v>2.5018122700035152</c:v>
                </c:pt>
                <c:pt idx="7">
                  <c:v>0.95323597398189419</c:v>
                </c:pt>
                <c:pt idx="8">
                  <c:v>0.56101624565484798</c:v>
                </c:pt>
                <c:pt idx="9">
                  <c:v>0</c:v>
                </c:pt>
                <c:pt idx="10">
                  <c:v>0.91873617476356595</c:v>
                </c:pt>
                <c:pt idx="11">
                  <c:v>0.98255660469287787</c:v>
                </c:pt>
                <c:pt idx="12">
                  <c:v>0.37164218600416654</c:v>
                </c:pt>
                <c:pt idx="13">
                  <c:v>0.95203878878575132</c:v>
                </c:pt>
                <c:pt idx="14">
                  <c:v>0.84570685216729458</c:v>
                </c:pt>
                <c:pt idx="15">
                  <c:v>0.64835225448999723</c:v>
                </c:pt>
                <c:pt idx="16">
                  <c:v>0.14910984281935924</c:v>
                </c:pt>
                <c:pt idx="17">
                  <c:v>1.0529872430662273</c:v>
                </c:pt>
                <c:pt idx="18">
                  <c:v>1.8871257946231623</c:v>
                </c:pt>
                <c:pt idx="19">
                  <c:v>0.93446247691016815</c:v>
                </c:pt>
                <c:pt idx="20">
                  <c:v>0.83713694609722067</c:v>
                </c:pt>
                <c:pt idx="21">
                  <c:v>0.99556001284936979</c:v>
                </c:pt>
                <c:pt idx="22">
                  <c:v>0.79565162603698614</c:v>
                </c:pt>
                <c:pt idx="23">
                  <c:v>1.8110539571928661</c:v>
                </c:pt>
                <c:pt idx="24">
                  <c:v>0.86813121681315653</c:v>
                </c:pt>
                <c:pt idx="25">
                  <c:v>0.92131510390994209</c:v>
                </c:pt>
                <c:pt idx="26">
                  <c:v>0.65059946073191355</c:v>
                </c:pt>
                <c:pt idx="27">
                  <c:v>0.99123981482642576</c:v>
                </c:pt>
                <c:pt idx="28">
                  <c:v>0.39455796623590927</c:v>
                </c:pt>
                <c:pt idx="29">
                  <c:v>0.11237372031329523</c:v>
                </c:pt>
                <c:pt idx="30">
                  <c:v>0.71018058542793805</c:v>
                </c:pt>
                <c:pt idx="31">
                  <c:v>0.2347776782707518</c:v>
                </c:pt>
                <c:pt idx="32">
                  <c:v>0.53107439827696779</c:v>
                </c:pt>
                <c:pt idx="33">
                  <c:v>1.1617759316297134</c:v>
                </c:pt>
                <c:pt idx="34">
                  <c:v>0.27415432375283227</c:v>
                </c:pt>
                <c:pt idx="35">
                  <c:v>0.11672594831398023</c:v>
                </c:pt>
                <c:pt idx="36">
                  <c:v>1.3338737957831137</c:v>
                </c:pt>
                <c:pt idx="37">
                  <c:v>1.2224462622743726</c:v>
                </c:pt>
                <c:pt idx="38">
                  <c:v>0.34731412681556645</c:v>
                </c:pt>
                <c:pt idx="39">
                  <c:v>0.69591398875672417</c:v>
                </c:pt>
                <c:pt idx="40">
                  <c:v>0.54697276137794082</c:v>
                </c:pt>
                <c:pt idx="41">
                  <c:v>0.55233212310324376</c:v>
                </c:pt>
                <c:pt idx="42">
                  <c:v>0.52551031414900184</c:v>
                </c:pt>
                <c:pt idx="43">
                  <c:v>1.2626963448224522</c:v>
                </c:pt>
                <c:pt idx="44">
                  <c:v>0.88216912274134185</c:v>
                </c:pt>
                <c:pt idx="45">
                  <c:v>1.2627912315706671</c:v>
                </c:pt>
                <c:pt idx="46">
                  <c:v>1.9254247454543276</c:v>
                </c:pt>
                <c:pt idx="47">
                  <c:v>0.22834666581678725</c:v>
                </c:pt>
                <c:pt idx="48">
                  <c:v>0.56977792127795968</c:v>
                </c:pt>
                <c:pt idx="49">
                  <c:v>0.23643507412521933</c:v>
                </c:pt>
                <c:pt idx="50">
                  <c:v>1.1081205434668913</c:v>
                </c:pt>
                <c:pt idx="51">
                  <c:v>0.81118344050648317</c:v>
                </c:pt>
                <c:pt idx="52">
                  <c:v>0.83141133978562176</c:v>
                </c:pt>
                <c:pt idx="53">
                  <c:v>0.59112722867881407</c:v>
                </c:pt>
                <c:pt idx="54">
                  <c:v>0.86702557745082731</c:v>
                </c:pt>
                <c:pt idx="55">
                  <c:v>0.80196831568058158</c:v>
                </c:pt>
                <c:pt idx="56">
                  <c:v>0.40770563232495688</c:v>
                </c:pt>
                <c:pt idx="57">
                  <c:v>0.48863797514544105</c:v>
                </c:pt>
                <c:pt idx="58">
                  <c:v>0</c:v>
                </c:pt>
                <c:pt idx="59">
                  <c:v>2.0564676521019134</c:v>
                </c:pt>
                <c:pt idx="60">
                  <c:v>1.0178682230643488</c:v>
                </c:pt>
                <c:pt idx="61">
                  <c:v>0.91388645323990614</c:v>
                </c:pt>
                <c:pt idx="62">
                  <c:v>0.73007779260010408</c:v>
                </c:pt>
                <c:pt idx="63">
                  <c:v>0.50810574147515464</c:v>
                </c:pt>
                <c:pt idx="64">
                  <c:v>0.65450918121965451</c:v>
                </c:pt>
                <c:pt idx="65">
                  <c:v>6.8566573685110238E-2</c:v>
                </c:pt>
                <c:pt idx="66">
                  <c:v>0.67014365957199584</c:v>
                </c:pt>
                <c:pt idx="67">
                  <c:v>5.8057301473643267E-3</c:v>
                </c:pt>
                <c:pt idx="68">
                  <c:v>0.26768216119229754</c:v>
                </c:pt>
                <c:pt idx="69">
                  <c:v>5.9583626075978578E-2</c:v>
                </c:pt>
                <c:pt idx="70">
                  <c:v>3.294848571458874</c:v>
                </c:pt>
                <c:pt idx="71">
                  <c:v>0.76484094420477033</c:v>
                </c:pt>
                <c:pt idx="72">
                  <c:v>0.91137996757788975</c:v>
                </c:pt>
                <c:pt idx="73">
                  <c:v>0.3209902823020051</c:v>
                </c:pt>
                <c:pt idx="74">
                  <c:v>2.6762909494725151E-2</c:v>
                </c:pt>
                <c:pt idx="75">
                  <c:v>0.771268231974086</c:v>
                </c:pt>
                <c:pt idx="76">
                  <c:v>1.0443231424886474</c:v>
                </c:pt>
                <c:pt idx="77">
                  <c:v>2.3677481221032441</c:v>
                </c:pt>
                <c:pt idx="78">
                  <c:v>0.10471638452429877</c:v>
                </c:pt>
                <c:pt idx="79">
                  <c:v>0.40362672806764049</c:v>
                </c:pt>
                <c:pt idx="80">
                  <c:v>0.46604787186319985</c:v>
                </c:pt>
                <c:pt idx="81">
                  <c:v>6.9792026047437783E-2</c:v>
                </c:pt>
                <c:pt idx="82">
                  <c:v>1.742449685861819</c:v>
                </c:pt>
                <c:pt idx="83">
                  <c:v>0.76944508773998677</c:v>
                </c:pt>
                <c:pt idx="84">
                  <c:v>0.94819726709890551</c:v>
                </c:pt>
                <c:pt idx="85">
                  <c:v>0.95427478950771205</c:v>
                </c:pt>
                <c:pt idx="86">
                  <c:v>0.31910754666272423</c:v>
                </c:pt>
                <c:pt idx="87">
                  <c:v>0.96798329715520248</c:v>
                </c:pt>
                <c:pt idx="88">
                  <c:v>0.37501700522944814</c:v>
                </c:pt>
                <c:pt idx="89">
                  <c:v>1.1301420602351936E-3</c:v>
                </c:pt>
                <c:pt idx="90">
                  <c:v>0.72394131306274723</c:v>
                </c:pt>
                <c:pt idx="91">
                  <c:v>1.1255460245637936</c:v>
                </c:pt>
                <c:pt idx="92">
                  <c:v>0.68883399823039071</c:v>
                </c:pt>
                <c:pt idx="93">
                  <c:v>0.59250359178912881</c:v>
                </c:pt>
                <c:pt idx="94">
                  <c:v>0.71838070381880537</c:v>
                </c:pt>
                <c:pt idx="95">
                  <c:v>0.99838130706680639</c:v>
                </c:pt>
                <c:pt idx="96">
                  <c:v>0.43202866554280434</c:v>
                </c:pt>
                <c:pt idx="97">
                  <c:v>0.96905345509768048</c:v>
                </c:pt>
                <c:pt idx="98">
                  <c:v>0.14881856503867633</c:v>
                </c:pt>
                <c:pt idx="99">
                  <c:v>0.71337723469846492</c:v>
                </c:pt>
                <c:pt idx="100">
                  <c:v>0.74870042486629795</c:v>
                </c:pt>
                <c:pt idx="101">
                  <c:v>0.94799904311607464</c:v>
                </c:pt>
                <c:pt idx="102">
                  <c:v>0.80765631193562171</c:v>
                </c:pt>
                <c:pt idx="103">
                  <c:v>0.68685198182472806</c:v>
                </c:pt>
                <c:pt idx="104">
                  <c:v>5.4762525397776214E-2</c:v>
                </c:pt>
                <c:pt idx="105">
                  <c:v>1.1357746182570203</c:v>
                </c:pt>
                <c:pt idx="106">
                  <c:v>6.1260549564851025E-2</c:v>
                </c:pt>
                <c:pt idx="107">
                  <c:v>0.37855063357203167</c:v>
                </c:pt>
                <c:pt idx="108">
                  <c:v>3.2111748590242885E-2</c:v>
                </c:pt>
                <c:pt idx="109">
                  <c:v>1.6036720087333007</c:v>
                </c:pt>
                <c:pt idx="110">
                  <c:v>0.55857783530202809</c:v>
                </c:pt>
                <c:pt idx="111">
                  <c:v>0.82959731734668118</c:v>
                </c:pt>
                <c:pt idx="112">
                  <c:v>1.0267821390561309</c:v>
                </c:pt>
                <c:pt idx="113">
                  <c:v>0.23017823105899782</c:v>
                </c:pt>
                <c:pt idx="114">
                  <c:v>1</c:v>
                </c:pt>
                <c:pt idx="115">
                  <c:v>5.6493582201871811E-3</c:v>
                </c:pt>
                <c:pt idx="116">
                  <c:v>1.3134050056853317</c:v>
                </c:pt>
                <c:pt idx="117">
                  <c:v>1.2941055053473087</c:v>
                </c:pt>
                <c:pt idx="118">
                  <c:v>0.76445805615479889</c:v>
                </c:pt>
                <c:pt idx="119">
                  <c:v>0.1238905578505127</c:v>
                </c:pt>
                <c:pt idx="120">
                  <c:v>0.59578678247469619</c:v>
                </c:pt>
                <c:pt idx="121">
                  <c:v>0.89031523861330142</c:v>
                </c:pt>
                <c:pt idx="122">
                  <c:v>0</c:v>
                </c:pt>
                <c:pt idx="123">
                  <c:v>1.1967919802233646</c:v>
                </c:pt>
                <c:pt idx="124">
                  <c:v>0.74404857941386182</c:v>
                </c:pt>
                <c:pt idx="125">
                  <c:v>0.41438580117839108</c:v>
                </c:pt>
                <c:pt idx="126">
                  <c:v>0.95270738194474647</c:v>
                </c:pt>
                <c:pt idx="127">
                  <c:v>0.68413949145652031</c:v>
                </c:pt>
                <c:pt idx="128">
                  <c:v>0.85810742709262244</c:v>
                </c:pt>
                <c:pt idx="129">
                  <c:v>0.58432611444908644</c:v>
                </c:pt>
                <c:pt idx="130">
                  <c:v>0.28418227246864408</c:v>
                </c:pt>
                <c:pt idx="131">
                  <c:v>1.1848956248181173</c:v>
                </c:pt>
                <c:pt idx="132">
                  <c:v>0.57442332499261772</c:v>
                </c:pt>
                <c:pt idx="133">
                  <c:v>0.52960485585998507</c:v>
                </c:pt>
                <c:pt idx="134">
                  <c:v>0.58301653587833968</c:v>
                </c:pt>
                <c:pt idx="135">
                  <c:v>0.89605622910542615</c:v>
                </c:pt>
                <c:pt idx="136">
                  <c:v>1.210007894126393</c:v>
                </c:pt>
                <c:pt idx="137">
                  <c:v>0.954491266829263</c:v>
                </c:pt>
                <c:pt idx="138">
                  <c:v>0.91366266676916841</c:v>
                </c:pt>
                <c:pt idx="139">
                  <c:v>3.7444888752178815E-2</c:v>
                </c:pt>
                <c:pt idx="140">
                  <c:v>0.25506775047813524</c:v>
                </c:pt>
                <c:pt idx="141">
                  <c:v>1.0287202909375881</c:v>
                </c:pt>
                <c:pt idx="142">
                  <c:v>0.94608308646799744</c:v>
                </c:pt>
                <c:pt idx="143">
                  <c:v>0.92814383663308031</c:v>
                </c:pt>
                <c:pt idx="144">
                  <c:v>1.4488966372618908</c:v>
                </c:pt>
                <c:pt idx="145">
                  <c:v>8.900535353611197E-2</c:v>
                </c:pt>
                <c:pt idx="146">
                  <c:v>1.0917262722316874</c:v>
                </c:pt>
                <c:pt idx="147">
                  <c:v>1.2536208187132043</c:v>
                </c:pt>
                <c:pt idx="148">
                  <c:v>2.169391314036663</c:v>
                </c:pt>
                <c:pt idx="149">
                  <c:v>0.84003973436422186</c:v>
                </c:pt>
                <c:pt idx="150">
                  <c:v>0.54303151646966752</c:v>
                </c:pt>
                <c:pt idx="151">
                  <c:v>1.0688476212377969</c:v>
                </c:pt>
                <c:pt idx="152">
                  <c:v>0.22799328902565727</c:v>
                </c:pt>
                <c:pt idx="153">
                  <c:v>1.0358567655542841</c:v>
                </c:pt>
                <c:pt idx="154">
                  <c:v>0.64003120834823313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6E-0241-8BE3-9B5D39185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213984"/>
        <c:axId val="286196808"/>
      </c:scatterChart>
      <c:valAx>
        <c:axId val="28321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6196808"/>
        <c:crosses val="autoZero"/>
        <c:crossBetween val="midCat"/>
      </c:valAx>
      <c:valAx>
        <c:axId val="28619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321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GDP_per_cap!$BB$2:$BB$156</c:f>
              <c:numCache>
                <c:formatCode>General</c:formatCode>
                <c:ptCount val="155"/>
                <c:pt idx="0">
                  <c:v>220.32561322059794</c:v>
                </c:pt>
                <c:pt idx="1">
                  <c:v>1524.0707649784088</c:v>
                </c:pt>
                <c:pt idx="2">
                  <c:v>1760.1111668290098</c:v>
                </c:pt>
                <c:pt idx="3">
                  <c:v>1470.0218034376505</c:v>
                </c:pt>
                <c:pt idx="4">
                  <c:v>4170.1571537589562</c:v>
                </c:pt>
                <c:pt idx="5">
                  <c:v>1338.3333454115088</c:v>
                </c:pt>
                <c:pt idx="6">
                  <c:v>16429.759293430976</c:v>
                </c:pt>
                <c:pt idx="7">
                  <c:v>17502.514951591202</c:v>
                </c:pt>
                <c:pt idx="8">
                  <c:v>1911.2661233841654</c:v>
                </c:pt>
                <c:pt idx="9">
                  <c:v>11683.107827178992</c:v>
                </c:pt>
                <c:pt idx="10">
                  <c:v>265.70873052025473</c:v>
                </c:pt>
                <c:pt idx="11">
                  <c:v>2689.9432199870084</c:v>
                </c:pt>
                <c:pt idx="12">
                  <c:v>17068.807920152332</c:v>
                </c:pt>
                <c:pt idx="13">
                  <c:v>318.95580577868844</c:v>
                </c:pt>
                <c:pt idx="14">
                  <c:v>784.62019948939644</c:v>
                </c:pt>
                <c:pt idx="15">
                  <c:v>2375.7060362569523</c:v>
                </c:pt>
                <c:pt idx="16">
                  <c:v>2144.8892673299761</c:v>
                </c:pt>
                <c:pt idx="17">
                  <c:v>2870.5731158450699</c:v>
                </c:pt>
                <c:pt idx="18">
                  <c:v>2777.6580267681543</c:v>
                </c:pt>
                <c:pt idx="19">
                  <c:v>244.55245582595558</c:v>
                </c:pt>
                <c:pt idx="20">
                  <c:v>146.75899998966247</c:v>
                </c:pt>
                <c:pt idx="21">
                  <c:v>308.15669567386408</c:v>
                </c:pt>
                <c:pt idx="22">
                  <c:v>635.28987287005111</c:v>
                </c:pt>
                <c:pt idx="23">
                  <c:v>17128.292760177013</c:v>
                </c:pt>
                <c:pt idx="24">
                  <c:v>280.89880531943152</c:v>
                </c:pt>
                <c:pt idx="25">
                  <c:v>264.90587982731296</c:v>
                </c:pt>
                <c:pt idx="26">
                  <c:v>3536.614013432144</c:v>
                </c:pt>
                <c:pt idx="27">
                  <c:v>780.42255021003507</c:v>
                </c:pt>
                <c:pt idx="28">
                  <c:v>1753.7172238365836</c:v>
                </c:pt>
                <c:pt idx="29">
                  <c:v>938.11169356661696</c:v>
                </c:pt>
                <c:pt idx="30">
                  <c:v>262.11507077338121</c:v>
                </c:pt>
                <c:pt idx="31">
                  <c:v>2524.6864074078144</c:v>
                </c:pt>
                <c:pt idx="32">
                  <c:v>716.09220076654799</c:v>
                </c:pt>
                <c:pt idx="33">
                  <c:v>7629.8377650009988</c:v>
                </c:pt>
                <c:pt idx="34">
                  <c:v>2410.8530088808848</c:v>
                </c:pt>
                <c:pt idx="35">
                  <c:v>9243.522139808978</c:v>
                </c:pt>
                <c:pt idx="36">
                  <c:v>9666.1904076858355</c:v>
                </c:pt>
                <c:pt idx="37">
                  <c:v>21996.712053367937</c:v>
                </c:pt>
                <c:pt idx="38">
                  <c:v>1638.0277919626433</c:v>
                </c:pt>
                <c:pt idx="39">
                  <c:v>1776.6038137107648</c:v>
                </c:pt>
                <c:pt idx="40">
                  <c:v>819.96937385801152</c:v>
                </c:pt>
                <c:pt idx="41">
                  <c:v>1968.041636054809</c:v>
                </c:pt>
                <c:pt idx="42">
                  <c:v>223.59353600093104</c:v>
                </c:pt>
                <c:pt idx="43">
                  <c:v>8816.2138525016053</c:v>
                </c:pt>
                <c:pt idx="44">
                  <c:v>203.81327095708167</c:v>
                </c:pt>
                <c:pt idx="45">
                  <c:v>17711.161225048723</c:v>
                </c:pt>
                <c:pt idx="46">
                  <c:v>16585.709184519092</c:v>
                </c:pt>
                <c:pt idx="47">
                  <c:v>4009.9175742092111</c:v>
                </c:pt>
                <c:pt idx="48">
                  <c:v>402.81892756331058</c:v>
                </c:pt>
                <c:pt idx="49">
                  <c:v>1329.8021858151369</c:v>
                </c:pt>
                <c:pt idx="50">
                  <c:v>20310.042109759066</c:v>
                </c:pt>
                <c:pt idx="51">
                  <c:v>433.85658519395992</c:v>
                </c:pt>
                <c:pt idx="52">
                  <c:v>9100.3979820048316</c:v>
                </c:pt>
                <c:pt idx="53">
                  <c:v>1191.9546026440676</c:v>
                </c:pt>
                <c:pt idx="54">
                  <c:v>406.45311035020677</c:v>
                </c:pt>
                <c:pt idx="55">
                  <c:v>235.47504156610117</c:v>
                </c:pt>
                <c:pt idx="56">
                  <c:v>455.53950101052317</c:v>
                </c:pt>
                <c:pt idx="57">
                  <c:v>784.83247378395799</c:v>
                </c:pt>
                <c:pt idx="59">
                  <c:v>4534.1697962213675</c:v>
                </c:pt>
                <c:pt idx="60">
                  <c:v>449.73053090575195</c:v>
                </c:pt>
                <c:pt idx="61">
                  <c:v>812.11127874043189</c:v>
                </c:pt>
                <c:pt idx="62">
                  <c:v>2164.9084517196738</c:v>
                </c:pt>
                <c:pt idx="63">
                  <c:v>1699.6214567824923</c:v>
                </c:pt>
                <c:pt idx="64">
                  <c:v>16274.723054907419</c:v>
                </c:pt>
                <c:pt idx="65">
                  <c:v>10620.378398777166</c:v>
                </c:pt>
                <c:pt idx="66">
                  <c:v>14026.548910076963</c:v>
                </c:pt>
                <c:pt idx="67">
                  <c:v>2068.7069034631272</c:v>
                </c:pt>
                <c:pt idx="68">
                  <c:v>19351.981946281634</c:v>
                </c:pt>
                <c:pt idx="69">
                  <c:v>1702.8170490749465</c:v>
                </c:pt>
                <c:pt idx="70">
                  <c:v>3421.5262893738163</c:v>
                </c:pt>
                <c:pt idx="71">
                  <c:v>350.63765854687404</c:v>
                </c:pt>
                <c:pt idx="73">
                  <c:v>6428.045247051954</c:v>
                </c:pt>
                <c:pt idx="74">
                  <c:v>16673.785115164581</c:v>
                </c:pt>
                <c:pt idx="75">
                  <c:v>525.6547687850391</c:v>
                </c:pt>
                <c:pt idx="76">
                  <c:v>457.45517644970522</c:v>
                </c:pt>
                <c:pt idx="77">
                  <c:v>5282.4600376859898</c:v>
                </c:pt>
                <c:pt idx="78">
                  <c:v>4766.3678771630557</c:v>
                </c:pt>
                <c:pt idx="79">
                  <c:v>338.50640692902402</c:v>
                </c:pt>
                <c:pt idx="80">
                  <c:v>251.08269857186201</c:v>
                </c:pt>
                <c:pt idx="81">
                  <c:v>7304.7535205740569</c:v>
                </c:pt>
                <c:pt idx="82">
                  <c:v>5761.010198209744</c:v>
                </c:pt>
                <c:pt idx="83">
                  <c:v>2602.3674926381805</c:v>
                </c:pt>
                <c:pt idx="84">
                  <c:v>269.5993140223876</c:v>
                </c:pt>
                <c:pt idx="85">
                  <c:v>162.0392339814488</c:v>
                </c:pt>
                <c:pt idx="86">
                  <c:v>2773.5051191090329</c:v>
                </c:pt>
                <c:pt idx="87">
                  <c:v>273.26206520195876</c:v>
                </c:pt>
                <c:pt idx="88">
                  <c:v>477.14913310775898</c:v>
                </c:pt>
                <c:pt idx="89">
                  <c:v>3317.615230550361</c:v>
                </c:pt>
                <c:pt idx="90">
                  <c:v>3344.6394575603085</c:v>
                </c:pt>
                <c:pt idx="91">
                  <c:v>822.50963790793571</c:v>
                </c:pt>
                <c:pt idx="92">
                  <c:v>1135.2599954466791</c:v>
                </c:pt>
                <c:pt idx="93">
                  <c:v>1024.4235253331728</c:v>
                </c:pt>
                <c:pt idx="94">
                  <c:v>262.26782050059393</c:v>
                </c:pt>
                <c:pt idx="96">
                  <c:v>2419.4633152055776</c:v>
                </c:pt>
                <c:pt idx="97">
                  <c:v>195.196752141731</c:v>
                </c:pt>
                <c:pt idx="98">
                  <c:v>17912.833051191388</c:v>
                </c:pt>
                <c:pt idx="99">
                  <c:v>12021.696272965743</c:v>
                </c:pt>
                <c:pt idx="100">
                  <c:v>706.21851596623685</c:v>
                </c:pt>
                <c:pt idx="101">
                  <c:v>238.19474733527343</c:v>
                </c:pt>
                <c:pt idx="102">
                  <c:v>447.98677493479386</c:v>
                </c:pt>
                <c:pt idx="103">
                  <c:v>27386.636321890954</c:v>
                </c:pt>
                <c:pt idx="104">
                  <c:v>6154.4579631200477</c:v>
                </c:pt>
                <c:pt idx="105">
                  <c:v>386.8247421695412</c:v>
                </c:pt>
                <c:pt idx="107">
                  <c:v>2558.6799894585492</c:v>
                </c:pt>
                <c:pt idx="108">
                  <c:v>680.06066690102273</c:v>
                </c:pt>
                <c:pt idx="109">
                  <c:v>1263.9802034641202</c:v>
                </c:pt>
                <c:pt idx="110">
                  <c:v>1614.066949665103</c:v>
                </c:pt>
                <c:pt idx="111">
                  <c:v>761.4929941012407</c:v>
                </c:pt>
                <c:pt idx="112">
                  <c:v>5462.8875131409959</c:v>
                </c:pt>
                <c:pt idx="113">
                  <c:v>7548.8696815351095</c:v>
                </c:pt>
                <c:pt idx="114">
                  <c:v>9353.7072492806674</c:v>
                </c:pt>
                <c:pt idx="115">
                  <c:v>27921.080667356953</c:v>
                </c:pt>
                <c:pt idx="116">
                  <c:v>3324.1986137206986</c:v>
                </c:pt>
                <c:pt idx="117">
                  <c:v>4754.7113298172135</c:v>
                </c:pt>
                <c:pt idx="118">
                  <c:v>218.05261023211315</c:v>
                </c:pt>
                <c:pt idx="119">
                  <c:v>9252.5150477876468</c:v>
                </c:pt>
                <c:pt idx="120">
                  <c:v>542.24661203109224</c:v>
                </c:pt>
                <c:pt idx="121">
                  <c:v>246.42962976174255</c:v>
                </c:pt>
                <c:pt idx="122">
                  <c:v>13324.593958982508</c:v>
                </c:pt>
                <c:pt idx="123">
                  <c:v>6527.358023881734</c:v>
                </c:pt>
                <c:pt idx="124">
                  <c:v>14147.494684489357</c:v>
                </c:pt>
                <c:pt idx="125">
                  <c:v>116.81791065579031</c:v>
                </c:pt>
                <c:pt idx="126">
                  <c:v>2784.0961057937502</c:v>
                </c:pt>
                <c:pt idx="127">
                  <c:v>10809.556589631338</c:v>
                </c:pt>
                <c:pt idx="128">
                  <c:v>631.68160660765761</c:v>
                </c:pt>
                <c:pt idx="129">
                  <c:v>588.36225732355581</c:v>
                </c:pt>
                <c:pt idx="130">
                  <c:v>1103.7397511650506</c:v>
                </c:pt>
                <c:pt idx="131">
                  <c:v>20687.834596181008</c:v>
                </c:pt>
                <c:pt idx="132">
                  <c:v>31322.541647310823</c:v>
                </c:pt>
                <c:pt idx="133">
                  <c:v>1053.0675177297733</c:v>
                </c:pt>
                <c:pt idx="134">
                  <c:v>366.20363455634805</c:v>
                </c:pt>
                <c:pt idx="136">
                  <c:v>1443.7756276108616</c:v>
                </c:pt>
                <c:pt idx="137">
                  <c:v>505.59101056147796</c:v>
                </c:pt>
                <c:pt idx="138">
                  <c:v>288.26055348565848</c:v>
                </c:pt>
                <c:pt idx="139">
                  <c:v>5464.1720887926504</c:v>
                </c:pt>
                <c:pt idx="140">
                  <c:v>1589.0294814812696</c:v>
                </c:pt>
                <c:pt idx="141">
                  <c:v>2869.8774437041784</c:v>
                </c:pt>
                <c:pt idx="142">
                  <c:v>1551.4462601105927</c:v>
                </c:pt>
                <c:pt idx="143">
                  <c:v>228.36881689084868</c:v>
                </c:pt>
                <c:pt idx="144">
                  <c:v>1608.540139517989</c:v>
                </c:pt>
                <c:pt idx="145">
                  <c:v>33052.387100638378</c:v>
                </c:pt>
                <c:pt idx="146">
                  <c:v>15502.981219206133</c:v>
                </c:pt>
                <c:pt idx="147">
                  <c:v>20789.017987224994</c:v>
                </c:pt>
                <c:pt idx="148">
                  <c:v>3651.5521201182751</c:v>
                </c:pt>
                <c:pt idx="149">
                  <c:v>709.85737227054597</c:v>
                </c:pt>
                <c:pt idx="150">
                  <c:v>3722.1617556944552</c:v>
                </c:pt>
                <c:pt idx="151">
                  <c:v>505.59583848714817</c:v>
                </c:pt>
                <c:pt idx="152">
                  <c:v>677.99816000062049</c:v>
                </c:pt>
                <c:pt idx="153">
                  <c:v>500.08364017741849</c:v>
                </c:pt>
                <c:pt idx="154">
                  <c:v>576.50352318739613</c:v>
                </c:pt>
              </c:numCache>
            </c:numRef>
          </c:xVal>
          <c:yVal>
            <c:numRef>
              <c:f>[1]Imp_per_cap!$BE$3:$BE$157</c:f>
              <c:numCache>
                <c:formatCode>General</c:formatCode>
                <c:ptCount val="155"/>
                <c:pt idx="0">
                  <c:v>13.262571635208309</c:v>
                </c:pt>
                <c:pt idx="1">
                  <c:v>75.728751921470035</c:v>
                </c:pt>
                <c:pt idx="2">
                  <c:v>56.743150028865571</c:v>
                </c:pt>
                <c:pt idx="3">
                  <c:v>31.470803284752289</c:v>
                </c:pt>
                <c:pt idx="4">
                  <c:v>15.991072875245623</c:v>
                </c:pt>
                <c:pt idx="5">
                  <c:v>70.79065671595238</c:v>
                </c:pt>
                <c:pt idx="6">
                  <c:v>119.49093440758951</c:v>
                </c:pt>
                <c:pt idx="7">
                  <c:v>438.41430485684185</c:v>
                </c:pt>
                <c:pt idx="8">
                  <c:v>41.150183024405401</c:v>
                </c:pt>
                <c:pt idx="9">
                  <c:v>260.69493263843293</c:v>
                </c:pt>
                <c:pt idx="10">
                  <c:v>9.0028841242767985</c:v>
                </c:pt>
                <c:pt idx="11">
                  <c:v>83.383192431738706</c:v>
                </c:pt>
                <c:pt idx="12">
                  <c:v>758.32734005823272</c:v>
                </c:pt>
                <c:pt idx="13">
                  <c:v>18.250278082047885</c:v>
                </c:pt>
                <c:pt idx="14">
                  <c:v>11.399987508091538</c:v>
                </c:pt>
                <c:pt idx="15">
                  <c:v>156.14690723444531</c:v>
                </c:pt>
                <c:pt idx="16">
                  <c:v>98.102123172340015</c:v>
                </c:pt>
                <c:pt idx="17">
                  <c:v>12.971273928177228</c:v>
                </c:pt>
                <c:pt idx="18">
                  <c:v>89.711992610214949</c:v>
                </c:pt>
                <c:pt idx="19">
                  <c:v>6.3209333798087428</c:v>
                </c:pt>
                <c:pt idx="20">
                  <c:v>2.6963355093126338</c:v>
                </c:pt>
                <c:pt idx="21">
                  <c:v>15.502495354596432</c:v>
                </c:pt>
                <c:pt idx="22">
                  <c:v>10.702217217297198</c:v>
                </c:pt>
                <c:pt idx="23">
                  <c:v>216.89333546521698</c:v>
                </c:pt>
                <c:pt idx="24">
                  <c:v>3.8416449762973688</c:v>
                </c:pt>
                <c:pt idx="25">
                  <c:v>3.1755004882184754</c:v>
                </c:pt>
                <c:pt idx="26">
                  <c:v>66.922905681340509</c:v>
                </c:pt>
                <c:pt idx="27">
                  <c:v>14.210045434051743</c:v>
                </c:pt>
                <c:pt idx="28">
                  <c:v>24.864867882935449</c:v>
                </c:pt>
                <c:pt idx="29">
                  <c:v>26.068581326939473</c:v>
                </c:pt>
                <c:pt idx="30">
                  <c:v>3.581344360628651</c:v>
                </c:pt>
                <c:pt idx="31">
                  <c:v>77.728345471163195</c:v>
                </c:pt>
                <c:pt idx="32">
                  <c:v>16.163564447751483</c:v>
                </c:pt>
                <c:pt idx="33">
                  <c:v>158.16174294199794</c:v>
                </c:pt>
                <c:pt idx="34">
                  <c:v>44.378627675492382</c:v>
                </c:pt>
                <c:pt idx="35">
                  <c:v>357.14339884388926</c:v>
                </c:pt>
                <c:pt idx="36">
                  <c:v>243.99208956937323</c:v>
                </c:pt>
                <c:pt idx="37">
                  <c:v>569.77396541471376</c:v>
                </c:pt>
                <c:pt idx="38">
                  <c:v>47.093798207335723</c:v>
                </c:pt>
                <c:pt idx="39">
                  <c:v>29.405598306785702</c:v>
                </c:pt>
                <c:pt idx="40">
                  <c:v>36.402316049609901</c:v>
                </c:pt>
                <c:pt idx="41">
                  <c:v>71.523723301098386</c:v>
                </c:pt>
                <c:pt idx="42">
                  <c:v>6.742394316761021</c:v>
                </c:pt>
                <c:pt idx="43">
                  <c:v>327.21018173847801</c:v>
                </c:pt>
                <c:pt idx="44">
                  <c:v>4.9366309136000162</c:v>
                </c:pt>
                <c:pt idx="45">
                  <c:v>256.68660913127945</c:v>
                </c:pt>
                <c:pt idx="46">
                  <c:v>220.57827392798086</c:v>
                </c:pt>
                <c:pt idx="47">
                  <c:v>79.578252020294642</c:v>
                </c:pt>
                <c:pt idx="48">
                  <c:v>31.495922867322964</c:v>
                </c:pt>
                <c:pt idx="49">
                  <c:v>71.415672481360062</c:v>
                </c:pt>
                <c:pt idx="50">
                  <c:v>266.72643447551286</c:v>
                </c:pt>
                <c:pt idx="51">
                  <c:v>15.206637081891419</c:v>
                </c:pt>
                <c:pt idx="52">
                  <c:v>218.72383502528612</c:v>
                </c:pt>
                <c:pt idx="53">
                  <c:v>39.688136292681257</c:v>
                </c:pt>
                <c:pt idx="54">
                  <c:v>11.300594573127555</c:v>
                </c:pt>
                <c:pt idx="55">
                  <c:v>14.516139673237072</c:v>
                </c:pt>
                <c:pt idx="56">
                  <c:v>23.893650617022168</c:v>
                </c:pt>
                <c:pt idx="57">
                  <c:v>46.715765327402046</c:v>
                </c:pt>
                <c:pt idx="59">
                  <c:v>121.84265014307272</c:v>
                </c:pt>
                <c:pt idx="60">
                  <c:v>2.5982346464700905</c:v>
                </c:pt>
                <c:pt idx="61">
                  <c:v>14.769554556118063</c:v>
                </c:pt>
                <c:pt idx="62">
                  <c:v>30.156969087779476</c:v>
                </c:pt>
                <c:pt idx="63">
                  <c:v>58.496767600539201</c:v>
                </c:pt>
                <c:pt idx="64">
                  <c:v>530.03854164586483</c:v>
                </c:pt>
                <c:pt idx="65">
                  <c:v>139.84949439038664</c:v>
                </c:pt>
                <c:pt idx="66">
                  <c:v>209.47354138848848</c:v>
                </c:pt>
                <c:pt idx="67">
                  <c:v>82.955961735783703</c:v>
                </c:pt>
                <c:pt idx="68">
                  <c:v>130.26197923690466</c:v>
                </c:pt>
                <c:pt idx="69">
                  <c:v>110.7703071774356</c:v>
                </c:pt>
                <c:pt idx="70">
                  <c:v>63.082104054190438</c:v>
                </c:pt>
                <c:pt idx="71">
                  <c:v>9.9129537108268337</c:v>
                </c:pt>
                <c:pt idx="72">
                  <c:v>6.4376373607674227</c:v>
                </c:pt>
                <c:pt idx="73">
                  <c:v>112.0282995088009</c:v>
                </c:pt>
                <c:pt idx="74">
                  <c:v>245.41711347135819</c:v>
                </c:pt>
                <c:pt idx="75">
                  <c:v>36.010760775179449</c:v>
                </c:pt>
                <c:pt idx="76">
                  <c:v>12.66800174889031</c:v>
                </c:pt>
                <c:pt idx="77">
                  <c:v>290.79994844332577</c:v>
                </c:pt>
                <c:pt idx="78">
                  <c:v>161.38440929203117</c:v>
                </c:pt>
                <c:pt idx="79">
                  <c:v>33.139570061439876</c:v>
                </c:pt>
                <c:pt idx="80">
                  <c:v>14.925095309132946</c:v>
                </c:pt>
                <c:pt idx="81">
                  <c:v>118.97164919714359</c:v>
                </c:pt>
                <c:pt idx="82">
                  <c:v>328.7153502478676</c:v>
                </c:pt>
                <c:pt idx="83">
                  <c:v>96.11998984951957</c:v>
                </c:pt>
                <c:pt idx="84">
                  <c:v>4.7298063729722193</c:v>
                </c:pt>
                <c:pt idx="85">
                  <c:v>6.1868185720184456</c:v>
                </c:pt>
                <c:pt idx="86">
                  <c:v>127.75569618974205</c:v>
                </c:pt>
                <c:pt idx="87">
                  <c:v>8.2422969057875193</c:v>
                </c:pt>
                <c:pt idx="88">
                  <c:v>35.080173227212924</c:v>
                </c:pt>
                <c:pt idx="89">
                  <c:v>151.9791262051414</c:v>
                </c:pt>
                <c:pt idx="90">
                  <c:v>57.35253004921649</c:v>
                </c:pt>
                <c:pt idx="91">
                  <c:v>54.981278589859535</c:v>
                </c:pt>
                <c:pt idx="92">
                  <c:v>35.592328300173371</c:v>
                </c:pt>
                <c:pt idx="93">
                  <c:v>37.616681276035003</c:v>
                </c:pt>
                <c:pt idx="94">
                  <c:v>8.8280089167280167</c:v>
                </c:pt>
                <c:pt idx="95">
                  <c:v>5.4956385286049869</c:v>
                </c:pt>
                <c:pt idx="96">
                  <c:v>44.140126572257124</c:v>
                </c:pt>
                <c:pt idx="97">
                  <c:v>7.2541680576015448</c:v>
                </c:pt>
                <c:pt idx="98">
                  <c:v>816.93356021732973</c:v>
                </c:pt>
                <c:pt idx="99">
                  <c:v>197.96458192531804</c:v>
                </c:pt>
                <c:pt idx="100">
                  <c:v>33.060831484136514</c:v>
                </c:pt>
                <c:pt idx="101">
                  <c:v>6.6108628677516128</c:v>
                </c:pt>
                <c:pt idx="102">
                  <c:v>10.765902562902367</c:v>
                </c:pt>
                <c:pt idx="103">
                  <c:v>309.25989382494686</c:v>
                </c:pt>
                <c:pt idx="104">
                  <c:v>240.88845735267992</c:v>
                </c:pt>
                <c:pt idx="105">
                  <c:v>7.8461985476618183</c:v>
                </c:pt>
                <c:pt idx="107">
                  <c:v>73.527454850784025</c:v>
                </c:pt>
                <c:pt idx="108">
                  <c:v>17.999440733612143</c:v>
                </c:pt>
                <c:pt idx="109">
                  <c:v>41.13000383611346</c:v>
                </c:pt>
                <c:pt idx="110">
                  <c:v>28.042223126791562</c:v>
                </c:pt>
                <c:pt idx="111">
                  <c:v>17.892191404099222</c:v>
                </c:pt>
                <c:pt idx="112">
                  <c:v>94.767625016523581</c:v>
                </c:pt>
                <c:pt idx="113">
                  <c:v>248.07621693499399</c:v>
                </c:pt>
                <c:pt idx="115">
                  <c:v>288.99234503852051</c:v>
                </c:pt>
                <c:pt idx="116">
                  <c:v>69.227302869349757</c:v>
                </c:pt>
                <c:pt idx="117">
                  <c:v>64.079965832729755</c:v>
                </c:pt>
                <c:pt idx="118">
                  <c:v>4.8773239615496342</c:v>
                </c:pt>
                <c:pt idx="119">
                  <c:v>165.5457332042875</c:v>
                </c:pt>
                <c:pt idx="120">
                  <c:v>28.089877386131327</c:v>
                </c:pt>
                <c:pt idx="121">
                  <c:v>10.419784895476921</c:v>
                </c:pt>
                <c:pt idx="122">
                  <c:v>525.00722916744132</c:v>
                </c:pt>
                <c:pt idx="123">
                  <c:v>288.11555775920556</c:v>
                </c:pt>
                <c:pt idx="124">
                  <c:v>425.27872083173207</c:v>
                </c:pt>
                <c:pt idx="125">
                  <c:v>14.343172027568786</c:v>
                </c:pt>
                <c:pt idx="126">
                  <c:v>26.81674770806266</c:v>
                </c:pt>
                <c:pt idx="127">
                  <c:v>195.12839325776895</c:v>
                </c:pt>
                <c:pt idx="128">
                  <c:v>23.200443204518262</c:v>
                </c:pt>
                <c:pt idx="129">
                  <c:v>12.58055500389545</c:v>
                </c:pt>
                <c:pt idx="130">
                  <c:v>78.426506415014074</c:v>
                </c:pt>
                <c:pt idx="131">
                  <c:v>318.48128624592488</c:v>
                </c:pt>
                <c:pt idx="132">
                  <c:v>364.22315361192216</c:v>
                </c:pt>
                <c:pt idx="133">
                  <c:v>38.977588623984012</c:v>
                </c:pt>
                <c:pt idx="134">
                  <c:v>16.644975378749116</c:v>
                </c:pt>
                <c:pt idx="135">
                  <c:v>4.9543400916239104</c:v>
                </c:pt>
                <c:pt idx="136">
                  <c:v>33.108843176313165</c:v>
                </c:pt>
                <c:pt idx="137">
                  <c:v>15.953233469344211</c:v>
                </c:pt>
                <c:pt idx="138">
                  <c:v>10.891117359760221</c:v>
                </c:pt>
                <c:pt idx="139">
                  <c:v>143.40915656488872</c:v>
                </c:pt>
                <c:pt idx="140">
                  <c:v>57.131504699121528</c:v>
                </c:pt>
                <c:pt idx="141">
                  <c:v>42.087850157055279</c:v>
                </c:pt>
                <c:pt idx="142">
                  <c:v>16.860774129767876</c:v>
                </c:pt>
                <c:pt idx="143">
                  <c:v>5.3185558875011942</c:v>
                </c:pt>
                <c:pt idx="144">
                  <c:v>36.401855099971968</c:v>
                </c:pt>
                <c:pt idx="145">
                  <c:v>457.37162597221794</c:v>
                </c:pt>
                <c:pt idx="146">
                  <c:v>244.33924424467557</c:v>
                </c:pt>
                <c:pt idx="147">
                  <c:v>81.213691288235992</c:v>
                </c:pt>
                <c:pt idx="148">
                  <c:v>76.188466159005529</c:v>
                </c:pt>
                <c:pt idx="149">
                  <c:v>11.82301407855309</c:v>
                </c:pt>
                <c:pt idx="150">
                  <c:v>63.637914163584504</c:v>
                </c:pt>
                <c:pt idx="151">
                  <c:v>27.094560867282556</c:v>
                </c:pt>
                <c:pt idx="152">
                  <c:v>33.041750568638285</c:v>
                </c:pt>
                <c:pt idx="153">
                  <c:v>5.5958337519738999</c:v>
                </c:pt>
                <c:pt idx="154">
                  <c:v>29.434133876151343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1D-2D43-A031-0D050BCB4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197200"/>
        <c:axId val="286473448"/>
      </c:scatterChart>
      <c:valAx>
        <c:axId val="28619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6473448"/>
        <c:crosses val="autoZero"/>
        <c:crossBetween val="midCat"/>
      </c:valAx>
      <c:valAx>
        <c:axId val="286473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619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'GDP_per_cap (2)'!$AZ$2:$AZ$156</c:f>
              <c:numCache>
                <c:formatCode>General</c:formatCode>
                <c:ptCount val="155"/>
                <c:pt idx="0">
                  <c:v>561.19761748479527</c:v>
                </c:pt>
                <c:pt idx="1">
                  <c:v>3764.326347991479</c:v>
                </c:pt>
                <c:pt idx="2">
                  <c:v>4364.9617089520762</c:v>
                </c:pt>
                <c:pt idx="3">
                  <c:v>4218.6491255737947</c:v>
                </c:pt>
                <c:pt idx="4">
                  <c:v>9132.958027222392</c:v>
                </c:pt>
                <c:pt idx="5">
                  <c:v>3124.7842960128969</c:v>
                </c:pt>
                <c:pt idx="6">
                  <c:v>51586.08734915324</c:v>
                </c:pt>
                <c:pt idx="7">
                  <c:v>44916.360837375345</c:v>
                </c:pt>
                <c:pt idx="8">
                  <c:v>5843.1697532975668</c:v>
                </c:pt>
                <c:pt idx="9">
                  <c:v>20545.988272572929</c:v>
                </c:pt>
                <c:pt idx="10">
                  <c:v>664.0642316845159</c:v>
                </c:pt>
                <c:pt idx="11">
                  <c:v>5818.8548592158049</c:v>
                </c:pt>
                <c:pt idx="12">
                  <c:v>43000.150896451385</c:v>
                </c:pt>
                <c:pt idx="13">
                  <c:v>689.64833134415653</c:v>
                </c:pt>
                <c:pt idx="14">
                  <c:v>1934.6752575573205</c:v>
                </c:pt>
                <c:pt idx="15">
                  <c:v>4361.8771375268871</c:v>
                </c:pt>
                <c:pt idx="16">
                  <c:v>6980.3649288379638</c:v>
                </c:pt>
                <c:pt idx="17">
                  <c:v>10978.09355377202</c:v>
                </c:pt>
                <c:pt idx="18">
                  <c:v>6334.6782693085897</c:v>
                </c:pt>
                <c:pt idx="19">
                  <c:v>592.60746992056966</c:v>
                </c:pt>
                <c:pt idx="20">
                  <c:v>219.52979945079323</c:v>
                </c:pt>
                <c:pt idx="21">
                  <c:v>782.61888859226622</c:v>
                </c:pt>
                <c:pt idx="22">
                  <c:v>1090.3825973684234</c:v>
                </c:pt>
                <c:pt idx="23">
                  <c:v>46211.533860069801</c:v>
                </c:pt>
                <c:pt idx="24">
                  <c:v>456.27215815841589</c:v>
                </c:pt>
                <c:pt idx="25">
                  <c:v>728.67796489932903</c:v>
                </c:pt>
                <c:pt idx="26">
                  <c:v>12670.673414549507</c:v>
                </c:pt>
                <c:pt idx="27">
                  <c:v>4447.7562107007579</c:v>
                </c:pt>
                <c:pt idx="28">
                  <c:v>6179.7702122403443</c:v>
                </c:pt>
                <c:pt idx="29">
                  <c:v>2920.4067080001232</c:v>
                </c:pt>
                <c:pt idx="30">
                  <c:v>210.76917709346858</c:v>
                </c:pt>
                <c:pt idx="31">
                  <c:v>7783.4356055437356</c:v>
                </c:pt>
                <c:pt idx="32">
                  <c:v>1207.8451404201344</c:v>
                </c:pt>
                <c:pt idx="33">
                  <c:v>13326.506278007912</c:v>
                </c:pt>
                <c:pt idx="35">
                  <c:v>20959.286690609901</c:v>
                </c:pt>
                <c:pt idx="36">
                  <c:v>18866.855225859697</c:v>
                </c:pt>
                <c:pt idx="37">
                  <c:v>56485.894435376424</c:v>
                </c:pt>
                <c:pt idx="38">
                  <c:v>5156.7285201280974</c:v>
                </c:pt>
                <c:pt idx="39">
                  <c:v>4500.5915577233418</c:v>
                </c:pt>
                <c:pt idx="40">
                  <c:v>2803.5329626527396</c:v>
                </c:pt>
                <c:pt idx="41">
                  <c:v>3444.4561484482233</c:v>
                </c:pt>
                <c:pt idx="42">
                  <c:v>368.74775819689802</c:v>
                </c:pt>
                <c:pt idx="43">
                  <c:v>14062.232891971071</c:v>
                </c:pt>
                <c:pt idx="44">
                  <c:v>341.07721845763342</c:v>
                </c:pt>
                <c:pt idx="45">
                  <c:v>43863.966925318739</c:v>
                </c:pt>
                <c:pt idx="46">
                  <c:v>39186.022443069494</c:v>
                </c:pt>
                <c:pt idx="47">
                  <c:v>9342.7145735406739</c:v>
                </c:pt>
                <c:pt idx="48">
                  <c:v>566.33532544388584</c:v>
                </c:pt>
                <c:pt idx="49">
                  <c:v>2613.6814129315339</c:v>
                </c:pt>
                <c:pt idx="50">
                  <c:v>40163.817401931403</c:v>
                </c:pt>
                <c:pt idx="51">
                  <c:v>1326.06611191972</c:v>
                </c:pt>
                <c:pt idx="52">
                  <c:v>25850.501958671703</c:v>
                </c:pt>
                <c:pt idx="53">
                  <c:v>2882.4002187143305</c:v>
                </c:pt>
                <c:pt idx="54">
                  <c:v>435.4488880125715</c:v>
                </c:pt>
                <c:pt idx="55">
                  <c:v>526.52102387731384</c:v>
                </c:pt>
                <c:pt idx="56">
                  <c:v>670.40329244585132</c:v>
                </c:pt>
                <c:pt idx="57">
                  <c:v>2077.7869343529051</c:v>
                </c:pt>
                <c:pt idx="59">
                  <c:v>12795.651535664641</c:v>
                </c:pt>
                <c:pt idx="60">
                  <c:v>1419.1126739622159</c:v>
                </c:pt>
                <c:pt idx="61">
                  <c:v>2946.9685135846044</c:v>
                </c:pt>
                <c:pt idx="62">
                  <c:v>5674.9239273508483</c:v>
                </c:pt>
                <c:pt idx="63">
                  <c:v>4375.9062245060413</c:v>
                </c:pt>
                <c:pt idx="64">
                  <c:v>46018.578874520535</c:v>
                </c:pt>
                <c:pt idx="65">
                  <c:v>30389.122186575631</c:v>
                </c:pt>
                <c:pt idx="66">
                  <c:v>33760.589748738435</c:v>
                </c:pt>
                <c:pt idx="67">
                  <c:v>4887.7761982102884</c:v>
                </c:pt>
                <c:pt idx="68">
                  <c:v>43117.768273275658</c:v>
                </c:pt>
                <c:pt idx="69">
                  <c:v>4370.7210331811511</c:v>
                </c:pt>
                <c:pt idx="70">
                  <c:v>9070.0097292678147</c:v>
                </c:pt>
                <c:pt idx="71">
                  <c:v>787.85742826013131</c:v>
                </c:pt>
                <c:pt idx="73">
                  <c:v>20540.176925139524</c:v>
                </c:pt>
                <c:pt idx="74">
                  <c:v>40090.746272744211</c:v>
                </c:pt>
                <c:pt idx="75">
                  <c:v>880.03851414418637</c:v>
                </c:pt>
                <c:pt idx="76">
                  <c:v>1122.8523155898163</c:v>
                </c:pt>
                <c:pt idx="77">
                  <c:v>10743.281633815557</c:v>
                </c:pt>
                <c:pt idx="78">
                  <c:v>8551.8524162705453</c:v>
                </c:pt>
                <c:pt idx="79">
                  <c:v>1097.0401877652239</c:v>
                </c:pt>
                <c:pt idx="80">
                  <c:v>326.60428044353245</c:v>
                </c:pt>
                <c:pt idx="82">
                  <c:v>11148.941278758188</c:v>
                </c:pt>
                <c:pt idx="83">
                  <c:v>4442.3007685395778</c:v>
                </c:pt>
                <c:pt idx="84">
                  <c:v>419.22381329404357</c:v>
                </c:pt>
                <c:pt idx="85">
                  <c:v>359.57952683673221</c:v>
                </c:pt>
                <c:pt idx="86">
                  <c:v>8729.0997904091055</c:v>
                </c:pt>
                <c:pt idx="87">
                  <c:v>673.69466138146663</c:v>
                </c:pt>
                <c:pt idx="88">
                  <c:v>1017.1662775218101</c:v>
                </c:pt>
                <c:pt idx="89">
                  <c:v>7586.9695334291637</c:v>
                </c:pt>
                <c:pt idx="90">
                  <c:v>8779.1371924060113</c:v>
                </c:pt>
                <c:pt idx="91">
                  <c:v>1631.5331945336395</c:v>
                </c:pt>
                <c:pt idx="92">
                  <c:v>2285.6453775170312</c:v>
                </c:pt>
                <c:pt idx="93">
                  <c:v>2868.6441666067135</c:v>
                </c:pt>
                <c:pt idx="94">
                  <c:v>386.96316546406609</c:v>
                </c:pt>
                <c:pt idx="96">
                  <c:v>5078.5130198766728</c:v>
                </c:pt>
                <c:pt idx="97">
                  <c:v>594.34187558376914</c:v>
                </c:pt>
                <c:pt idx="98">
                  <c:v>46622.902516596478</c:v>
                </c:pt>
                <c:pt idx="99">
                  <c:v>31999.548033170151</c:v>
                </c:pt>
                <c:pt idx="100">
                  <c:v>1474.7488188903944</c:v>
                </c:pt>
                <c:pt idx="101">
                  <c:v>340.42371463805631</c:v>
                </c:pt>
                <c:pt idx="102">
                  <c:v>1431.6012391418221</c:v>
                </c:pt>
                <c:pt idx="103">
                  <c:v>86155.529049276214</c:v>
                </c:pt>
                <c:pt idx="104">
                  <c:v>20983.900335404142</c:v>
                </c:pt>
                <c:pt idx="105">
                  <c:v>1019.2216912603388</c:v>
                </c:pt>
                <c:pt idx="107">
                  <c:v>7229.1122005541947</c:v>
                </c:pt>
                <c:pt idx="108">
                  <c:v>1382.1437493387666</c:v>
                </c:pt>
                <c:pt idx="109">
                  <c:v>3100.5016399172205</c:v>
                </c:pt>
                <c:pt idx="110">
                  <c:v>5247.0959345042274</c:v>
                </c:pt>
                <c:pt idx="111">
                  <c:v>2135.9184137048051</c:v>
                </c:pt>
                <c:pt idx="112">
                  <c:v>12302.029919186125</c:v>
                </c:pt>
                <c:pt idx="113">
                  <c:v>21381.903956712114</c:v>
                </c:pt>
                <c:pt idx="114">
                  <c:v>26106.388033133328</c:v>
                </c:pt>
                <c:pt idx="115">
                  <c:v>71510.155746257253</c:v>
                </c:pt>
                <c:pt idx="116">
                  <c:v>7686.9225234910555</c:v>
                </c:pt>
                <c:pt idx="117">
                  <c:v>10709.502432563364</c:v>
                </c:pt>
                <c:pt idx="118">
                  <c:v>519.0223544709487</c:v>
                </c:pt>
                <c:pt idx="119">
                  <c:v>19326.582554817593</c:v>
                </c:pt>
                <c:pt idx="120">
                  <c:v>992.64383491016144</c:v>
                </c:pt>
                <c:pt idx="121">
                  <c:v>447.75332377400576</c:v>
                </c:pt>
                <c:pt idx="122">
                  <c:v>42783.722448135355</c:v>
                </c:pt>
                <c:pt idx="123">
                  <c:v>16062.419819845736</c:v>
                </c:pt>
                <c:pt idx="124">
                  <c:v>22942.364428653545</c:v>
                </c:pt>
                <c:pt idx="126">
                  <c:v>7266.078871331285</c:v>
                </c:pt>
                <c:pt idx="127">
                  <c:v>29956.1563511721</c:v>
                </c:pt>
                <c:pt idx="128">
                  <c:v>2399.9200536543817</c:v>
                </c:pt>
                <c:pt idx="129">
                  <c:v>1817.3371277802785</c:v>
                </c:pt>
                <c:pt idx="130">
                  <c:v>3093.5395296203706</c:v>
                </c:pt>
                <c:pt idx="131">
                  <c:v>49359.866919853121</c:v>
                </c:pt>
                <c:pt idx="132">
                  <c:v>70572.656937853608</c:v>
                </c:pt>
                <c:pt idx="133">
                  <c:v>2746.8538100240316</c:v>
                </c:pt>
                <c:pt idx="134">
                  <c:v>739.67494813738392</c:v>
                </c:pt>
                <c:pt idx="136">
                  <c:v>4802.6627576621331</c:v>
                </c:pt>
                <c:pt idx="137">
                  <c:v>765.95051912381768</c:v>
                </c:pt>
                <c:pt idx="138">
                  <c:v>503.16178846463691</c:v>
                </c:pt>
                <c:pt idx="139">
                  <c:v>15572.688762412001</c:v>
                </c:pt>
                <c:pt idx="140">
                  <c:v>4206.7799215762498</c:v>
                </c:pt>
                <c:pt idx="141">
                  <c:v>10135.420911873671</c:v>
                </c:pt>
                <c:pt idx="142">
                  <c:v>4479.033231467849</c:v>
                </c:pt>
                <c:pt idx="143">
                  <c:v>505.98768493116575</c:v>
                </c:pt>
                <c:pt idx="144">
                  <c:v>2973.9817087455513</c:v>
                </c:pt>
                <c:pt idx="145">
                  <c:v>34048.530247914903</c:v>
                </c:pt>
                <c:pt idx="146">
                  <c:v>36232.814420707029</c:v>
                </c:pt>
                <c:pt idx="147">
                  <c:v>46615.51085750974</c:v>
                </c:pt>
                <c:pt idx="148">
                  <c:v>11520.272592662337</c:v>
                </c:pt>
                <c:pt idx="149">
                  <c:v>1364.7874596791189</c:v>
                </c:pt>
                <c:pt idx="150">
                  <c:v>13559.33118330574</c:v>
                </c:pt>
                <c:pt idx="151">
                  <c:v>1224.2469175143124</c:v>
                </c:pt>
                <c:pt idx="152">
                  <c:v>1400.6676849886519</c:v>
                </c:pt>
                <c:pt idx="153">
                  <c:v>1224.953862933736</c:v>
                </c:pt>
                <c:pt idx="154">
                  <c:v>568.42754187850824</c:v>
                </c:pt>
              </c:numCache>
            </c:numRef>
          </c:xVal>
          <c:yVal>
            <c:numRef>
              <c:f>[1]SelfSuf!$AZ$3:$AZ$157</c:f>
              <c:numCache>
                <c:formatCode>General</c:formatCode>
                <c:ptCount val="155"/>
                <c:pt idx="0">
                  <c:v>0.80592583452964006</c:v>
                </c:pt>
                <c:pt idx="1">
                  <c:v>0.62290080722126806</c:v>
                </c:pt>
                <c:pt idx="2">
                  <c:v>0.33565257821287425</c:v>
                </c:pt>
                <c:pt idx="3">
                  <c:v>0.59078974281040664</c:v>
                </c:pt>
                <c:pt idx="4">
                  <c:v>2.1710395610711548</c:v>
                </c:pt>
                <c:pt idx="5">
                  <c:v>0.42262606426409238</c:v>
                </c:pt>
                <c:pt idx="6">
                  <c:v>2.5018122700035152</c:v>
                </c:pt>
                <c:pt idx="7">
                  <c:v>0.95323597398189419</c:v>
                </c:pt>
                <c:pt idx="8">
                  <c:v>0.56101624565484798</c:v>
                </c:pt>
                <c:pt idx="9">
                  <c:v>0</c:v>
                </c:pt>
                <c:pt idx="10">
                  <c:v>0.91873617476356595</c:v>
                </c:pt>
                <c:pt idx="11">
                  <c:v>0.98255660469287787</c:v>
                </c:pt>
                <c:pt idx="12">
                  <c:v>0.37164218600416654</c:v>
                </c:pt>
                <c:pt idx="13">
                  <c:v>0.95203878878575132</c:v>
                </c:pt>
                <c:pt idx="14">
                  <c:v>0.84570685216729458</c:v>
                </c:pt>
                <c:pt idx="15">
                  <c:v>0.64835225448999723</c:v>
                </c:pt>
                <c:pt idx="16">
                  <c:v>0.14910984281935924</c:v>
                </c:pt>
                <c:pt idx="17">
                  <c:v>1.0529872430662273</c:v>
                </c:pt>
                <c:pt idx="18">
                  <c:v>1.8871257946231623</c:v>
                </c:pt>
                <c:pt idx="19">
                  <c:v>0.93446247691016815</c:v>
                </c:pt>
                <c:pt idx="20">
                  <c:v>0.83713694609722067</c:v>
                </c:pt>
                <c:pt idx="21">
                  <c:v>0.99556001284936979</c:v>
                </c:pt>
                <c:pt idx="22">
                  <c:v>0.79565162603698614</c:v>
                </c:pt>
                <c:pt idx="23">
                  <c:v>1.8110539571928661</c:v>
                </c:pt>
                <c:pt idx="24">
                  <c:v>0.86813121681315653</c:v>
                </c:pt>
                <c:pt idx="25">
                  <c:v>0.92131510390994209</c:v>
                </c:pt>
                <c:pt idx="26">
                  <c:v>0.65059946073191355</c:v>
                </c:pt>
                <c:pt idx="27">
                  <c:v>0.99123981482642576</c:v>
                </c:pt>
                <c:pt idx="28">
                  <c:v>0.39455796623590927</c:v>
                </c:pt>
                <c:pt idx="29">
                  <c:v>0.11237372031329523</c:v>
                </c:pt>
                <c:pt idx="30">
                  <c:v>0.71018058542793805</c:v>
                </c:pt>
                <c:pt idx="31">
                  <c:v>0.2347776782707518</c:v>
                </c:pt>
                <c:pt idx="32">
                  <c:v>0.53107439827696779</c:v>
                </c:pt>
                <c:pt idx="33">
                  <c:v>1.1617759316297134</c:v>
                </c:pt>
                <c:pt idx="34">
                  <c:v>0.27415432375283227</c:v>
                </c:pt>
                <c:pt idx="35">
                  <c:v>0.11672594831398023</c:v>
                </c:pt>
                <c:pt idx="36">
                  <c:v>1.3338737957831137</c:v>
                </c:pt>
                <c:pt idx="37">
                  <c:v>1.2224462622743726</c:v>
                </c:pt>
                <c:pt idx="38">
                  <c:v>0.34731412681556645</c:v>
                </c:pt>
                <c:pt idx="39">
                  <c:v>0.69591398875672417</c:v>
                </c:pt>
                <c:pt idx="40">
                  <c:v>0.54697276137794082</c:v>
                </c:pt>
                <c:pt idx="41">
                  <c:v>0.55233212310324376</c:v>
                </c:pt>
                <c:pt idx="42">
                  <c:v>0.52551031414900184</c:v>
                </c:pt>
                <c:pt idx="43">
                  <c:v>1.2626963448224522</c:v>
                </c:pt>
                <c:pt idx="44">
                  <c:v>0.88216912274134185</c:v>
                </c:pt>
                <c:pt idx="45">
                  <c:v>1.2627912315706671</c:v>
                </c:pt>
                <c:pt idx="46">
                  <c:v>1.9254247454543276</c:v>
                </c:pt>
                <c:pt idx="47">
                  <c:v>0.22834666581678725</c:v>
                </c:pt>
                <c:pt idx="48">
                  <c:v>0.56977792127795968</c:v>
                </c:pt>
                <c:pt idx="49">
                  <c:v>0.23643507412521933</c:v>
                </c:pt>
                <c:pt idx="50">
                  <c:v>1.1081205434668913</c:v>
                </c:pt>
                <c:pt idx="51">
                  <c:v>0.81118344050648317</c:v>
                </c:pt>
                <c:pt idx="52">
                  <c:v>0.83141133978562176</c:v>
                </c:pt>
                <c:pt idx="53">
                  <c:v>0.59112722867881407</c:v>
                </c:pt>
                <c:pt idx="54">
                  <c:v>0.86702557745082731</c:v>
                </c:pt>
                <c:pt idx="55">
                  <c:v>0.80196831568058158</c:v>
                </c:pt>
                <c:pt idx="56">
                  <c:v>0.40770563232495688</c:v>
                </c:pt>
                <c:pt idx="57">
                  <c:v>0.48863797514544105</c:v>
                </c:pt>
                <c:pt idx="58">
                  <c:v>0</c:v>
                </c:pt>
                <c:pt idx="59">
                  <c:v>2.0564676521019134</c:v>
                </c:pt>
                <c:pt idx="60">
                  <c:v>1.0178682230643488</c:v>
                </c:pt>
                <c:pt idx="61">
                  <c:v>0.91388645323990614</c:v>
                </c:pt>
                <c:pt idx="62">
                  <c:v>0.73007779260010408</c:v>
                </c:pt>
                <c:pt idx="63">
                  <c:v>0.50810574147515464</c:v>
                </c:pt>
                <c:pt idx="64">
                  <c:v>0.65450918121965451</c:v>
                </c:pt>
                <c:pt idx="65">
                  <c:v>6.8566573685110238E-2</c:v>
                </c:pt>
                <c:pt idx="66">
                  <c:v>0.67014365957199584</c:v>
                </c:pt>
                <c:pt idx="67">
                  <c:v>5.8057301473643267E-3</c:v>
                </c:pt>
                <c:pt idx="68">
                  <c:v>0.26768216119229754</c:v>
                </c:pt>
                <c:pt idx="69">
                  <c:v>5.9583626075978578E-2</c:v>
                </c:pt>
                <c:pt idx="70">
                  <c:v>3.294848571458874</c:v>
                </c:pt>
                <c:pt idx="71">
                  <c:v>0.76484094420477033</c:v>
                </c:pt>
                <c:pt idx="72">
                  <c:v>0.91137996757788975</c:v>
                </c:pt>
                <c:pt idx="73">
                  <c:v>0.3209902823020051</c:v>
                </c:pt>
                <c:pt idx="74">
                  <c:v>2.6762909494725151E-2</c:v>
                </c:pt>
                <c:pt idx="75">
                  <c:v>0.771268231974086</c:v>
                </c:pt>
                <c:pt idx="76">
                  <c:v>1.0443231424886474</c:v>
                </c:pt>
                <c:pt idx="77">
                  <c:v>2.3677481221032441</c:v>
                </c:pt>
                <c:pt idx="78">
                  <c:v>0.10471638452429877</c:v>
                </c:pt>
                <c:pt idx="79">
                  <c:v>0.40362672806764049</c:v>
                </c:pt>
                <c:pt idx="80">
                  <c:v>0.46604787186319985</c:v>
                </c:pt>
                <c:pt idx="81">
                  <c:v>6.9792026047437783E-2</c:v>
                </c:pt>
                <c:pt idx="82">
                  <c:v>1.742449685861819</c:v>
                </c:pt>
                <c:pt idx="83">
                  <c:v>0.76944508773998677</c:v>
                </c:pt>
                <c:pt idx="84">
                  <c:v>0.94819726709890551</c:v>
                </c:pt>
                <c:pt idx="85">
                  <c:v>0.95427478950771205</c:v>
                </c:pt>
                <c:pt idx="86">
                  <c:v>0.31910754666272423</c:v>
                </c:pt>
                <c:pt idx="87">
                  <c:v>0.96798329715520248</c:v>
                </c:pt>
                <c:pt idx="88">
                  <c:v>0.37501700522944814</c:v>
                </c:pt>
                <c:pt idx="89">
                  <c:v>1.1301420602351936E-3</c:v>
                </c:pt>
                <c:pt idx="90">
                  <c:v>0.72394131306274723</c:v>
                </c:pt>
                <c:pt idx="91">
                  <c:v>1.1255460245637936</c:v>
                </c:pt>
                <c:pt idx="92">
                  <c:v>0.68883399823039071</c:v>
                </c:pt>
                <c:pt idx="93">
                  <c:v>0.59250359178912881</c:v>
                </c:pt>
                <c:pt idx="94">
                  <c:v>0.71838070381880537</c:v>
                </c:pt>
                <c:pt idx="95">
                  <c:v>0.99838130706680639</c:v>
                </c:pt>
                <c:pt idx="96">
                  <c:v>0.43202866554280434</c:v>
                </c:pt>
                <c:pt idx="97">
                  <c:v>0.96905345509768048</c:v>
                </c:pt>
                <c:pt idx="98">
                  <c:v>0.14881856503867633</c:v>
                </c:pt>
                <c:pt idx="99">
                  <c:v>0.71337723469846492</c:v>
                </c:pt>
                <c:pt idx="100">
                  <c:v>0.74870042486629795</c:v>
                </c:pt>
                <c:pt idx="101">
                  <c:v>0.94799904311607464</c:v>
                </c:pt>
                <c:pt idx="102">
                  <c:v>0.80765631193562171</c:v>
                </c:pt>
                <c:pt idx="103">
                  <c:v>0.68685198182472806</c:v>
                </c:pt>
                <c:pt idx="104">
                  <c:v>5.4762525397776214E-2</c:v>
                </c:pt>
                <c:pt idx="105">
                  <c:v>1.1357746182570203</c:v>
                </c:pt>
                <c:pt idx="106">
                  <c:v>6.1260549564851025E-2</c:v>
                </c:pt>
                <c:pt idx="107">
                  <c:v>0.37855063357203167</c:v>
                </c:pt>
                <c:pt idx="108">
                  <c:v>3.2111748590242885E-2</c:v>
                </c:pt>
                <c:pt idx="109">
                  <c:v>1.6036720087333007</c:v>
                </c:pt>
                <c:pt idx="110">
                  <c:v>0.55857783530202809</c:v>
                </c:pt>
                <c:pt idx="111">
                  <c:v>0.82959731734668118</c:v>
                </c:pt>
                <c:pt idx="112">
                  <c:v>1.0267821390561309</c:v>
                </c:pt>
                <c:pt idx="113">
                  <c:v>0.23017823105899782</c:v>
                </c:pt>
                <c:pt idx="114">
                  <c:v>1</c:v>
                </c:pt>
                <c:pt idx="115">
                  <c:v>5.6493582201871811E-3</c:v>
                </c:pt>
                <c:pt idx="116">
                  <c:v>1.3134050056853317</c:v>
                </c:pt>
                <c:pt idx="117">
                  <c:v>1.2941055053473087</c:v>
                </c:pt>
                <c:pt idx="118">
                  <c:v>0.76445805615479889</c:v>
                </c:pt>
                <c:pt idx="119">
                  <c:v>0.1238905578505127</c:v>
                </c:pt>
                <c:pt idx="120">
                  <c:v>0.59578678247469619</c:v>
                </c:pt>
                <c:pt idx="121">
                  <c:v>0.89031523861330142</c:v>
                </c:pt>
                <c:pt idx="122">
                  <c:v>0</c:v>
                </c:pt>
                <c:pt idx="123">
                  <c:v>1.1967919802233646</c:v>
                </c:pt>
                <c:pt idx="124">
                  <c:v>0.74404857941386182</c:v>
                </c:pt>
                <c:pt idx="125">
                  <c:v>0.41438580117839108</c:v>
                </c:pt>
                <c:pt idx="126">
                  <c:v>0.95270738194474647</c:v>
                </c:pt>
                <c:pt idx="127">
                  <c:v>0.68413949145652031</c:v>
                </c:pt>
                <c:pt idx="128">
                  <c:v>0.85810742709262244</c:v>
                </c:pt>
                <c:pt idx="129">
                  <c:v>0.58432611444908644</c:v>
                </c:pt>
                <c:pt idx="130">
                  <c:v>0.28418227246864408</c:v>
                </c:pt>
                <c:pt idx="131">
                  <c:v>1.1848956248181173</c:v>
                </c:pt>
                <c:pt idx="132">
                  <c:v>0.57442332499261772</c:v>
                </c:pt>
                <c:pt idx="133">
                  <c:v>0.52960485585998507</c:v>
                </c:pt>
                <c:pt idx="134">
                  <c:v>0.58301653587833968</c:v>
                </c:pt>
                <c:pt idx="135">
                  <c:v>0.89605622910542615</c:v>
                </c:pt>
                <c:pt idx="136">
                  <c:v>1.210007894126393</c:v>
                </c:pt>
                <c:pt idx="137">
                  <c:v>0.954491266829263</c:v>
                </c:pt>
                <c:pt idx="138">
                  <c:v>0.91366266676916841</c:v>
                </c:pt>
                <c:pt idx="139">
                  <c:v>3.7444888752178815E-2</c:v>
                </c:pt>
                <c:pt idx="140">
                  <c:v>0.25506775047813524</c:v>
                </c:pt>
                <c:pt idx="141">
                  <c:v>1.0287202909375881</c:v>
                </c:pt>
                <c:pt idx="142">
                  <c:v>0.94608308646799744</c:v>
                </c:pt>
                <c:pt idx="143">
                  <c:v>0.92814383663308031</c:v>
                </c:pt>
                <c:pt idx="144">
                  <c:v>1.4488966372618908</c:v>
                </c:pt>
                <c:pt idx="145">
                  <c:v>8.900535353611197E-2</c:v>
                </c:pt>
                <c:pt idx="146">
                  <c:v>1.0917262722316874</c:v>
                </c:pt>
                <c:pt idx="147">
                  <c:v>1.2536208187132043</c:v>
                </c:pt>
                <c:pt idx="148">
                  <c:v>2.169391314036663</c:v>
                </c:pt>
                <c:pt idx="149">
                  <c:v>0.84003973436422186</c:v>
                </c:pt>
                <c:pt idx="150">
                  <c:v>0.54303151646966752</c:v>
                </c:pt>
                <c:pt idx="151">
                  <c:v>1.0688476212377969</c:v>
                </c:pt>
                <c:pt idx="152">
                  <c:v>0.22799328902565727</c:v>
                </c:pt>
                <c:pt idx="153">
                  <c:v>1.0358567655542841</c:v>
                </c:pt>
                <c:pt idx="154">
                  <c:v>0.64003120834823313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35-644C-BE32-ABBD4E2B1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3368"/>
        <c:axId val="465657040"/>
      </c:scatterChart>
      <c:valAx>
        <c:axId val="540843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5657040"/>
        <c:crosses val="autoZero"/>
        <c:crossBetween val="midCat"/>
      </c:valAx>
      <c:valAx>
        <c:axId val="46565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0843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'GDP_per_cap (2)'!$BB$2:$BB$156</c:f>
              <c:numCache>
                <c:formatCode>General</c:formatCode>
                <c:ptCount val="155"/>
                <c:pt idx="0">
                  <c:v>220.32561322059794</c:v>
                </c:pt>
                <c:pt idx="1">
                  <c:v>1524.0707649784088</c:v>
                </c:pt>
                <c:pt idx="2">
                  <c:v>1760.1111668290098</c:v>
                </c:pt>
                <c:pt idx="3">
                  <c:v>1470.0218034376505</c:v>
                </c:pt>
                <c:pt idx="4">
                  <c:v>4170.1571537589562</c:v>
                </c:pt>
                <c:pt idx="5">
                  <c:v>1338.3333454115088</c:v>
                </c:pt>
                <c:pt idx="6">
                  <c:v>16429.759293430976</c:v>
                </c:pt>
                <c:pt idx="7">
                  <c:v>17502.514951591202</c:v>
                </c:pt>
                <c:pt idx="8">
                  <c:v>1911.2661233841654</c:v>
                </c:pt>
                <c:pt idx="9">
                  <c:v>11683.107827178992</c:v>
                </c:pt>
                <c:pt idx="10">
                  <c:v>265.70873052025473</c:v>
                </c:pt>
                <c:pt idx="11">
                  <c:v>2689.9432199870084</c:v>
                </c:pt>
                <c:pt idx="12">
                  <c:v>17068.807920152332</c:v>
                </c:pt>
                <c:pt idx="13">
                  <c:v>318.95580577868844</c:v>
                </c:pt>
                <c:pt idx="14">
                  <c:v>784.62019948939644</c:v>
                </c:pt>
                <c:pt idx="15">
                  <c:v>2375.7060362569523</c:v>
                </c:pt>
                <c:pt idx="16">
                  <c:v>2144.8892673299761</c:v>
                </c:pt>
                <c:pt idx="17">
                  <c:v>2870.5731158450699</c:v>
                </c:pt>
                <c:pt idx="18">
                  <c:v>2777.6580267681543</c:v>
                </c:pt>
                <c:pt idx="19">
                  <c:v>244.55245582595558</c:v>
                </c:pt>
                <c:pt idx="20">
                  <c:v>146.75899998966247</c:v>
                </c:pt>
                <c:pt idx="21">
                  <c:v>308.15669567386408</c:v>
                </c:pt>
                <c:pt idx="22">
                  <c:v>635.28987287005111</c:v>
                </c:pt>
                <c:pt idx="23">
                  <c:v>17128.292760177013</c:v>
                </c:pt>
                <c:pt idx="24">
                  <c:v>280.89880531943152</c:v>
                </c:pt>
                <c:pt idx="25">
                  <c:v>264.90587982731296</c:v>
                </c:pt>
                <c:pt idx="26">
                  <c:v>3536.614013432144</c:v>
                </c:pt>
                <c:pt idx="27">
                  <c:v>780.42255021003507</c:v>
                </c:pt>
                <c:pt idx="28">
                  <c:v>1753.7172238365836</c:v>
                </c:pt>
                <c:pt idx="29">
                  <c:v>938.11169356661696</c:v>
                </c:pt>
                <c:pt idx="30">
                  <c:v>262.11507077338121</c:v>
                </c:pt>
                <c:pt idx="31">
                  <c:v>2524.6864074078144</c:v>
                </c:pt>
                <c:pt idx="32">
                  <c:v>716.09220076654799</c:v>
                </c:pt>
                <c:pt idx="33">
                  <c:v>7629.8377650009988</c:v>
                </c:pt>
                <c:pt idx="34">
                  <c:v>2410.8530088808848</c:v>
                </c:pt>
                <c:pt idx="35">
                  <c:v>9243.522139808978</c:v>
                </c:pt>
                <c:pt idx="36">
                  <c:v>9666.1904076858355</c:v>
                </c:pt>
                <c:pt idx="37">
                  <c:v>21996.712053367937</c:v>
                </c:pt>
                <c:pt idx="38">
                  <c:v>1638.0277919626433</c:v>
                </c:pt>
                <c:pt idx="39">
                  <c:v>1776.6038137107648</c:v>
                </c:pt>
                <c:pt idx="40">
                  <c:v>819.96937385801152</c:v>
                </c:pt>
                <c:pt idx="41">
                  <c:v>1968.041636054809</c:v>
                </c:pt>
                <c:pt idx="42">
                  <c:v>223.59353600093104</c:v>
                </c:pt>
                <c:pt idx="43">
                  <c:v>8816.2138525016053</c:v>
                </c:pt>
                <c:pt idx="44">
                  <c:v>203.81327095708167</c:v>
                </c:pt>
                <c:pt idx="45">
                  <c:v>17711.161225048723</c:v>
                </c:pt>
                <c:pt idx="46">
                  <c:v>16585.709184519092</c:v>
                </c:pt>
                <c:pt idx="47">
                  <c:v>4009.9175742092111</c:v>
                </c:pt>
                <c:pt idx="48">
                  <c:v>402.81892756331058</c:v>
                </c:pt>
                <c:pt idx="49">
                  <c:v>1329.8021858151369</c:v>
                </c:pt>
                <c:pt idx="50">
                  <c:v>20310.042109759066</c:v>
                </c:pt>
                <c:pt idx="51">
                  <c:v>433.85658519395992</c:v>
                </c:pt>
                <c:pt idx="52">
                  <c:v>9100.3979820048316</c:v>
                </c:pt>
                <c:pt idx="53">
                  <c:v>1191.9546026440676</c:v>
                </c:pt>
                <c:pt idx="54">
                  <c:v>406.45311035020677</c:v>
                </c:pt>
                <c:pt idx="55">
                  <c:v>235.47504156610117</c:v>
                </c:pt>
                <c:pt idx="56">
                  <c:v>455.53950101052317</c:v>
                </c:pt>
                <c:pt idx="57">
                  <c:v>784.83247378395799</c:v>
                </c:pt>
                <c:pt idx="59">
                  <c:v>4534.1697962213675</c:v>
                </c:pt>
                <c:pt idx="60">
                  <c:v>449.73053090575195</c:v>
                </c:pt>
                <c:pt idx="61">
                  <c:v>812.11127874043189</c:v>
                </c:pt>
                <c:pt idx="62">
                  <c:v>2164.9084517196738</c:v>
                </c:pt>
                <c:pt idx="63">
                  <c:v>1699.6214567824923</c:v>
                </c:pt>
                <c:pt idx="64">
                  <c:v>16274.723054907419</c:v>
                </c:pt>
                <c:pt idx="65">
                  <c:v>10620.378398777166</c:v>
                </c:pt>
                <c:pt idx="66">
                  <c:v>14026.548910076963</c:v>
                </c:pt>
                <c:pt idx="67">
                  <c:v>2068.7069034631272</c:v>
                </c:pt>
                <c:pt idx="68">
                  <c:v>19351.981946281634</c:v>
                </c:pt>
                <c:pt idx="69">
                  <c:v>1702.8170490749465</c:v>
                </c:pt>
                <c:pt idx="70">
                  <c:v>3421.5262893738163</c:v>
                </c:pt>
                <c:pt idx="71">
                  <c:v>350.63765854687404</c:v>
                </c:pt>
                <c:pt idx="73">
                  <c:v>6428.045247051954</c:v>
                </c:pt>
                <c:pt idx="74">
                  <c:v>16673.785115164581</c:v>
                </c:pt>
                <c:pt idx="75">
                  <c:v>525.6547687850391</c:v>
                </c:pt>
                <c:pt idx="76">
                  <c:v>457.45517644970522</c:v>
                </c:pt>
                <c:pt idx="77">
                  <c:v>5282.4600376859898</c:v>
                </c:pt>
                <c:pt idx="78">
                  <c:v>4766.3678771630557</c:v>
                </c:pt>
                <c:pt idx="79">
                  <c:v>338.50640692902402</c:v>
                </c:pt>
                <c:pt idx="80">
                  <c:v>251.08269857186201</c:v>
                </c:pt>
                <c:pt idx="81">
                  <c:v>7304.7535205740569</c:v>
                </c:pt>
                <c:pt idx="82">
                  <c:v>5761.010198209744</c:v>
                </c:pt>
                <c:pt idx="83">
                  <c:v>2602.3674926381805</c:v>
                </c:pt>
                <c:pt idx="84">
                  <c:v>269.5993140223876</c:v>
                </c:pt>
                <c:pt idx="85">
                  <c:v>162.0392339814488</c:v>
                </c:pt>
                <c:pt idx="86">
                  <c:v>2773.5051191090329</c:v>
                </c:pt>
                <c:pt idx="87">
                  <c:v>273.26206520195876</c:v>
                </c:pt>
                <c:pt idx="88">
                  <c:v>477.14913310775898</c:v>
                </c:pt>
                <c:pt idx="89">
                  <c:v>3317.615230550361</c:v>
                </c:pt>
                <c:pt idx="90">
                  <c:v>3344.6394575603085</c:v>
                </c:pt>
                <c:pt idx="91">
                  <c:v>822.50963790793571</c:v>
                </c:pt>
                <c:pt idx="92">
                  <c:v>1135.2599954466791</c:v>
                </c:pt>
                <c:pt idx="93">
                  <c:v>1024.4235253331728</c:v>
                </c:pt>
                <c:pt idx="94">
                  <c:v>262.26782050059393</c:v>
                </c:pt>
                <c:pt idx="96">
                  <c:v>2419.4633152055776</c:v>
                </c:pt>
                <c:pt idx="97">
                  <c:v>195.196752141731</c:v>
                </c:pt>
                <c:pt idx="98">
                  <c:v>17912.833051191388</c:v>
                </c:pt>
                <c:pt idx="99">
                  <c:v>12021.696272965743</c:v>
                </c:pt>
                <c:pt idx="100">
                  <c:v>706.21851596623685</c:v>
                </c:pt>
                <c:pt idx="101">
                  <c:v>238.19474733527343</c:v>
                </c:pt>
                <c:pt idx="102">
                  <c:v>447.98677493479386</c:v>
                </c:pt>
                <c:pt idx="103">
                  <c:v>27386.636321890954</c:v>
                </c:pt>
                <c:pt idx="104">
                  <c:v>6154.4579631200477</c:v>
                </c:pt>
                <c:pt idx="105">
                  <c:v>386.8247421695412</c:v>
                </c:pt>
                <c:pt idx="107">
                  <c:v>2558.6799894585492</c:v>
                </c:pt>
                <c:pt idx="108">
                  <c:v>680.06066690102273</c:v>
                </c:pt>
                <c:pt idx="109">
                  <c:v>1263.9802034641202</c:v>
                </c:pt>
                <c:pt idx="110">
                  <c:v>1614.066949665103</c:v>
                </c:pt>
                <c:pt idx="111">
                  <c:v>761.4929941012407</c:v>
                </c:pt>
                <c:pt idx="112">
                  <c:v>5462.8875131409959</c:v>
                </c:pt>
                <c:pt idx="113">
                  <c:v>7548.8696815351095</c:v>
                </c:pt>
                <c:pt idx="114">
                  <c:v>9353.7072492806674</c:v>
                </c:pt>
                <c:pt idx="115">
                  <c:v>27921.080667356953</c:v>
                </c:pt>
                <c:pt idx="116">
                  <c:v>3324.1986137206986</c:v>
                </c:pt>
                <c:pt idx="117">
                  <c:v>4754.7113298172135</c:v>
                </c:pt>
                <c:pt idx="118">
                  <c:v>218.05261023211315</c:v>
                </c:pt>
                <c:pt idx="119">
                  <c:v>9252.5150477876468</c:v>
                </c:pt>
                <c:pt idx="120">
                  <c:v>542.24661203109224</c:v>
                </c:pt>
                <c:pt idx="121">
                  <c:v>246.42962976174255</c:v>
                </c:pt>
                <c:pt idx="122">
                  <c:v>13324.593958982508</c:v>
                </c:pt>
                <c:pt idx="123">
                  <c:v>6527.358023881734</c:v>
                </c:pt>
                <c:pt idx="124">
                  <c:v>14147.494684489357</c:v>
                </c:pt>
                <c:pt idx="125">
                  <c:v>116.81791065579031</c:v>
                </c:pt>
                <c:pt idx="126">
                  <c:v>2784.0961057937502</c:v>
                </c:pt>
                <c:pt idx="127">
                  <c:v>10809.556589631338</c:v>
                </c:pt>
                <c:pt idx="128">
                  <c:v>631.68160660765761</c:v>
                </c:pt>
                <c:pt idx="129">
                  <c:v>588.36225732355581</c:v>
                </c:pt>
                <c:pt idx="130">
                  <c:v>1103.7397511650506</c:v>
                </c:pt>
                <c:pt idx="131">
                  <c:v>20687.834596181008</c:v>
                </c:pt>
                <c:pt idx="132">
                  <c:v>31322.541647310823</c:v>
                </c:pt>
                <c:pt idx="133">
                  <c:v>1053.0675177297733</c:v>
                </c:pt>
                <c:pt idx="134">
                  <c:v>366.20363455634805</c:v>
                </c:pt>
                <c:pt idx="136">
                  <c:v>1443.7756276108616</c:v>
                </c:pt>
                <c:pt idx="137">
                  <c:v>505.59101056147796</c:v>
                </c:pt>
                <c:pt idx="138">
                  <c:v>288.26055348565848</c:v>
                </c:pt>
                <c:pt idx="139">
                  <c:v>5464.1720887926504</c:v>
                </c:pt>
                <c:pt idx="140">
                  <c:v>1589.0294814812696</c:v>
                </c:pt>
                <c:pt idx="141">
                  <c:v>2869.8774437041784</c:v>
                </c:pt>
                <c:pt idx="142">
                  <c:v>1551.4462601105927</c:v>
                </c:pt>
                <c:pt idx="143">
                  <c:v>228.36881689084868</c:v>
                </c:pt>
                <c:pt idx="144">
                  <c:v>1608.540139517989</c:v>
                </c:pt>
                <c:pt idx="145">
                  <c:v>33052.387100638378</c:v>
                </c:pt>
                <c:pt idx="146">
                  <c:v>15502.981219206133</c:v>
                </c:pt>
                <c:pt idx="147">
                  <c:v>20789.017987224994</c:v>
                </c:pt>
                <c:pt idx="148">
                  <c:v>3651.5521201182751</c:v>
                </c:pt>
                <c:pt idx="149">
                  <c:v>709.85737227054597</c:v>
                </c:pt>
                <c:pt idx="150">
                  <c:v>3722.1617556944552</c:v>
                </c:pt>
                <c:pt idx="151">
                  <c:v>505.59583848714817</c:v>
                </c:pt>
                <c:pt idx="152">
                  <c:v>677.99816000062049</c:v>
                </c:pt>
                <c:pt idx="153">
                  <c:v>500.08364017741849</c:v>
                </c:pt>
                <c:pt idx="154">
                  <c:v>576.50352318739613</c:v>
                </c:pt>
              </c:numCache>
            </c:numRef>
          </c:xVal>
          <c:yVal>
            <c:numRef>
              <c:f>[1]Imp_per_cap!$BE$3:$BE$157</c:f>
              <c:numCache>
                <c:formatCode>General</c:formatCode>
                <c:ptCount val="155"/>
                <c:pt idx="0">
                  <c:v>13.262571635208309</c:v>
                </c:pt>
                <c:pt idx="1">
                  <c:v>75.728751921470035</c:v>
                </c:pt>
                <c:pt idx="2">
                  <c:v>56.743150028865571</c:v>
                </c:pt>
                <c:pt idx="3">
                  <c:v>31.470803284752289</c:v>
                </c:pt>
                <c:pt idx="4">
                  <c:v>15.991072875245623</c:v>
                </c:pt>
                <c:pt idx="5">
                  <c:v>70.79065671595238</c:v>
                </c:pt>
                <c:pt idx="6">
                  <c:v>119.49093440758951</c:v>
                </c:pt>
                <c:pt idx="7">
                  <c:v>438.41430485684185</c:v>
                </c:pt>
                <c:pt idx="8">
                  <c:v>41.150183024405401</c:v>
                </c:pt>
                <c:pt idx="9">
                  <c:v>260.69493263843293</c:v>
                </c:pt>
                <c:pt idx="10">
                  <c:v>9.0028841242767985</c:v>
                </c:pt>
                <c:pt idx="11">
                  <c:v>83.383192431738706</c:v>
                </c:pt>
                <c:pt idx="12">
                  <c:v>758.32734005823272</c:v>
                </c:pt>
                <c:pt idx="13">
                  <c:v>18.250278082047885</c:v>
                </c:pt>
                <c:pt idx="14">
                  <c:v>11.399987508091538</c:v>
                </c:pt>
                <c:pt idx="15">
                  <c:v>156.14690723444531</c:v>
                </c:pt>
                <c:pt idx="16">
                  <c:v>98.102123172340015</c:v>
                </c:pt>
                <c:pt idx="17">
                  <c:v>12.971273928177228</c:v>
                </c:pt>
                <c:pt idx="18">
                  <c:v>89.711992610214949</c:v>
                </c:pt>
                <c:pt idx="19">
                  <c:v>6.3209333798087428</c:v>
                </c:pt>
                <c:pt idx="20">
                  <c:v>2.6963355093126338</c:v>
                </c:pt>
                <c:pt idx="21">
                  <c:v>15.502495354596432</c:v>
                </c:pt>
                <c:pt idx="22">
                  <c:v>10.702217217297198</c:v>
                </c:pt>
                <c:pt idx="23">
                  <c:v>216.89333546521698</c:v>
                </c:pt>
                <c:pt idx="24">
                  <c:v>3.8416449762973688</c:v>
                </c:pt>
                <c:pt idx="25">
                  <c:v>3.1755004882184754</c:v>
                </c:pt>
                <c:pt idx="26">
                  <c:v>66.922905681340509</c:v>
                </c:pt>
                <c:pt idx="27">
                  <c:v>14.210045434051743</c:v>
                </c:pt>
                <c:pt idx="28">
                  <c:v>24.864867882935449</c:v>
                </c:pt>
                <c:pt idx="29">
                  <c:v>26.068581326939473</c:v>
                </c:pt>
                <c:pt idx="30">
                  <c:v>3.581344360628651</c:v>
                </c:pt>
                <c:pt idx="31">
                  <c:v>77.728345471163195</c:v>
                </c:pt>
                <c:pt idx="32">
                  <c:v>16.163564447751483</c:v>
                </c:pt>
                <c:pt idx="33">
                  <c:v>158.16174294199794</c:v>
                </c:pt>
                <c:pt idx="34">
                  <c:v>44.378627675492382</c:v>
                </c:pt>
                <c:pt idx="35">
                  <c:v>357.14339884388926</c:v>
                </c:pt>
                <c:pt idx="36">
                  <c:v>243.99208956937323</c:v>
                </c:pt>
                <c:pt idx="37">
                  <c:v>569.77396541471376</c:v>
                </c:pt>
                <c:pt idx="38">
                  <c:v>47.093798207335723</c:v>
                </c:pt>
                <c:pt idx="39">
                  <c:v>29.405598306785702</c:v>
                </c:pt>
                <c:pt idx="40">
                  <c:v>36.402316049609901</c:v>
                </c:pt>
                <c:pt idx="41">
                  <c:v>71.523723301098386</c:v>
                </c:pt>
                <c:pt idx="42">
                  <c:v>6.742394316761021</c:v>
                </c:pt>
                <c:pt idx="43">
                  <c:v>327.21018173847801</c:v>
                </c:pt>
                <c:pt idx="44">
                  <c:v>4.9366309136000162</c:v>
                </c:pt>
                <c:pt idx="45">
                  <c:v>256.68660913127945</c:v>
                </c:pt>
                <c:pt idx="46">
                  <c:v>220.57827392798086</c:v>
                </c:pt>
                <c:pt idx="47">
                  <c:v>79.578252020294642</c:v>
                </c:pt>
                <c:pt idx="48">
                  <c:v>31.495922867322964</c:v>
                </c:pt>
                <c:pt idx="49">
                  <c:v>71.415672481360062</c:v>
                </c:pt>
                <c:pt idx="50">
                  <c:v>266.72643447551286</c:v>
                </c:pt>
                <c:pt idx="51">
                  <c:v>15.206637081891419</c:v>
                </c:pt>
                <c:pt idx="52">
                  <c:v>218.72383502528612</c:v>
                </c:pt>
                <c:pt idx="53">
                  <c:v>39.688136292681257</c:v>
                </c:pt>
                <c:pt idx="54">
                  <c:v>11.300594573127555</c:v>
                </c:pt>
                <c:pt idx="55">
                  <c:v>14.516139673237072</c:v>
                </c:pt>
                <c:pt idx="56">
                  <c:v>23.893650617022168</c:v>
                </c:pt>
                <c:pt idx="57">
                  <c:v>46.715765327402046</c:v>
                </c:pt>
                <c:pt idx="59">
                  <c:v>121.84265014307272</c:v>
                </c:pt>
                <c:pt idx="60">
                  <c:v>2.5982346464700905</c:v>
                </c:pt>
                <c:pt idx="61">
                  <c:v>14.769554556118063</c:v>
                </c:pt>
                <c:pt idx="62">
                  <c:v>30.156969087779476</c:v>
                </c:pt>
                <c:pt idx="63">
                  <c:v>58.496767600539201</c:v>
                </c:pt>
                <c:pt idx="64">
                  <c:v>530.03854164586483</c:v>
                </c:pt>
                <c:pt idx="65">
                  <c:v>139.84949439038664</c:v>
                </c:pt>
                <c:pt idx="66">
                  <c:v>209.47354138848848</c:v>
                </c:pt>
                <c:pt idx="67">
                  <c:v>82.955961735783703</c:v>
                </c:pt>
                <c:pt idx="68">
                  <c:v>130.26197923690466</c:v>
                </c:pt>
                <c:pt idx="69">
                  <c:v>110.7703071774356</c:v>
                </c:pt>
                <c:pt idx="70">
                  <c:v>63.082104054190438</c:v>
                </c:pt>
                <c:pt idx="71">
                  <c:v>9.9129537108268337</c:v>
                </c:pt>
                <c:pt idx="72">
                  <c:v>6.4376373607674227</c:v>
                </c:pt>
                <c:pt idx="73">
                  <c:v>112.0282995088009</c:v>
                </c:pt>
                <c:pt idx="74">
                  <c:v>245.41711347135819</c:v>
                </c:pt>
                <c:pt idx="75">
                  <c:v>36.010760775179449</c:v>
                </c:pt>
                <c:pt idx="76">
                  <c:v>12.66800174889031</c:v>
                </c:pt>
                <c:pt idx="77">
                  <c:v>290.79994844332577</c:v>
                </c:pt>
                <c:pt idx="78">
                  <c:v>161.38440929203117</c:v>
                </c:pt>
                <c:pt idx="79">
                  <c:v>33.139570061439876</c:v>
                </c:pt>
                <c:pt idx="80">
                  <c:v>14.925095309132946</c:v>
                </c:pt>
                <c:pt idx="81">
                  <c:v>118.97164919714359</c:v>
                </c:pt>
                <c:pt idx="82">
                  <c:v>328.7153502478676</c:v>
                </c:pt>
                <c:pt idx="83">
                  <c:v>96.11998984951957</c:v>
                </c:pt>
                <c:pt idx="84">
                  <c:v>4.7298063729722193</c:v>
                </c:pt>
                <c:pt idx="85">
                  <c:v>6.1868185720184456</c:v>
                </c:pt>
                <c:pt idx="86">
                  <c:v>127.75569618974205</c:v>
                </c:pt>
                <c:pt idx="87">
                  <c:v>8.2422969057875193</c:v>
                </c:pt>
                <c:pt idx="88">
                  <c:v>35.080173227212924</c:v>
                </c:pt>
                <c:pt idx="89">
                  <c:v>151.9791262051414</c:v>
                </c:pt>
                <c:pt idx="90">
                  <c:v>57.35253004921649</c:v>
                </c:pt>
                <c:pt idx="91">
                  <c:v>54.981278589859535</c:v>
                </c:pt>
                <c:pt idx="92">
                  <c:v>35.592328300173371</c:v>
                </c:pt>
                <c:pt idx="93">
                  <c:v>37.616681276035003</c:v>
                </c:pt>
                <c:pt idx="94">
                  <c:v>8.8280089167280167</c:v>
                </c:pt>
                <c:pt idx="95">
                  <c:v>5.4956385286049869</c:v>
                </c:pt>
                <c:pt idx="96">
                  <c:v>44.140126572257124</c:v>
                </c:pt>
                <c:pt idx="97">
                  <c:v>7.2541680576015448</c:v>
                </c:pt>
                <c:pt idx="98">
                  <c:v>816.93356021732973</c:v>
                </c:pt>
                <c:pt idx="99">
                  <c:v>197.96458192531804</c:v>
                </c:pt>
                <c:pt idx="100">
                  <c:v>33.060831484136514</c:v>
                </c:pt>
                <c:pt idx="101">
                  <c:v>6.6108628677516128</c:v>
                </c:pt>
                <c:pt idx="102">
                  <c:v>10.765902562902367</c:v>
                </c:pt>
                <c:pt idx="103">
                  <c:v>309.25989382494686</c:v>
                </c:pt>
                <c:pt idx="104">
                  <c:v>240.88845735267992</c:v>
                </c:pt>
                <c:pt idx="105">
                  <c:v>7.8461985476618183</c:v>
                </c:pt>
                <c:pt idx="107">
                  <c:v>73.527454850784025</c:v>
                </c:pt>
                <c:pt idx="108">
                  <c:v>17.999440733612143</c:v>
                </c:pt>
                <c:pt idx="109">
                  <c:v>41.13000383611346</c:v>
                </c:pt>
                <c:pt idx="110">
                  <c:v>28.042223126791562</c:v>
                </c:pt>
                <c:pt idx="111">
                  <c:v>17.892191404099222</c:v>
                </c:pt>
                <c:pt idx="112">
                  <c:v>94.767625016523581</c:v>
                </c:pt>
                <c:pt idx="113">
                  <c:v>248.07621693499399</c:v>
                </c:pt>
                <c:pt idx="115">
                  <c:v>288.99234503852051</c:v>
                </c:pt>
                <c:pt idx="116">
                  <c:v>69.227302869349757</c:v>
                </c:pt>
                <c:pt idx="117">
                  <c:v>64.079965832729755</c:v>
                </c:pt>
                <c:pt idx="118">
                  <c:v>4.8773239615496342</c:v>
                </c:pt>
                <c:pt idx="119">
                  <c:v>165.5457332042875</c:v>
                </c:pt>
                <c:pt idx="120">
                  <c:v>28.089877386131327</c:v>
                </c:pt>
                <c:pt idx="121">
                  <c:v>10.419784895476921</c:v>
                </c:pt>
                <c:pt idx="122">
                  <c:v>525.00722916744132</c:v>
                </c:pt>
                <c:pt idx="123">
                  <c:v>288.11555775920556</c:v>
                </c:pt>
                <c:pt idx="124">
                  <c:v>425.27872083173207</c:v>
                </c:pt>
                <c:pt idx="125">
                  <c:v>14.343172027568786</c:v>
                </c:pt>
                <c:pt idx="126">
                  <c:v>26.81674770806266</c:v>
                </c:pt>
                <c:pt idx="127">
                  <c:v>195.12839325776895</c:v>
                </c:pt>
                <c:pt idx="128">
                  <c:v>23.200443204518262</c:v>
                </c:pt>
                <c:pt idx="129">
                  <c:v>12.58055500389545</c:v>
                </c:pt>
                <c:pt idx="130">
                  <c:v>78.426506415014074</c:v>
                </c:pt>
                <c:pt idx="131">
                  <c:v>318.48128624592488</c:v>
                </c:pt>
                <c:pt idx="132">
                  <c:v>364.22315361192216</c:v>
                </c:pt>
                <c:pt idx="133">
                  <c:v>38.977588623984012</c:v>
                </c:pt>
                <c:pt idx="134">
                  <c:v>16.644975378749116</c:v>
                </c:pt>
                <c:pt idx="135">
                  <c:v>4.9543400916239104</c:v>
                </c:pt>
                <c:pt idx="136">
                  <c:v>33.108843176313165</c:v>
                </c:pt>
                <c:pt idx="137">
                  <c:v>15.953233469344211</c:v>
                </c:pt>
                <c:pt idx="138">
                  <c:v>10.891117359760221</c:v>
                </c:pt>
                <c:pt idx="139">
                  <c:v>143.40915656488872</c:v>
                </c:pt>
                <c:pt idx="140">
                  <c:v>57.131504699121528</c:v>
                </c:pt>
                <c:pt idx="141">
                  <c:v>42.087850157055279</c:v>
                </c:pt>
                <c:pt idx="142">
                  <c:v>16.860774129767876</c:v>
                </c:pt>
                <c:pt idx="143">
                  <c:v>5.3185558875011942</c:v>
                </c:pt>
                <c:pt idx="144">
                  <c:v>36.401855099971968</c:v>
                </c:pt>
                <c:pt idx="145">
                  <c:v>457.37162597221794</c:v>
                </c:pt>
                <c:pt idx="146">
                  <c:v>244.33924424467557</c:v>
                </c:pt>
                <c:pt idx="147">
                  <c:v>81.213691288235992</c:v>
                </c:pt>
                <c:pt idx="148">
                  <c:v>76.188466159005529</c:v>
                </c:pt>
                <c:pt idx="149">
                  <c:v>11.82301407855309</c:v>
                </c:pt>
                <c:pt idx="150">
                  <c:v>63.637914163584504</c:v>
                </c:pt>
                <c:pt idx="151">
                  <c:v>27.094560867282556</c:v>
                </c:pt>
                <c:pt idx="152">
                  <c:v>33.041750568638285</c:v>
                </c:pt>
                <c:pt idx="153">
                  <c:v>5.5958337519738999</c:v>
                </c:pt>
                <c:pt idx="154">
                  <c:v>29.434133876151343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91-2E4D-8C6E-42F7A4A80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657824"/>
        <c:axId val="465658216"/>
      </c:scatterChart>
      <c:valAx>
        <c:axId val="46565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5658216"/>
        <c:crosses val="autoZero"/>
        <c:crossBetween val="midCat"/>
      </c:valAx>
      <c:valAx>
        <c:axId val="46565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565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262890</xdr:colOff>
      <xdr:row>159</xdr:row>
      <xdr:rowOff>87630</xdr:rowOff>
    </xdr:from>
    <xdr:to>
      <xdr:col>50</xdr:col>
      <xdr:colOff>567690</xdr:colOff>
      <xdr:row>174</xdr:row>
      <xdr:rowOff>87630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517525</xdr:colOff>
      <xdr:row>12</xdr:row>
      <xdr:rowOff>71437</xdr:rowOff>
    </xdr:from>
    <xdr:to>
      <xdr:col>65</xdr:col>
      <xdr:colOff>212725</xdr:colOff>
      <xdr:row>26</xdr:row>
      <xdr:rowOff>147637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262890</xdr:colOff>
      <xdr:row>159</xdr:row>
      <xdr:rowOff>87630</xdr:rowOff>
    </xdr:from>
    <xdr:to>
      <xdr:col>50</xdr:col>
      <xdr:colOff>567690</xdr:colOff>
      <xdr:row>174</xdr:row>
      <xdr:rowOff>87630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542925</xdr:colOff>
      <xdr:row>12</xdr:row>
      <xdr:rowOff>185737</xdr:rowOff>
    </xdr:from>
    <xdr:to>
      <xdr:col>56</xdr:col>
      <xdr:colOff>238125</xdr:colOff>
      <xdr:row>27</xdr:row>
      <xdr:rowOff>71437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3a6f41aa9027a686/Master_thesis/Pop.GDP.I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CerV"/>
      <sheetName val="Imp"/>
      <sheetName val="ImpCerQ"/>
      <sheetName val="GDP"/>
      <sheetName val="Pop"/>
      <sheetName val="ImpCerV_per_cap"/>
      <sheetName val="ImpCerQ_per_cap"/>
      <sheetName val="ExpCerQ"/>
      <sheetName val="ExpCerQ_per_cap"/>
      <sheetName val="ProdCerQ_per_cap"/>
      <sheetName val="ProdCerQ"/>
      <sheetName val="Imp_per_GDP"/>
      <sheetName val="Imp_per_cap"/>
      <sheetName val="GDP_per_cap"/>
      <sheetName val="SelfSuf"/>
      <sheetName val="graph"/>
      <sheetName val="graph_sum"/>
      <sheetName val="Sheet6"/>
      <sheetName val="aggregate"/>
      <sheetName val="Famine_year_3_3prod"/>
      <sheetName val="3_3years_per_Cap"/>
      <sheetName val="Sheet3"/>
      <sheetName val="Supply_per_cap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E3">
            <v>13.262571635208309</v>
          </cell>
        </row>
        <row r="4">
          <cell r="BE4">
            <v>75.728751921470035</v>
          </cell>
        </row>
        <row r="5">
          <cell r="BE5">
            <v>56.743150028865571</v>
          </cell>
        </row>
        <row r="6">
          <cell r="BE6">
            <v>31.470803284752289</v>
          </cell>
        </row>
        <row r="7">
          <cell r="BE7">
            <v>15.991072875245623</v>
          </cell>
        </row>
        <row r="8">
          <cell r="BE8">
            <v>70.79065671595238</v>
          </cell>
        </row>
        <row r="9">
          <cell r="BE9">
            <v>119.49093440758951</v>
          </cell>
        </row>
        <row r="10">
          <cell r="BE10">
            <v>438.41430485684185</v>
          </cell>
        </row>
        <row r="11">
          <cell r="BE11">
            <v>41.150183024405401</v>
          </cell>
        </row>
        <row r="12">
          <cell r="BE12">
            <v>260.69493263843293</v>
          </cell>
        </row>
        <row r="13">
          <cell r="BE13">
            <v>9.0028841242767985</v>
          </cell>
        </row>
        <row r="14">
          <cell r="BE14">
            <v>83.383192431738706</v>
          </cell>
        </row>
        <row r="15">
          <cell r="BE15">
            <v>758.32734005823272</v>
          </cell>
        </row>
        <row r="16">
          <cell r="BE16">
            <v>18.250278082047885</v>
          </cell>
        </row>
        <row r="17">
          <cell r="BE17">
            <v>11.399987508091538</v>
          </cell>
        </row>
        <row r="18">
          <cell r="BE18">
            <v>156.14690723444531</v>
          </cell>
        </row>
        <row r="19">
          <cell r="BE19">
            <v>98.102123172340015</v>
          </cell>
        </row>
        <row r="20">
          <cell r="BE20">
            <v>12.971273928177228</v>
          </cell>
        </row>
        <row r="21">
          <cell r="BE21">
            <v>89.711992610214949</v>
          </cell>
        </row>
        <row r="22">
          <cell r="BE22">
            <v>6.3209333798087428</v>
          </cell>
        </row>
        <row r="23">
          <cell r="BE23">
            <v>2.6963355093126338</v>
          </cell>
        </row>
        <row r="24">
          <cell r="BE24">
            <v>15.502495354596432</v>
          </cell>
        </row>
        <row r="25">
          <cell r="BE25">
            <v>10.702217217297198</v>
          </cell>
        </row>
        <row r="26">
          <cell r="BE26">
            <v>216.89333546521698</v>
          </cell>
        </row>
        <row r="27">
          <cell r="BE27">
            <v>3.8416449762973688</v>
          </cell>
        </row>
        <row r="28">
          <cell r="BE28">
            <v>3.1755004882184754</v>
          </cell>
        </row>
        <row r="29">
          <cell r="BE29">
            <v>66.922905681340509</v>
          </cell>
        </row>
        <row r="30">
          <cell r="BE30">
            <v>14.210045434051743</v>
          </cell>
        </row>
        <row r="31">
          <cell r="BE31">
            <v>24.864867882935449</v>
          </cell>
        </row>
        <row r="32">
          <cell r="BE32">
            <v>26.068581326939473</v>
          </cell>
        </row>
        <row r="33">
          <cell r="BE33">
            <v>3.581344360628651</v>
          </cell>
        </row>
        <row r="34">
          <cell r="BE34">
            <v>77.728345471163195</v>
          </cell>
        </row>
        <row r="35">
          <cell r="BE35">
            <v>16.163564447751483</v>
          </cell>
        </row>
        <row r="36">
          <cell r="BE36">
            <v>158.16174294199794</v>
          </cell>
        </row>
        <row r="37">
          <cell r="BE37">
            <v>44.378627675492382</v>
          </cell>
        </row>
        <row r="38">
          <cell r="BE38">
            <v>357.14339884388926</v>
          </cell>
        </row>
        <row r="39">
          <cell r="BE39">
            <v>243.99208956937323</v>
          </cell>
        </row>
        <row r="40">
          <cell r="BE40">
            <v>569.77396541471376</v>
          </cell>
        </row>
        <row r="41">
          <cell r="BE41">
            <v>47.093798207335723</v>
          </cell>
        </row>
        <row r="42">
          <cell r="BE42">
            <v>29.405598306785702</v>
          </cell>
        </row>
        <row r="43">
          <cell r="BE43">
            <v>36.402316049609901</v>
          </cell>
        </row>
        <row r="44">
          <cell r="BE44">
            <v>71.523723301098386</v>
          </cell>
        </row>
        <row r="45">
          <cell r="BE45">
            <v>6.742394316761021</v>
          </cell>
        </row>
        <row r="46">
          <cell r="BE46">
            <v>327.21018173847801</v>
          </cell>
        </row>
        <row r="47">
          <cell r="BE47">
            <v>4.9366309136000162</v>
          </cell>
        </row>
        <row r="48">
          <cell r="BE48">
            <v>256.68660913127945</v>
          </cell>
        </row>
        <row r="49">
          <cell r="BE49">
            <v>220.57827392798086</v>
          </cell>
        </row>
        <row r="50">
          <cell r="BE50">
            <v>79.578252020294642</v>
          </cell>
        </row>
        <row r="51">
          <cell r="BE51">
            <v>31.495922867322964</v>
          </cell>
        </row>
        <row r="52">
          <cell r="BE52">
            <v>71.415672481360062</v>
          </cell>
        </row>
        <row r="53">
          <cell r="BE53">
            <v>266.72643447551286</v>
          </cell>
        </row>
        <row r="54">
          <cell r="BE54">
            <v>15.206637081891419</v>
          </cell>
        </row>
        <row r="55">
          <cell r="BE55">
            <v>218.72383502528612</v>
          </cell>
        </row>
        <row r="56">
          <cell r="BE56">
            <v>39.688136292681257</v>
          </cell>
        </row>
        <row r="57">
          <cell r="BE57">
            <v>11.300594573127555</v>
          </cell>
        </row>
        <row r="58">
          <cell r="BE58">
            <v>14.516139673237072</v>
          </cell>
        </row>
        <row r="59">
          <cell r="BE59">
            <v>23.893650617022168</v>
          </cell>
        </row>
        <row r="60">
          <cell r="BE60">
            <v>46.715765327402046</v>
          </cell>
        </row>
        <row r="62">
          <cell r="BE62">
            <v>121.84265014307272</v>
          </cell>
        </row>
        <row r="63">
          <cell r="BE63">
            <v>2.5982346464700905</v>
          </cell>
        </row>
        <row r="64">
          <cell r="BE64">
            <v>14.769554556118063</v>
          </cell>
        </row>
        <row r="65">
          <cell r="BE65">
            <v>30.156969087779476</v>
          </cell>
        </row>
        <row r="66">
          <cell r="BE66">
            <v>58.496767600539201</v>
          </cell>
        </row>
        <row r="67">
          <cell r="BE67">
            <v>530.03854164586483</v>
          </cell>
        </row>
        <row r="68">
          <cell r="BE68">
            <v>139.84949439038664</v>
          </cell>
        </row>
        <row r="69">
          <cell r="BE69">
            <v>209.47354138848848</v>
          </cell>
        </row>
        <row r="70">
          <cell r="BE70">
            <v>82.955961735783703</v>
          </cell>
        </row>
        <row r="71">
          <cell r="BE71">
            <v>130.26197923690466</v>
          </cell>
        </row>
        <row r="72">
          <cell r="BE72">
            <v>110.7703071774356</v>
          </cell>
        </row>
        <row r="73">
          <cell r="BE73">
            <v>63.082104054190438</v>
          </cell>
        </row>
        <row r="74">
          <cell r="BE74">
            <v>9.9129537108268337</v>
          </cell>
        </row>
        <row r="75">
          <cell r="BE75">
            <v>6.4376373607674227</v>
          </cell>
        </row>
        <row r="76">
          <cell r="BE76">
            <v>112.0282995088009</v>
          </cell>
        </row>
        <row r="77">
          <cell r="BE77">
            <v>245.41711347135819</v>
          </cell>
        </row>
        <row r="78">
          <cell r="BE78">
            <v>36.010760775179449</v>
          </cell>
        </row>
        <row r="79">
          <cell r="BE79">
            <v>12.66800174889031</v>
          </cell>
        </row>
        <row r="80">
          <cell r="BE80">
            <v>290.79994844332577</v>
          </cell>
        </row>
        <row r="81">
          <cell r="BE81">
            <v>161.38440929203117</v>
          </cell>
        </row>
        <row r="82">
          <cell r="BE82">
            <v>33.139570061439876</v>
          </cell>
        </row>
        <row r="83">
          <cell r="BE83">
            <v>14.925095309132946</v>
          </cell>
        </row>
        <row r="84">
          <cell r="BE84">
            <v>118.97164919714359</v>
          </cell>
        </row>
        <row r="85">
          <cell r="BE85">
            <v>328.7153502478676</v>
          </cell>
        </row>
        <row r="86">
          <cell r="BE86">
            <v>96.11998984951957</v>
          </cell>
        </row>
        <row r="87">
          <cell r="BE87">
            <v>4.7298063729722193</v>
          </cell>
        </row>
        <row r="88">
          <cell r="BE88">
            <v>6.1868185720184456</v>
          </cell>
        </row>
        <row r="89">
          <cell r="BE89">
            <v>127.75569618974205</v>
          </cell>
        </row>
        <row r="90">
          <cell r="BE90">
            <v>8.2422969057875193</v>
          </cell>
        </row>
        <row r="91">
          <cell r="BE91">
            <v>35.080173227212924</v>
          </cell>
        </row>
        <row r="92">
          <cell r="BE92">
            <v>151.9791262051414</v>
          </cell>
        </row>
        <row r="93">
          <cell r="BE93">
            <v>57.35253004921649</v>
          </cell>
        </row>
        <row r="94">
          <cell r="BE94">
            <v>54.981278589859535</v>
          </cell>
        </row>
        <row r="95">
          <cell r="BE95">
            <v>35.592328300173371</v>
          </cell>
        </row>
        <row r="96">
          <cell r="BE96">
            <v>37.616681276035003</v>
          </cell>
        </row>
        <row r="97">
          <cell r="BE97">
            <v>8.8280089167280167</v>
          </cell>
        </row>
        <row r="98">
          <cell r="BE98">
            <v>5.4956385286049869</v>
          </cell>
        </row>
        <row r="99">
          <cell r="BE99">
            <v>44.140126572257124</v>
          </cell>
        </row>
        <row r="100">
          <cell r="BE100">
            <v>7.2541680576015448</v>
          </cell>
        </row>
        <row r="101">
          <cell r="BE101">
            <v>816.93356021732973</v>
          </cell>
        </row>
        <row r="102">
          <cell r="BE102">
            <v>197.96458192531804</v>
          </cell>
        </row>
        <row r="103">
          <cell r="BE103">
            <v>33.060831484136514</v>
          </cell>
        </row>
        <row r="104">
          <cell r="BE104">
            <v>6.6108628677516128</v>
          </cell>
        </row>
        <row r="105">
          <cell r="BE105">
            <v>10.765902562902367</v>
          </cell>
        </row>
        <row r="106">
          <cell r="BE106">
            <v>309.25989382494686</v>
          </cell>
        </row>
        <row r="107">
          <cell r="BE107">
            <v>240.88845735267992</v>
          </cell>
        </row>
        <row r="108">
          <cell r="BE108">
            <v>7.8461985476618183</v>
          </cell>
        </row>
        <row r="110">
          <cell r="BE110">
            <v>73.527454850784025</v>
          </cell>
        </row>
        <row r="111">
          <cell r="BE111">
            <v>17.999440733612143</v>
          </cell>
        </row>
        <row r="112">
          <cell r="BE112">
            <v>41.13000383611346</v>
          </cell>
        </row>
        <row r="113">
          <cell r="BE113">
            <v>28.042223126791562</v>
          </cell>
        </row>
        <row r="114">
          <cell r="BE114">
            <v>17.892191404099222</v>
          </cell>
        </row>
        <row r="115">
          <cell r="BE115">
            <v>94.767625016523581</v>
          </cell>
        </row>
        <row r="116">
          <cell r="BE116">
            <v>248.07621693499399</v>
          </cell>
        </row>
        <row r="118">
          <cell r="BE118">
            <v>288.99234503852051</v>
          </cell>
        </row>
        <row r="119">
          <cell r="BE119">
            <v>69.227302869349757</v>
          </cell>
        </row>
        <row r="120">
          <cell r="BE120">
            <v>64.079965832729755</v>
          </cell>
        </row>
        <row r="121">
          <cell r="BE121">
            <v>4.8773239615496342</v>
          </cell>
        </row>
        <row r="122">
          <cell r="BE122">
            <v>165.5457332042875</v>
          </cell>
        </row>
        <row r="123">
          <cell r="BE123">
            <v>28.089877386131327</v>
          </cell>
        </row>
        <row r="124">
          <cell r="BE124">
            <v>10.419784895476921</v>
          </cell>
        </row>
        <row r="125">
          <cell r="BE125">
            <v>525.00722916744132</v>
          </cell>
        </row>
        <row r="126">
          <cell r="BE126">
            <v>288.11555775920556</v>
          </cell>
        </row>
        <row r="127">
          <cell r="BE127">
            <v>425.27872083173207</v>
          </cell>
        </row>
        <row r="128">
          <cell r="BE128">
            <v>14.343172027568786</v>
          </cell>
        </row>
        <row r="129">
          <cell r="BE129">
            <v>26.81674770806266</v>
          </cell>
        </row>
        <row r="130">
          <cell r="BE130">
            <v>195.12839325776895</v>
          </cell>
        </row>
        <row r="131">
          <cell r="BE131">
            <v>23.200443204518262</v>
          </cell>
        </row>
        <row r="132">
          <cell r="BE132">
            <v>12.58055500389545</v>
          </cell>
        </row>
        <row r="133">
          <cell r="BE133">
            <v>78.426506415014074</v>
          </cell>
        </row>
        <row r="134">
          <cell r="BE134">
            <v>318.48128624592488</v>
          </cell>
        </row>
        <row r="135">
          <cell r="BE135">
            <v>364.22315361192216</v>
          </cell>
        </row>
        <row r="136">
          <cell r="BE136">
            <v>38.977588623984012</v>
          </cell>
        </row>
        <row r="137">
          <cell r="BE137">
            <v>16.644975378749116</v>
          </cell>
        </row>
        <row r="138">
          <cell r="BE138">
            <v>4.9543400916239104</v>
          </cell>
        </row>
        <row r="139">
          <cell r="BE139">
            <v>33.108843176313165</v>
          </cell>
        </row>
        <row r="140">
          <cell r="BE140">
            <v>15.953233469344211</v>
          </cell>
        </row>
        <row r="141">
          <cell r="BE141">
            <v>10.891117359760221</v>
          </cell>
        </row>
        <row r="142">
          <cell r="BE142">
            <v>143.40915656488872</v>
          </cell>
        </row>
        <row r="143">
          <cell r="BE143">
            <v>57.131504699121528</v>
          </cell>
        </row>
        <row r="144">
          <cell r="BE144">
            <v>42.087850157055279</v>
          </cell>
        </row>
        <row r="145">
          <cell r="BE145">
            <v>16.860774129767876</v>
          </cell>
        </row>
        <row r="146">
          <cell r="BE146">
            <v>5.3185558875011942</v>
          </cell>
        </row>
        <row r="147">
          <cell r="BE147">
            <v>36.401855099971968</v>
          </cell>
        </row>
        <row r="148">
          <cell r="BE148">
            <v>457.37162597221794</v>
          </cell>
        </row>
        <row r="149">
          <cell r="BE149">
            <v>244.33924424467557</v>
          </cell>
        </row>
        <row r="150">
          <cell r="BE150">
            <v>81.213691288235992</v>
          </cell>
        </row>
        <row r="151">
          <cell r="BE151">
            <v>76.188466159005529</v>
          </cell>
        </row>
        <row r="152">
          <cell r="BE152">
            <v>11.82301407855309</v>
          </cell>
        </row>
        <row r="153">
          <cell r="BE153">
            <v>63.637914163584504</v>
          </cell>
        </row>
        <row r="154">
          <cell r="BE154">
            <v>27.094560867282556</v>
          </cell>
        </row>
        <row r="155">
          <cell r="BE155">
            <v>33.041750568638285</v>
          </cell>
        </row>
        <row r="156">
          <cell r="BE156">
            <v>5.5958337519738999</v>
          </cell>
        </row>
        <row r="157">
          <cell r="BE157">
            <v>29.434133876151343</v>
          </cell>
        </row>
      </sheetData>
      <sheetData sheetId="13"/>
      <sheetData sheetId="14">
        <row r="3">
          <cell r="AZ3">
            <v>0.80592583452964006</v>
          </cell>
        </row>
        <row r="4">
          <cell r="AZ4">
            <v>0.62290080722126806</v>
          </cell>
        </row>
        <row r="5">
          <cell r="AZ5">
            <v>0.33565257821287425</v>
          </cell>
        </row>
        <row r="6">
          <cell r="AZ6">
            <v>0.59078974281040664</v>
          </cell>
        </row>
        <row r="7">
          <cell r="AZ7">
            <v>2.1710395610711548</v>
          </cell>
        </row>
        <row r="8">
          <cell r="AZ8">
            <v>0.42262606426409238</v>
          </cell>
        </row>
        <row r="9">
          <cell r="AZ9">
            <v>2.5018122700035152</v>
          </cell>
        </row>
        <row r="10">
          <cell r="AZ10">
            <v>0.95323597398189419</v>
          </cell>
        </row>
        <row r="11">
          <cell r="AZ11">
            <v>0.56101624565484798</v>
          </cell>
        </row>
        <row r="12">
          <cell r="AZ12">
            <v>0</v>
          </cell>
        </row>
        <row r="13">
          <cell r="AZ13">
            <v>0.91873617476356595</v>
          </cell>
        </row>
        <row r="14">
          <cell r="AZ14">
            <v>0.98255660469287787</v>
          </cell>
        </row>
        <row r="15">
          <cell r="AZ15">
            <v>0.37164218600416654</v>
          </cell>
        </row>
        <row r="16">
          <cell r="AZ16">
            <v>0.95203878878575132</v>
          </cell>
        </row>
        <row r="17">
          <cell r="AZ17">
            <v>0.84570685216729458</v>
          </cell>
        </row>
        <row r="18">
          <cell r="AZ18">
            <v>0.64835225448999723</v>
          </cell>
        </row>
        <row r="19">
          <cell r="AZ19">
            <v>0.14910984281935924</v>
          </cell>
        </row>
        <row r="20">
          <cell r="AZ20">
            <v>1.0529872430662273</v>
          </cell>
        </row>
        <row r="21">
          <cell r="AZ21">
            <v>1.8871257946231623</v>
          </cell>
        </row>
        <row r="22">
          <cell r="AZ22">
            <v>0.93446247691016815</v>
          </cell>
        </row>
        <row r="23">
          <cell r="AZ23">
            <v>0.83713694609722067</v>
          </cell>
        </row>
        <row r="24">
          <cell r="AZ24">
            <v>0.99556001284936979</v>
          </cell>
        </row>
        <row r="25">
          <cell r="AZ25">
            <v>0.79565162603698614</v>
          </cell>
        </row>
        <row r="26">
          <cell r="AZ26">
            <v>1.8110539571928661</v>
          </cell>
        </row>
        <row r="27">
          <cell r="AZ27">
            <v>0.86813121681315653</v>
          </cell>
        </row>
        <row r="28">
          <cell r="AZ28">
            <v>0.92131510390994209</v>
          </cell>
        </row>
        <row r="29">
          <cell r="AZ29">
            <v>0.65059946073191355</v>
          </cell>
        </row>
        <row r="30">
          <cell r="AZ30">
            <v>0.99123981482642576</v>
          </cell>
        </row>
        <row r="31">
          <cell r="AZ31">
            <v>0.39455796623590927</v>
          </cell>
        </row>
        <row r="32">
          <cell r="AZ32">
            <v>0.11237372031329523</v>
          </cell>
        </row>
        <row r="33">
          <cell r="AZ33">
            <v>0.71018058542793805</v>
          </cell>
        </row>
        <row r="34">
          <cell r="AZ34">
            <v>0.2347776782707518</v>
          </cell>
        </row>
        <row r="35">
          <cell r="AZ35">
            <v>0.53107439827696779</v>
          </cell>
        </row>
        <row r="36">
          <cell r="AZ36">
            <v>1.1617759316297134</v>
          </cell>
        </row>
        <row r="37">
          <cell r="AZ37">
            <v>0.27415432375283227</v>
          </cell>
        </row>
        <row r="38">
          <cell r="AZ38">
            <v>0.11672594831398023</v>
          </cell>
        </row>
        <row r="39">
          <cell r="AZ39">
            <v>1.3338737957831137</v>
          </cell>
        </row>
        <row r="40">
          <cell r="AZ40">
            <v>1.2224462622743726</v>
          </cell>
        </row>
        <row r="41">
          <cell r="AZ41">
            <v>0.34731412681556645</v>
          </cell>
        </row>
        <row r="42">
          <cell r="AZ42">
            <v>0.69591398875672417</v>
          </cell>
        </row>
        <row r="43">
          <cell r="AZ43">
            <v>0.54697276137794082</v>
          </cell>
        </row>
        <row r="44">
          <cell r="AZ44">
            <v>0.55233212310324376</v>
          </cell>
        </row>
        <row r="45">
          <cell r="AZ45">
            <v>0.52551031414900184</v>
          </cell>
        </row>
        <row r="46">
          <cell r="AZ46">
            <v>1.2626963448224522</v>
          </cell>
        </row>
        <row r="47">
          <cell r="AZ47">
            <v>0.88216912274134185</v>
          </cell>
        </row>
        <row r="48">
          <cell r="AZ48">
            <v>1.2627912315706671</v>
          </cell>
        </row>
        <row r="49">
          <cell r="AZ49">
            <v>1.9254247454543276</v>
          </cell>
        </row>
        <row r="50">
          <cell r="AZ50">
            <v>0.22834666581678725</v>
          </cell>
        </row>
        <row r="51">
          <cell r="AZ51">
            <v>0.56977792127795968</v>
          </cell>
        </row>
        <row r="52">
          <cell r="AZ52">
            <v>0.23643507412521933</v>
          </cell>
        </row>
        <row r="53">
          <cell r="AZ53">
            <v>1.1081205434668913</v>
          </cell>
        </row>
        <row r="54">
          <cell r="AZ54">
            <v>0.81118344050648317</v>
          </cell>
        </row>
        <row r="55">
          <cell r="AZ55">
            <v>0.83141133978562176</v>
          </cell>
        </row>
        <row r="56">
          <cell r="AZ56">
            <v>0.59112722867881407</v>
          </cell>
        </row>
        <row r="57">
          <cell r="AZ57">
            <v>0.86702557745082731</v>
          </cell>
        </row>
        <row r="58">
          <cell r="AZ58">
            <v>0.80196831568058158</v>
          </cell>
        </row>
        <row r="59">
          <cell r="AZ59">
            <v>0.40770563232495688</v>
          </cell>
        </row>
        <row r="60">
          <cell r="AZ60">
            <v>0.48863797514544105</v>
          </cell>
        </row>
        <row r="61">
          <cell r="AZ61" t="str">
            <v/>
          </cell>
        </row>
        <row r="62">
          <cell r="AZ62">
            <v>2.0564676521019134</v>
          </cell>
        </row>
        <row r="63">
          <cell r="AZ63">
            <v>1.0178682230643488</v>
          </cell>
        </row>
        <row r="64">
          <cell r="AZ64">
            <v>0.91388645323990614</v>
          </cell>
        </row>
        <row r="65">
          <cell r="AZ65">
            <v>0.73007779260010408</v>
          </cell>
        </row>
        <row r="66">
          <cell r="AZ66">
            <v>0.50810574147515464</v>
          </cell>
        </row>
        <row r="67">
          <cell r="AZ67">
            <v>0.65450918121965451</v>
          </cell>
        </row>
        <row r="68">
          <cell r="AZ68">
            <v>6.8566573685110238E-2</v>
          </cell>
        </row>
        <row r="69">
          <cell r="AZ69">
            <v>0.67014365957199584</v>
          </cell>
        </row>
        <row r="70">
          <cell r="AZ70">
            <v>5.8057301473643267E-3</v>
          </cell>
        </row>
        <row r="71">
          <cell r="AZ71">
            <v>0.26768216119229754</v>
          </cell>
        </row>
        <row r="72">
          <cell r="AZ72">
            <v>5.9583626075978578E-2</v>
          </cell>
        </row>
        <row r="73">
          <cell r="AZ73">
            <v>3.294848571458874</v>
          </cell>
        </row>
        <row r="74">
          <cell r="AZ74">
            <v>0.76484094420477033</v>
          </cell>
        </row>
        <row r="75">
          <cell r="AZ75">
            <v>0.91137996757788975</v>
          </cell>
        </row>
        <row r="76">
          <cell r="AZ76">
            <v>0.3209902823020051</v>
          </cell>
        </row>
        <row r="77">
          <cell r="AZ77">
            <v>2.6762909494725151E-2</v>
          </cell>
        </row>
        <row r="78">
          <cell r="AZ78">
            <v>0.771268231974086</v>
          </cell>
        </row>
        <row r="79">
          <cell r="AZ79">
            <v>1.0443231424886474</v>
          </cell>
        </row>
        <row r="80">
          <cell r="AZ80">
            <v>2.3677481221032441</v>
          </cell>
        </row>
        <row r="81">
          <cell r="AZ81">
            <v>0.10471638452429877</v>
          </cell>
        </row>
        <row r="82">
          <cell r="AZ82">
            <v>0.40362672806764049</v>
          </cell>
        </row>
        <row r="83">
          <cell r="AZ83">
            <v>0.46604787186319985</v>
          </cell>
        </row>
        <row r="84">
          <cell r="AZ84">
            <v>6.9792026047437783E-2</v>
          </cell>
        </row>
        <row r="85">
          <cell r="AZ85">
            <v>1.742449685861819</v>
          </cell>
        </row>
        <row r="86">
          <cell r="AZ86">
            <v>0.76944508773998677</v>
          </cell>
        </row>
        <row r="87">
          <cell r="AZ87">
            <v>0.94819726709890551</v>
          </cell>
        </row>
        <row r="88">
          <cell r="AZ88">
            <v>0.95427478950771205</v>
          </cell>
        </row>
        <row r="89">
          <cell r="AZ89">
            <v>0.31910754666272423</v>
          </cell>
        </row>
        <row r="90">
          <cell r="AZ90">
            <v>0.96798329715520248</v>
          </cell>
        </row>
        <row r="91">
          <cell r="AZ91">
            <v>0.37501700522944814</v>
          </cell>
        </row>
        <row r="92">
          <cell r="AZ92">
            <v>1.1301420602351936E-3</v>
          </cell>
        </row>
        <row r="93">
          <cell r="AZ93">
            <v>0.72394131306274723</v>
          </cell>
        </row>
        <row r="94">
          <cell r="AZ94">
            <v>1.1255460245637936</v>
          </cell>
        </row>
        <row r="95">
          <cell r="AZ95">
            <v>0.68883399823039071</v>
          </cell>
        </row>
        <row r="96">
          <cell r="AZ96">
            <v>0.59250359178912881</v>
          </cell>
        </row>
        <row r="97">
          <cell r="AZ97">
            <v>0.71838070381880537</v>
          </cell>
        </row>
        <row r="98">
          <cell r="AZ98">
            <v>0.99838130706680639</v>
          </cell>
        </row>
        <row r="99">
          <cell r="AZ99">
            <v>0.43202866554280434</v>
          </cell>
        </row>
        <row r="100">
          <cell r="AZ100">
            <v>0.96905345509768048</v>
          </cell>
        </row>
        <row r="101">
          <cell r="AZ101">
            <v>0.14881856503867633</v>
          </cell>
        </row>
        <row r="102">
          <cell r="AZ102">
            <v>0.71337723469846492</v>
          </cell>
        </row>
        <row r="103">
          <cell r="AZ103">
            <v>0.74870042486629795</v>
          </cell>
        </row>
        <row r="104">
          <cell r="AZ104">
            <v>0.94799904311607464</v>
          </cell>
        </row>
        <row r="105">
          <cell r="AZ105">
            <v>0.80765631193562171</v>
          </cell>
        </row>
        <row r="106">
          <cell r="AZ106">
            <v>0.68685198182472806</v>
          </cell>
        </row>
        <row r="107">
          <cell r="AZ107">
            <v>5.4762525397776214E-2</v>
          </cell>
        </row>
        <row r="108">
          <cell r="AZ108">
            <v>1.1357746182570203</v>
          </cell>
        </row>
        <row r="109">
          <cell r="AZ109">
            <v>6.1260549564851025E-2</v>
          </cell>
        </row>
        <row r="110">
          <cell r="AZ110">
            <v>0.37855063357203167</v>
          </cell>
        </row>
        <row r="111">
          <cell r="AZ111">
            <v>3.2111748590242885E-2</v>
          </cell>
        </row>
        <row r="112">
          <cell r="AZ112">
            <v>1.6036720087333007</v>
          </cell>
        </row>
        <row r="113">
          <cell r="AZ113">
            <v>0.55857783530202809</v>
          </cell>
        </row>
        <row r="114">
          <cell r="AZ114">
            <v>0.82959731734668118</v>
          </cell>
        </row>
        <row r="115">
          <cell r="AZ115">
            <v>1.0267821390561309</v>
          </cell>
        </row>
        <row r="116">
          <cell r="AZ116">
            <v>0.23017823105899782</v>
          </cell>
        </row>
        <row r="117">
          <cell r="AZ117">
            <v>1</v>
          </cell>
        </row>
        <row r="118">
          <cell r="AZ118">
            <v>5.6493582201871811E-3</v>
          </cell>
        </row>
        <row r="119">
          <cell r="AZ119">
            <v>1.3134050056853317</v>
          </cell>
        </row>
        <row r="120">
          <cell r="AZ120">
            <v>1.2941055053473087</v>
          </cell>
        </row>
        <row r="121">
          <cell r="AZ121">
            <v>0.76445805615479889</v>
          </cell>
        </row>
        <row r="122">
          <cell r="AZ122">
            <v>0.1238905578505127</v>
          </cell>
        </row>
        <row r="123">
          <cell r="AZ123">
            <v>0.59578678247469619</v>
          </cell>
        </row>
        <row r="124">
          <cell r="AZ124">
            <v>0.89031523861330142</v>
          </cell>
        </row>
        <row r="125">
          <cell r="AZ125">
            <v>0</v>
          </cell>
        </row>
        <row r="126">
          <cell r="AZ126">
            <v>1.1967919802233646</v>
          </cell>
        </row>
        <row r="127">
          <cell r="AZ127">
            <v>0.74404857941386182</v>
          </cell>
        </row>
        <row r="128">
          <cell r="AZ128">
            <v>0.41438580117839108</v>
          </cell>
        </row>
        <row r="129">
          <cell r="AZ129">
            <v>0.95270738194474647</v>
          </cell>
        </row>
        <row r="130">
          <cell r="AZ130">
            <v>0.68413949145652031</v>
          </cell>
        </row>
        <row r="131">
          <cell r="AZ131">
            <v>0.85810742709262244</v>
          </cell>
        </row>
        <row r="132">
          <cell r="AZ132">
            <v>0.58432611444908644</v>
          </cell>
        </row>
        <row r="133">
          <cell r="AZ133">
            <v>0.28418227246864408</v>
          </cell>
        </row>
        <row r="134">
          <cell r="AZ134">
            <v>1.1848956248181173</v>
          </cell>
        </row>
        <row r="135">
          <cell r="AZ135">
            <v>0.57442332499261772</v>
          </cell>
        </row>
        <row r="136">
          <cell r="AZ136">
            <v>0.52960485585998507</v>
          </cell>
        </row>
        <row r="137">
          <cell r="AZ137">
            <v>0.58301653587833968</v>
          </cell>
        </row>
        <row r="138">
          <cell r="AZ138">
            <v>0.89605622910542615</v>
          </cell>
        </row>
        <row r="139">
          <cell r="AZ139">
            <v>1.210007894126393</v>
          </cell>
        </row>
        <row r="140">
          <cell r="AZ140">
            <v>0.954491266829263</v>
          </cell>
        </row>
        <row r="141">
          <cell r="AZ141">
            <v>0.91366266676916841</v>
          </cell>
        </row>
        <row r="142">
          <cell r="AZ142">
            <v>3.7444888752178815E-2</v>
          </cell>
        </row>
        <row r="143">
          <cell r="AZ143">
            <v>0.25506775047813524</v>
          </cell>
        </row>
        <row r="144">
          <cell r="AZ144">
            <v>1.0287202909375881</v>
          </cell>
        </row>
        <row r="145">
          <cell r="AZ145">
            <v>0.94608308646799744</v>
          </cell>
        </row>
        <row r="146">
          <cell r="AZ146">
            <v>0.92814383663308031</v>
          </cell>
        </row>
        <row r="147">
          <cell r="AZ147">
            <v>1.4488966372618908</v>
          </cell>
        </row>
        <row r="148">
          <cell r="AZ148">
            <v>8.900535353611197E-2</v>
          </cell>
        </row>
        <row r="149">
          <cell r="AZ149">
            <v>1.0917262722316874</v>
          </cell>
        </row>
        <row r="150">
          <cell r="AZ150">
            <v>1.2536208187132043</v>
          </cell>
        </row>
        <row r="151">
          <cell r="AZ151">
            <v>2.169391314036663</v>
          </cell>
        </row>
        <row r="152">
          <cell r="AZ152">
            <v>0.84003973436422186</v>
          </cell>
        </row>
        <row r="153">
          <cell r="AZ153">
            <v>0.54303151646966752</v>
          </cell>
        </row>
        <row r="154">
          <cell r="AZ154">
            <v>1.0688476212377969</v>
          </cell>
        </row>
        <row r="155">
          <cell r="AZ155">
            <v>0.22799328902565727</v>
          </cell>
        </row>
        <row r="156">
          <cell r="AZ156">
            <v>1.0358567655542841</v>
          </cell>
        </row>
        <row r="157">
          <cell r="AZ157">
            <v>0.64003120834823313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156"/>
  <sheetViews>
    <sheetView workbookViewId="0">
      <selection activeCell="E115" sqref="E115"/>
    </sheetView>
  </sheetViews>
  <sheetFormatPr baseColWidth="10" defaultColWidth="8.83203125" defaultRowHeight="14"/>
  <cols>
    <col min="1" max="2" width="9.1640625" style="1"/>
    <col min="3" max="3" width="9.1640625" style="2"/>
    <col min="4" max="6" width="9.1640625" style="47"/>
    <col min="7" max="12" width="9.1640625" style="2"/>
  </cols>
  <sheetData>
    <row r="1" spans="1:28" ht="15" thickBot="1">
      <c r="A1" s="1" t="s">
        <v>159</v>
      </c>
      <c r="B1" s="1" t="s">
        <v>158</v>
      </c>
      <c r="C1" s="2" t="s">
        <v>157</v>
      </c>
      <c r="D1" s="47" t="s">
        <v>156</v>
      </c>
      <c r="E1" s="47" t="s">
        <v>161</v>
      </c>
      <c r="F1" s="47" t="s">
        <v>160</v>
      </c>
      <c r="G1" s="11" t="s">
        <v>172</v>
      </c>
      <c r="H1" s="11" t="s">
        <v>173</v>
      </c>
      <c r="I1" s="11" t="s">
        <v>174</v>
      </c>
      <c r="J1" s="11" t="s">
        <v>178</v>
      </c>
      <c r="K1" s="2" t="s">
        <v>155</v>
      </c>
    </row>
    <row r="2" spans="1:28">
      <c r="A2" s="3">
        <v>228</v>
      </c>
      <c r="B2" s="3" t="s">
        <v>9</v>
      </c>
      <c r="C2" s="2">
        <v>1</v>
      </c>
      <c r="D2" s="47">
        <v>84127.607050000006</v>
      </c>
      <c r="E2" s="47">
        <v>0</v>
      </c>
      <c r="F2" s="47">
        <v>78.386933333333317</v>
      </c>
      <c r="G2" s="2">
        <f>IF(E2=1,IF(D2&gt;$N$6,0,IF(F2&gt;=$N$7,0,1)),0)</f>
        <v>0</v>
      </c>
      <c r="H2" s="2">
        <f t="shared" ref="H2:H33" si="0">IF(D2&gt;$R$6,0,IF(F2&gt;=$R$7,0,1))</f>
        <v>0</v>
      </c>
      <c r="I2" s="2">
        <f t="shared" ref="I2:I33" si="1">IF(E2=1,IF(D2&lt;$V$6,1,0),0)</f>
        <v>0</v>
      </c>
      <c r="J2" s="2">
        <f t="shared" ref="J2:J33" si="2">IF(E2=1,IF(F2&lt;$Z$7,1,0),0)</f>
        <v>0</v>
      </c>
      <c r="K2" s="11">
        <v>0</v>
      </c>
      <c r="M2" s="69" t="s">
        <v>175</v>
      </c>
      <c r="N2" s="70"/>
      <c r="O2" s="65" t="s">
        <v>170</v>
      </c>
      <c r="P2" s="66"/>
      <c r="Q2" s="69" t="s">
        <v>176</v>
      </c>
      <c r="R2" s="70"/>
      <c r="S2" s="65" t="s">
        <v>170</v>
      </c>
      <c r="T2" s="66"/>
      <c r="U2" s="69" t="s">
        <v>177</v>
      </c>
      <c r="V2" s="70"/>
      <c r="W2" s="65" t="s">
        <v>170</v>
      </c>
      <c r="X2" s="66"/>
      <c r="Y2" s="69" t="s">
        <v>179</v>
      </c>
      <c r="Z2" s="70"/>
      <c r="AA2" s="65" t="s">
        <v>170</v>
      </c>
      <c r="AB2" s="66"/>
    </row>
    <row r="3" spans="1:28">
      <c r="A3" s="3">
        <v>210</v>
      </c>
      <c r="B3" s="3" t="s">
        <v>22</v>
      </c>
      <c r="C3" s="2">
        <v>1</v>
      </c>
      <c r="D3" s="47">
        <v>30299.480240000001</v>
      </c>
      <c r="E3" s="47">
        <v>0</v>
      </c>
      <c r="F3" s="47">
        <v>59.261000000000003</v>
      </c>
      <c r="G3" s="2">
        <f t="shared" ref="G3:G33" si="3">IF(E3=1,IF(D3&gt;$N$6,0,IF(F3&gt;=$N$7,0,1)),0)</f>
        <v>0</v>
      </c>
      <c r="H3" s="2">
        <f t="shared" si="0"/>
        <v>0</v>
      </c>
      <c r="I3" s="2">
        <f t="shared" si="1"/>
        <v>0</v>
      </c>
      <c r="J3" s="2">
        <f t="shared" si="2"/>
        <v>0</v>
      </c>
      <c r="K3" s="11">
        <v>0</v>
      </c>
      <c r="M3" s="71"/>
      <c r="N3" s="72"/>
      <c r="O3" s="6" t="s">
        <v>162</v>
      </c>
      <c r="P3" s="16" t="s">
        <v>163</v>
      </c>
      <c r="Q3" s="71"/>
      <c r="R3" s="72"/>
      <c r="S3" s="6" t="s">
        <v>162</v>
      </c>
      <c r="T3" s="16" t="s">
        <v>163</v>
      </c>
      <c r="U3" s="71"/>
      <c r="V3" s="72"/>
      <c r="W3" s="6" t="s">
        <v>162</v>
      </c>
      <c r="X3" s="16" t="s">
        <v>163</v>
      </c>
      <c r="Y3" s="71"/>
      <c r="Z3" s="72"/>
      <c r="AA3" s="6" t="s">
        <v>162</v>
      </c>
      <c r="AB3" s="16" t="s">
        <v>163</v>
      </c>
    </row>
    <row r="4" spans="1:28">
      <c r="A4" s="3">
        <v>164</v>
      </c>
      <c r="B4" s="3" t="s">
        <v>51</v>
      </c>
      <c r="C4" s="2">
        <v>1</v>
      </c>
      <c r="D4" s="47">
        <v>29664.009900000001</v>
      </c>
      <c r="E4" s="47">
        <v>0</v>
      </c>
      <c r="F4" s="47">
        <v>66.024599999999992</v>
      </c>
      <c r="G4" s="2">
        <f t="shared" si="3"/>
        <v>0</v>
      </c>
      <c r="H4" s="2">
        <f t="shared" si="0"/>
        <v>0</v>
      </c>
      <c r="I4" s="2">
        <f t="shared" si="1"/>
        <v>0</v>
      </c>
      <c r="J4" s="2">
        <f t="shared" si="2"/>
        <v>0</v>
      </c>
      <c r="K4" s="11">
        <v>0</v>
      </c>
      <c r="M4" s="67" t="s">
        <v>171</v>
      </c>
      <c r="N4" s="7" t="s">
        <v>162</v>
      </c>
      <c r="O4" s="8">
        <f>COUNTIFS(G2:G124,"=1",K2:K124,"=1")</f>
        <v>12</v>
      </c>
      <c r="P4" s="17">
        <f>COUNTIFS(G2:G124,"=0",K2:K124,"=1")</f>
        <v>7</v>
      </c>
      <c r="Q4" s="67" t="s">
        <v>171</v>
      </c>
      <c r="R4" s="7" t="s">
        <v>162</v>
      </c>
      <c r="S4" s="8">
        <f>COUNTIFS(H2:H124,"=1",K2:K124,"=1")</f>
        <v>17</v>
      </c>
      <c r="T4" s="17">
        <f>COUNTIFS(H2:H124,"=0",K2:K124,"=1")</f>
        <v>2</v>
      </c>
      <c r="U4" s="67" t="s">
        <v>171</v>
      </c>
      <c r="V4" s="7" t="s">
        <v>162</v>
      </c>
      <c r="W4" s="8">
        <f>COUNTIFS(I2:I124,"=1",K2:K124,"=1")</f>
        <v>12</v>
      </c>
      <c r="X4" s="17">
        <f>COUNTIFS(I2:I124,"=0",K2:K124,"=1")</f>
        <v>7</v>
      </c>
      <c r="Y4" s="67" t="s">
        <v>171</v>
      </c>
      <c r="Z4" s="7" t="s">
        <v>162</v>
      </c>
      <c r="AA4" s="8">
        <f>COUNTIFS(J2:J124,"=1",K2:K124,"=1")</f>
        <v>12</v>
      </c>
      <c r="AB4" s="17">
        <f>COUNTIFS(J2:J124,"=0",K2:K124,"=1")</f>
        <v>7</v>
      </c>
    </row>
    <row r="5" spans="1:28">
      <c r="A5" s="3">
        <v>118</v>
      </c>
      <c r="B5" s="3" t="s">
        <v>80</v>
      </c>
      <c r="C5" s="2">
        <v>1</v>
      </c>
      <c r="D5" s="47">
        <v>26520.201880000001</v>
      </c>
      <c r="E5" s="47">
        <v>0</v>
      </c>
      <c r="F5" s="47">
        <v>89.290600000000012</v>
      </c>
      <c r="G5" s="2">
        <f t="shared" si="3"/>
        <v>0</v>
      </c>
      <c r="H5" s="2">
        <f t="shared" si="0"/>
        <v>0</v>
      </c>
      <c r="I5" s="2">
        <f t="shared" si="1"/>
        <v>0</v>
      </c>
      <c r="J5" s="2">
        <f t="shared" si="2"/>
        <v>0</v>
      </c>
      <c r="K5" s="11">
        <v>0</v>
      </c>
      <c r="M5" s="68"/>
      <c r="N5" s="9" t="s">
        <v>163</v>
      </c>
      <c r="O5" s="10">
        <f>COUNTIFS(G2:G124,"=1",K2:K124,"=0")</f>
        <v>6</v>
      </c>
      <c r="P5" s="18">
        <f>COUNTIFS(G2:G124,"=0",K2:K124,"=0")</f>
        <v>98</v>
      </c>
      <c r="Q5" s="68"/>
      <c r="R5" s="9" t="s">
        <v>163</v>
      </c>
      <c r="S5" s="10">
        <f>COUNTIFS(H2:H124,"=1",K2:K124,"=0")</f>
        <v>24</v>
      </c>
      <c r="T5" s="18">
        <f>COUNTIFS(H2:H124,"=0",K2:K124,"=0")</f>
        <v>80</v>
      </c>
      <c r="U5" s="68"/>
      <c r="V5" s="9" t="s">
        <v>163</v>
      </c>
      <c r="W5" s="10">
        <f>COUNTIFS(I2:I124,"=1",K2:K124,"=0")</f>
        <v>18</v>
      </c>
      <c r="X5" s="18">
        <f>COUNTIFS(I2:I124,"=0",K2:K124,"=0")</f>
        <v>86</v>
      </c>
      <c r="Y5" s="68"/>
      <c r="Z5" s="9" t="s">
        <v>163</v>
      </c>
      <c r="AA5" s="10">
        <f>COUNTIFS(J2:J124,"=1",K2:K124,"=0")</f>
        <v>6</v>
      </c>
      <c r="AB5" s="18">
        <f>COUNTIFS(J2:J124,"=0",K2:K124,"=0")</f>
        <v>98</v>
      </c>
    </row>
    <row r="6" spans="1:28">
      <c r="A6" s="3">
        <v>58</v>
      </c>
      <c r="B6" s="3" t="s">
        <v>118</v>
      </c>
      <c r="C6" s="2">
        <v>1</v>
      </c>
      <c r="D6" s="47">
        <v>25000</v>
      </c>
      <c r="E6" s="47">
        <v>0</v>
      </c>
      <c r="F6" s="47">
        <v>69.303033333333332</v>
      </c>
      <c r="G6" s="2">
        <f t="shared" si="3"/>
        <v>0</v>
      </c>
      <c r="H6" s="2">
        <f t="shared" si="0"/>
        <v>0</v>
      </c>
      <c r="I6" s="2">
        <f t="shared" si="1"/>
        <v>0</v>
      </c>
      <c r="J6" s="2">
        <f t="shared" si="2"/>
        <v>0</v>
      </c>
      <c r="K6" s="11">
        <v>0</v>
      </c>
      <c r="M6" s="19" t="s">
        <v>164</v>
      </c>
      <c r="N6" s="14">
        <v>10000</v>
      </c>
      <c r="O6" s="4" t="s">
        <v>166</v>
      </c>
      <c r="P6" s="20">
        <f>SUM(O4:P5)</f>
        <v>123</v>
      </c>
      <c r="Q6" s="19" t="s">
        <v>164</v>
      </c>
      <c r="R6" s="14">
        <v>10000</v>
      </c>
      <c r="S6" s="4" t="s">
        <v>166</v>
      </c>
      <c r="T6" s="20">
        <f>SUM(S4:T5)</f>
        <v>123</v>
      </c>
      <c r="U6" s="19" t="s">
        <v>164</v>
      </c>
      <c r="V6" s="14">
        <v>10000</v>
      </c>
      <c r="W6" s="4" t="s">
        <v>166</v>
      </c>
      <c r="X6" s="20">
        <f>SUM(W4:X5)</f>
        <v>123</v>
      </c>
      <c r="Y6" s="19" t="s">
        <v>164</v>
      </c>
      <c r="Z6" s="14">
        <v>10000</v>
      </c>
      <c r="AA6" s="4" t="s">
        <v>166</v>
      </c>
      <c r="AB6" s="20">
        <f>SUM(AA4:AB5)</f>
        <v>123</v>
      </c>
    </row>
    <row r="7" spans="1:28">
      <c r="A7" s="3">
        <v>15</v>
      </c>
      <c r="B7" s="3" t="s">
        <v>147</v>
      </c>
      <c r="C7" s="2">
        <v>1</v>
      </c>
      <c r="D7" s="47">
        <v>22919.096699999998</v>
      </c>
      <c r="E7" s="47">
        <v>0</v>
      </c>
      <c r="F7" s="47">
        <v>65.319000000000031</v>
      </c>
      <c r="G7" s="2">
        <f t="shared" si="3"/>
        <v>0</v>
      </c>
      <c r="H7" s="2">
        <f t="shared" si="0"/>
        <v>0</v>
      </c>
      <c r="I7" s="2">
        <f t="shared" si="1"/>
        <v>0</v>
      </c>
      <c r="J7" s="2">
        <f t="shared" si="2"/>
        <v>0</v>
      </c>
      <c r="K7" s="11">
        <v>0</v>
      </c>
      <c r="M7" s="21" t="s">
        <v>165</v>
      </c>
      <c r="N7" s="15">
        <v>25</v>
      </c>
      <c r="O7" s="5" t="s">
        <v>168</v>
      </c>
      <c r="P7" s="22">
        <f>SUM(G2:G124)</f>
        <v>18</v>
      </c>
      <c r="Q7" s="21" t="s">
        <v>165</v>
      </c>
      <c r="R7" s="15">
        <v>25</v>
      </c>
      <c r="S7" s="5" t="s">
        <v>168</v>
      </c>
      <c r="T7" s="22">
        <f>SUM(H2:H124)</f>
        <v>41</v>
      </c>
      <c r="U7" s="21" t="s">
        <v>165</v>
      </c>
      <c r="V7" s="15">
        <v>25</v>
      </c>
      <c r="W7" s="5" t="s">
        <v>168</v>
      </c>
      <c r="X7" s="22">
        <f>SUM(I2:I124)</f>
        <v>30</v>
      </c>
      <c r="Y7" s="21" t="s">
        <v>165</v>
      </c>
      <c r="Z7" s="15">
        <v>25</v>
      </c>
      <c r="AA7" s="5" t="s">
        <v>168</v>
      </c>
      <c r="AB7" s="22">
        <f>SUM(J2:J124)</f>
        <v>18</v>
      </c>
    </row>
    <row r="8" spans="1:28" ht="15" thickBot="1">
      <c r="A8" s="3">
        <v>81</v>
      </c>
      <c r="B8" s="3" t="s">
        <v>104</v>
      </c>
      <c r="C8" s="2">
        <v>1</v>
      </c>
      <c r="D8" s="47">
        <v>22853.3475</v>
      </c>
      <c r="E8" s="47">
        <v>0</v>
      </c>
      <c r="F8" s="47">
        <v>72.461399999999998</v>
      </c>
      <c r="G8" s="2">
        <f t="shared" si="3"/>
        <v>0</v>
      </c>
      <c r="H8" s="2">
        <f t="shared" si="0"/>
        <v>0</v>
      </c>
      <c r="I8" s="2">
        <f t="shared" si="1"/>
        <v>0</v>
      </c>
      <c r="J8" s="2">
        <f t="shared" si="2"/>
        <v>0</v>
      </c>
      <c r="K8" s="11">
        <v>0</v>
      </c>
      <c r="M8" s="23" t="s">
        <v>167</v>
      </c>
      <c r="N8" s="27">
        <f>(O4+P5)/SUM(O4:P5)*100</f>
        <v>89.430894308943081</v>
      </c>
      <c r="O8" s="24" t="s">
        <v>169</v>
      </c>
      <c r="P8" s="25">
        <f>SUM(K2:K124)</f>
        <v>19</v>
      </c>
      <c r="Q8" s="23" t="s">
        <v>167</v>
      </c>
      <c r="R8" s="27">
        <f>(S4+T5)/SUM(S4:T5)*100</f>
        <v>78.861788617886177</v>
      </c>
      <c r="S8" s="24" t="s">
        <v>169</v>
      </c>
      <c r="T8" s="25">
        <f>SUM(K2:K124)</f>
        <v>19</v>
      </c>
      <c r="U8" s="23" t="s">
        <v>167</v>
      </c>
      <c r="V8" s="27">
        <f>(W4+X5)/SUM(W4:X5)*100</f>
        <v>79.674796747967477</v>
      </c>
      <c r="W8" s="24" t="s">
        <v>169</v>
      </c>
      <c r="X8" s="25">
        <f>SUM(K2:K124)</f>
        <v>19</v>
      </c>
      <c r="Y8" s="23" t="s">
        <v>167</v>
      </c>
      <c r="Z8" s="27">
        <f>(AA4+AB5)/SUM(AA4:AB5)*100</f>
        <v>89.430894308943081</v>
      </c>
      <c r="AA8" s="24" t="s">
        <v>169</v>
      </c>
      <c r="AB8" s="25">
        <f>SUM(K2:K124)</f>
        <v>19</v>
      </c>
    </row>
    <row r="9" spans="1:28">
      <c r="A9" s="3">
        <v>209</v>
      </c>
      <c r="B9" s="3" t="s">
        <v>23</v>
      </c>
      <c r="C9" s="2">
        <v>1</v>
      </c>
      <c r="D9" s="47">
        <v>22502.77347</v>
      </c>
      <c r="E9" s="47">
        <v>0</v>
      </c>
      <c r="F9" s="47">
        <v>80.977166666666648</v>
      </c>
      <c r="G9" s="2">
        <f t="shared" si="3"/>
        <v>0</v>
      </c>
      <c r="H9" s="2">
        <f t="shared" si="0"/>
        <v>0</v>
      </c>
      <c r="I9" s="2">
        <f t="shared" si="1"/>
        <v>0</v>
      </c>
      <c r="J9" s="2">
        <f t="shared" si="2"/>
        <v>0</v>
      </c>
      <c r="K9" s="11">
        <v>0</v>
      </c>
      <c r="AA9" s="28" t="s">
        <v>180</v>
      </c>
    </row>
    <row r="10" spans="1:28">
      <c r="A10" s="3">
        <v>191</v>
      </c>
      <c r="B10" s="3" t="s">
        <v>35</v>
      </c>
      <c r="C10" s="2">
        <v>1</v>
      </c>
      <c r="D10" s="47">
        <v>22209.258890000001</v>
      </c>
      <c r="E10" s="47">
        <v>0</v>
      </c>
      <c r="F10" s="47">
        <v>57.123966666666661</v>
      </c>
      <c r="G10" s="2">
        <f t="shared" si="3"/>
        <v>0</v>
      </c>
      <c r="H10" s="2">
        <f t="shared" si="0"/>
        <v>0</v>
      </c>
      <c r="I10" s="2">
        <f t="shared" si="1"/>
        <v>0</v>
      </c>
      <c r="J10" s="2">
        <f t="shared" si="2"/>
        <v>0</v>
      </c>
      <c r="K10" s="11">
        <v>0</v>
      </c>
    </row>
    <row r="11" spans="1:28">
      <c r="A11" s="3">
        <v>74</v>
      </c>
      <c r="B11" s="3" t="s">
        <v>108</v>
      </c>
      <c r="C11" s="2">
        <v>1</v>
      </c>
      <c r="D11" s="47">
        <v>21928.429629999999</v>
      </c>
      <c r="E11" s="47">
        <v>0</v>
      </c>
      <c r="F11" s="47">
        <v>71.194933333333353</v>
      </c>
      <c r="G11" s="2">
        <f t="shared" si="3"/>
        <v>0</v>
      </c>
      <c r="H11" s="2">
        <f t="shared" si="0"/>
        <v>0</v>
      </c>
      <c r="I11" s="2">
        <f t="shared" si="1"/>
        <v>0</v>
      </c>
      <c r="J11" s="2">
        <f t="shared" si="2"/>
        <v>0</v>
      </c>
      <c r="K11" s="11">
        <v>0</v>
      </c>
    </row>
    <row r="12" spans="1:28">
      <c r="A12" s="3">
        <v>110</v>
      </c>
      <c r="B12" s="3" t="s">
        <v>86</v>
      </c>
      <c r="C12" s="2">
        <v>1</v>
      </c>
      <c r="D12" s="47">
        <v>21875.399990000002</v>
      </c>
      <c r="E12" s="47">
        <v>0</v>
      </c>
      <c r="F12" s="47">
        <v>73.343033333333324</v>
      </c>
      <c r="G12" s="2">
        <f t="shared" si="3"/>
        <v>0</v>
      </c>
      <c r="H12" s="2">
        <f t="shared" si="0"/>
        <v>0</v>
      </c>
      <c r="I12" s="2">
        <f t="shared" si="1"/>
        <v>0</v>
      </c>
      <c r="J12" s="2">
        <f t="shared" si="2"/>
        <v>0</v>
      </c>
      <c r="K12" s="11">
        <v>0</v>
      </c>
    </row>
    <row r="13" spans="1:28">
      <c r="A13" s="3">
        <v>73</v>
      </c>
      <c r="B13" s="3" t="s">
        <v>109</v>
      </c>
      <c r="C13" s="2">
        <v>1</v>
      </c>
      <c r="D13" s="47">
        <v>20449.50517</v>
      </c>
      <c r="E13" s="47">
        <v>0</v>
      </c>
      <c r="F13" s="47">
        <v>68.077366666666663</v>
      </c>
      <c r="G13" s="2">
        <f t="shared" si="3"/>
        <v>0</v>
      </c>
      <c r="H13" s="2">
        <f t="shared" si="0"/>
        <v>0</v>
      </c>
      <c r="I13" s="2">
        <f t="shared" si="1"/>
        <v>0</v>
      </c>
      <c r="J13" s="2">
        <f t="shared" si="2"/>
        <v>0</v>
      </c>
      <c r="K13" s="11">
        <v>0</v>
      </c>
    </row>
    <row r="14" spans="1:28">
      <c r="A14" s="3">
        <v>157</v>
      </c>
      <c r="B14" s="3" t="s">
        <v>55</v>
      </c>
      <c r="C14" s="2">
        <v>1</v>
      </c>
      <c r="D14" s="47">
        <v>18754.85917</v>
      </c>
      <c r="E14" s="47">
        <v>0</v>
      </c>
      <c r="F14" s="47">
        <v>81.852733333333362</v>
      </c>
      <c r="G14" s="2">
        <f t="shared" si="3"/>
        <v>0</v>
      </c>
      <c r="H14" s="2">
        <f t="shared" si="0"/>
        <v>0</v>
      </c>
      <c r="I14" s="2">
        <f t="shared" si="1"/>
        <v>0</v>
      </c>
      <c r="J14" s="2">
        <f t="shared" si="2"/>
        <v>0</v>
      </c>
      <c r="K14" s="11">
        <v>0</v>
      </c>
    </row>
    <row r="15" spans="1:28">
      <c r="A15" s="3">
        <v>203</v>
      </c>
      <c r="B15" s="3" t="s">
        <v>27</v>
      </c>
      <c r="C15" s="2">
        <v>1</v>
      </c>
      <c r="D15" s="47">
        <v>16883.63193</v>
      </c>
      <c r="E15" s="47">
        <v>0</v>
      </c>
      <c r="F15" s="47">
        <v>68.620899999999992</v>
      </c>
      <c r="G15" s="2">
        <f t="shared" si="3"/>
        <v>0</v>
      </c>
      <c r="H15" s="2">
        <f t="shared" si="0"/>
        <v>0</v>
      </c>
      <c r="I15" s="2">
        <f t="shared" si="1"/>
        <v>0</v>
      </c>
      <c r="J15" s="2">
        <f t="shared" si="2"/>
        <v>0</v>
      </c>
      <c r="K15" s="11">
        <v>0</v>
      </c>
    </row>
    <row r="16" spans="1:28">
      <c r="A16" s="3">
        <v>84</v>
      </c>
      <c r="B16" s="3" t="s">
        <v>102</v>
      </c>
      <c r="C16" s="2">
        <v>1</v>
      </c>
      <c r="D16" s="47">
        <v>16659.471799999999</v>
      </c>
      <c r="E16" s="47">
        <v>0</v>
      </c>
      <c r="F16" s="47">
        <v>53.996200000000009</v>
      </c>
      <c r="G16" s="2">
        <f t="shared" si="3"/>
        <v>0</v>
      </c>
      <c r="H16" s="2">
        <f t="shared" si="0"/>
        <v>0</v>
      </c>
      <c r="I16" s="2">
        <f t="shared" si="1"/>
        <v>0</v>
      </c>
      <c r="J16" s="2">
        <f t="shared" si="2"/>
        <v>0</v>
      </c>
      <c r="K16" s="11">
        <v>0</v>
      </c>
    </row>
    <row r="17" spans="1:11">
      <c r="A17" s="3">
        <v>107</v>
      </c>
      <c r="B17" s="3" t="s">
        <v>89</v>
      </c>
      <c r="C17" s="2">
        <v>1</v>
      </c>
      <c r="D17" s="47">
        <v>16454.964189999999</v>
      </c>
      <c r="E17" s="47">
        <v>0</v>
      </c>
      <c r="F17" s="47">
        <v>85.857266666666661</v>
      </c>
      <c r="G17" s="2">
        <f t="shared" si="3"/>
        <v>0</v>
      </c>
      <c r="H17" s="2">
        <f t="shared" si="0"/>
        <v>0</v>
      </c>
      <c r="I17" s="2">
        <f t="shared" si="1"/>
        <v>0</v>
      </c>
      <c r="J17" s="2">
        <f t="shared" si="2"/>
        <v>0</v>
      </c>
      <c r="K17" s="11">
        <v>0</v>
      </c>
    </row>
    <row r="18" spans="1:11">
      <c r="A18" s="3">
        <v>78</v>
      </c>
      <c r="B18" s="3" t="s">
        <v>107</v>
      </c>
      <c r="C18" s="2">
        <v>1</v>
      </c>
      <c r="D18" s="47">
        <v>15656.95959</v>
      </c>
      <c r="E18" s="47">
        <v>0</v>
      </c>
      <c r="F18" s="47">
        <v>44.045833333333334</v>
      </c>
      <c r="G18" s="2">
        <f t="shared" si="3"/>
        <v>0</v>
      </c>
      <c r="H18" s="2">
        <f t="shared" si="0"/>
        <v>0</v>
      </c>
      <c r="I18" s="2">
        <f t="shared" si="1"/>
        <v>0</v>
      </c>
      <c r="J18" s="2">
        <f t="shared" si="2"/>
        <v>0</v>
      </c>
      <c r="K18" s="11">
        <v>0</v>
      </c>
    </row>
    <row r="19" spans="1:11">
      <c r="A19" s="3">
        <v>105</v>
      </c>
      <c r="B19" s="3" t="s">
        <v>90</v>
      </c>
      <c r="C19" s="2">
        <v>1</v>
      </c>
      <c r="D19" s="47">
        <v>14370.90199</v>
      </c>
      <c r="E19" s="47">
        <v>0</v>
      </c>
      <c r="F19" s="47">
        <v>53.024233333333349</v>
      </c>
      <c r="G19" s="2">
        <f t="shared" si="3"/>
        <v>0</v>
      </c>
      <c r="H19" s="2">
        <f t="shared" si="0"/>
        <v>0</v>
      </c>
      <c r="I19" s="2">
        <f t="shared" si="1"/>
        <v>0</v>
      </c>
      <c r="J19" s="2">
        <f t="shared" si="2"/>
        <v>0</v>
      </c>
      <c r="K19" s="11">
        <v>0</v>
      </c>
    </row>
    <row r="20" spans="1:11">
      <c r="A20" s="3">
        <v>176</v>
      </c>
      <c r="B20" s="3" t="s">
        <v>41</v>
      </c>
      <c r="C20" s="2">
        <v>1</v>
      </c>
      <c r="D20" s="47">
        <v>13353.04428</v>
      </c>
      <c r="E20" s="47">
        <v>0</v>
      </c>
      <c r="F20" s="47">
        <v>41.210500000000003</v>
      </c>
      <c r="G20" s="2">
        <f t="shared" si="3"/>
        <v>0</v>
      </c>
      <c r="H20" s="2">
        <f t="shared" si="0"/>
        <v>0</v>
      </c>
      <c r="I20" s="2">
        <f t="shared" si="1"/>
        <v>0</v>
      </c>
      <c r="J20" s="2">
        <f t="shared" si="2"/>
        <v>0</v>
      </c>
      <c r="K20" s="11">
        <v>0</v>
      </c>
    </row>
    <row r="21" spans="1:11">
      <c r="A21" s="3">
        <v>125</v>
      </c>
      <c r="B21" s="3" t="s">
        <v>73</v>
      </c>
      <c r="C21" s="2">
        <v>1</v>
      </c>
      <c r="D21" s="47">
        <v>13000</v>
      </c>
      <c r="E21" s="47">
        <v>0</v>
      </c>
      <c r="F21" s="47">
        <v>58.00483333333333</v>
      </c>
      <c r="G21" s="2">
        <f t="shared" si="3"/>
        <v>0</v>
      </c>
      <c r="H21" s="2">
        <f t="shared" si="0"/>
        <v>0</v>
      </c>
      <c r="I21" s="2">
        <f t="shared" si="1"/>
        <v>0</v>
      </c>
      <c r="J21" s="2">
        <f t="shared" si="2"/>
        <v>0</v>
      </c>
      <c r="K21" s="11">
        <v>0</v>
      </c>
    </row>
    <row r="22" spans="1:11">
      <c r="A22" s="3">
        <v>220</v>
      </c>
      <c r="B22" s="3" t="s">
        <v>15</v>
      </c>
      <c r="C22" s="2">
        <v>1</v>
      </c>
      <c r="D22" s="47">
        <v>12779.409589999999</v>
      </c>
      <c r="E22" s="47">
        <v>0</v>
      </c>
      <c r="F22" s="47">
        <v>11.685833333333335</v>
      </c>
      <c r="G22" s="2">
        <f t="shared" si="3"/>
        <v>0</v>
      </c>
      <c r="H22" s="2">
        <f t="shared" si="0"/>
        <v>0</v>
      </c>
      <c r="I22" s="2">
        <f t="shared" si="1"/>
        <v>0</v>
      </c>
      <c r="J22" s="2">
        <f t="shared" si="2"/>
        <v>0</v>
      </c>
      <c r="K22" s="11">
        <v>0</v>
      </c>
    </row>
    <row r="23" spans="1:11">
      <c r="A23" s="3">
        <v>142</v>
      </c>
      <c r="B23" s="3" t="s">
        <v>64</v>
      </c>
      <c r="C23" s="2">
        <v>1</v>
      </c>
      <c r="D23" s="47">
        <v>10010.12811</v>
      </c>
      <c r="E23" s="47">
        <v>0</v>
      </c>
      <c r="F23" s="47">
        <v>62.525433333333332</v>
      </c>
      <c r="G23" s="2">
        <f t="shared" si="3"/>
        <v>0</v>
      </c>
      <c r="H23" s="2">
        <f t="shared" si="0"/>
        <v>0</v>
      </c>
      <c r="I23" s="2">
        <f t="shared" si="1"/>
        <v>0</v>
      </c>
      <c r="J23" s="2">
        <f t="shared" si="2"/>
        <v>0</v>
      </c>
      <c r="K23" s="11">
        <v>0</v>
      </c>
    </row>
    <row r="24" spans="1:11">
      <c r="A24" s="3">
        <v>56</v>
      </c>
      <c r="B24" s="3" t="s">
        <v>120</v>
      </c>
      <c r="C24" s="2">
        <v>2</v>
      </c>
      <c r="D24" s="47">
        <v>9900</v>
      </c>
      <c r="E24" s="47">
        <v>0</v>
      </c>
      <c r="F24" s="47">
        <v>65.040800000000004</v>
      </c>
      <c r="G24" s="2">
        <f t="shared" si="3"/>
        <v>0</v>
      </c>
      <c r="H24" s="2">
        <f t="shared" si="0"/>
        <v>0</v>
      </c>
      <c r="I24" s="2">
        <f t="shared" si="1"/>
        <v>0</v>
      </c>
      <c r="J24" s="2">
        <f t="shared" si="2"/>
        <v>0</v>
      </c>
      <c r="K24" s="11">
        <v>0</v>
      </c>
    </row>
    <row r="25" spans="1:11">
      <c r="A25" s="3">
        <v>11</v>
      </c>
      <c r="B25" s="3" t="s">
        <v>150</v>
      </c>
      <c r="C25" s="2">
        <v>2</v>
      </c>
      <c r="D25" s="47">
        <v>8559.8257470000008</v>
      </c>
      <c r="E25" s="47">
        <v>0</v>
      </c>
      <c r="F25" s="47">
        <v>80.962966666666659</v>
      </c>
      <c r="G25" s="2">
        <f t="shared" si="3"/>
        <v>0</v>
      </c>
      <c r="H25" s="2">
        <f t="shared" si="0"/>
        <v>0</v>
      </c>
      <c r="I25" s="2">
        <f t="shared" si="1"/>
        <v>0</v>
      </c>
      <c r="J25" s="2">
        <f t="shared" si="2"/>
        <v>0</v>
      </c>
      <c r="K25" s="11">
        <v>0</v>
      </c>
    </row>
    <row r="26" spans="1:11">
      <c r="A26" s="3">
        <v>180</v>
      </c>
      <c r="B26" s="3" t="s">
        <v>38</v>
      </c>
      <c r="C26" s="2">
        <v>2</v>
      </c>
      <c r="D26" s="47">
        <v>8459.8775929999993</v>
      </c>
      <c r="E26" s="47">
        <v>0</v>
      </c>
      <c r="F26" s="47">
        <v>43.695299999999996</v>
      </c>
      <c r="G26" s="2">
        <f t="shared" si="3"/>
        <v>0</v>
      </c>
      <c r="H26" s="2">
        <f t="shared" si="0"/>
        <v>0</v>
      </c>
      <c r="I26" s="2">
        <f t="shared" si="1"/>
        <v>0</v>
      </c>
      <c r="J26" s="2">
        <f t="shared" si="2"/>
        <v>0</v>
      </c>
      <c r="K26" s="11">
        <v>0</v>
      </c>
    </row>
    <row r="27" spans="1:11">
      <c r="A27" s="3">
        <v>201</v>
      </c>
      <c r="B27" s="3" t="s">
        <v>28</v>
      </c>
      <c r="C27" s="2">
        <v>2</v>
      </c>
      <c r="D27" s="47">
        <v>8332.619616</v>
      </c>
      <c r="E27" s="47">
        <v>0</v>
      </c>
      <c r="F27" s="47">
        <v>48.472133333333332</v>
      </c>
      <c r="G27" s="2">
        <f t="shared" si="3"/>
        <v>0</v>
      </c>
      <c r="H27" s="2">
        <f t="shared" si="0"/>
        <v>0</v>
      </c>
      <c r="I27" s="2">
        <f t="shared" si="1"/>
        <v>0</v>
      </c>
      <c r="J27" s="2">
        <f t="shared" si="2"/>
        <v>0</v>
      </c>
      <c r="K27" s="11">
        <v>0</v>
      </c>
    </row>
    <row r="28" spans="1:11">
      <c r="A28" s="3">
        <v>175</v>
      </c>
      <c r="B28" s="3" t="s">
        <v>42</v>
      </c>
      <c r="C28" s="2">
        <v>2</v>
      </c>
      <c r="D28" s="47">
        <v>8180.373071</v>
      </c>
      <c r="E28" s="47">
        <v>0</v>
      </c>
      <c r="F28" s="47">
        <v>55.246299999999998</v>
      </c>
      <c r="G28" s="2">
        <f t="shared" si="3"/>
        <v>0</v>
      </c>
      <c r="H28" s="2">
        <f t="shared" si="0"/>
        <v>0</v>
      </c>
      <c r="I28" s="2">
        <f t="shared" si="1"/>
        <v>0</v>
      </c>
      <c r="J28" s="2">
        <f t="shared" si="2"/>
        <v>0</v>
      </c>
      <c r="K28" s="11">
        <v>0</v>
      </c>
    </row>
    <row r="29" spans="1:11">
      <c r="A29" s="3">
        <v>117</v>
      </c>
      <c r="B29" s="3" t="s">
        <v>81</v>
      </c>
      <c r="C29" s="2">
        <v>2</v>
      </c>
      <c r="D29" s="47">
        <v>7909.6841000000004</v>
      </c>
      <c r="E29" s="47">
        <v>0</v>
      </c>
      <c r="F29" s="47">
        <v>49.679066666666664</v>
      </c>
      <c r="G29" s="2">
        <f t="shared" si="3"/>
        <v>0</v>
      </c>
      <c r="H29" s="2">
        <f t="shared" si="0"/>
        <v>0</v>
      </c>
      <c r="I29" s="2">
        <f t="shared" si="1"/>
        <v>0</v>
      </c>
      <c r="J29" s="2">
        <f t="shared" si="2"/>
        <v>0</v>
      </c>
      <c r="K29" s="11">
        <v>0</v>
      </c>
    </row>
    <row r="30" spans="1:11">
      <c r="A30" s="3">
        <v>31</v>
      </c>
      <c r="B30" s="3" t="s">
        <v>137</v>
      </c>
      <c r="C30" s="2">
        <v>2</v>
      </c>
      <c r="D30" s="47">
        <v>7199.390187</v>
      </c>
      <c r="E30" s="47">
        <v>0</v>
      </c>
      <c r="F30" s="47">
        <v>60.978966666666665</v>
      </c>
      <c r="G30" s="2">
        <f t="shared" si="3"/>
        <v>0</v>
      </c>
      <c r="H30" s="2">
        <f t="shared" si="0"/>
        <v>0</v>
      </c>
      <c r="I30" s="2">
        <f t="shared" si="1"/>
        <v>0</v>
      </c>
      <c r="J30" s="2">
        <f t="shared" si="2"/>
        <v>0</v>
      </c>
      <c r="K30" s="11">
        <v>0</v>
      </c>
    </row>
    <row r="31" spans="1:11">
      <c r="A31" s="3">
        <v>34</v>
      </c>
      <c r="B31" s="3" t="s">
        <v>136</v>
      </c>
      <c r="C31" s="2">
        <v>2</v>
      </c>
      <c r="D31" s="47">
        <v>7087.3317299999999</v>
      </c>
      <c r="E31" s="47">
        <v>0</v>
      </c>
      <c r="F31" s="47">
        <v>56.162200000000006</v>
      </c>
      <c r="G31" s="2">
        <f t="shared" si="3"/>
        <v>0</v>
      </c>
      <c r="H31" s="2">
        <f t="shared" si="0"/>
        <v>0</v>
      </c>
      <c r="I31" s="2">
        <f t="shared" si="1"/>
        <v>0</v>
      </c>
      <c r="J31" s="2">
        <f t="shared" si="2"/>
        <v>0</v>
      </c>
      <c r="K31" s="11">
        <v>0</v>
      </c>
    </row>
    <row r="32" spans="1:11">
      <c r="A32" s="3">
        <v>232</v>
      </c>
      <c r="B32" s="3" t="s">
        <v>6</v>
      </c>
      <c r="C32" s="2">
        <v>2</v>
      </c>
      <c r="D32" s="47">
        <v>6956.3323010000004</v>
      </c>
      <c r="E32" s="47">
        <v>0</v>
      </c>
      <c r="F32" s="47">
        <v>84.191866666666641</v>
      </c>
      <c r="G32" s="2">
        <f t="shared" si="3"/>
        <v>0</v>
      </c>
      <c r="H32" s="2">
        <f t="shared" si="0"/>
        <v>0</v>
      </c>
      <c r="I32" s="2">
        <f t="shared" si="1"/>
        <v>0</v>
      </c>
      <c r="J32" s="2">
        <f t="shared" si="2"/>
        <v>0</v>
      </c>
      <c r="K32" s="11">
        <v>0</v>
      </c>
    </row>
    <row r="33" spans="1:11">
      <c r="A33" s="3">
        <v>169</v>
      </c>
      <c r="B33" s="3" t="s">
        <v>47</v>
      </c>
      <c r="C33" s="2">
        <v>2</v>
      </c>
      <c r="D33" s="47">
        <v>6610.2076010000001</v>
      </c>
      <c r="E33" s="47">
        <v>0</v>
      </c>
      <c r="F33" s="47">
        <v>48.745199999999997</v>
      </c>
      <c r="G33" s="2">
        <f t="shared" si="3"/>
        <v>0</v>
      </c>
      <c r="H33" s="2">
        <f t="shared" si="0"/>
        <v>0</v>
      </c>
      <c r="I33" s="2">
        <f t="shared" si="1"/>
        <v>0</v>
      </c>
      <c r="J33" s="2">
        <f t="shared" si="2"/>
        <v>0</v>
      </c>
      <c r="K33" s="11">
        <v>0</v>
      </c>
    </row>
    <row r="34" spans="1:11">
      <c r="A34" s="3">
        <v>103</v>
      </c>
      <c r="B34" s="3" t="s">
        <v>92</v>
      </c>
      <c r="C34" s="2">
        <v>2</v>
      </c>
      <c r="D34" s="47">
        <v>6601.6238540000004</v>
      </c>
      <c r="E34" s="47">
        <v>0</v>
      </c>
      <c r="F34" s="47">
        <v>45.73449999999999</v>
      </c>
      <c r="G34" s="2">
        <f t="shared" ref="G34:G65" si="4">IF(E34=1,IF(D34&gt;$N$6,0,IF(F34&gt;=$N$7,0,1)),0)</f>
        <v>0</v>
      </c>
      <c r="H34" s="2">
        <f t="shared" ref="H34:H65" si="5">IF(D34&gt;$R$6,0,IF(F34&gt;=$R$7,0,1))</f>
        <v>0</v>
      </c>
      <c r="I34" s="2">
        <f t="shared" ref="I34:I65" si="6">IF(E34=1,IF(D34&lt;$V$6,1,0),0)</f>
        <v>0</v>
      </c>
      <c r="J34" s="2">
        <f t="shared" ref="J34:J65" si="7">IF(E34=1,IF(F34&lt;$Z$7,1,0),0)</f>
        <v>0</v>
      </c>
      <c r="K34" s="11">
        <v>0</v>
      </c>
    </row>
    <row r="35" spans="1:11">
      <c r="A35" s="3">
        <v>4</v>
      </c>
      <c r="B35" s="1" t="s">
        <v>152</v>
      </c>
      <c r="C35" s="2">
        <v>2</v>
      </c>
      <c r="D35" s="47">
        <v>6503.1951250000002</v>
      </c>
      <c r="E35" s="47">
        <v>0</v>
      </c>
      <c r="F35" s="47">
        <v>42.073000000000008</v>
      </c>
      <c r="G35" s="2">
        <f t="shared" si="4"/>
        <v>0</v>
      </c>
      <c r="H35" s="2">
        <f t="shared" si="5"/>
        <v>0</v>
      </c>
      <c r="I35" s="2">
        <f t="shared" si="6"/>
        <v>0</v>
      </c>
      <c r="J35" s="2">
        <f t="shared" si="7"/>
        <v>0</v>
      </c>
      <c r="K35" s="11">
        <v>0</v>
      </c>
    </row>
    <row r="36" spans="1:11">
      <c r="A36" s="3">
        <v>122</v>
      </c>
      <c r="B36" s="3" t="s">
        <v>76</v>
      </c>
      <c r="C36" s="2">
        <v>2</v>
      </c>
      <c r="D36" s="47">
        <v>6131.089422</v>
      </c>
      <c r="E36" s="47">
        <v>0</v>
      </c>
      <c r="F36" s="47">
        <v>66.215199999999996</v>
      </c>
      <c r="G36" s="2">
        <f t="shared" si="4"/>
        <v>0</v>
      </c>
      <c r="H36" s="2">
        <f t="shared" si="5"/>
        <v>0</v>
      </c>
      <c r="I36" s="2">
        <f t="shared" si="6"/>
        <v>0</v>
      </c>
      <c r="J36" s="2">
        <f t="shared" si="7"/>
        <v>0</v>
      </c>
      <c r="K36" s="11">
        <v>0</v>
      </c>
    </row>
    <row r="37" spans="1:11">
      <c r="A37" s="3">
        <v>53</v>
      </c>
      <c r="B37" s="3" t="s">
        <v>123</v>
      </c>
      <c r="C37" s="2">
        <v>2</v>
      </c>
      <c r="D37" s="47">
        <v>5828.1124289999998</v>
      </c>
      <c r="E37" s="47">
        <v>0</v>
      </c>
      <c r="F37" s="47">
        <v>41.456733333333339</v>
      </c>
      <c r="G37" s="2">
        <f t="shared" si="4"/>
        <v>0</v>
      </c>
      <c r="H37" s="2">
        <f t="shared" si="5"/>
        <v>0</v>
      </c>
      <c r="I37" s="2">
        <f t="shared" si="6"/>
        <v>0</v>
      </c>
      <c r="J37" s="2">
        <f t="shared" si="7"/>
        <v>0</v>
      </c>
      <c r="K37" s="11">
        <v>0</v>
      </c>
    </row>
    <row r="38" spans="1:11">
      <c r="A38" s="3">
        <v>133</v>
      </c>
      <c r="B38" s="3" t="s">
        <v>68</v>
      </c>
      <c r="C38" s="2">
        <v>2</v>
      </c>
      <c r="D38" s="47">
        <v>5654.7528469999997</v>
      </c>
      <c r="E38" s="47">
        <v>0</v>
      </c>
      <c r="F38" s="47">
        <v>38.245266666666673</v>
      </c>
      <c r="G38" s="2">
        <f t="shared" si="4"/>
        <v>0</v>
      </c>
      <c r="H38" s="2">
        <f t="shared" si="5"/>
        <v>0</v>
      </c>
      <c r="I38" s="2">
        <f t="shared" si="6"/>
        <v>0</v>
      </c>
      <c r="J38" s="2">
        <f t="shared" si="7"/>
        <v>0</v>
      </c>
      <c r="K38" s="11">
        <v>0</v>
      </c>
    </row>
    <row r="39" spans="1:11">
      <c r="A39" s="3">
        <v>172</v>
      </c>
      <c r="B39" s="3" t="s">
        <v>44</v>
      </c>
      <c r="C39" s="2">
        <v>2</v>
      </c>
      <c r="D39" s="47">
        <v>5581.829694</v>
      </c>
      <c r="E39" s="47">
        <v>0</v>
      </c>
      <c r="F39" s="47">
        <v>60.373000000000005</v>
      </c>
      <c r="G39" s="2">
        <f t="shared" si="4"/>
        <v>0</v>
      </c>
      <c r="H39" s="2">
        <f t="shared" si="5"/>
        <v>0</v>
      </c>
      <c r="I39" s="2">
        <f t="shared" si="6"/>
        <v>0</v>
      </c>
      <c r="J39" s="2">
        <f t="shared" si="7"/>
        <v>0</v>
      </c>
      <c r="K39" s="11">
        <v>0</v>
      </c>
    </row>
    <row r="40" spans="1:11">
      <c r="A40" s="3">
        <v>48</v>
      </c>
      <c r="B40" s="3" t="s">
        <v>126</v>
      </c>
      <c r="C40" s="2">
        <v>2</v>
      </c>
      <c r="D40" s="47">
        <v>5519.2294819999997</v>
      </c>
      <c r="E40" s="47">
        <v>0</v>
      </c>
      <c r="F40" s="47">
        <v>58.509133333333338</v>
      </c>
      <c r="G40" s="2">
        <f t="shared" si="4"/>
        <v>0</v>
      </c>
      <c r="H40" s="2">
        <f t="shared" si="5"/>
        <v>0</v>
      </c>
      <c r="I40" s="2">
        <f t="shared" si="6"/>
        <v>0</v>
      </c>
      <c r="J40" s="2">
        <f t="shared" si="7"/>
        <v>0</v>
      </c>
      <c r="K40" s="11">
        <v>0</v>
      </c>
    </row>
    <row r="41" spans="1:11">
      <c r="A41" s="3">
        <v>44</v>
      </c>
      <c r="B41" s="3" t="s">
        <v>128</v>
      </c>
      <c r="C41" s="2">
        <v>2</v>
      </c>
      <c r="D41" s="47">
        <v>5516.1124319999999</v>
      </c>
      <c r="E41" s="47">
        <v>0</v>
      </c>
      <c r="F41" s="47">
        <v>77.712166666666675</v>
      </c>
      <c r="G41" s="2">
        <f t="shared" si="4"/>
        <v>0</v>
      </c>
      <c r="H41" s="2">
        <f t="shared" si="5"/>
        <v>0</v>
      </c>
      <c r="I41" s="2">
        <f t="shared" si="6"/>
        <v>0</v>
      </c>
      <c r="J41" s="2">
        <f t="shared" si="7"/>
        <v>0</v>
      </c>
      <c r="K41" s="11">
        <v>0</v>
      </c>
    </row>
    <row r="42" spans="1:11">
      <c r="A42" s="3">
        <v>63</v>
      </c>
      <c r="B42" s="3" t="s">
        <v>115</v>
      </c>
      <c r="C42" s="2">
        <v>2</v>
      </c>
      <c r="D42" s="47">
        <v>5407.7671609999998</v>
      </c>
      <c r="E42" s="47">
        <v>0</v>
      </c>
      <c r="F42" s="47">
        <v>43.843699999999998</v>
      </c>
      <c r="G42" s="2">
        <f t="shared" si="4"/>
        <v>0</v>
      </c>
      <c r="H42" s="2">
        <f t="shared" si="5"/>
        <v>0</v>
      </c>
      <c r="I42" s="2">
        <f t="shared" si="6"/>
        <v>0</v>
      </c>
      <c r="J42" s="2">
        <f t="shared" si="7"/>
        <v>0</v>
      </c>
      <c r="K42" s="11">
        <v>0</v>
      </c>
    </row>
    <row r="43" spans="1:11">
      <c r="A43" s="3">
        <v>151</v>
      </c>
      <c r="B43" s="3" t="s">
        <v>58</v>
      </c>
      <c r="C43" s="2">
        <v>2</v>
      </c>
      <c r="D43" s="47">
        <v>4368.6515630000004</v>
      </c>
      <c r="E43" s="47">
        <v>0</v>
      </c>
      <c r="F43" s="47">
        <v>23.527866666666664</v>
      </c>
      <c r="G43" s="2">
        <f t="shared" si="4"/>
        <v>0</v>
      </c>
      <c r="H43" s="2">
        <f t="shared" si="5"/>
        <v>1</v>
      </c>
      <c r="I43" s="2">
        <f t="shared" si="6"/>
        <v>0</v>
      </c>
      <c r="J43" s="2">
        <f t="shared" si="7"/>
        <v>0</v>
      </c>
      <c r="K43" s="11">
        <v>0</v>
      </c>
    </row>
    <row r="44" spans="1:11">
      <c r="A44" s="3">
        <v>3</v>
      </c>
      <c r="B44" s="3" t="s">
        <v>153</v>
      </c>
      <c r="C44" s="2">
        <v>2</v>
      </c>
      <c r="D44" s="47">
        <v>4269.6167070000001</v>
      </c>
      <c r="E44" s="47">
        <v>0</v>
      </c>
      <c r="F44" s="47">
        <v>33.110966666666663</v>
      </c>
      <c r="G44" s="2">
        <f t="shared" si="4"/>
        <v>0</v>
      </c>
      <c r="H44" s="2">
        <f t="shared" si="5"/>
        <v>0</v>
      </c>
      <c r="I44" s="2">
        <f t="shared" si="6"/>
        <v>0</v>
      </c>
      <c r="J44" s="2">
        <f t="shared" si="7"/>
        <v>0</v>
      </c>
      <c r="K44" s="11">
        <v>0</v>
      </c>
    </row>
    <row r="45" spans="1:11">
      <c r="A45" s="3">
        <v>221</v>
      </c>
      <c r="B45" s="3" t="s">
        <v>14</v>
      </c>
      <c r="C45" s="2">
        <v>2</v>
      </c>
      <c r="D45" s="47">
        <v>4246.0986000000003</v>
      </c>
      <c r="E45" s="47">
        <v>0</v>
      </c>
      <c r="F45" s="47">
        <v>47.495666666666665</v>
      </c>
      <c r="G45" s="2">
        <f t="shared" si="4"/>
        <v>0</v>
      </c>
      <c r="H45" s="2">
        <f t="shared" si="5"/>
        <v>0</v>
      </c>
      <c r="I45" s="2">
        <f t="shared" si="6"/>
        <v>0</v>
      </c>
      <c r="J45" s="2">
        <f t="shared" si="7"/>
        <v>0</v>
      </c>
      <c r="K45" s="11">
        <v>0</v>
      </c>
    </row>
    <row r="46" spans="1:11">
      <c r="A46" s="3">
        <v>62</v>
      </c>
      <c r="B46" s="3" t="s">
        <v>116</v>
      </c>
      <c r="C46" s="2">
        <v>2</v>
      </c>
      <c r="D46" s="47">
        <v>3893.3536509999999</v>
      </c>
      <c r="E46" s="47">
        <v>0</v>
      </c>
      <c r="F46" s="47">
        <v>45.219200000000001</v>
      </c>
      <c r="G46" s="2">
        <f t="shared" si="4"/>
        <v>0</v>
      </c>
      <c r="H46" s="2">
        <f t="shared" si="5"/>
        <v>0</v>
      </c>
      <c r="I46" s="2">
        <f t="shared" si="6"/>
        <v>0</v>
      </c>
      <c r="J46" s="2">
        <f t="shared" si="7"/>
        <v>0</v>
      </c>
      <c r="K46" s="11">
        <v>0</v>
      </c>
    </row>
    <row r="47" spans="1:11">
      <c r="A47" s="3">
        <v>171</v>
      </c>
      <c r="B47" s="3" t="s">
        <v>45</v>
      </c>
      <c r="C47" s="2">
        <v>2</v>
      </c>
      <c r="D47" s="47">
        <v>3886.6983019999998</v>
      </c>
      <c r="E47" s="47">
        <v>0</v>
      </c>
      <c r="F47" s="47">
        <v>40.400666666666652</v>
      </c>
      <c r="G47" s="2">
        <f t="shared" si="4"/>
        <v>0</v>
      </c>
      <c r="H47" s="2">
        <f t="shared" si="5"/>
        <v>0</v>
      </c>
      <c r="I47" s="2">
        <f t="shared" si="6"/>
        <v>0</v>
      </c>
      <c r="J47" s="2">
        <f t="shared" si="7"/>
        <v>0</v>
      </c>
      <c r="K47" s="11">
        <v>0</v>
      </c>
    </row>
    <row r="48" spans="1:11">
      <c r="A48" s="3">
        <v>104</v>
      </c>
      <c r="B48" s="3" t="s">
        <v>91</v>
      </c>
      <c r="C48" s="2">
        <v>2</v>
      </c>
      <c r="D48" s="47">
        <v>3500</v>
      </c>
      <c r="E48" s="47">
        <v>0</v>
      </c>
      <c r="F48" s="47">
        <v>60.242533333333327</v>
      </c>
      <c r="G48" s="2">
        <f t="shared" si="4"/>
        <v>0</v>
      </c>
      <c r="H48" s="2">
        <f t="shared" si="5"/>
        <v>0</v>
      </c>
      <c r="I48" s="2">
        <f t="shared" si="6"/>
        <v>0</v>
      </c>
      <c r="J48" s="2">
        <f t="shared" si="7"/>
        <v>0</v>
      </c>
      <c r="K48" s="11">
        <v>0</v>
      </c>
    </row>
    <row r="49" spans="1:11">
      <c r="A49" s="3">
        <v>89</v>
      </c>
      <c r="B49" s="3" t="s">
        <v>101</v>
      </c>
      <c r="C49" s="2">
        <v>2</v>
      </c>
      <c r="D49" s="47">
        <v>3361.8779070000001</v>
      </c>
      <c r="E49" s="47">
        <v>0</v>
      </c>
      <c r="F49" s="47">
        <v>36.653933333333342</v>
      </c>
      <c r="G49" s="2">
        <f t="shared" si="4"/>
        <v>0</v>
      </c>
      <c r="H49" s="2">
        <f t="shared" si="5"/>
        <v>0</v>
      </c>
      <c r="I49" s="2">
        <f t="shared" si="6"/>
        <v>0</v>
      </c>
      <c r="J49" s="2">
        <f t="shared" si="7"/>
        <v>0</v>
      </c>
      <c r="K49" s="11">
        <v>0</v>
      </c>
    </row>
    <row r="50" spans="1:11">
      <c r="A50" s="3">
        <v>7</v>
      </c>
      <c r="B50" s="3" t="s">
        <v>151</v>
      </c>
      <c r="C50" s="2">
        <v>2</v>
      </c>
      <c r="D50" s="47">
        <v>3319.1010179999998</v>
      </c>
      <c r="E50" s="47">
        <v>0</v>
      </c>
      <c r="F50" s="47">
        <v>21.280899999999999</v>
      </c>
      <c r="G50" s="2">
        <f t="shared" si="4"/>
        <v>0</v>
      </c>
      <c r="H50" s="2">
        <f t="shared" si="5"/>
        <v>1</v>
      </c>
      <c r="I50" s="2">
        <f t="shared" si="6"/>
        <v>0</v>
      </c>
      <c r="J50" s="2">
        <f t="shared" si="7"/>
        <v>0</v>
      </c>
      <c r="K50" s="11">
        <v>0</v>
      </c>
    </row>
    <row r="51" spans="1:11">
      <c r="A51" s="3">
        <v>27</v>
      </c>
      <c r="B51" s="3" t="s">
        <v>140</v>
      </c>
      <c r="C51" s="2">
        <v>2</v>
      </c>
      <c r="D51" s="47">
        <v>3166.911008</v>
      </c>
      <c r="E51" s="47">
        <v>0</v>
      </c>
      <c r="F51" s="47">
        <v>43.894666666666666</v>
      </c>
      <c r="G51" s="2">
        <f t="shared" si="4"/>
        <v>0</v>
      </c>
      <c r="H51" s="2">
        <f t="shared" si="5"/>
        <v>0</v>
      </c>
      <c r="I51" s="2">
        <f t="shared" si="6"/>
        <v>0</v>
      </c>
      <c r="J51" s="2">
        <f t="shared" si="7"/>
        <v>0</v>
      </c>
      <c r="K51" s="11">
        <v>0</v>
      </c>
    </row>
    <row r="52" spans="1:11">
      <c r="A52" s="3">
        <v>215</v>
      </c>
      <c r="B52" s="3" t="s">
        <v>18</v>
      </c>
      <c r="C52" s="2">
        <v>2</v>
      </c>
      <c r="D52" s="47">
        <v>2874.940552</v>
      </c>
      <c r="E52" s="47">
        <v>0</v>
      </c>
      <c r="F52" s="47">
        <v>24.21286666666667</v>
      </c>
      <c r="G52" s="2">
        <f t="shared" si="4"/>
        <v>0</v>
      </c>
      <c r="H52" s="2">
        <f t="shared" si="5"/>
        <v>1</v>
      </c>
      <c r="I52" s="2">
        <f t="shared" si="6"/>
        <v>0</v>
      </c>
      <c r="J52" s="2">
        <f t="shared" si="7"/>
        <v>0</v>
      </c>
      <c r="K52" s="11">
        <v>0</v>
      </c>
    </row>
    <row r="53" spans="1:11">
      <c r="A53" s="3">
        <v>64</v>
      </c>
      <c r="B53" s="3" t="s">
        <v>114</v>
      </c>
      <c r="C53" s="2">
        <v>2</v>
      </c>
      <c r="D53" s="47">
        <v>2853.4748909999998</v>
      </c>
      <c r="E53" s="47">
        <v>0</v>
      </c>
      <c r="F53" s="47">
        <v>42.561733333333329</v>
      </c>
      <c r="G53" s="2">
        <f t="shared" si="4"/>
        <v>0</v>
      </c>
      <c r="H53" s="2">
        <f t="shared" si="5"/>
        <v>0</v>
      </c>
      <c r="I53" s="2">
        <f t="shared" si="6"/>
        <v>0</v>
      </c>
      <c r="J53" s="2">
        <f t="shared" si="7"/>
        <v>0</v>
      </c>
      <c r="K53" s="11">
        <v>0</v>
      </c>
    </row>
    <row r="54" spans="1:11">
      <c r="A54" s="3">
        <v>97</v>
      </c>
      <c r="B54" s="3" t="s">
        <v>97</v>
      </c>
      <c r="C54" s="2">
        <v>2</v>
      </c>
      <c r="D54" s="47">
        <v>2661.6271980000001</v>
      </c>
      <c r="E54" s="47">
        <v>0</v>
      </c>
      <c r="F54" s="47">
        <v>32.115966666666665</v>
      </c>
      <c r="G54" s="2">
        <f t="shared" si="4"/>
        <v>0</v>
      </c>
      <c r="H54" s="2">
        <f t="shared" si="5"/>
        <v>0</v>
      </c>
      <c r="I54" s="2">
        <f t="shared" si="6"/>
        <v>0</v>
      </c>
      <c r="J54" s="2">
        <f t="shared" si="7"/>
        <v>0</v>
      </c>
      <c r="K54" s="11">
        <v>0</v>
      </c>
    </row>
    <row r="55" spans="1:11">
      <c r="A55" s="3">
        <v>241</v>
      </c>
      <c r="B55" s="3" t="s">
        <v>2</v>
      </c>
      <c r="C55" s="2">
        <v>2</v>
      </c>
      <c r="D55" s="47">
        <v>2600</v>
      </c>
      <c r="E55" s="47">
        <v>0</v>
      </c>
      <c r="F55" s="47">
        <v>15.045933333333334</v>
      </c>
      <c r="G55" s="2">
        <f t="shared" si="4"/>
        <v>0</v>
      </c>
      <c r="H55" s="2">
        <f t="shared" si="5"/>
        <v>1</v>
      </c>
      <c r="I55" s="2">
        <f t="shared" si="6"/>
        <v>0</v>
      </c>
      <c r="J55" s="2">
        <f t="shared" si="7"/>
        <v>0</v>
      </c>
      <c r="K55" s="11">
        <v>0</v>
      </c>
    </row>
    <row r="56" spans="1:11">
      <c r="A56" s="3">
        <v>173</v>
      </c>
      <c r="B56" s="3" t="s">
        <v>43</v>
      </c>
      <c r="C56" s="2">
        <v>2</v>
      </c>
      <c r="D56" s="47">
        <v>2564.2383220000002</v>
      </c>
      <c r="E56" s="47">
        <v>0</v>
      </c>
      <c r="F56" s="47">
        <v>36.990466666666663</v>
      </c>
      <c r="G56" s="2">
        <f t="shared" si="4"/>
        <v>0</v>
      </c>
      <c r="H56" s="2">
        <f t="shared" si="5"/>
        <v>0</v>
      </c>
      <c r="I56" s="2">
        <f t="shared" si="6"/>
        <v>0</v>
      </c>
      <c r="J56" s="2">
        <f t="shared" si="7"/>
        <v>0</v>
      </c>
      <c r="K56" s="11">
        <v>0</v>
      </c>
    </row>
    <row r="57" spans="1:11">
      <c r="A57" s="3">
        <v>38</v>
      </c>
      <c r="B57" s="3" t="s">
        <v>132</v>
      </c>
      <c r="C57" s="2">
        <v>2</v>
      </c>
      <c r="D57" s="47">
        <v>2469.1150080000002</v>
      </c>
      <c r="E57" s="47">
        <v>0</v>
      </c>
      <c r="F57" s="47">
        <v>26.999000000000006</v>
      </c>
      <c r="G57" s="2">
        <f t="shared" si="4"/>
        <v>0</v>
      </c>
      <c r="H57" s="2">
        <f t="shared" si="5"/>
        <v>0</v>
      </c>
      <c r="I57" s="2">
        <f t="shared" si="6"/>
        <v>0</v>
      </c>
      <c r="J57" s="2">
        <f t="shared" si="7"/>
        <v>0</v>
      </c>
      <c r="K57" s="11">
        <v>0</v>
      </c>
    </row>
    <row r="58" spans="1:11">
      <c r="A58" s="3">
        <v>158</v>
      </c>
      <c r="B58" s="3" t="s">
        <v>54</v>
      </c>
      <c r="C58" s="2">
        <v>2</v>
      </c>
      <c r="D58" s="47">
        <v>2401.642875</v>
      </c>
      <c r="E58" s="47">
        <v>0</v>
      </c>
      <c r="F58" s="47">
        <v>47.797433333333323</v>
      </c>
      <c r="G58" s="2">
        <f t="shared" si="4"/>
        <v>0</v>
      </c>
      <c r="H58" s="2">
        <f t="shared" si="5"/>
        <v>0</v>
      </c>
      <c r="I58" s="2">
        <f t="shared" si="6"/>
        <v>0</v>
      </c>
      <c r="J58" s="2">
        <f t="shared" si="7"/>
        <v>0</v>
      </c>
      <c r="K58" s="11">
        <v>0</v>
      </c>
    </row>
    <row r="59" spans="1:11">
      <c r="A59" s="3">
        <v>37</v>
      </c>
      <c r="B59" s="3" t="s">
        <v>133</v>
      </c>
      <c r="C59" s="2">
        <v>2</v>
      </c>
      <c r="D59" s="47">
        <v>2000</v>
      </c>
      <c r="E59" s="47">
        <v>0</v>
      </c>
      <c r="F59" s="47">
        <v>11.259099999999998</v>
      </c>
      <c r="G59" s="2">
        <f t="shared" si="4"/>
        <v>0</v>
      </c>
      <c r="H59" s="2">
        <f t="shared" si="5"/>
        <v>1</v>
      </c>
      <c r="I59" s="2">
        <f t="shared" si="6"/>
        <v>0</v>
      </c>
      <c r="J59" s="2">
        <f t="shared" si="7"/>
        <v>0</v>
      </c>
      <c r="K59" s="2">
        <v>1</v>
      </c>
    </row>
    <row r="60" spans="1:11">
      <c r="A60" s="3">
        <v>170</v>
      </c>
      <c r="B60" s="3" t="s">
        <v>46</v>
      </c>
      <c r="C60" s="2">
        <v>2</v>
      </c>
      <c r="D60" s="47">
        <v>1812.9961800000001</v>
      </c>
      <c r="E60" s="47">
        <v>0</v>
      </c>
      <c r="F60" s="47">
        <v>10.787900000000002</v>
      </c>
      <c r="G60" s="2">
        <f t="shared" si="4"/>
        <v>0</v>
      </c>
      <c r="H60" s="2">
        <f t="shared" si="5"/>
        <v>1</v>
      </c>
      <c r="I60" s="2">
        <f t="shared" si="6"/>
        <v>0</v>
      </c>
      <c r="J60" s="2">
        <f t="shared" si="7"/>
        <v>0</v>
      </c>
      <c r="K60" s="11">
        <v>0</v>
      </c>
    </row>
    <row r="61" spans="1:11">
      <c r="A61" s="3">
        <v>116</v>
      </c>
      <c r="B61" s="3" t="s">
        <v>82</v>
      </c>
      <c r="C61" s="2">
        <v>2</v>
      </c>
      <c r="D61" s="47">
        <v>1800</v>
      </c>
      <c r="E61" s="47">
        <v>0</v>
      </c>
      <c r="F61" s="47">
        <v>53.607233333333348</v>
      </c>
      <c r="G61" s="2">
        <f t="shared" si="4"/>
        <v>0</v>
      </c>
      <c r="H61" s="2">
        <f t="shared" si="5"/>
        <v>0</v>
      </c>
      <c r="I61" s="2">
        <f t="shared" si="6"/>
        <v>0</v>
      </c>
      <c r="J61" s="2">
        <f t="shared" si="7"/>
        <v>0</v>
      </c>
      <c r="K61" s="2">
        <v>1</v>
      </c>
    </row>
    <row r="62" spans="1:11">
      <c r="A62" s="3">
        <v>204</v>
      </c>
      <c r="B62" s="3" t="s">
        <v>26</v>
      </c>
      <c r="C62" s="2">
        <v>2</v>
      </c>
      <c r="D62" s="47">
        <v>1788.6289670000001</v>
      </c>
      <c r="E62" s="47">
        <v>0</v>
      </c>
      <c r="F62" s="47">
        <v>18.379633333333334</v>
      </c>
      <c r="G62" s="2">
        <f t="shared" si="4"/>
        <v>0</v>
      </c>
      <c r="H62" s="2">
        <f t="shared" si="5"/>
        <v>1</v>
      </c>
      <c r="I62" s="2">
        <f t="shared" si="6"/>
        <v>0</v>
      </c>
      <c r="J62" s="2">
        <f t="shared" si="7"/>
        <v>0</v>
      </c>
      <c r="K62" s="11">
        <v>0</v>
      </c>
    </row>
    <row r="63" spans="1:11">
      <c r="A63" s="3">
        <v>166</v>
      </c>
      <c r="B63" s="3" t="s">
        <v>49</v>
      </c>
      <c r="C63" s="2">
        <v>2</v>
      </c>
      <c r="D63" s="47">
        <v>1450.905573</v>
      </c>
      <c r="E63" s="47">
        <v>0</v>
      </c>
      <c r="F63" s="47">
        <v>26.544366666666672</v>
      </c>
      <c r="G63" s="2">
        <f t="shared" si="4"/>
        <v>0</v>
      </c>
      <c r="H63" s="2">
        <f t="shared" si="5"/>
        <v>0</v>
      </c>
      <c r="I63" s="2">
        <f t="shared" si="6"/>
        <v>0</v>
      </c>
      <c r="J63" s="2">
        <f t="shared" si="7"/>
        <v>0</v>
      </c>
      <c r="K63" s="11">
        <v>0</v>
      </c>
    </row>
    <row r="64" spans="1:11">
      <c r="A64" s="3">
        <v>124</v>
      </c>
      <c r="B64" s="3" t="s">
        <v>74</v>
      </c>
      <c r="C64" s="2">
        <v>2</v>
      </c>
      <c r="D64" s="47">
        <v>1303.3341129999999</v>
      </c>
      <c r="E64" s="47">
        <v>0</v>
      </c>
      <c r="F64" s="47">
        <v>30.827133333333336</v>
      </c>
      <c r="G64" s="2">
        <f t="shared" si="4"/>
        <v>0</v>
      </c>
      <c r="H64" s="2">
        <f t="shared" si="5"/>
        <v>0</v>
      </c>
      <c r="I64" s="2">
        <f t="shared" si="6"/>
        <v>0</v>
      </c>
      <c r="J64" s="2">
        <f t="shared" si="7"/>
        <v>0</v>
      </c>
      <c r="K64" s="11">
        <v>0</v>
      </c>
    </row>
    <row r="65" spans="1:11">
      <c r="A65" s="3">
        <v>160</v>
      </c>
      <c r="B65" s="3" t="s">
        <v>52</v>
      </c>
      <c r="C65" s="2">
        <v>2</v>
      </c>
      <c r="D65" s="47">
        <v>1288.1260709999999</v>
      </c>
      <c r="E65" s="47">
        <v>0</v>
      </c>
      <c r="F65" s="47">
        <v>26.066600000000001</v>
      </c>
      <c r="G65" s="2">
        <f t="shared" si="4"/>
        <v>0</v>
      </c>
      <c r="H65" s="2">
        <f t="shared" si="5"/>
        <v>0</v>
      </c>
      <c r="I65" s="2">
        <f t="shared" si="6"/>
        <v>0</v>
      </c>
      <c r="J65" s="2">
        <f t="shared" si="7"/>
        <v>0</v>
      </c>
      <c r="K65" s="2">
        <v>1</v>
      </c>
    </row>
    <row r="66" spans="1:11">
      <c r="A66" s="3">
        <v>79</v>
      </c>
      <c r="B66" s="3" t="s">
        <v>106</v>
      </c>
      <c r="C66" s="2">
        <v>2</v>
      </c>
      <c r="D66" s="47">
        <v>1164.1215010000001</v>
      </c>
      <c r="E66" s="47">
        <v>0</v>
      </c>
      <c r="F66" s="47">
        <v>24.621133333333329</v>
      </c>
      <c r="G66" s="2">
        <f t="shared" ref="G66:G97" si="8">IF(E66=1,IF(D66&gt;$N$6,0,IF(F66&gt;=$N$7,0,1)),0)</f>
        <v>0</v>
      </c>
      <c r="H66" s="2">
        <f t="shared" ref="H66:H97" si="9">IF(D66&gt;$R$6,0,IF(F66&gt;=$R$7,0,1))</f>
        <v>1</v>
      </c>
      <c r="I66" s="2">
        <f t="shared" ref="I66:I97" si="10">IF(E66=1,IF(D66&lt;$V$6,1,0),0)</f>
        <v>0</v>
      </c>
      <c r="J66" s="2">
        <f t="shared" ref="J66:J97" si="11">IF(E66=1,IF(F66&lt;$Z$7,1,0),0)</f>
        <v>0</v>
      </c>
      <c r="K66" s="11">
        <v>0</v>
      </c>
    </row>
    <row r="67" spans="1:11">
      <c r="A67" s="3">
        <v>94</v>
      </c>
      <c r="B67" s="3" t="s">
        <v>98</v>
      </c>
      <c r="C67" s="2">
        <v>2</v>
      </c>
      <c r="D67" s="47">
        <v>1100</v>
      </c>
      <c r="E67" s="47">
        <v>0</v>
      </c>
      <c r="F67" s="47">
        <v>20.815199999999997</v>
      </c>
      <c r="G67" s="2">
        <f t="shared" si="8"/>
        <v>0</v>
      </c>
      <c r="H67" s="2">
        <f t="shared" si="9"/>
        <v>1</v>
      </c>
      <c r="I67" s="2">
        <f t="shared" si="10"/>
        <v>0</v>
      </c>
      <c r="J67" s="2">
        <f t="shared" si="11"/>
        <v>0</v>
      </c>
      <c r="K67" s="11">
        <v>0</v>
      </c>
    </row>
    <row r="68" spans="1:11">
      <c r="A68" s="3">
        <v>92</v>
      </c>
      <c r="B68" s="3" t="s">
        <v>99</v>
      </c>
      <c r="C68" s="2">
        <v>2</v>
      </c>
      <c r="D68" s="47">
        <v>1096.2152530000001</v>
      </c>
      <c r="E68" s="47">
        <v>0</v>
      </c>
      <c r="F68" s="47">
        <v>17.964266666666671</v>
      </c>
      <c r="G68" s="2">
        <f t="shared" si="8"/>
        <v>0</v>
      </c>
      <c r="H68" s="2">
        <f t="shared" si="9"/>
        <v>1</v>
      </c>
      <c r="I68" s="2">
        <f t="shared" si="10"/>
        <v>0</v>
      </c>
      <c r="J68" s="2">
        <f t="shared" si="11"/>
        <v>0</v>
      </c>
      <c r="K68" s="11">
        <v>0</v>
      </c>
    </row>
    <row r="69" spans="1:11">
      <c r="A69" s="3">
        <v>131</v>
      </c>
      <c r="B69" s="3" t="s">
        <v>70</v>
      </c>
      <c r="C69" s="2">
        <v>2</v>
      </c>
      <c r="D69" s="47">
        <v>1054.1358190000001</v>
      </c>
      <c r="E69" s="47">
        <v>0</v>
      </c>
      <c r="F69" s="47">
        <v>16.777733333333334</v>
      </c>
      <c r="G69" s="2">
        <f t="shared" si="8"/>
        <v>0</v>
      </c>
      <c r="H69" s="2">
        <f t="shared" si="9"/>
        <v>1</v>
      </c>
      <c r="I69" s="2">
        <f t="shared" si="10"/>
        <v>0</v>
      </c>
      <c r="J69" s="2">
        <f t="shared" si="11"/>
        <v>0</v>
      </c>
      <c r="K69" s="11">
        <v>0</v>
      </c>
    </row>
    <row r="70" spans="1:11">
      <c r="A70" s="3">
        <v>1</v>
      </c>
      <c r="B70" s="3" t="s">
        <v>154</v>
      </c>
      <c r="C70" s="2">
        <v>2</v>
      </c>
      <c r="D70" s="47">
        <v>1000</v>
      </c>
      <c r="E70" s="47">
        <v>0</v>
      </c>
      <c r="F70" s="47">
        <v>13.3909</v>
      </c>
      <c r="G70" s="2">
        <f t="shared" si="8"/>
        <v>0</v>
      </c>
      <c r="H70" s="2">
        <f t="shared" si="9"/>
        <v>1</v>
      </c>
      <c r="I70" s="2">
        <f t="shared" si="10"/>
        <v>0</v>
      </c>
      <c r="J70" s="2">
        <f t="shared" si="11"/>
        <v>0</v>
      </c>
      <c r="K70" s="11">
        <v>0</v>
      </c>
    </row>
    <row r="71" spans="1:11">
      <c r="A71" s="3">
        <v>42</v>
      </c>
      <c r="B71" s="3" t="s">
        <v>130</v>
      </c>
      <c r="C71" s="2">
        <v>2</v>
      </c>
      <c r="D71" s="47">
        <v>887.01545329999999</v>
      </c>
      <c r="E71" s="47">
        <v>0</v>
      </c>
      <c r="F71" s="47">
        <v>30.390666666666679</v>
      </c>
      <c r="G71" s="2">
        <f t="shared" si="8"/>
        <v>0</v>
      </c>
      <c r="H71" s="2">
        <f t="shared" si="9"/>
        <v>0</v>
      </c>
      <c r="I71" s="2">
        <f t="shared" si="10"/>
        <v>0</v>
      </c>
      <c r="J71" s="2">
        <f t="shared" si="11"/>
        <v>0</v>
      </c>
      <c r="K71" s="11">
        <v>0</v>
      </c>
    </row>
    <row r="72" spans="1:11">
      <c r="A72" s="3">
        <v>214</v>
      </c>
      <c r="B72" s="3" t="s">
        <v>19</v>
      </c>
      <c r="C72" s="2">
        <v>2</v>
      </c>
      <c r="D72" s="47">
        <v>837.53527570000006</v>
      </c>
      <c r="E72" s="47">
        <v>0</v>
      </c>
      <c r="F72" s="47">
        <v>11.629800000000001</v>
      </c>
      <c r="G72" s="2">
        <f t="shared" si="8"/>
        <v>0</v>
      </c>
      <c r="H72" s="2">
        <f t="shared" si="9"/>
        <v>1</v>
      </c>
      <c r="I72" s="2">
        <f t="shared" si="10"/>
        <v>0</v>
      </c>
      <c r="J72" s="2">
        <f t="shared" si="11"/>
        <v>0</v>
      </c>
      <c r="K72" s="11">
        <v>0</v>
      </c>
    </row>
    <row r="73" spans="1:11">
      <c r="A73" s="3">
        <v>45</v>
      </c>
      <c r="B73" s="3" t="s">
        <v>127</v>
      </c>
      <c r="C73" s="2">
        <v>2</v>
      </c>
      <c r="D73" s="47">
        <v>836.71728459999997</v>
      </c>
      <c r="E73" s="47">
        <v>0</v>
      </c>
      <c r="F73" s="47">
        <v>19.577400000000001</v>
      </c>
      <c r="G73" s="2">
        <f t="shared" si="8"/>
        <v>0</v>
      </c>
      <c r="H73" s="2">
        <f t="shared" si="9"/>
        <v>1</v>
      </c>
      <c r="I73" s="2">
        <f t="shared" si="10"/>
        <v>0</v>
      </c>
      <c r="J73" s="2">
        <f t="shared" si="11"/>
        <v>0</v>
      </c>
      <c r="K73" s="11">
        <v>0</v>
      </c>
    </row>
    <row r="74" spans="1:11">
      <c r="A74" s="3">
        <v>236</v>
      </c>
      <c r="B74" s="3" t="s">
        <v>3</v>
      </c>
      <c r="C74" s="2">
        <v>2</v>
      </c>
      <c r="D74" s="47">
        <v>833.4864129</v>
      </c>
      <c r="E74" s="47">
        <v>0</v>
      </c>
      <c r="F74" s="47">
        <v>18.390666666666664</v>
      </c>
      <c r="G74" s="2">
        <f t="shared" si="8"/>
        <v>0</v>
      </c>
      <c r="H74" s="2">
        <f t="shared" si="9"/>
        <v>1</v>
      </c>
      <c r="I74" s="2">
        <f t="shared" si="10"/>
        <v>0</v>
      </c>
      <c r="J74" s="2">
        <f t="shared" si="11"/>
        <v>0</v>
      </c>
      <c r="K74" s="11">
        <v>0</v>
      </c>
    </row>
    <row r="75" spans="1:11">
      <c r="A75" s="3">
        <v>182</v>
      </c>
      <c r="B75" s="3" t="s">
        <v>36</v>
      </c>
      <c r="C75" s="2">
        <v>2</v>
      </c>
      <c r="D75" s="47">
        <v>786.26164070000004</v>
      </c>
      <c r="E75" s="47">
        <v>0</v>
      </c>
      <c r="F75" s="47">
        <v>3.9911000000000008</v>
      </c>
      <c r="G75" s="2">
        <f t="shared" si="8"/>
        <v>0</v>
      </c>
      <c r="H75" s="2">
        <f t="shared" si="9"/>
        <v>1</v>
      </c>
      <c r="I75" s="2">
        <f t="shared" si="10"/>
        <v>0</v>
      </c>
      <c r="J75" s="2">
        <f t="shared" si="11"/>
        <v>0</v>
      </c>
      <c r="K75" s="2">
        <v>1</v>
      </c>
    </row>
    <row r="76" spans="1:11">
      <c r="A76" s="3">
        <v>19</v>
      </c>
      <c r="B76" s="3" t="s">
        <v>144</v>
      </c>
      <c r="C76" s="2">
        <v>2</v>
      </c>
      <c r="D76" s="47">
        <v>710.9835468</v>
      </c>
      <c r="E76" s="47">
        <v>0</v>
      </c>
      <c r="F76" s="47">
        <v>11.654599999999999</v>
      </c>
      <c r="G76" s="2">
        <f t="shared" si="8"/>
        <v>0</v>
      </c>
      <c r="H76" s="2">
        <f t="shared" si="9"/>
        <v>1</v>
      </c>
      <c r="I76" s="2">
        <f t="shared" si="10"/>
        <v>0</v>
      </c>
      <c r="J76" s="2">
        <f t="shared" si="11"/>
        <v>0</v>
      </c>
      <c r="K76" s="2">
        <v>1</v>
      </c>
    </row>
    <row r="77" spans="1:11">
      <c r="A77" s="3">
        <v>153</v>
      </c>
      <c r="B77" s="3" t="s">
        <v>57</v>
      </c>
      <c r="C77" s="2">
        <v>2</v>
      </c>
      <c r="D77" s="47">
        <v>642.49515789999998</v>
      </c>
      <c r="E77" s="47">
        <v>0</v>
      </c>
      <c r="F77" s="47">
        <v>5.4507333333333312</v>
      </c>
      <c r="G77" s="2">
        <f t="shared" si="8"/>
        <v>0</v>
      </c>
      <c r="H77" s="2">
        <f t="shared" si="9"/>
        <v>1</v>
      </c>
      <c r="I77" s="2">
        <f t="shared" si="10"/>
        <v>0</v>
      </c>
      <c r="J77" s="2">
        <f t="shared" si="11"/>
        <v>0</v>
      </c>
      <c r="K77" s="11">
        <v>0</v>
      </c>
    </row>
    <row r="78" spans="1:11">
      <c r="A78" s="3">
        <v>69</v>
      </c>
      <c r="B78" s="3" t="s">
        <v>110</v>
      </c>
      <c r="C78" s="2">
        <v>2</v>
      </c>
      <c r="D78" s="47">
        <v>566.39685069999996</v>
      </c>
      <c r="E78" s="47">
        <v>0</v>
      </c>
      <c r="F78" s="47">
        <v>9.6073000000000004</v>
      </c>
      <c r="G78" s="2">
        <f t="shared" si="8"/>
        <v>0</v>
      </c>
      <c r="H78" s="2">
        <f t="shared" si="9"/>
        <v>1</v>
      </c>
      <c r="I78" s="2">
        <f t="shared" si="10"/>
        <v>0</v>
      </c>
      <c r="J78" s="2">
        <f t="shared" si="11"/>
        <v>0</v>
      </c>
      <c r="K78" s="2">
        <v>1</v>
      </c>
    </row>
    <row r="79" spans="1:11">
      <c r="A79" s="3">
        <v>36</v>
      </c>
      <c r="B79" s="3" t="s">
        <v>134</v>
      </c>
      <c r="C79" s="2">
        <v>2</v>
      </c>
      <c r="D79" s="47">
        <v>470.15290929999998</v>
      </c>
      <c r="E79" s="47">
        <v>0</v>
      </c>
      <c r="F79" s="47">
        <v>3.6581333333333337</v>
      </c>
      <c r="G79" s="2">
        <f t="shared" si="8"/>
        <v>0</v>
      </c>
      <c r="H79" s="2">
        <f t="shared" si="9"/>
        <v>1</v>
      </c>
      <c r="I79" s="2">
        <f t="shared" si="10"/>
        <v>0</v>
      </c>
      <c r="J79" s="2">
        <f t="shared" si="11"/>
        <v>0</v>
      </c>
      <c r="K79" s="11">
        <v>0</v>
      </c>
    </row>
    <row r="80" spans="1:11">
      <c r="A80" s="3">
        <v>123</v>
      </c>
      <c r="B80" s="3" t="s">
        <v>75</v>
      </c>
      <c r="C80" s="2">
        <v>2</v>
      </c>
      <c r="D80" s="47">
        <v>412.09228869999998</v>
      </c>
      <c r="E80" s="47">
        <v>0</v>
      </c>
      <c r="F80" s="47">
        <v>9.7866999999999997</v>
      </c>
      <c r="G80" s="2">
        <f t="shared" si="8"/>
        <v>0</v>
      </c>
      <c r="H80" s="2">
        <f t="shared" si="9"/>
        <v>1</v>
      </c>
      <c r="I80" s="2">
        <f t="shared" si="10"/>
        <v>0</v>
      </c>
      <c r="J80" s="2">
        <f t="shared" si="11"/>
        <v>0</v>
      </c>
      <c r="K80" s="11">
        <v>0</v>
      </c>
    </row>
    <row r="81" spans="1:11">
      <c r="A81" s="3">
        <v>150</v>
      </c>
      <c r="B81" s="3" t="s">
        <v>59</v>
      </c>
      <c r="C81" s="2">
        <v>2</v>
      </c>
      <c r="D81" s="47">
        <v>378.93861290000001</v>
      </c>
      <c r="E81" s="47">
        <v>0</v>
      </c>
      <c r="F81" s="47">
        <v>23.038733333333344</v>
      </c>
      <c r="G81" s="2">
        <f t="shared" si="8"/>
        <v>0</v>
      </c>
      <c r="H81" s="2">
        <f t="shared" si="9"/>
        <v>1</v>
      </c>
      <c r="I81" s="2">
        <f t="shared" si="10"/>
        <v>0</v>
      </c>
      <c r="J81" s="2">
        <f t="shared" si="11"/>
        <v>0</v>
      </c>
      <c r="K81" s="11">
        <v>0</v>
      </c>
    </row>
    <row r="82" spans="1:11">
      <c r="A82" s="3">
        <v>149</v>
      </c>
      <c r="B82" s="3" t="s">
        <v>60</v>
      </c>
      <c r="C82" s="2">
        <v>2</v>
      </c>
      <c r="D82" s="47">
        <v>365.23229900000001</v>
      </c>
      <c r="E82" s="47">
        <v>0</v>
      </c>
      <c r="F82" s="47">
        <v>10.510733333333331</v>
      </c>
      <c r="G82" s="2">
        <f t="shared" si="8"/>
        <v>0</v>
      </c>
      <c r="H82" s="2">
        <f t="shared" si="9"/>
        <v>1</v>
      </c>
      <c r="I82" s="2">
        <f t="shared" si="10"/>
        <v>0</v>
      </c>
      <c r="J82" s="2">
        <f t="shared" si="11"/>
        <v>0</v>
      </c>
      <c r="K82" s="2">
        <v>1</v>
      </c>
    </row>
    <row r="83" spans="1:11">
      <c r="A83" s="3">
        <v>230</v>
      </c>
      <c r="B83" s="3" t="s">
        <v>7</v>
      </c>
      <c r="C83" s="2">
        <v>3</v>
      </c>
      <c r="D83" s="47">
        <v>28697.708030000002</v>
      </c>
      <c r="E83" s="47">
        <v>1</v>
      </c>
      <c r="F83" s="47">
        <v>73.424066666666675</v>
      </c>
      <c r="G83" s="2">
        <f t="shared" si="8"/>
        <v>0</v>
      </c>
      <c r="H83" s="2">
        <f t="shared" si="9"/>
        <v>0</v>
      </c>
      <c r="I83" s="2">
        <f t="shared" si="10"/>
        <v>0</v>
      </c>
      <c r="J83" s="2">
        <f t="shared" si="11"/>
        <v>0</v>
      </c>
      <c r="K83" s="11">
        <v>0</v>
      </c>
    </row>
    <row r="84" spans="1:11">
      <c r="A84" s="3">
        <v>39</v>
      </c>
      <c r="B84" s="3" t="s">
        <v>131</v>
      </c>
      <c r="C84" s="2">
        <v>3</v>
      </c>
      <c r="D84" s="47">
        <v>25123.678609999999</v>
      </c>
      <c r="E84" s="47">
        <v>1</v>
      </c>
      <c r="F84" s="47">
        <v>74.95793333333333</v>
      </c>
      <c r="G84" s="2">
        <f t="shared" si="8"/>
        <v>0</v>
      </c>
      <c r="H84" s="2">
        <f t="shared" si="9"/>
        <v>0</v>
      </c>
      <c r="I84" s="2">
        <f t="shared" si="10"/>
        <v>0</v>
      </c>
      <c r="J84" s="2">
        <f t="shared" si="11"/>
        <v>0</v>
      </c>
      <c r="K84" s="11">
        <v>0</v>
      </c>
    </row>
    <row r="85" spans="1:11">
      <c r="A85" s="3">
        <v>59</v>
      </c>
      <c r="B85" s="3" t="s">
        <v>117</v>
      </c>
      <c r="C85" s="2">
        <v>3</v>
      </c>
      <c r="D85" s="47">
        <v>23612.410929999998</v>
      </c>
      <c r="E85" s="47">
        <v>1</v>
      </c>
      <c r="F85" s="47">
        <v>81.230933333333311</v>
      </c>
      <c r="G85" s="2">
        <f t="shared" si="8"/>
        <v>0</v>
      </c>
      <c r="H85" s="2">
        <f t="shared" si="9"/>
        <v>0</v>
      </c>
      <c r="I85" s="2">
        <f t="shared" si="10"/>
        <v>0</v>
      </c>
      <c r="J85" s="2">
        <f t="shared" si="11"/>
        <v>0</v>
      </c>
      <c r="K85" s="11">
        <v>0</v>
      </c>
    </row>
    <row r="86" spans="1:11">
      <c r="A86" s="3">
        <v>154</v>
      </c>
      <c r="B86" s="3" t="s">
        <v>56</v>
      </c>
      <c r="C86" s="2">
        <v>3</v>
      </c>
      <c r="D86" s="47">
        <v>23441.659670000001</v>
      </c>
      <c r="E86" s="47">
        <v>1</v>
      </c>
      <c r="F86" s="47">
        <v>63.695700000000009</v>
      </c>
      <c r="G86" s="2">
        <f t="shared" si="8"/>
        <v>0</v>
      </c>
      <c r="H86" s="2">
        <f t="shared" si="9"/>
        <v>0</v>
      </c>
      <c r="I86" s="2">
        <f t="shared" si="10"/>
        <v>0</v>
      </c>
      <c r="J86" s="2">
        <f t="shared" si="11"/>
        <v>0</v>
      </c>
      <c r="K86" s="11">
        <v>0</v>
      </c>
    </row>
    <row r="87" spans="1:11">
      <c r="A87" s="3">
        <v>22</v>
      </c>
      <c r="B87" s="3" t="s">
        <v>142</v>
      </c>
      <c r="C87" s="2">
        <v>3</v>
      </c>
      <c r="D87" s="47">
        <v>22382.896489999999</v>
      </c>
      <c r="E87" s="47">
        <v>1</v>
      </c>
      <c r="F87" s="47">
        <v>94.596866666666685</v>
      </c>
      <c r="G87" s="2">
        <f t="shared" si="8"/>
        <v>0</v>
      </c>
      <c r="H87" s="2">
        <f t="shared" si="9"/>
        <v>0</v>
      </c>
      <c r="I87" s="2">
        <f t="shared" si="10"/>
        <v>0</v>
      </c>
      <c r="J87" s="2">
        <f t="shared" si="11"/>
        <v>0</v>
      </c>
      <c r="K87" s="11">
        <v>0</v>
      </c>
    </row>
    <row r="88" spans="1:11">
      <c r="A88" s="3">
        <v>14</v>
      </c>
      <c r="B88" s="3" t="s">
        <v>148</v>
      </c>
      <c r="C88" s="2">
        <v>3</v>
      </c>
      <c r="D88" s="47">
        <v>21811.427919999998</v>
      </c>
      <c r="E88" s="47">
        <v>1</v>
      </c>
      <c r="F88" s="47">
        <v>84.957100000000011</v>
      </c>
      <c r="G88" s="2">
        <f t="shared" si="8"/>
        <v>0</v>
      </c>
      <c r="H88" s="2">
        <f t="shared" si="9"/>
        <v>0</v>
      </c>
      <c r="I88" s="2">
        <f t="shared" si="10"/>
        <v>0</v>
      </c>
      <c r="J88" s="2">
        <f t="shared" si="11"/>
        <v>0</v>
      </c>
      <c r="K88" s="11">
        <v>0</v>
      </c>
    </row>
    <row r="89" spans="1:11">
      <c r="A89" s="3">
        <v>108</v>
      </c>
      <c r="B89" s="3" t="s">
        <v>88</v>
      </c>
      <c r="C89" s="2">
        <v>3</v>
      </c>
      <c r="D89" s="47">
        <v>20988.681850000001</v>
      </c>
      <c r="E89" s="47">
        <v>1</v>
      </c>
      <c r="F89" s="47">
        <v>64.834000000000017</v>
      </c>
      <c r="G89" s="2">
        <f t="shared" si="8"/>
        <v>0</v>
      </c>
      <c r="H89" s="2">
        <f t="shared" si="9"/>
        <v>0</v>
      </c>
      <c r="I89" s="2">
        <f t="shared" si="10"/>
        <v>0</v>
      </c>
      <c r="J89" s="2">
        <f t="shared" si="11"/>
        <v>0</v>
      </c>
      <c r="K89" s="11">
        <v>0</v>
      </c>
    </row>
    <row r="90" spans="1:11">
      <c r="A90" s="3">
        <v>229</v>
      </c>
      <c r="B90" s="3" t="s">
        <v>8</v>
      </c>
      <c r="C90" s="2">
        <v>3</v>
      </c>
      <c r="D90" s="47">
        <v>20957.243709999999</v>
      </c>
      <c r="E90" s="47">
        <v>1</v>
      </c>
      <c r="F90" s="47">
        <v>77.958933333333334</v>
      </c>
      <c r="G90" s="2">
        <f t="shared" si="8"/>
        <v>0</v>
      </c>
      <c r="H90" s="2">
        <f t="shared" si="9"/>
        <v>0</v>
      </c>
      <c r="I90" s="2">
        <f t="shared" si="10"/>
        <v>0</v>
      </c>
      <c r="J90" s="2">
        <f t="shared" si="11"/>
        <v>0</v>
      </c>
      <c r="K90" s="11">
        <v>0</v>
      </c>
    </row>
    <row r="91" spans="1:11">
      <c r="A91" s="3">
        <v>177</v>
      </c>
      <c r="B91" s="3" t="s">
        <v>40</v>
      </c>
      <c r="C91" s="2">
        <v>3</v>
      </c>
      <c r="D91" s="47">
        <v>16000</v>
      </c>
      <c r="E91" s="47">
        <v>1</v>
      </c>
      <c r="F91" s="47">
        <v>61.633200000000002</v>
      </c>
      <c r="G91" s="2">
        <f t="shared" si="8"/>
        <v>0</v>
      </c>
      <c r="H91" s="2">
        <f t="shared" si="9"/>
        <v>0</v>
      </c>
      <c r="I91" s="2">
        <f t="shared" si="10"/>
        <v>0</v>
      </c>
      <c r="J91" s="2">
        <f t="shared" si="11"/>
        <v>0</v>
      </c>
      <c r="K91" s="11">
        <v>0</v>
      </c>
    </row>
    <row r="92" spans="1:11">
      <c r="A92" s="3">
        <v>181</v>
      </c>
      <c r="B92" s="3" t="s">
        <v>37</v>
      </c>
      <c r="C92" s="2">
        <v>3</v>
      </c>
      <c r="D92" s="47">
        <v>12846.01706</v>
      </c>
      <c r="E92" s="47">
        <v>1</v>
      </c>
      <c r="F92" s="47">
        <v>65.712299999999999</v>
      </c>
      <c r="G92" s="2">
        <f t="shared" si="8"/>
        <v>0</v>
      </c>
      <c r="H92" s="2">
        <f t="shared" si="9"/>
        <v>0</v>
      </c>
      <c r="I92" s="2">
        <f t="shared" si="10"/>
        <v>0</v>
      </c>
      <c r="J92" s="2">
        <f t="shared" si="11"/>
        <v>0</v>
      </c>
      <c r="K92" s="11">
        <v>0</v>
      </c>
    </row>
    <row r="93" spans="1:11">
      <c r="A93" s="3">
        <v>99</v>
      </c>
      <c r="B93" s="3" t="s">
        <v>95</v>
      </c>
      <c r="C93" s="2">
        <v>3</v>
      </c>
      <c r="D93" s="47">
        <v>12715.60824</v>
      </c>
      <c r="E93" s="47">
        <v>1</v>
      </c>
      <c r="F93" s="47">
        <v>61.919699999999999</v>
      </c>
      <c r="G93" s="2">
        <f t="shared" si="8"/>
        <v>0</v>
      </c>
      <c r="H93" s="2">
        <f t="shared" si="9"/>
        <v>0</v>
      </c>
      <c r="I93" s="2">
        <f t="shared" si="10"/>
        <v>0</v>
      </c>
      <c r="J93" s="2">
        <f t="shared" si="11"/>
        <v>0</v>
      </c>
      <c r="K93" s="11">
        <v>0</v>
      </c>
    </row>
    <row r="94" spans="1:11">
      <c r="A94" s="3">
        <v>235</v>
      </c>
      <c r="B94" s="3" t="s">
        <v>4</v>
      </c>
      <c r="C94" s="2">
        <v>3</v>
      </c>
      <c r="D94" s="47">
        <v>10039.25078</v>
      </c>
      <c r="E94" s="47">
        <v>1</v>
      </c>
      <c r="F94" s="47">
        <v>75.164266666666649</v>
      </c>
      <c r="G94" s="2">
        <f t="shared" si="8"/>
        <v>0</v>
      </c>
      <c r="H94" s="2">
        <f t="shared" si="9"/>
        <v>0</v>
      </c>
      <c r="I94" s="2">
        <f t="shared" si="10"/>
        <v>0</v>
      </c>
      <c r="J94" s="2">
        <f t="shared" si="11"/>
        <v>0</v>
      </c>
      <c r="K94" s="11">
        <v>0</v>
      </c>
    </row>
    <row r="95" spans="1:11">
      <c r="A95" s="3">
        <v>222</v>
      </c>
      <c r="B95" s="3" t="s">
        <v>13</v>
      </c>
      <c r="C95" s="2">
        <v>4</v>
      </c>
      <c r="D95" s="47">
        <v>6992.1891889999997</v>
      </c>
      <c r="E95" s="47">
        <v>1</v>
      </c>
      <c r="F95" s="47">
        <v>43.067133333333338</v>
      </c>
      <c r="G95" s="2">
        <f t="shared" si="8"/>
        <v>0</v>
      </c>
      <c r="H95" s="2">
        <f t="shared" si="9"/>
        <v>0</v>
      </c>
      <c r="I95" s="2">
        <f t="shared" si="10"/>
        <v>1</v>
      </c>
      <c r="J95" s="2">
        <f t="shared" si="11"/>
        <v>0</v>
      </c>
      <c r="K95" s="11">
        <v>0</v>
      </c>
    </row>
    <row r="96" spans="1:11">
      <c r="A96" s="3">
        <v>109</v>
      </c>
      <c r="B96" s="3" t="s">
        <v>87</v>
      </c>
      <c r="C96" s="2">
        <v>4</v>
      </c>
      <c r="D96" s="47">
        <v>5247.4458119999999</v>
      </c>
      <c r="E96" s="47">
        <v>1</v>
      </c>
      <c r="F96" s="47">
        <v>43.528833333333338</v>
      </c>
      <c r="G96" s="2">
        <f t="shared" si="8"/>
        <v>0</v>
      </c>
      <c r="H96" s="2">
        <f t="shared" si="9"/>
        <v>0</v>
      </c>
      <c r="I96" s="2">
        <f t="shared" si="10"/>
        <v>1</v>
      </c>
      <c r="J96" s="2">
        <f t="shared" si="11"/>
        <v>0</v>
      </c>
      <c r="K96" s="11">
        <v>0</v>
      </c>
    </row>
    <row r="97" spans="1:11">
      <c r="A97" s="3">
        <v>29</v>
      </c>
      <c r="B97" s="3" t="s">
        <v>138</v>
      </c>
      <c r="C97" s="2">
        <v>4</v>
      </c>
      <c r="D97" s="47">
        <v>5086.3358040000003</v>
      </c>
      <c r="E97" s="47">
        <v>1</v>
      </c>
      <c r="F97" s="47">
        <v>15.523966666666665</v>
      </c>
      <c r="G97" s="2">
        <f t="shared" si="8"/>
        <v>1</v>
      </c>
      <c r="H97" s="2">
        <f t="shared" si="9"/>
        <v>1</v>
      </c>
      <c r="I97" s="2">
        <f t="shared" si="10"/>
        <v>1</v>
      </c>
      <c r="J97" s="2">
        <f t="shared" si="11"/>
        <v>1</v>
      </c>
      <c r="K97" s="11">
        <v>0</v>
      </c>
    </row>
    <row r="98" spans="1:11">
      <c r="A98" s="3">
        <v>112</v>
      </c>
      <c r="B98" s="3" t="s">
        <v>85</v>
      </c>
      <c r="C98" s="2">
        <v>4</v>
      </c>
      <c r="D98" s="47">
        <v>3972.8567200000002</v>
      </c>
      <c r="E98" s="47">
        <v>1</v>
      </c>
      <c r="F98" s="47">
        <v>59.62833333333333</v>
      </c>
      <c r="G98" s="2">
        <f t="shared" ref="G98:G124" si="12">IF(E98=1,IF(D98&gt;$N$6,0,IF(F98&gt;=$N$7,0,1)),0)</f>
        <v>0</v>
      </c>
      <c r="H98" s="2">
        <f t="shared" ref="H98:H124" si="13">IF(D98&gt;$R$6,0,IF(F98&gt;=$R$7,0,1))</f>
        <v>0</v>
      </c>
      <c r="I98" s="2">
        <f t="shared" ref="I98:I124" si="14">IF(E98=1,IF(D98&lt;$V$6,1,0),0)</f>
        <v>1</v>
      </c>
      <c r="J98" s="2">
        <f t="shared" ref="J98:J124" si="15">IF(E98=1,IF(F98&lt;$Z$7,1,0),0)</f>
        <v>0</v>
      </c>
      <c r="K98" s="11">
        <v>0</v>
      </c>
    </row>
    <row r="99" spans="1:11">
      <c r="A99" s="3">
        <v>50</v>
      </c>
      <c r="B99" s="3" t="s">
        <v>125</v>
      </c>
      <c r="C99" s="2">
        <v>4</v>
      </c>
      <c r="D99" s="47">
        <v>3854.8369659999998</v>
      </c>
      <c r="E99" s="47">
        <v>1</v>
      </c>
      <c r="F99" s="47">
        <v>43.829799999999999</v>
      </c>
      <c r="G99" s="2">
        <f t="shared" si="12"/>
        <v>0</v>
      </c>
      <c r="H99" s="2">
        <f t="shared" si="13"/>
        <v>0</v>
      </c>
      <c r="I99" s="2">
        <f t="shared" si="14"/>
        <v>1</v>
      </c>
      <c r="J99" s="2">
        <f t="shared" si="15"/>
        <v>0</v>
      </c>
      <c r="K99" s="11">
        <v>0</v>
      </c>
    </row>
    <row r="100" spans="1:11">
      <c r="A100" s="3">
        <v>65</v>
      </c>
      <c r="B100" s="3" t="s">
        <v>113</v>
      </c>
      <c r="C100" s="2">
        <v>4</v>
      </c>
      <c r="D100" s="47">
        <v>3591.4353550000001</v>
      </c>
      <c r="E100" s="47">
        <v>1</v>
      </c>
      <c r="F100" s="47">
        <v>42.565466666666666</v>
      </c>
      <c r="G100" s="2">
        <f t="shared" si="12"/>
        <v>0</v>
      </c>
      <c r="H100" s="2">
        <f t="shared" si="13"/>
        <v>0</v>
      </c>
      <c r="I100" s="2">
        <f t="shared" si="14"/>
        <v>1</v>
      </c>
      <c r="J100" s="2">
        <f t="shared" si="15"/>
        <v>0</v>
      </c>
      <c r="K100" s="11">
        <v>0</v>
      </c>
    </row>
    <row r="101" spans="1:11">
      <c r="A101" s="3">
        <v>211</v>
      </c>
      <c r="B101" s="3" t="s">
        <v>21</v>
      </c>
      <c r="C101" s="2">
        <v>4</v>
      </c>
      <c r="D101" s="47">
        <v>3158.4667899999999</v>
      </c>
      <c r="E101" s="47">
        <v>1</v>
      </c>
      <c r="F101" s="47">
        <v>44.512133333333331</v>
      </c>
      <c r="G101" s="2">
        <f t="shared" si="12"/>
        <v>0</v>
      </c>
      <c r="H101" s="2">
        <f t="shared" si="13"/>
        <v>0</v>
      </c>
      <c r="I101" s="2">
        <f t="shared" si="14"/>
        <v>1</v>
      </c>
      <c r="J101" s="2">
        <f t="shared" si="15"/>
        <v>0</v>
      </c>
      <c r="K101" s="11">
        <v>0</v>
      </c>
    </row>
    <row r="102" spans="1:11">
      <c r="A102" s="3">
        <v>208</v>
      </c>
      <c r="B102" s="3" t="s">
        <v>24</v>
      </c>
      <c r="C102" s="2">
        <v>4</v>
      </c>
      <c r="D102" s="47">
        <v>2866.6203620000001</v>
      </c>
      <c r="E102" s="47">
        <v>1</v>
      </c>
      <c r="F102" s="47">
        <v>14.193833333333336</v>
      </c>
      <c r="G102" s="2">
        <f t="shared" si="12"/>
        <v>1</v>
      </c>
      <c r="H102" s="2">
        <f t="shared" si="13"/>
        <v>1</v>
      </c>
      <c r="I102" s="2">
        <f t="shared" si="14"/>
        <v>1</v>
      </c>
      <c r="J102" s="2">
        <f t="shared" si="15"/>
        <v>1</v>
      </c>
      <c r="K102" s="11">
        <v>0</v>
      </c>
    </row>
    <row r="103" spans="1:11">
      <c r="A103" s="3">
        <v>148</v>
      </c>
      <c r="B103" s="3" t="s">
        <v>61</v>
      </c>
      <c r="C103" s="2">
        <v>4</v>
      </c>
      <c r="D103" s="47">
        <v>2450.349968</v>
      </c>
      <c r="E103" s="47">
        <v>1</v>
      </c>
      <c r="F103" s="47">
        <v>38.469900000000003</v>
      </c>
      <c r="G103" s="2">
        <f t="shared" si="12"/>
        <v>0</v>
      </c>
      <c r="H103" s="2">
        <f t="shared" si="13"/>
        <v>0</v>
      </c>
      <c r="I103" s="2">
        <f t="shared" si="14"/>
        <v>1</v>
      </c>
      <c r="J103" s="2">
        <f t="shared" si="15"/>
        <v>0</v>
      </c>
      <c r="K103" s="11">
        <v>0</v>
      </c>
    </row>
    <row r="104" spans="1:11">
      <c r="A104" s="3">
        <v>146</v>
      </c>
      <c r="B104" s="3" t="s">
        <v>62</v>
      </c>
      <c r="C104" s="2">
        <v>4</v>
      </c>
      <c r="D104" s="47">
        <v>2328.6066890000002</v>
      </c>
      <c r="E104" s="47">
        <v>1</v>
      </c>
      <c r="F104" s="47">
        <v>48.572733333333318</v>
      </c>
      <c r="G104" s="2">
        <f t="shared" si="12"/>
        <v>0</v>
      </c>
      <c r="H104" s="2">
        <f t="shared" si="13"/>
        <v>0</v>
      </c>
      <c r="I104" s="2">
        <f t="shared" si="14"/>
        <v>1</v>
      </c>
      <c r="J104" s="2">
        <f t="shared" si="15"/>
        <v>0</v>
      </c>
      <c r="K104" s="11">
        <v>0</v>
      </c>
    </row>
    <row r="105" spans="1:11">
      <c r="A105" s="3">
        <v>102</v>
      </c>
      <c r="B105" s="3" t="s">
        <v>93</v>
      </c>
      <c r="C105" s="2">
        <v>4</v>
      </c>
      <c r="D105" s="47">
        <v>1627.763111</v>
      </c>
      <c r="E105" s="47">
        <v>1</v>
      </c>
      <c r="F105" s="47">
        <v>20.759133333333335</v>
      </c>
      <c r="G105" s="2">
        <f t="shared" si="12"/>
        <v>1</v>
      </c>
      <c r="H105" s="2">
        <f t="shared" si="13"/>
        <v>1</v>
      </c>
      <c r="I105" s="2">
        <f t="shared" si="14"/>
        <v>1</v>
      </c>
      <c r="J105" s="2">
        <f t="shared" si="15"/>
        <v>1</v>
      </c>
      <c r="K105" s="11">
        <v>0</v>
      </c>
    </row>
    <row r="106" spans="1:11">
      <c r="A106" s="3">
        <v>139</v>
      </c>
      <c r="B106" s="3" t="s">
        <v>66</v>
      </c>
      <c r="C106" s="2">
        <v>4</v>
      </c>
      <c r="D106" s="47">
        <v>1615.7270779999999</v>
      </c>
      <c r="E106" s="47">
        <v>1</v>
      </c>
      <c r="F106" s="47">
        <v>22.357100000000003</v>
      </c>
      <c r="G106" s="2">
        <f t="shared" si="12"/>
        <v>1</v>
      </c>
      <c r="H106" s="2">
        <f t="shared" si="13"/>
        <v>1</v>
      </c>
      <c r="I106" s="2">
        <f t="shared" si="14"/>
        <v>1</v>
      </c>
      <c r="J106" s="2">
        <f t="shared" si="15"/>
        <v>1</v>
      </c>
      <c r="K106" s="2">
        <v>1</v>
      </c>
    </row>
    <row r="107" spans="1:11">
      <c r="A107" s="3">
        <v>192</v>
      </c>
      <c r="B107" s="3" t="s">
        <v>34</v>
      </c>
      <c r="C107" s="2">
        <v>4</v>
      </c>
      <c r="D107" s="47">
        <v>1541.2844270000001</v>
      </c>
      <c r="E107" s="47">
        <v>1</v>
      </c>
      <c r="F107" s="47">
        <v>32.650333333333329</v>
      </c>
      <c r="G107" s="2">
        <f t="shared" si="12"/>
        <v>0</v>
      </c>
      <c r="H107" s="2">
        <f t="shared" si="13"/>
        <v>0</v>
      </c>
      <c r="I107" s="2">
        <f t="shared" si="14"/>
        <v>1</v>
      </c>
      <c r="J107" s="2">
        <f t="shared" si="15"/>
        <v>0</v>
      </c>
      <c r="K107" s="11">
        <v>0</v>
      </c>
    </row>
    <row r="108" spans="1:11">
      <c r="A108" s="3">
        <v>242</v>
      </c>
      <c r="B108" s="3" t="s">
        <v>1</v>
      </c>
      <c r="C108" s="2">
        <v>4</v>
      </c>
      <c r="D108" s="47">
        <v>1363.586</v>
      </c>
      <c r="E108" s="47">
        <v>1</v>
      </c>
      <c r="F108" s="47">
        <v>33.171533333333336</v>
      </c>
      <c r="G108" s="2">
        <f t="shared" si="12"/>
        <v>0</v>
      </c>
      <c r="H108" s="2">
        <f t="shared" si="13"/>
        <v>0</v>
      </c>
      <c r="I108" s="2">
        <f t="shared" si="14"/>
        <v>1</v>
      </c>
      <c r="J108" s="2">
        <f t="shared" si="15"/>
        <v>0</v>
      </c>
      <c r="K108" s="11">
        <v>0</v>
      </c>
    </row>
    <row r="109" spans="1:11">
      <c r="A109" s="3">
        <v>114</v>
      </c>
      <c r="B109" s="3" t="s">
        <v>83</v>
      </c>
      <c r="C109" s="2">
        <v>4</v>
      </c>
      <c r="D109" s="47">
        <v>1351.5256260000001</v>
      </c>
      <c r="E109" s="47">
        <v>1</v>
      </c>
      <c r="F109" s="47">
        <v>12.744933333333334</v>
      </c>
      <c r="G109" s="2">
        <f t="shared" si="12"/>
        <v>1</v>
      </c>
      <c r="H109" s="2">
        <f t="shared" si="13"/>
        <v>1</v>
      </c>
      <c r="I109" s="2">
        <f t="shared" si="14"/>
        <v>1</v>
      </c>
      <c r="J109" s="2">
        <f t="shared" si="15"/>
        <v>1</v>
      </c>
      <c r="K109" s="2">
        <v>1</v>
      </c>
    </row>
    <row r="110" spans="1:11">
      <c r="A110" s="3">
        <v>24</v>
      </c>
      <c r="B110" s="3" t="s">
        <v>141</v>
      </c>
      <c r="C110" s="2">
        <v>4</v>
      </c>
      <c r="D110" s="47">
        <v>1177.932652</v>
      </c>
      <c r="E110" s="47">
        <v>1</v>
      </c>
      <c r="F110" s="47">
        <v>22.275000000000002</v>
      </c>
      <c r="G110" s="2">
        <f t="shared" si="12"/>
        <v>1</v>
      </c>
      <c r="H110" s="2">
        <f t="shared" si="13"/>
        <v>1</v>
      </c>
      <c r="I110" s="2">
        <f t="shared" si="14"/>
        <v>1</v>
      </c>
      <c r="J110" s="2">
        <f t="shared" si="15"/>
        <v>1</v>
      </c>
      <c r="K110" s="11">
        <v>0</v>
      </c>
    </row>
    <row r="111" spans="1:11">
      <c r="A111" s="3">
        <v>101</v>
      </c>
      <c r="B111" s="3" t="s">
        <v>94</v>
      </c>
      <c r="C111" s="2">
        <v>4</v>
      </c>
      <c r="D111" s="47">
        <v>1063.579706</v>
      </c>
      <c r="E111" s="47">
        <v>1</v>
      </c>
      <c r="F111" s="47">
        <v>21.636800000000001</v>
      </c>
      <c r="G111" s="2">
        <f t="shared" si="12"/>
        <v>1</v>
      </c>
      <c r="H111" s="2">
        <f t="shared" si="13"/>
        <v>1</v>
      </c>
      <c r="I111" s="2">
        <f t="shared" si="14"/>
        <v>1</v>
      </c>
      <c r="J111" s="2">
        <f t="shared" si="15"/>
        <v>1</v>
      </c>
      <c r="K111" s="2">
        <v>1</v>
      </c>
    </row>
    <row r="112" spans="1:11">
      <c r="A112" s="3">
        <v>205</v>
      </c>
      <c r="B112" s="3" t="s">
        <v>25</v>
      </c>
      <c r="C112" s="2">
        <v>4</v>
      </c>
      <c r="D112" s="47">
        <v>1054.9745210000001</v>
      </c>
      <c r="E112" s="47">
        <v>1</v>
      </c>
      <c r="F112" s="47">
        <v>18.866566666666667</v>
      </c>
      <c r="G112" s="2">
        <f t="shared" si="12"/>
        <v>1</v>
      </c>
      <c r="H112" s="2">
        <f t="shared" si="13"/>
        <v>1</v>
      </c>
      <c r="I112" s="2">
        <f t="shared" si="14"/>
        <v>1</v>
      </c>
      <c r="J112" s="2">
        <f t="shared" si="15"/>
        <v>1</v>
      </c>
      <c r="K112" s="2">
        <v>1</v>
      </c>
    </row>
    <row r="113" spans="1:11">
      <c r="A113" s="3">
        <v>217</v>
      </c>
      <c r="B113" s="3" t="s">
        <v>16</v>
      </c>
      <c r="C113" s="2">
        <v>4</v>
      </c>
      <c r="D113" s="47">
        <v>943.69275849999997</v>
      </c>
      <c r="E113" s="47">
        <v>1</v>
      </c>
      <c r="F113" s="47">
        <v>21.929099999999995</v>
      </c>
      <c r="G113" s="2">
        <f t="shared" si="12"/>
        <v>1</v>
      </c>
      <c r="H113" s="2">
        <f t="shared" si="13"/>
        <v>1</v>
      </c>
      <c r="I113" s="2">
        <f t="shared" si="14"/>
        <v>1</v>
      </c>
      <c r="J113" s="2">
        <f t="shared" si="15"/>
        <v>1</v>
      </c>
      <c r="K113" s="11">
        <v>0</v>
      </c>
    </row>
    <row r="114" spans="1:11">
      <c r="A114" s="3">
        <v>82</v>
      </c>
      <c r="B114" s="3" t="s">
        <v>103</v>
      </c>
      <c r="C114" s="2">
        <v>4</v>
      </c>
      <c r="D114" s="47">
        <v>856.62119229999996</v>
      </c>
      <c r="E114" s="47">
        <v>1</v>
      </c>
      <c r="F114" s="47">
        <v>30.055400000000002</v>
      </c>
      <c r="G114" s="2">
        <f t="shared" si="12"/>
        <v>0</v>
      </c>
      <c r="H114" s="2">
        <f t="shared" si="13"/>
        <v>0</v>
      </c>
      <c r="I114" s="2">
        <f t="shared" si="14"/>
        <v>1</v>
      </c>
      <c r="J114" s="2">
        <f t="shared" si="15"/>
        <v>0</v>
      </c>
      <c r="K114" s="11">
        <v>0</v>
      </c>
    </row>
    <row r="115" spans="1:11">
      <c r="A115" s="3">
        <v>91</v>
      </c>
      <c r="B115" s="3" t="s">
        <v>100</v>
      </c>
      <c r="C115" s="2">
        <v>4</v>
      </c>
      <c r="D115" s="47">
        <v>849.10380810000004</v>
      </c>
      <c r="E115" s="47">
        <v>1</v>
      </c>
      <c r="F115" s="47">
        <v>19.952066666666664</v>
      </c>
      <c r="G115" s="2">
        <f t="shared" si="12"/>
        <v>1</v>
      </c>
      <c r="H115" s="2">
        <f t="shared" si="13"/>
        <v>1</v>
      </c>
      <c r="I115" s="2">
        <f t="shared" si="14"/>
        <v>1</v>
      </c>
      <c r="J115" s="2">
        <f t="shared" si="15"/>
        <v>1</v>
      </c>
      <c r="K115" s="11">
        <v>0</v>
      </c>
    </row>
    <row r="116" spans="1:11">
      <c r="A116" s="3">
        <v>43</v>
      </c>
      <c r="B116" s="3" t="s">
        <v>129</v>
      </c>
      <c r="C116" s="2">
        <v>4</v>
      </c>
      <c r="D116" s="47">
        <v>783.97599490000005</v>
      </c>
      <c r="E116" s="47">
        <v>1</v>
      </c>
      <c r="F116" s="47">
        <v>14.878433333333335</v>
      </c>
      <c r="G116" s="2">
        <f t="shared" si="12"/>
        <v>1</v>
      </c>
      <c r="H116" s="2">
        <f t="shared" si="13"/>
        <v>1</v>
      </c>
      <c r="I116" s="2">
        <f t="shared" si="14"/>
        <v>1</v>
      </c>
      <c r="J116" s="2">
        <f t="shared" si="15"/>
        <v>1</v>
      </c>
      <c r="K116" s="2">
        <v>1</v>
      </c>
    </row>
    <row r="117" spans="1:11">
      <c r="A117" s="3">
        <v>159</v>
      </c>
      <c r="B117" s="3" t="s">
        <v>53</v>
      </c>
      <c r="C117" s="2">
        <v>4</v>
      </c>
      <c r="D117" s="47">
        <v>771.11228879999999</v>
      </c>
      <c r="E117" s="47">
        <v>1</v>
      </c>
      <c r="F117" s="47">
        <v>11.089833333333333</v>
      </c>
      <c r="G117" s="2">
        <f t="shared" si="12"/>
        <v>1</v>
      </c>
      <c r="H117" s="2">
        <f t="shared" si="13"/>
        <v>1</v>
      </c>
      <c r="I117" s="2">
        <f t="shared" si="14"/>
        <v>1</v>
      </c>
      <c r="J117" s="2">
        <f t="shared" si="15"/>
        <v>1</v>
      </c>
      <c r="K117" s="2">
        <v>1</v>
      </c>
    </row>
    <row r="118" spans="1:11">
      <c r="A118" s="3">
        <v>195</v>
      </c>
      <c r="B118" s="3" t="s">
        <v>33</v>
      </c>
      <c r="C118" s="2">
        <v>4</v>
      </c>
      <c r="D118" s="47">
        <v>764.07026099999996</v>
      </c>
      <c r="E118" s="47">
        <v>1</v>
      </c>
      <c r="F118" s="47">
        <v>26.303499999999996</v>
      </c>
      <c r="G118" s="2">
        <f t="shared" si="12"/>
        <v>0</v>
      </c>
      <c r="H118" s="2">
        <f t="shared" si="13"/>
        <v>0</v>
      </c>
      <c r="I118" s="2">
        <f t="shared" si="14"/>
        <v>1</v>
      </c>
      <c r="J118" s="2">
        <f t="shared" si="15"/>
        <v>0</v>
      </c>
      <c r="K118" s="11">
        <v>0</v>
      </c>
    </row>
    <row r="119" spans="1:11">
      <c r="A119" s="3">
        <v>35</v>
      </c>
      <c r="B119" s="3" t="s">
        <v>135</v>
      </c>
      <c r="C119" s="2">
        <v>4</v>
      </c>
      <c r="D119" s="47">
        <v>676.29903390000004</v>
      </c>
      <c r="E119" s="47">
        <v>1</v>
      </c>
      <c r="F119" s="47">
        <v>8.0998333333333328</v>
      </c>
      <c r="G119" s="2">
        <f t="shared" si="12"/>
        <v>1</v>
      </c>
      <c r="H119" s="2">
        <f t="shared" si="13"/>
        <v>1</v>
      </c>
      <c r="I119" s="2">
        <f t="shared" si="14"/>
        <v>1</v>
      </c>
      <c r="J119" s="2">
        <f t="shared" si="15"/>
        <v>1</v>
      </c>
      <c r="K119" s="2">
        <v>1</v>
      </c>
    </row>
    <row r="120" spans="1:11">
      <c r="A120" s="3">
        <v>135</v>
      </c>
      <c r="B120" s="3" t="s">
        <v>67</v>
      </c>
      <c r="C120" s="2">
        <v>4</v>
      </c>
      <c r="D120" s="47">
        <v>657.04991919999998</v>
      </c>
      <c r="E120" s="47">
        <v>1</v>
      </c>
      <c r="F120" s="47">
        <v>16.849766666666667</v>
      </c>
      <c r="G120" s="2">
        <f t="shared" si="12"/>
        <v>1</v>
      </c>
      <c r="H120" s="2">
        <f t="shared" si="13"/>
        <v>1</v>
      </c>
      <c r="I120" s="2">
        <f t="shared" si="14"/>
        <v>1</v>
      </c>
      <c r="J120" s="2">
        <f t="shared" si="15"/>
        <v>1</v>
      </c>
      <c r="K120" s="2">
        <v>1</v>
      </c>
    </row>
    <row r="121" spans="1:11">
      <c r="A121" s="3">
        <v>132</v>
      </c>
      <c r="B121" s="3" t="s">
        <v>69</v>
      </c>
      <c r="C121" s="2">
        <v>4</v>
      </c>
      <c r="D121" s="47">
        <v>614.35602649999998</v>
      </c>
      <c r="E121" s="47">
        <v>1</v>
      </c>
      <c r="F121" s="47">
        <v>7.7530000000000019</v>
      </c>
      <c r="G121" s="2">
        <f t="shared" si="12"/>
        <v>1</v>
      </c>
      <c r="H121" s="2">
        <f t="shared" si="13"/>
        <v>1</v>
      </c>
      <c r="I121" s="2">
        <f t="shared" si="14"/>
        <v>1</v>
      </c>
      <c r="J121" s="2">
        <f t="shared" si="15"/>
        <v>1</v>
      </c>
      <c r="K121" s="2">
        <v>1</v>
      </c>
    </row>
    <row r="122" spans="1:11">
      <c r="A122" s="3">
        <v>200</v>
      </c>
      <c r="B122" s="3" t="s">
        <v>29</v>
      </c>
      <c r="C122" s="2">
        <v>4</v>
      </c>
      <c r="D122" s="47">
        <v>600</v>
      </c>
      <c r="E122" s="47">
        <v>1</v>
      </c>
      <c r="F122" s="47">
        <v>24.614933333333333</v>
      </c>
      <c r="G122" s="2">
        <f t="shared" si="12"/>
        <v>1</v>
      </c>
      <c r="H122" s="2">
        <f t="shared" si="13"/>
        <v>1</v>
      </c>
      <c r="I122" s="2">
        <f t="shared" si="14"/>
        <v>1</v>
      </c>
      <c r="J122" s="2">
        <f t="shared" si="15"/>
        <v>1</v>
      </c>
      <c r="K122" s="2">
        <v>1</v>
      </c>
    </row>
    <row r="123" spans="1:11">
      <c r="A123" s="3">
        <v>226</v>
      </c>
      <c r="B123" s="3" t="s">
        <v>11</v>
      </c>
      <c r="C123" s="2">
        <v>4</v>
      </c>
      <c r="D123" s="47">
        <v>544.77022250000005</v>
      </c>
      <c r="E123" s="47">
        <v>1</v>
      </c>
      <c r="F123" s="47">
        <v>7.3852333333333329</v>
      </c>
      <c r="G123" s="2">
        <f t="shared" si="12"/>
        <v>1</v>
      </c>
      <c r="H123" s="2">
        <f t="shared" si="13"/>
        <v>1</v>
      </c>
      <c r="I123" s="2">
        <f t="shared" si="14"/>
        <v>1</v>
      </c>
      <c r="J123" s="2">
        <f t="shared" si="15"/>
        <v>1</v>
      </c>
      <c r="K123" s="2">
        <v>1</v>
      </c>
    </row>
    <row r="124" spans="1:11">
      <c r="A124" s="3">
        <v>243</v>
      </c>
      <c r="B124" s="3" t="s">
        <v>0</v>
      </c>
      <c r="C124" s="2">
        <v>4</v>
      </c>
      <c r="D124" s="47">
        <v>400</v>
      </c>
      <c r="E124" s="47">
        <v>1</v>
      </c>
      <c r="F124" s="47">
        <v>20.345999999999997</v>
      </c>
      <c r="G124" s="2">
        <f t="shared" si="12"/>
        <v>1</v>
      </c>
      <c r="H124" s="2">
        <f t="shared" si="13"/>
        <v>1</v>
      </c>
      <c r="I124" s="2">
        <f t="shared" si="14"/>
        <v>1</v>
      </c>
      <c r="J124" s="2">
        <f t="shared" si="15"/>
        <v>1</v>
      </c>
      <c r="K124" s="2">
        <v>1</v>
      </c>
    </row>
    <row r="125" spans="1:11">
      <c r="A125" s="12">
        <v>12</v>
      </c>
      <c r="B125" s="12" t="s">
        <v>149</v>
      </c>
      <c r="C125" s="13"/>
      <c r="E125" s="47">
        <v>1</v>
      </c>
      <c r="F125" s="47">
        <v>62.199933333333334</v>
      </c>
      <c r="G125" s="13"/>
      <c r="H125" s="13"/>
      <c r="I125" s="13"/>
      <c r="K125" s="13"/>
    </row>
    <row r="126" spans="1:11">
      <c r="A126" s="12">
        <v>16</v>
      </c>
      <c r="B126" s="12" t="s">
        <v>146</v>
      </c>
      <c r="C126" s="13"/>
      <c r="E126" s="47">
        <v>1</v>
      </c>
      <c r="F126" s="47">
        <v>52.109766666666658</v>
      </c>
      <c r="G126" s="13"/>
      <c r="H126" s="13"/>
      <c r="I126" s="13"/>
      <c r="K126" s="13"/>
    </row>
    <row r="127" spans="1:11">
      <c r="A127" s="12">
        <v>18</v>
      </c>
      <c r="B127" s="12" t="s">
        <v>145</v>
      </c>
      <c r="C127" s="13"/>
      <c r="E127" s="47">
        <v>1</v>
      </c>
      <c r="F127" s="47">
        <v>85.052999999999983</v>
      </c>
      <c r="G127" s="13"/>
      <c r="H127" s="13"/>
      <c r="I127" s="13"/>
      <c r="K127" s="13"/>
    </row>
    <row r="128" spans="1:11">
      <c r="A128" s="12">
        <v>21</v>
      </c>
      <c r="B128" s="12" t="s">
        <v>143</v>
      </c>
      <c r="C128" s="13"/>
      <c r="E128" s="47">
        <v>1</v>
      </c>
      <c r="F128" s="47">
        <v>50.605166666666655</v>
      </c>
      <c r="G128" s="13"/>
      <c r="H128" s="13"/>
      <c r="I128" s="13"/>
      <c r="K128" s="13"/>
    </row>
    <row r="129" spans="1:11">
      <c r="A129" s="12">
        <v>28</v>
      </c>
      <c r="B129" s="12" t="s">
        <v>139</v>
      </c>
      <c r="C129" s="13"/>
      <c r="E129" s="47">
        <v>1</v>
      </c>
      <c r="F129" s="47">
        <v>30.933900000000008</v>
      </c>
      <c r="G129" s="13"/>
      <c r="H129" s="13"/>
      <c r="I129" s="13"/>
      <c r="K129" s="13"/>
    </row>
    <row r="130" spans="1:11">
      <c r="A130" s="12">
        <v>51</v>
      </c>
      <c r="B130" s="12" t="s">
        <v>124</v>
      </c>
      <c r="C130" s="13"/>
      <c r="E130" s="47">
        <v>1</v>
      </c>
      <c r="F130" s="47">
        <v>28.027300000000018</v>
      </c>
      <c r="G130" s="13"/>
      <c r="H130" s="13"/>
      <c r="I130" s="13"/>
      <c r="K130" s="13">
        <v>1</v>
      </c>
    </row>
    <row r="131" spans="1:11">
      <c r="A131" s="12">
        <v>54</v>
      </c>
      <c r="B131" s="12" t="s">
        <v>122</v>
      </c>
      <c r="C131" s="13"/>
      <c r="E131" s="47">
        <v>1</v>
      </c>
      <c r="F131" s="47">
        <v>31.718266666666668</v>
      </c>
      <c r="G131" s="13"/>
      <c r="H131" s="13"/>
      <c r="I131" s="13"/>
      <c r="K131" s="13"/>
    </row>
    <row r="132" spans="1:11">
      <c r="A132" s="12">
        <v>55</v>
      </c>
      <c r="B132" s="12" t="s">
        <v>121</v>
      </c>
      <c r="C132" s="13"/>
      <c r="E132" s="47">
        <v>1</v>
      </c>
      <c r="F132" s="47">
        <v>44.522666666666659</v>
      </c>
      <c r="G132" s="13"/>
      <c r="H132" s="13"/>
      <c r="I132" s="13"/>
      <c r="K132" s="13"/>
    </row>
    <row r="133" spans="1:11">
      <c r="A133" s="12">
        <v>57</v>
      </c>
      <c r="B133" s="12" t="s">
        <v>119</v>
      </c>
      <c r="C133" s="13"/>
      <c r="E133" s="47">
        <v>1</v>
      </c>
      <c r="F133" s="47">
        <v>50.639133333333341</v>
      </c>
      <c r="G133" s="13"/>
      <c r="H133" s="13"/>
      <c r="I133" s="13"/>
      <c r="K133" s="13"/>
    </row>
    <row r="134" spans="1:11">
      <c r="A134" s="12">
        <v>67</v>
      </c>
      <c r="B134" s="12" t="s">
        <v>112</v>
      </c>
      <c r="C134" s="13"/>
      <c r="E134" s="47">
        <v>1</v>
      </c>
      <c r="F134" s="47">
        <v>13.400400000000001</v>
      </c>
      <c r="G134" s="13"/>
      <c r="H134" s="13"/>
      <c r="I134" s="13"/>
      <c r="K134" s="13">
        <v>1</v>
      </c>
    </row>
    <row r="135" spans="1:11">
      <c r="A135" s="12">
        <v>68</v>
      </c>
      <c r="B135" s="12" t="s">
        <v>111</v>
      </c>
      <c r="C135" s="13"/>
      <c r="E135" s="47">
        <v>1</v>
      </c>
      <c r="F135" s="47">
        <v>66.675333333333327</v>
      </c>
      <c r="G135" s="13"/>
      <c r="H135" s="13"/>
      <c r="I135" s="13"/>
      <c r="K135" s="13"/>
    </row>
    <row r="136" spans="1:11">
      <c r="A136" s="12">
        <v>80</v>
      </c>
      <c r="B136" s="12" t="s">
        <v>105</v>
      </c>
      <c r="C136" s="13"/>
      <c r="E136" s="47">
        <v>1</v>
      </c>
      <c r="F136" s="47">
        <v>50.137566666666672</v>
      </c>
      <c r="G136" s="13"/>
      <c r="H136" s="13"/>
      <c r="I136" s="13"/>
      <c r="K136" s="13"/>
    </row>
    <row r="137" spans="1:11">
      <c r="A137" s="12">
        <v>98</v>
      </c>
      <c r="B137" s="12" t="s">
        <v>96</v>
      </c>
      <c r="C137" s="13"/>
      <c r="E137" s="47">
        <v>1</v>
      </c>
      <c r="G137" s="13"/>
      <c r="H137" s="13"/>
      <c r="I137" s="13"/>
      <c r="K137" s="13"/>
    </row>
    <row r="138" spans="1:11">
      <c r="A138" s="12">
        <v>113</v>
      </c>
      <c r="B138" s="12" t="s">
        <v>84</v>
      </c>
      <c r="C138" s="13"/>
      <c r="E138" s="47">
        <v>1</v>
      </c>
      <c r="F138" s="47">
        <v>51.906300000000009</v>
      </c>
      <c r="G138" s="13"/>
      <c r="H138" s="13"/>
      <c r="I138" s="13"/>
      <c r="K138" s="13"/>
    </row>
    <row r="139" spans="1:11">
      <c r="A139" s="12">
        <v>119</v>
      </c>
      <c r="B139" s="12" t="s">
        <v>79</v>
      </c>
      <c r="C139" s="13"/>
      <c r="E139" s="47">
        <v>1</v>
      </c>
      <c r="F139" s="47">
        <v>37.474266666666672</v>
      </c>
      <c r="G139" s="13"/>
      <c r="H139" s="13"/>
      <c r="I139" s="13"/>
      <c r="K139" s="13"/>
    </row>
    <row r="140" spans="1:11">
      <c r="A140" s="12">
        <v>120</v>
      </c>
      <c r="B140" s="12" t="s">
        <v>78</v>
      </c>
      <c r="C140" s="13"/>
      <c r="E140" s="47">
        <v>1</v>
      </c>
      <c r="F140" s="47">
        <v>11.275100000000002</v>
      </c>
      <c r="G140" s="13"/>
      <c r="H140" s="13"/>
      <c r="I140" s="13"/>
      <c r="K140" s="13"/>
    </row>
    <row r="141" spans="1:11">
      <c r="A141" s="12">
        <v>121</v>
      </c>
      <c r="B141" s="12" t="s">
        <v>77</v>
      </c>
      <c r="C141" s="13"/>
      <c r="E141" s="47">
        <v>1</v>
      </c>
      <c r="F141" s="47">
        <v>63.342300000000002</v>
      </c>
      <c r="G141" s="13"/>
      <c r="H141" s="13"/>
      <c r="I141" s="13"/>
      <c r="K141" s="13"/>
    </row>
    <row r="142" spans="1:11">
      <c r="A142" s="12">
        <v>127</v>
      </c>
      <c r="B142" s="12" t="s">
        <v>72</v>
      </c>
      <c r="C142" s="13"/>
      <c r="E142" s="47">
        <v>1</v>
      </c>
      <c r="F142" s="47">
        <v>55.36996666666667</v>
      </c>
      <c r="G142" s="13"/>
      <c r="H142" s="13"/>
      <c r="I142" s="13"/>
      <c r="K142" s="13"/>
    </row>
    <row r="143" spans="1:11">
      <c r="A143" s="12">
        <v>130</v>
      </c>
      <c r="B143" s="12" t="s">
        <v>71</v>
      </c>
      <c r="C143" s="13"/>
      <c r="E143" s="47">
        <v>1</v>
      </c>
      <c r="F143" s="47">
        <v>49.241566666666678</v>
      </c>
      <c r="G143" s="13"/>
      <c r="H143" s="13"/>
      <c r="I143" s="13"/>
      <c r="K143" s="13"/>
    </row>
    <row r="144" spans="1:11">
      <c r="A144" s="12">
        <v>140</v>
      </c>
      <c r="B144" s="12" t="s">
        <v>65</v>
      </c>
      <c r="C144" s="13"/>
      <c r="E144" s="47">
        <v>1</v>
      </c>
      <c r="F144" s="47">
        <v>41.126800000000003</v>
      </c>
      <c r="G144" s="13"/>
      <c r="H144" s="13"/>
      <c r="I144" s="13"/>
      <c r="K144" s="13"/>
    </row>
    <row r="145" spans="1:11">
      <c r="A145" s="12">
        <v>144</v>
      </c>
      <c r="B145" s="12" t="s">
        <v>63</v>
      </c>
      <c r="C145" s="13"/>
      <c r="E145" s="47">
        <v>1</v>
      </c>
      <c r="F145" s="47">
        <v>36.307633333333335</v>
      </c>
      <c r="G145" s="13"/>
      <c r="H145" s="13"/>
      <c r="I145" s="13"/>
      <c r="K145" s="13"/>
    </row>
    <row r="146" spans="1:11">
      <c r="A146" s="12">
        <v>165</v>
      </c>
      <c r="B146" s="12" t="s">
        <v>50</v>
      </c>
      <c r="C146" s="13"/>
      <c r="E146" s="47">
        <v>1</v>
      </c>
      <c r="F146" s="47">
        <v>40.179700000000004</v>
      </c>
      <c r="G146" s="13"/>
      <c r="H146" s="13"/>
      <c r="I146" s="13"/>
      <c r="K146" s="13"/>
    </row>
    <row r="147" spans="1:11">
      <c r="A147" s="12">
        <v>168</v>
      </c>
      <c r="B147" s="12" t="s">
        <v>48</v>
      </c>
      <c r="C147" s="13"/>
      <c r="E147" s="47">
        <v>1</v>
      </c>
      <c r="G147" s="13"/>
      <c r="H147" s="13"/>
      <c r="I147" s="13"/>
      <c r="K147" s="13"/>
    </row>
    <row r="148" spans="1:11">
      <c r="A148" s="12">
        <v>178</v>
      </c>
      <c r="B148" s="12" t="s">
        <v>39</v>
      </c>
      <c r="C148" s="13"/>
      <c r="E148" s="47">
        <v>1</v>
      </c>
      <c r="F148" s="47">
        <v>88.959233333333316</v>
      </c>
      <c r="G148" s="13"/>
      <c r="H148" s="13"/>
      <c r="I148" s="13"/>
      <c r="K148" s="13"/>
    </row>
    <row r="149" spans="1:11">
      <c r="A149" s="12">
        <v>196</v>
      </c>
      <c r="B149" s="12" t="s">
        <v>32</v>
      </c>
      <c r="C149" s="13"/>
      <c r="E149" s="47">
        <v>1</v>
      </c>
      <c r="F149" s="47">
        <v>100</v>
      </c>
      <c r="G149" s="13"/>
      <c r="H149" s="13"/>
      <c r="I149" s="13"/>
      <c r="K149" s="13"/>
    </row>
    <row r="150" spans="1:11">
      <c r="A150" s="12">
        <v>197</v>
      </c>
      <c r="B150" s="12" t="s">
        <v>31</v>
      </c>
      <c r="C150" s="13"/>
      <c r="E150" s="47">
        <v>1</v>
      </c>
      <c r="F150" s="47">
        <v>46.24186666666666</v>
      </c>
      <c r="G150" s="13"/>
      <c r="H150" s="13"/>
      <c r="I150" s="13"/>
      <c r="K150" s="13"/>
    </row>
    <row r="151" spans="1:11">
      <c r="A151" s="12">
        <v>198</v>
      </c>
      <c r="B151" s="12" t="s">
        <v>30</v>
      </c>
      <c r="C151" s="13"/>
      <c r="E151" s="47">
        <v>1</v>
      </c>
      <c r="F151" s="47">
        <v>41.834933333333339</v>
      </c>
      <c r="G151" s="13"/>
      <c r="H151" s="13"/>
      <c r="I151" s="13"/>
      <c r="K151" s="13"/>
    </row>
    <row r="152" spans="1:11">
      <c r="A152" s="12">
        <v>213</v>
      </c>
      <c r="B152" s="12" t="s">
        <v>20</v>
      </c>
      <c r="C152" s="13"/>
      <c r="E152" s="47">
        <v>1</v>
      </c>
      <c r="F152" s="47">
        <v>34.55833333333333</v>
      </c>
      <c r="G152" s="13"/>
      <c r="H152" s="13"/>
      <c r="I152" s="13"/>
      <c r="K152" s="13"/>
    </row>
    <row r="153" spans="1:11">
      <c r="A153" s="12">
        <v>216</v>
      </c>
      <c r="B153" s="12" t="s">
        <v>17</v>
      </c>
      <c r="C153" s="13"/>
      <c r="E153" s="47">
        <v>1</v>
      </c>
      <c r="F153" s="47">
        <v>15.06993333333333</v>
      </c>
      <c r="G153" s="13"/>
      <c r="H153" s="13"/>
      <c r="I153" s="13"/>
      <c r="K153" s="13"/>
    </row>
    <row r="154" spans="1:11">
      <c r="A154" s="12">
        <v>223</v>
      </c>
      <c r="B154" s="12" t="s">
        <v>12</v>
      </c>
      <c r="C154" s="13"/>
      <c r="E154" s="47">
        <v>1</v>
      </c>
      <c r="F154" s="47">
        <v>46.856633333333342</v>
      </c>
      <c r="G154" s="13"/>
      <c r="H154" s="13"/>
      <c r="I154" s="13"/>
      <c r="K154" s="13"/>
    </row>
    <row r="155" spans="1:11">
      <c r="A155" s="12">
        <v>227</v>
      </c>
      <c r="B155" s="12" t="s">
        <v>10</v>
      </c>
      <c r="C155" s="13"/>
      <c r="E155" s="47">
        <v>1</v>
      </c>
      <c r="F155" s="47">
        <v>58.169000000000004</v>
      </c>
      <c r="G155" s="13"/>
      <c r="H155" s="13"/>
      <c r="I155" s="13"/>
      <c r="K155" s="13"/>
    </row>
    <row r="156" spans="1:11">
      <c r="A156" s="12">
        <v>233</v>
      </c>
      <c r="B156" s="12" t="s">
        <v>5</v>
      </c>
      <c r="C156" s="13"/>
      <c r="E156" s="47">
        <v>1</v>
      </c>
      <c r="F156" s="47">
        <v>38.381400000000006</v>
      </c>
      <c r="G156" s="13"/>
      <c r="H156" s="13"/>
      <c r="I156" s="13"/>
      <c r="K156" s="13"/>
    </row>
  </sheetData>
  <sortState ref="A2:K156">
    <sortCondition ref="C2:C178"/>
    <sortCondition descending="1" ref="D2:D178"/>
  </sortState>
  <mergeCells count="12">
    <mergeCell ref="O2:P2"/>
    <mergeCell ref="M4:M5"/>
    <mergeCell ref="M2:N3"/>
    <mergeCell ref="Y2:Z3"/>
    <mergeCell ref="AA2:AB2"/>
    <mergeCell ref="Y4:Y5"/>
    <mergeCell ref="Q2:R3"/>
    <mergeCell ref="S2:T2"/>
    <mergeCell ref="Q4:Q5"/>
    <mergeCell ref="U2:V3"/>
    <mergeCell ref="W2:X2"/>
    <mergeCell ref="U4:U5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15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" sqref="A1:F1048576"/>
    </sheetView>
  </sheetViews>
  <sheetFormatPr baseColWidth="10" defaultColWidth="8.83203125" defaultRowHeight="14"/>
  <cols>
    <col min="1" max="2" width="9.1640625" style="1"/>
    <col min="3" max="12" width="9.1640625" style="2"/>
  </cols>
  <sheetData>
    <row r="1" spans="1:28" ht="15" thickBot="1">
      <c r="A1" s="1" t="s">
        <v>159</v>
      </c>
      <c r="B1" s="1" t="s">
        <v>158</v>
      </c>
      <c r="C1" s="2" t="s">
        <v>157</v>
      </c>
      <c r="D1" s="2" t="s">
        <v>156</v>
      </c>
      <c r="E1" s="2" t="s">
        <v>161</v>
      </c>
      <c r="F1" s="2" t="s">
        <v>160</v>
      </c>
      <c r="G1" s="11" t="s">
        <v>172</v>
      </c>
      <c r="H1" s="11" t="s">
        <v>173</v>
      </c>
      <c r="I1" s="11" t="s">
        <v>174</v>
      </c>
      <c r="J1" s="11" t="s">
        <v>178</v>
      </c>
      <c r="K1" s="2" t="s">
        <v>155</v>
      </c>
      <c r="M1" s="11" t="s">
        <v>172</v>
      </c>
      <c r="Q1" t="s">
        <v>173</v>
      </c>
      <c r="U1" t="s">
        <v>174</v>
      </c>
      <c r="Y1" t="s">
        <v>178</v>
      </c>
    </row>
    <row r="2" spans="1:28">
      <c r="A2" s="3">
        <v>228</v>
      </c>
      <c r="B2" s="3" t="s">
        <v>9</v>
      </c>
      <c r="C2" s="2">
        <v>1</v>
      </c>
      <c r="D2" s="2">
        <v>84127.607050000006</v>
      </c>
      <c r="E2" s="2">
        <v>0</v>
      </c>
      <c r="F2" s="2">
        <v>78.386933333333317</v>
      </c>
      <c r="G2" s="2">
        <f>IF(E2=1,IF(D2&gt;$N$6,0,IF(F2&gt;=$N$7,0,1)),0)</f>
        <v>0</v>
      </c>
      <c r="H2" s="2">
        <f>IF(D2&gt;$R$6,0,IF(F2&gt;=$R$7,0,1))</f>
        <v>0</v>
      </c>
      <c r="I2" s="2">
        <f>IF(E2=1,IF(D2&lt;$V$6,1,0),0)</f>
        <v>0</v>
      </c>
      <c r="J2" s="2">
        <f t="shared" ref="J2:J33" si="0">IF(E2=1,IF(F2&lt;$Z$7,1,0),0)</f>
        <v>0</v>
      </c>
      <c r="K2" s="11">
        <v>0</v>
      </c>
      <c r="M2" s="69" t="s">
        <v>175</v>
      </c>
      <c r="N2" s="70"/>
      <c r="O2" s="65" t="s">
        <v>170</v>
      </c>
      <c r="P2" s="66"/>
      <c r="Q2" s="69" t="s">
        <v>176</v>
      </c>
      <c r="R2" s="70"/>
      <c r="S2" s="65" t="s">
        <v>170</v>
      </c>
      <c r="T2" s="66"/>
      <c r="U2" s="69" t="s">
        <v>177</v>
      </c>
      <c r="V2" s="70"/>
      <c r="W2" s="65" t="s">
        <v>170</v>
      </c>
      <c r="X2" s="66"/>
      <c r="Y2" s="69" t="s">
        <v>179</v>
      </c>
      <c r="Z2" s="70"/>
      <c r="AA2" s="65" t="s">
        <v>170</v>
      </c>
      <c r="AB2" s="66"/>
    </row>
    <row r="3" spans="1:28">
      <c r="A3" s="3">
        <v>210</v>
      </c>
      <c r="B3" s="3" t="s">
        <v>22</v>
      </c>
      <c r="C3" s="2">
        <v>1</v>
      </c>
      <c r="D3" s="2">
        <v>30299.480240000001</v>
      </c>
      <c r="E3" s="2">
        <v>0</v>
      </c>
      <c r="F3" s="2">
        <v>59.261000000000003</v>
      </c>
      <c r="G3" s="2">
        <f t="shared" ref="G3:G66" si="1">IF(E3=1,IF(D3&gt;$N$6,0,IF(F3&gt;=$N$7,0,1)),0)</f>
        <v>0</v>
      </c>
      <c r="H3" s="2">
        <f t="shared" ref="H3:H66" si="2">IF(D3&gt;$R$6,0,IF(F3&gt;=$R$7,0,1))</f>
        <v>0</v>
      </c>
      <c r="I3" s="2">
        <f t="shared" ref="I3:I66" si="3">IF(E3=1,IF(D3&lt;$V$6,1,0),0)</f>
        <v>0</v>
      </c>
      <c r="J3" s="2">
        <f t="shared" si="0"/>
        <v>0</v>
      </c>
      <c r="K3" s="11">
        <v>0</v>
      </c>
      <c r="M3" s="71"/>
      <c r="N3" s="72"/>
      <c r="O3" s="6" t="s">
        <v>162</v>
      </c>
      <c r="P3" s="16" t="s">
        <v>163</v>
      </c>
      <c r="Q3" s="71"/>
      <c r="R3" s="72"/>
      <c r="S3" s="6" t="s">
        <v>162</v>
      </c>
      <c r="T3" s="16" t="s">
        <v>163</v>
      </c>
      <c r="U3" s="71"/>
      <c r="V3" s="72"/>
      <c r="W3" s="6" t="s">
        <v>162</v>
      </c>
      <c r="X3" s="16" t="s">
        <v>163</v>
      </c>
      <c r="Y3" s="71"/>
      <c r="Z3" s="72"/>
      <c r="AA3" s="6" t="s">
        <v>162</v>
      </c>
      <c r="AB3" s="16" t="s">
        <v>163</v>
      </c>
    </row>
    <row r="4" spans="1:28">
      <c r="A4" s="3">
        <v>164</v>
      </c>
      <c r="B4" s="3" t="s">
        <v>51</v>
      </c>
      <c r="C4" s="2">
        <v>1</v>
      </c>
      <c r="D4" s="2">
        <v>29664.009900000001</v>
      </c>
      <c r="E4" s="2">
        <v>0</v>
      </c>
      <c r="F4" s="2">
        <v>66.024599999999992</v>
      </c>
      <c r="G4" s="2">
        <f t="shared" si="1"/>
        <v>0</v>
      </c>
      <c r="H4" s="2">
        <f t="shared" si="2"/>
        <v>0</v>
      </c>
      <c r="I4" s="2">
        <f t="shared" si="3"/>
        <v>0</v>
      </c>
      <c r="J4" s="2">
        <f t="shared" si="0"/>
        <v>0</v>
      </c>
      <c r="K4" s="11">
        <v>0</v>
      </c>
      <c r="M4" s="67" t="s">
        <v>171</v>
      </c>
      <c r="N4" s="7" t="s">
        <v>162</v>
      </c>
      <c r="O4" s="8">
        <f>COUNTIFS(G2:G124,"=1",K2:K124,"=1")</f>
        <v>12</v>
      </c>
      <c r="P4" s="17">
        <f>COUNTIFS(G2:G124,"=0",K2:K124,"=1")</f>
        <v>3</v>
      </c>
      <c r="Q4" s="67" t="s">
        <v>171</v>
      </c>
      <c r="R4" s="7" t="s">
        <v>162</v>
      </c>
      <c r="S4" s="8">
        <f>COUNTIFS(H2:H124,"=1",K2:K124,"=1")</f>
        <v>15</v>
      </c>
      <c r="T4" s="17">
        <f>COUNTIFS(H2:H124,"=0",K2:K124,"=1")</f>
        <v>0</v>
      </c>
      <c r="U4" s="67" t="s">
        <v>171</v>
      </c>
      <c r="V4" s="7" t="s">
        <v>162</v>
      </c>
      <c r="W4" s="8">
        <f>COUNTIFS(I2:I124,"=1",K2:K124,"=1")</f>
        <v>12</v>
      </c>
      <c r="X4" s="17">
        <f>COUNTIFS(I2:I124,"=0",K2:K124,"=1")</f>
        <v>3</v>
      </c>
      <c r="Y4" s="67" t="s">
        <v>171</v>
      </c>
      <c r="Z4" s="7" t="s">
        <v>162</v>
      </c>
      <c r="AA4" s="8">
        <f>COUNTIFS(J2:J124,"=1",K2:K124,"=1")</f>
        <v>12</v>
      </c>
      <c r="AB4" s="17">
        <f>COUNTIFS(J2:J124,"=0",K2:K124,"=1")</f>
        <v>3</v>
      </c>
    </row>
    <row r="5" spans="1:28">
      <c r="A5" s="3">
        <v>118</v>
      </c>
      <c r="B5" s="3" t="s">
        <v>80</v>
      </c>
      <c r="C5" s="2">
        <v>1</v>
      </c>
      <c r="D5" s="2">
        <v>26520.201880000001</v>
      </c>
      <c r="E5" s="2">
        <v>0</v>
      </c>
      <c r="F5" s="2">
        <v>89.290600000000012</v>
      </c>
      <c r="G5" s="2">
        <f t="shared" si="1"/>
        <v>0</v>
      </c>
      <c r="H5" s="2">
        <f t="shared" si="2"/>
        <v>0</v>
      </c>
      <c r="I5" s="2">
        <f t="shared" si="3"/>
        <v>0</v>
      </c>
      <c r="J5" s="2">
        <f t="shared" si="0"/>
        <v>0</v>
      </c>
      <c r="K5" s="11">
        <v>0</v>
      </c>
      <c r="M5" s="68"/>
      <c r="N5" s="9" t="s">
        <v>163</v>
      </c>
      <c r="O5" s="10">
        <f>COUNTIFS(G2:G124,"=1",K2:K124,"=0")</f>
        <v>5</v>
      </c>
      <c r="P5" s="18">
        <f>COUNTIFS(G2:G124,"=0",K2:K124,"=0")</f>
        <v>102</v>
      </c>
      <c r="Q5" s="68"/>
      <c r="R5" s="9" t="s">
        <v>163</v>
      </c>
      <c r="S5" s="10">
        <f>COUNTIFS(H2:H124,"=1",K2:K124,"=0")</f>
        <v>26</v>
      </c>
      <c r="T5" s="18">
        <f>COUNTIFS(H2:H124,"=0",K2:K124,"=0")</f>
        <v>82</v>
      </c>
      <c r="U5" s="68"/>
      <c r="V5" s="9" t="s">
        <v>163</v>
      </c>
      <c r="W5" s="10">
        <f>COUNTIFS(I2:I124,"=1",K2:K124,"=0")</f>
        <v>18</v>
      </c>
      <c r="X5" s="18">
        <f>COUNTIFS(I2:I124,"=0",K2:K124,"=0")</f>
        <v>90</v>
      </c>
      <c r="Y5" s="68"/>
      <c r="Z5" s="9" t="s">
        <v>163</v>
      </c>
      <c r="AA5" s="10">
        <f>COUNTIFS(J2:J124,"=1",K2:K124,"=0")</f>
        <v>6</v>
      </c>
      <c r="AB5" s="18">
        <f>COUNTIFS(J2:J124,"=0",K2:K124,"=0")</f>
        <v>102</v>
      </c>
    </row>
    <row r="6" spans="1:28">
      <c r="A6" s="3">
        <v>58</v>
      </c>
      <c r="B6" s="3" t="s">
        <v>118</v>
      </c>
      <c r="C6" s="2">
        <v>1</v>
      </c>
      <c r="D6" s="2">
        <v>25000</v>
      </c>
      <c r="E6" s="2">
        <v>0</v>
      </c>
      <c r="F6" s="2">
        <v>69.303033333333332</v>
      </c>
      <c r="G6" s="2">
        <f t="shared" si="1"/>
        <v>0</v>
      </c>
      <c r="H6" s="2">
        <f t="shared" si="2"/>
        <v>0</v>
      </c>
      <c r="I6" s="2">
        <f t="shared" si="3"/>
        <v>0</v>
      </c>
      <c r="J6" s="2">
        <f t="shared" si="0"/>
        <v>0</v>
      </c>
      <c r="K6" s="11">
        <v>0</v>
      </c>
      <c r="M6" s="19" t="s">
        <v>164</v>
      </c>
      <c r="N6" s="14">
        <v>10000</v>
      </c>
      <c r="O6" s="4" t="s">
        <v>166</v>
      </c>
      <c r="P6" s="20">
        <f>SUM(O4:P5)</f>
        <v>122</v>
      </c>
      <c r="Q6" s="19" t="s">
        <v>164</v>
      </c>
      <c r="R6" s="14">
        <v>10000</v>
      </c>
      <c r="S6" s="4" t="s">
        <v>166</v>
      </c>
      <c r="T6" s="20">
        <f>SUM(S4:T5)</f>
        <v>123</v>
      </c>
      <c r="U6" s="19" t="s">
        <v>164</v>
      </c>
      <c r="V6" s="14">
        <v>10000</v>
      </c>
      <c r="W6" s="4" t="s">
        <v>166</v>
      </c>
      <c r="X6" s="20">
        <f>SUM(W4:X5)</f>
        <v>123</v>
      </c>
      <c r="Y6" s="19" t="s">
        <v>164</v>
      </c>
      <c r="Z6" s="14">
        <v>10000</v>
      </c>
      <c r="AA6" s="4" t="s">
        <v>166</v>
      </c>
      <c r="AB6" s="20">
        <f>SUM(AA4:AB5)</f>
        <v>123</v>
      </c>
    </row>
    <row r="7" spans="1:28">
      <c r="A7" s="3">
        <v>15</v>
      </c>
      <c r="B7" s="3" t="s">
        <v>147</v>
      </c>
      <c r="C7" s="2">
        <v>1</v>
      </c>
      <c r="D7" s="2">
        <v>22919.096699999998</v>
      </c>
      <c r="E7" s="2">
        <v>0</v>
      </c>
      <c r="F7" s="2">
        <v>65.319000000000031</v>
      </c>
      <c r="G7" s="2">
        <f t="shared" si="1"/>
        <v>0</v>
      </c>
      <c r="H7" s="2">
        <f t="shared" si="2"/>
        <v>0</v>
      </c>
      <c r="I7" s="2">
        <f t="shared" si="3"/>
        <v>0</v>
      </c>
      <c r="J7" s="2">
        <f t="shared" si="0"/>
        <v>0</v>
      </c>
      <c r="K7" s="11">
        <v>0</v>
      </c>
      <c r="M7" s="21" t="s">
        <v>165</v>
      </c>
      <c r="N7" s="15">
        <v>25</v>
      </c>
      <c r="O7" s="5" t="s">
        <v>168</v>
      </c>
      <c r="P7" s="22">
        <f>SUM(G2:G124)</f>
        <v>17</v>
      </c>
      <c r="Q7" s="21" t="s">
        <v>165</v>
      </c>
      <c r="R7" s="15">
        <v>25</v>
      </c>
      <c r="S7" s="5" t="s">
        <v>168</v>
      </c>
      <c r="T7" s="22">
        <f>SUM(H2:H124)</f>
        <v>41</v>
      </c>
      <c r="U7" s="21" t="s">
        <v>165</v>
      </c>
      <c r="V7" s="15">
        <v>25</v>
      </c>
      <c r="W7" s="5" t="s">
        <v>168</v>
      </c>
      <c r="X7" s="22">
        <f>SUM(I2:I124)</f>
        <v>30</v>
      </c>
      <c r="Y7" s="21" t="s">
        <v>165</v>
      </c>
      <c r="Z7" s="15">
        <v>25</v>
      </c>
      <c r="AA7" s="5" t="s">
        <v>168</v>
      </c>
      <c r="AB7" s="22">
        <f>SUM(N2:N124)</f>
        <v>10118.442622950819</v>
      </c>
    </row>
    <row r="8" spans="1:28" ht="15" thickBot="1">
      <c r="A8" s="3">
        <v>81</v>
      </c>
      <c r="B8" s="3" t="s">
        <v>104</v>
      </c>
      <c r="C8" s="2">
        <v>1</v>
      </c>
      <c r="D8" s="2">
        <v>22853.3475</v>
      </c>
      <c r="E8" s="2">
        <v>0</v>
      </c>
      <c r="F8" s="2">
        <v>72.461399999999998</v>
      </c>
      <c r="G8" s="2">
        <f t="shared" si="1"/>
        <v>0</v>
      </c>
      <c r="H8" s="2">
        <f t="shared" si="2"/>
        <v>0</v>
      </c>
      <c r="I8" s="2">
        <f t="shared" si="3"/>
        <v>0</v>
      </c>
      <c r="J8" s="2">
        <f t="shared" si="0"/>
        <v>0</v>
      </c>
      <c r="K8" s="11">
        <v>0</v>
      </c>
      <c r="M8" s="23" t="s">
        <v>167</v>
      </c>
      <c r="N8" s="27">
        <f>(O4+P5)/SUM(O4:P5)*100</f>
        <v>93.442622950819683</v>
      </c>
      <c r="O8" s="24" t="s">
        <v>169</v>
      </c>
      <c r="P8" s="25">
        <f>SUM(K2:K124)</f>
        <v>15</v>
      </c>
      <c r="Q8" s="23" t="s">
        <v>167</v>
      </c>
      <c r="R8" s="27">
        <f>(S4+T5)/SUM(S4:T5)*100</f>
        <v>78.861788617886177</v>
      </c>
      <c r="S8" s="24" t="s">
        <v>169</v>
      </c>
      <c r="T8" s="25">
        <f>SUM(K2:K124)</f>
        <v>15</v>
      </c>
      <c r="U8" s="23" t="s">
        <v>167</v>
      </c>
      <c r="V8" s="27">
        <f>(W4+X5)/SUM(W4:X5)*100</f>
        <v>82.926829268292678</v>
      </c>
      <c r="W8" s="24" t="s">
        <v>169</v>
      </c>
      <c r="X8" s="25">
        <f>SUM(K2:K124)</f>
        <v>15</v>
      </c>
      <c r="Y8" s="23" t="s">
        <v>167</v>
      </c>
      <c r="Z8" s="27">
        <f>(AA4+AB5)/SUM(AA4:AB5)*100</f>
        <v>92.682926829268297</v>
      </c>
      <c r="AA8" s="24" t="s">
        <v>169</v>
      </c>
      <c r="AB8" s="25">
        <f>SUM(O2:O124)</f>
        <v>17</v>
      </c>
    </row>
    <row r="9" spans="1:28">
      <c r="A9" s="3">
        <v>209</v>
      </c>
      <c r="B9" s="3" t="s">
        <v>23</v>
      </c>
      <c r="C9" s="2">
        <v>1</v>
      </c>
      <c r="D9" s="2">
        <v>22502.77347</v>
      </c>
      <c r="E9" s="2">
        <v>0</v>
      </c>
      <c r="F9" s="2">
        <v>80.977166666666648</v>
      </c>
      <c r="G9" s="2">
        <f t="shared" si="1"/>
        <v>0</v>
      </c>
      <c r="H9" s="2">
        <f t="shared" si="2"/>
        <v>0</v>
      </c>
      <c r="I9" s="2">
        <f t="shared" si="3"/>
        <v>0</v>
      </c>
      <c r="J9" s="2">
        <f t="shared" si="0"/>
        <v>0</v>
      </c>
      <c r="K9" s="11">
        <v>0</v>
      </c>
    </row>
    <row r="10" spans="1:28">
      <c r="A10" s="3">
        <v>191</v>
      </c>
      <c r="B10" s="3" t="s">
        <v>35</v>
      </c>
      <c r="C10" s="2">
        <v>1</v>
      </c>
      <c r="D10" s="2">
        <v>22209.258890000001</v>
      </c>
      <c r="E10" s="2">
        <v>0</v>
      </c>
      <c r="F10" s="2">
        <v>57.123966666666661</v>
      </c>
      <c r="G10" s="2">
        <f t="shared" si="1"/>
        <v>0</v>
      </c>
      <c r="H10" s="2">
        <f t="shared" si="2"/>
        <v>0</v>
      </c>
      <c r="I10" s="2">
        <f t="shared" si="3"/>
        <v>0</v>
      </c>
      <c r="J10" s="2">
        <f t="shared" si="0"/>
        <v>0</v>
      </c>
      <c r="K10" s="11">
        <v>0</v>
      </c>
    </row>
    <row r="11" spans="1:28">
      <c r="A11" s="3">
        <v>74</v>
      </c>
      <c r="B11" s="3" t="s">
        <v>108</v>
      </c>
      <c r="C11" s="2">
        <v>1</v>
      </c>
      <c r="D11" s="2">
        <v>21928.429629999999</v>
      </c>
      <c r="E11" s="2">
        <v>0</v>
      </c>
      <c r="F11" s="2">
        <v>71.194933333333353</v>
      </c>
      <c r="G11" s="2">
        <f t="shared" si="1"/>
        <v>0</v>
      </c>
      <c r="H11" s="2">
        <f t="shared" si="2"/>
        <v>0</v>
      </c>
      <c r="I11" s="2">
        <f t="shared" si="3"/>
        <v>0</v>
      </c>
      <c r="J11" s="2">
        <f t="shared" si="0"/>
        <v>0</v>
      </c>
      <c r="K11" s="11">
        <v>0</v>
      </c>
    </row>
    <row r="12" spans="1:28">
      <c r="A12" s="3">
        <v>110</v>
      </c>
      <c r="B12" s="3" t="s">
        <v>86</v>
      </c>
      <c r="C12" s="2">
        <v>1</v>
      </c>
      <c r="D12" s="2">
        <v>21875.399990000002</v>
      </c>
      <c r="E12" s="2">
        <v>0</v>
      </c>
      <c r="F12" s="2">
        <v>73.343033333333324</v>
      </c>
      <c r="G12" s="2">
        <f t="shared" si="1"/>
        <v>0</v>
      </c>
      <c r="H12" s="2">
        <f t="shared" si="2"/>
        <v>0</v>
      </c>
      <c r="I12" s="2">
        <f t="shared" si="3"/>
        <v>0</v>
      </c>
      <c r="J12" s="2">
        <f t="shared" si="0"/>
        <v>0</v>
      </c>
      <c r="K12" s="11">
        <v>0</v>
      </c>
    </row>
    <row r="13" spans="1:28">
      <c r="A13" s="3">
        <v>73</v>
      </c>
      <c r="B13" s="3" t="s">
        <v>109</v>
      </c>
      <c r="C13" s="2">
        <v>1</v>
      </c>
      <c r="D13" s="2">
        <v>20449.50517</v>
      </c>
      <c r="E13" s="2">
        <v>0</v>
      </c>
      <c r="F13" s="2">
        <v>68.077366666666663</v>
      </c>
      <c r="G13" s="2">
        <f t="shared" si="1"/>
        <v>0</v>
      </c>
      <c r="H13" s="2">
        <f t="shared" si="2"/>
        <v>0</v>
      </c>
      <c r="I13" s="2">
        <f t="shared" si="3"/>
        <v>0</v>
      </c>
      <c r="J13" s="2">
        <f t="shared" si="0"/>
        <v>0</v>
      </c>
      <c r="K13" s="11">
        <v>0</v>
      </c>
    </row>
    <row r="14" spans="1:28">
      <c r="A14" s="3">
        <v>157</v>
      </c>
      <c r="B14" s="3" t="s">
        <v>55</v>
      </c>
      <c r="C14" s="2">
        <v>1</v>
      </c>
      <c r="D14" s="2">
        <v>18754.85917</v>
      </c>
      <c r="E14" s="2">
        <v>0</v>
      </c>
      <c r="F14" s="2">
        <v>81.852733333333362</v>
      </c>
      <c r="G14" s="2">
        <f t="shared" si="1"/>
        <v>0</v>
      </c>
      <c r="H14" s="2">
        <f t="shared" si="2"/>
        <v>0</v>
      </c>
      <c r="I14" s="2">
        <f t="shared" si="3"/>
        <v>0</v>
      </c>
      <c r="J14" s="2">
        <f t="shared" si="0"/>
        <v>0</v>
      </c>
      <c r="K14" s="11">
        <v>0</v>
      </c>
    </row>
    <row r="15" spans="1:28">
      <c r="A15" s="3">
        <v>203</v>
      </c>
      <c r="B15" s="3" t="s">
        <v>27</v>
      </c>
      <c r="C15" s="2">
        <v>1</v>
      </c>
      <c r="D15" s="2">
        <v>16883.63193</v>
      </c>
      <c r="E15" s="2">
        <v>0</v>
      </c>
      <c r="F15" s="2">
        <v>68.620899999999992</v>
      </c>
      <c r="G15" s="2">
        <f t="shared" si="1"/>
        <v>0</v>
      </c>
      <c r="H15" s="2">
        <f t="shared" si="2"/>
        <v>0</v>
      </c>
      <c r="I15" s="2">
        <f t="shared" si="3"/>
        <v>0</v>
      </c>
      <c r="J15" s="2">
        <f t="shared" si="0"/>
        <v>0</v>
      </c>
      <c r="K15" s="11">
        <v>0</v>
      </c>
    </row>
    <row r="16" spans="1:28">
      <c r="A16" s="3">
        <v>84</v>
      </c>
      <c r="B16" s="3" t="s">
        <v>102</v>
      </c>
      <c r="C16" s="2">
        <v>1</v>
      </c>
      <c r="D16" s="2">
        <v>16659.471799999999</v>
      </c>
      <c r="E16" s="2">
        <v>0</v>
      </c>
      <c r="F16" s="2">
        <v>53.996200000000009</v>
      </c>
      <c r="G16" s="2">
        <f t="shared" si="1"/>
        <v>0</v>
      </c>
      <c r="H16" s="2">
        <f t="shared" si="2"/>
        <v>0</v>
      </c>
      <c r="I16" s="2">
        <f t="shared" si="3"/>
        <v>0</v>
      </c>
      <c r="J16" s="2">
        <f t="shared" si="0"/>
        <v>0</v>
      </c>
      <c r="K16" s="11">
        <v>0</v>
      </c>
    </row>
    <row r="17" spans="1:11">
      <c r="A17" s="3">
        <v>107</v>
      </c>
      <c r="B17" s="3" t="s">
        <v>89</v>
      </c>
      <c r="C17" s="2">
        <v>1</v>
      </c>
      <c r="D17" s="2">
        <v>16454.964189999999</v>
      </c>
      <c r="E17" s="2">
        <v>0</v>
      </c>
      <c r="F17" s="2">
        <v>85.857266666666661</v>
      </c>
      <c r="G17" s="2">
        <f t="shared" si="1"/>
        <v>0</v>
      </c>
      <c r="H17" s="2">
        <f t="shared" si="2"/>
        <v>0</v>
      </c>
      <c r="I17" s="2">
        <f t="shared" si="3"/>
        <v>0</v>
      </c>
      <c r="J17" s="2">
        <f t="shared" si="0"/>
        <v>0</v>
      </c>
      <c r="K17" s="11">
        <v>0</v>
      </c>
    </row>
    <row r="18" spans="1:11">
      <c r="A18" s="3">
        <v>78</v>
      </c>
      <c r="B18" s="3" t="s">
        <v>107</v>
      </c>
      <c r="C18" s="2">
        <v>1</v>
      </c>
      <c r="D18" s="2">
        <v>15656.95959</v>
      </c>
      <c r="E18" s="2">
        <v>0</v>
      </c>
      <c r="F18" s="2">
        <v>44.045833333333334</v>
      </c>
      <c r="G18" s="2">
        <f t="shared" si="1"/>
        <v>0</v>
      </c>
      <c r="H18" s="2">
        <f t="shared" si="2"/>
        <v>0</v>
      </c>
      <c r="I18" s="2">
        <f t="shared" si="3"/>
        <v>0</v>
      </c>
      <c r="J18" s="2">
        <f t="shared" si="0"/>
        <v>0</v>
      </c>
      <c r="K18" s="11">
        <v>0</v>
      </c>
    </row>
    <row r="19" spans="1:11">
      <c r="A19" s="3">
        <v>105</v>
      </c>
      <c r="B19" s="3" t="s">
        <v>90</v>
      </c>
      <c r="C19" s="2">
        <v>1</v>
      </c>
      <c r="D19" s="2">
        <v>14370.90199</v>
      </c>
      <c r="E19" s="2">
        <v>0</v>
      </c>
      <c r="F19" s="2">
        <v>53.024233333333349</v>
      </c>
      <c r="G19" s="2">
        <f t="shared" si="1"/>
        <v>0</v>
      </c>
      <c r="H19" s="2">
        <f t="shared" si="2"/>
        <v>0</v>
      </c>
      <c r="I19" s="2">
        <f t="shared" si="3"/>
        <v>0</v>
      </c>
      <c r="J19" s="2">
        <f t="shared" si="0"/>
        <v>0</v>
      </c>
      <c r="K19" s="11">
        <v>0</v>
      </c>
    </row>
    <row r="20" spans="1:11">
      <c r="A20" s="3">
        <v>176</v>
      </c>
      <c r="B20" s="3" t="s">
        <v>41</v>
      </c>
      <c r="C20" s="2">
        <v>1</v>
      </c>
      <c r="D20" s="2">
        <v>13353.04428</v>
      </c>
      <c r="E20" s="2">
        <v>0</v>
      </c>
      <c r="F20" s="2">
        <v>41.210500000000003</v>
      </c>
      <c r="G20" s="2">
        <f t="shared" si="1"/>
        <v>0</v>
      </c>
      <c r="H20" s="2">
        <f t="shared" si="2"/>
        <v>0</v>
      </c>
      <c r="I20" s="2">
        <f t="shared" si="3"/>
        <v>0</v>
      </c>
      <c r="J20" s="2">
        <f t="shared" si="0"/>
        <v>0</v>
      </c>
      <c r="K20" s="11">
        <v>0</v>
      </c>
    </row>
    <row r="21" spans="1:11">
      <c r="A21" s="3">
        <v>125</v>
      </c>
      <c r="B21" s="3" t="s">
        <v>73</v>
      </c>
      <c r="C21" s="2">
        <v>1</v>
      </c>
      <c r="D21" s="2">
        <v>13000</v>
      </c>
      <c r="E21" s="2">
        <v>0</v>
      </c>
      <c r="F21" s="2">
        <v>58.00483333333333</v>
      </c>
      <c r="G21" s="2">
        <f t="shared" si="1"/>
        <v>0</v>
      </c>
      <c r="H21" s="2">
        <f t="shared" si="2"/>
        <v>0</v>
      </c>
      <c r="I21" s="2">
        <f t="shared" si="3"/>
        <v>0</v>
      </c>
      <c r="J21" s="2">
        <f t="shared" si="0"/>
        <v>0</v>
      </c>
      <c r="K21" s="11">
        <v>0</v>
      </c>
    </row>
    <row r="22" spans="1:11">
      <c r="A22" s="3">
        <v>220</v>
      </c>
      <c r="B22" s="3" t="s">
        <v>15</v>
      </c>
      <c r="C22" s="2">
        <v>1</v>
      </c>
      <c r="D22" s="2">
        <v>12779.409589999999</v>
      </c>
      <c r="E22" s="2">
        <v>0</v>
      </c>
      <c r="F22" s="2">
        <v>11.685833333333335</v>
      </c>
      <c r="G22" s="2">
        <f t="shared" si="1"/>
        <v>0</v>
      </c>
      <c r="H22" s="2">
        <f t="shared" si="2"/>
        <v>0</v>
      </c>
      <c r="I22" s="2">
        <f t="shared" si="3"/>
        <v>0</v>
      </c>
      <c r="J22" s="2">
        <f t="shared" si="0"/>
        <v>0</v>
      </c>
      <c r="K22" s="11">
        <v>0</v>
      </c>
    </row>
    <row r="23" spans="1:11">
      <c r="A23" s="3">
        <v>142</v>
      </c>
      <c r="B23" s="3" t="s">
        <v>64</v>
      </c>
      <c r="C23" s="2">
        <v>1</v>
      </c>
      <c r="D23" s="2">
        <v>10010.12811</v>
      </c>
      <c r="E23" s="2">
        <v>0</v>
      </c>
      <c r="F23" s="2">
        <v>62.525433333333332</v>
      </c>
      <c r="G23" s="2">
        <f t="shared" si="1"/>
        <v>0</v>
      </c>
      <c r="H23" s="2">
        <f t="shared" si="2"/>
        <v>0</v>
      </c>
      <c r="I23" s="2">
        <f t="shared" si="3"/>
        <v>0</v>
      </c>
      <c r="J23" s="2">
        <f t="shared" si="0"/>
        <v>0</v>
      </c>
      <c r="K23" s="11">
        <v>0</v>
      </c>
    </row>
    <row r="24" spans="1:11">
      <c r="A24" s="3">
        <v>56</v>
      </c>
      <c r="B24" s="3" t="s">
        <v>120</v>
      </c>
      <c r="C24" s="2">
        <v>2</v>
      </c>
      <c r="D24" s="2">
        <v>9900</v>
      </c>
      <c r="E24" s="2">
        <v>0</v>
      </c>
      <c r="F24" s="2">
        <v>65.040800000000004</v>
      </c>
      <c r="G24" s="2">
        <f t="shared" si="1"/>
        <v>0</v>
      </c>
      <c r="H24" s="2">
        <f t="shared" si="2"/>
        <v>0</v>
      </c>
      <c r="I24" s="2">
        <f t="shared" si="3"/>
        <v>0</v>
      </c>
      <c r="J24" s="2">
        <f t="shared" si="0"/>
        <v>0</v>
      </c>
      <c r="K24" s="11">
        <v>0</v>
      </c>
    </row>
    <row r="25" spans="1:11">
      <c r="A25" s="3">
        <v>11</v>
      </c>
      <c r="B25" s="3" t="s">
        <v>150</v>
      </c>
      <c r="C25" s="2">
        <v>2</v>
      </c>
      <c r="D25" s="2">
        <v>8559.8257470000008</v>
      </c>
      <c r="E25" s="2">
        <v>0</v>
      </c>
      <c r="F25" s="2">
        <v>80.962966666666659</v>
      </c>
      <c r="G25" s="2">
        <f t="shared" si="1"/>
        <v>0</v>
      </c>
      <c r="H25" s="2">
        <f t="shared" si="2"/>
        <v>0</v>
      </c>
      <c r="I25" s="2">
        <f t="shared" si="3"/>
        <v>0</v>
      </c>
      <c r="J25" s="2">
        <f t="shared" si="0"/>
        <v>0</v>
      </c>
      <c r="K25" s="11">
        <v>0</v>
      </c>
    </row>
    <row r="26" spans="1:11">
      <c r="A26" s="3">
        <v>180</v>
      </c>
      <c r="B26" s="3" t="s">
        <v>38</v>
      </c>
      <c r="C26" s="2">
        <v>2</v>
      </c>
      <c r="D26" s="2">
        <v>8459.8775929999993</v>
      </c>
      <c r="E26" s="2">
        <v>0</v>
      </c>
      <c r="F26" s="2">
        <v>43.695299999999996</v>
      </c>
      <c r="G26" s="2">
        <f t="shared" si="1"/>
        <v>0</v>
      </c>
      <c r="H26" s="2">
        <f t="shared" si="2"/>
        <v>0</v>
      </c>
      <c r="I26" s="2">
        <f t="shared" si="3"/>
        <v>0</v>
      </c>
      <c r="J26" s="2">
        <f t="shared" si="0"/>
        <v>0</v>
      </c>
      <c r="K26" s="11">
        <v>0</v>
      </c>
    </row>
    <row r="27" spans="1:11">
      <c r="A27" s="3">
        <v>201</v>
      </c>
      <c r="B27" s="3" t="s">
        <v>28</v>
      </c>
      <c r="C27" s="2">
        <v>2</v>
      </c>
      <c r="D27" s="2">
        <v>8332.619616</v>
      </c>
      <c r="E27" s="2">
        <v>0</v>
      </c>
      <c r="F27" s="2">
        <v>48.472133333333332</v>
      </c>
      <c r="G27" s="2">
        <f t="shared" si="1"/>
        <v>0</v>
      </c>
      <c r="H27" s="2">
        <f t="shared" si="2"/>
        <v>0</v>
      </c>
      <c r="I27" s="2">
        <f t="shared" si="3"/>
        <v>0</v>
      </c>
      <c r="J27" s="2">
        <f t="shared" si="0"/>
        <v>0</v>
      </c>
      <c r="K27" s="11">
        <v>0</v>
      </c>
    </row>
    <row r="28" spans="1:11">
      <c r="A28" s="3">
        <v>175</v>
      </c>
      <c r="B28" s="3" t="s">
        <v>42</v>
      </c>
      <c r="C28" s="2">
        <v>2</v>
      </c>
      <c r="D28" s="2">
        <v>8180.373071</v>
      </c>
      <c r="E28" s="2">
        <v>0</v>
      </c>
      <c r="F28" s="2">
        <v>55.246299999999998</v>
      </c>
      <c r="G28" s="2">
        <f t="shared" si="1"/>
        <v>0</v>
      </c>
      <c r="H28" s="2">
        <f t="shared" si="2"/>
        <v>0</v>
      </c>
      <c r="I28" s="2">
        <f t="shared" si="3"/>
        <v>0</v>
      </c>
      <c r="J28" s="2">
        <f t="shared" si="0"/>
        <v>0</v>
      </c>
      <c r="K28" s="11">
        <v>0</v>
      </c>
    </row>
    <row r="29" spans="1:11">
      <c r="A29" s="3">
        <v>117</v>
      </c>
      <c r="B29" s="3" t="s">
        <v>81</v>
      </c>
      <c r="C29" s="2">
        <v>2</v>
      </c>
      <c r="D29" s="2">
        <v>7909.6841000000004</v>
      </c>
      <c r="E29" s="2">
        <v>0</v>
      </c>
      <c r="F29" s="2">
        <v>49.679066666666664</v>
      </c>
      <c r="G29" s="2">
        <f t="shared" si="1"/>
        <v>0</v>
      </c>
      <c r="H29" s="2">
        <f t="shared" si="2"/>
        <v>0</v>
      </c>
      <c r="I29" s="2">
        <f t="shared" si="3"/>
        <v>0</v>
      </c>
      <c r="J29" s="2">
        <f t="shared" si="0"/>
        <v>0</v>
      </c>
      <c r="K29" s="11">
        <v>0</v>
      </c>
    </row>
    <row r="30" spans="1:11">
      <c r="A30" s="3">
        <v>31</v>
      </c>
      <c r="B30" s="3" t="s">
        <v>137</v>
      </c>
      <c r="C30" s="2">
        <v>2</v>
      </c>
      <c r="D30" s="2">
        <v>7199.390187</v>
      </c>
      <c r="E30" s="2">
        <v>0</v>
      </c>
      <c r="F30" s="2">
        <v>60.978966666666665</v>
      </c>
      <c r="G30" s="2">
        <f t="shared" si="1"/>
        <v>0</v>
      </c>
      <c r="H30" s="2">
        <f t="shared" si="2"/>
        <v>0</v>
      </c>
      <c r="I30" s="2">
        <f t="shared" si="3"/>
        <v>0</v>
      </c>
      <c r="J30" s="2">
        <f t="shared" si="0"/>
        <v>0</v>
      </c>
      <c r="K30" s="11">
        <v>0</v>
      </c>
    </row>
    <row r="31" spans="1:11">
      <c r="A31" s="3">
        <v>34</v>
      </c>
      <c r="B31" s="3" t="s">
        <v>136</v>
      </c>
      <c r="C31" s="2">
        <v>2</v>
      </c>
      <c r="D31" s="2">
        <v>7087.3317299999999</v>
      </c>
      <c r="E31" s="2">
        <v>0</v>
      </c>
      <c r="F31" s="2">
        <v>56.162200000000006</v>
      </c>
      <c r="G31" s="2">
        <f t="shared" si="1"/>
        <v>0</v>
      </c>
      <c r="H31" s="2">
        <f t="shared" si="2"/>
        <v>0</v>
      </c>
      <c r="I31" s="2">
        <f t="shared" si="3"/>
        <v>0</v>
      </c>
      <c r="J31" s="2">
        <f t="shared" si="0"/>
        <v>0</v>
      </c>
      <c r="K31" s="11">
        <v>0</v>
      </c>
    </row>
    <row r="32" spans="1:11">
      <c r="A32" s="3">
        <v>232</v>
      </c>
      <c r="B32" s="3" t="s">
        <v>6</v>
      </c>
      <c r="C32" s="2">
        <v>2</v>
      </c>
      <c r="D32" s="2">
        <v>6956.3323010000004</v>
      </c>
      <c r="E32" s="2">
        <v>0</v>
      </c>
      <c r="F32" s="2">
        <v>84.191866666666641</v>
      </c>
      <c r="G32" s="2">
        <f t="shared" si="1"/>
        <v>0</v>
      </c>
      <c r="H32" s="2">
        <f t="shared" si="2"/>
        <v>0</v>
      </c>
      <c r="I32" s="2">
        <f t="shared" si="3"/>
        <v>0</v>
      </c>
      <c r="J32" s="2">
        <f t="shared" si="0"/>
        <v>0</v>
      </c>
      <c r="K32" s="11">
        <v>0</v>
      </c>
    </row>
    <row r="33" spans="1:11">
      <c r="A33" s="3">
        <v>169</v>
      </c>
      <c r="B33" s="3" t="s">
        <v>47</v>
      </c>
      <c r="C33" s="2">
        <v>2</v>
      </c>
      <c r="D33" s="2">
        <v>6610.2076010000001</v>
      </c>
      <c r="E33" s="2">
        <v>0</v>
      </c>
      <c r="F33" s="2">
        <v>48.745199999999997</v>
      </c>
      <c r="G33" s="2">
        <f t="shared" si="1"/>
        <v>0</v>
      </c>
      <c r="H33" s="2">
        <f t="shared" si="2"/>
        <v>0</v>
      </c>
      <c r="I33" s="2">
        <f t="shared" si="3"/>
        <v>0</v>
      </c>
      <c r="J33" s="2">
        <f t="shared" si="0"/>
        <v>0</v>
      </c>
      <c r="K33" s="11">
        <v>0</v>
      </c>
    </row>
    <row r="34" spans="1:11">
      <c r="A34" s="3">
        <v>103</v>
      </c>
      <c r="B34" s="3" t="s">
        <v>92</v>
      </c>
      <c r="C34" s="2">
        <v>2</v>
      </c>
      <c r="D34" s="2">
        <v>6601.6238540000004</v>
      </c>
      <c r="E34" s="2">
        <v>0</v>
      </c>
      <c r="F34" s="2">
        <v>45.73449999999999</v>
      </c>
      <c r="G34" s="2">
        <f t="shared" si="1"/>
        <v>0</v>
      </c>
      <c r="H34" s="2">
        <f t="shared" si="2"/>
        <v>0</v>
      </c>
      <c r="I34" s="2">
        <f t="shared" si="3"/>
        <v>0</v>
      </c>
      <c r="J34" s="2">
        <f t="shared" ref="J34:J65" si="4">IF(E34=1,IF(F34&lt;$Z$7,1,0),0)</f>
        <v>0</v>
      </c>
      <c r="K34" s="11">
        <v>0</v>
      </c>
    </row>
    <row r="35" spans="1:11">
      <c r="A35" s="3">
        <v>4</v>
      </c>
      <c r="B35" s="1" t="s">
        <v>152</v>
      </c>
      <c r="C35" s="2">
        <v>2</v>
      </c>
      <c r="D35" s="2">
        <v>6503.1951250000002</v>
      </c>
      <c r="E35" s="2">
        <v>0</v>
      </c>
      <c r="F35" s="2">
        <v>42.073000000000008</v>
      </c>
      <c r="G35" s="2">
        <f t="shared" si="1"/>
        <v>0</v>
      </c>
      <c r="H35" s="2">
        <f t="shared" si="2"/>
        <v>0</v>
      </c>
      <c r="I35" s="2">
        <f t="shared" si="3"/>
        <v>0</v>
      </c>
      <c r="J35" s="2">
        <f t="shared" si="4"/>
        <v>0</v>
      </c>
      <c r="K35" s="11">
        <v>0</v>
      </c>
    </row>
    <row r="36" spans="1:11">
      <c r="A36" s="3">
        <v>122</v>
      </c>
      <c r="B36" s="3" t="s">
        <v>76</v>
      </c>
      <c r="C36" s="2">
        <v>2</v>
      </c>
      <c r="D36" s="2">
        <v>6131.089422</v>
      </c>
      <c r="E36" s="2">
        <v>0</v>
      </c>
      <c r="F36" s="2">
        <v>66.215199999999996</v>
      </c>
      <c r="G36" s="2">
        <f t="shared" si="1"/>
        <v>0</v>
      </c>
      <c r="H36" s="2">
        <f t="shared" si="2"/>
        <v>0</v>
      </c>
      <c r="I36" s="2">
        <f t="shared" si="3"/>
        <v>0</v>
      </c>
      <c r="J36" s="2">
        <f t="shared" si="4"/>
        <v>0</v>
      </c>
      <c r="K36" s="11">
        <v>0</v>
      </c>
    </row>
    <row r="37" spans="1:11">
      <c r="A37" s="3">
        <v>53</v>
      </c>
      <c r="B37" s="3" t="s">
        <v>123</v>
      </c>
      <c r="C37" s="2">
        <v>2</v>
      </c>
      <c r="D37" s="2">
        <v>5828.1124289999998</v>
      </c>
      <c r="E37" s="2">
        <v>0</v>
      </c>
      <c r="F37" s="2">
        <v>41.456733333333339</v>
      </c>
      <c r="G37" s="2">
        <f t="shared" si="1"/>
        <v>0</v>
      </c>
      <c r="H37" s="2">
        <f t="shared" si="2"/>
        <v>0</v>
      </c>
      <c r="I37" s="2">
        <f t="shared" si="3"/>
        <v>0</v>
      </c>
      <c r="J37" s="2">
        <f t="shared" si="4"/>
        <v>0</v>
      </c>
      <c r="K37" s="11">
        <v>0</v>
      </c>
    </row>
    <row r="38" spans="1:11">
      <c r="A38" s="3">
        <v>133</v>
      </c>
      <c r="B38" s="3" t="s">
        <v>68</v>
      </c>
      <c r="C38" s="2">
        <v>2</v>
      </c>
      <c r="D38" s="2">
        <v>5654.7528469999997</v>
      </c>
      <c r="E38" s="2">
        <v>0</v>
      </c>
      <c r="F38" s="2">
        <v>38.245266666666673</v>
      </c>
      <c r="G38" s="2">
        <f t="shared" si="1"/>
        <v>0</v>
      </c>
      <c r="H38" s="2">
        <f t="shared" si="2"/>
        <v>0</v>
      </c>
      <c r="I38" s="2">
        <f t="shared" si="3"/>
        <v>0</v>
      </c>
      <c r="J38" s="2">
        <f t="shared" si="4"/>
        <v>0</v>
      </c>
      <c r="K38" s="11">
        <v>0</v>
      </c>
    </row>
    <row r="39" spans="1:11">
      <c r="A39" s="3">
        <v>172</v>
      </c>
      <c r="B39" s="3" t="s">
        <v>44</v>
      </c>
      <c r="C39" s="2">
        <v>2</v>
      </c>
      <c r="D39" s="2">
        <v>5581.829694</v>
      </c>
      <c r="E39" s="2">
        <v>0</v>
      </c>
      <c r="F39" s="2">
        <v>60.373000000000005</v>
      </c>
      <c r="G39" s="2">
        <f t="shared" si="1"/>
        <v>0</v>
      </c>
      <c r="H39" s="2">
        <f t="shared" si="2"/>
        <v>0</v>
      </c>
      <c r="I39" s="2">
        <f t="shared" si="3"/>
        <v>0</v>
      </c>
      <c r="J39" s="2">
        <f t="shared" si="4"/>
        <v>0</v>
      </c>
      <c r="K39" s="11">
        <v>0</v>
      </c>
    </row>
    <row r="40" spans="1:11">
      <c r="A40" s="3">
        <v>48</v>
      </c>
      <c r="B40" s="3" t="s">
        <v>126</v>
      </c>
      <c r="C40" s="2">
        <v>2</v>
      </c>
      <c r="D40" s="2">
        <v>5519.2294819999997</v>
      </c>
      <c r="E40" s="2">
        <v>0</v>
      </c>
      <c r="F40" s="2">
        <v>58.509133333333338</v>
      </c>
      <c r="G40" s="2">
        <f t="shared" si="1"/>
        <v>0</v>
      </c>
      <c r="H40" s="2">
        <f t="shared" si="2"/>
        <v>0</v>
      </c>
      <c r="I40" s="2">
        <f t="shared" si="3"/>
        <v>0</v>
      </c>
      <c r="J40" s="2">
        <f t="shared" si="4"/>
        <v>0</v>
      </c>
      <c r="K40" s="11">
        <v>0</v>
      </c>
    </row>
    <row r="41" spans="1:11">
      <c r="A41" s="3">
        <v>44</v>
      </c>
      <c r="B41" s="3" t="s">
        <v>128</v>
      </c>
      <c r="C41" s="2">
        <v>2</v>
      </c>
      <c r="D41" s="2">
        <v>5516.1124319999999</v>
      </c>
      <c r="E41" s="2">
        <v>0</v>
      </c>
      <c r="F41" s="2">
        <v>77.712166666666675</v>
      </c>
      <c r="G41" s="2">
        <f t="shared" si="1"/>
        <v>0</v>
      </c>
      <c r="H41" s="2">
        <f t="shared" si="2"/>
        <v>0</v>
      </c>
      <c r="I41" s="2">
        <f t="shared" si="3"/>
        <v>0</v>
      </c>
      <c r="J41" s="2">
        <f t="shared" si="4"/>
        <v>0</v>
      </c>
      <c r="K41" s="11">
        <v>0</v>
      </c>
    </row>
    <row r="42" spans="1:11">
      <c r="A42" s="3">
        <v>63</v>
      </c>
      <c r="B42" s="3" t="s">
        <v>115</v>
      </c>
      <c r="C42" s="2">
        <v>2</v>
      </c>
      <c r="D42" s="2">
        <v>5407.7671609999998</v>
      </c>
      <c r="E42" s="2">
        <v>0</v>
      </c>
      <c r="F42" s="2">
        <v>43.843699999999998</v>
      </c>
      <c r="G42" s="2">
        <f t="shared" si="1"/>
        <v>0</v>
      </c>
      <c r="H42" s="2">
        <f t="shared" si="2"/>
        <v>0</v>
      </c>
      <c r="I42" s="2">
        <f t="shared" si="3"/>
        <v>0</v>
      </c>
      <c r="J42" s="2">
        <f t="shared" si="4"/>
        <v>0</v>
      </c>
      <c r="K42" s="11">
        <v>0</v>
      </c>
    </row>
    <row r="43" spans="1:11">
      <c r="A43" s="3">
        <v>151</v>
      </c>
      <c r="B43" s="3" t="s">
        <v>58</v>
      </c>
      <c r="C43" s="2">
        <v>2</v>
      </c>
      <c r="D43" s="2">
        <v>4368.6515630000004</v>
      </c>
      <c r="E43" s="2">
        <v>0</v>
      </c>
      <c r="F43" s="2">
        <v>23.527866666666664</v>
      </c>
      <c r="G43" s="2">
        <f t="shared" si="1"/>
        <v>0</v>
      </c>
      <c r="H43" s="2">
        <f t="shared" si="2"/>
        <v>1</v>
      </c>
      <c r="I43" s="2">
        <f t="shared" si="3"/>
        <v>0</v>
      </c>
      <c r="J43" s="2">
        <f t="shared" si="4"/>
        <v>0</v>
      </c>
      <c r="K43" s="11">
        <v>0</v>
      </c>
    </row>
    <row r="44" spans="1:11">
      <c r="A44" s="3">
        <v>3</v>
      </c>
      <c r="B44" s="3" t="s">
        <v>153</v>
      </c>
      <c r="C44" s="2">
        <v>2</v>
      </c>
      <c r="D44" s="2">
        <v>4269.6167070000001</v>
      </c>
      <c r="E44" s="2">
        <v>0</v>
      </c>
      <c r="F44" s="2">
        <v>33.110966666666663</v>
      </c>
      <c r="G44" s="2">
        <f t="shared" si="1"/>
        <v>0</v>
      </c>
      <c r="H44" s="2">
        <f t="shared" si="2"/>
        <v>0</v>
      </c>
      <c r="I44" s="2">
        <f t="shared" si="3"/>
        <v>0</v>
      </c>
      <c r="J44" s="2">
        <f t="shared" si="4"/>
        <v>0</v>
      </c>
      <c r="K44" s="11">
        <v>0</v>
      </c>
    </row>
    <row r="45" spans="1:11">
      <c r="A45" s="3">
        <v>221</v>
      </c>
      <c r="B45" s="3" t="s">
        <v>14</v>
      </c>
      <c r="C45" s="2">
        <v>2</v>
      </c>
      <c r="D45" s="2">
        <v>4246.0986000000003</v>
      </c>
      <c r="E45" s="2">
        <v>0</v>
      </c>
      <c r="F45" s="2">
        <v>47.495666666666665</v>
      </c>
      <c r="G45" s="2">
        <f t="shared" si="1"/>
        <v>0</v>
      </c>
      <c r="H45" s="2">
        <f t="shared" si="2"/>
        <v>0</v>
      </c>
      <c r="I45" s="2">
        <f t="shared" si="3"/>
        <v>0</v>
      </c>
      <c r="J45" s="2">
        <f t="shared" si="4"/>
        <v>0</v>
      </c>
      <c r="K45" s="11">
        <v>0</v>
      </c>
    </row>
    <row r="46" spans="1:11">
      <c r="A46" s="3">
        <v>62</v>
      </c>
      <c r="B46" s="3" t="s">
        <v>116</v>
      </c>
      <c r="C46" s="2">
        <v>2</v>
      </c>
      <c r="D46" s="2">
        <v>3893.3536509999999</v>
      </c>
      <c r="E46" s="2">
        <v>0</v>
      </c>
      <c r="F46" s="2">
        <v>45.219200000000001</v>
      </c>
      <c r="G46" s="2">
        <f t="shared" si="1"/>
        <v>0</v>
      </c>
      <c r="H46" s="2">
        <f t="shared" si="2"/>
        <v>0</v>
      </c>
      <c r="I46" s="2">
        <f t="shared" si="3"/>
        <v>0</v>
      </c>
      <c r="J46" s="2">
        <f t="shared" si="4"/>
        <v>0</v>
      </c>
      <c r="K46" s="11">
        <v>0</v>
      </c>
    </row>
    <row r="47" spans="1:11">
      <c r="A47" s="3">
        <v>171</v>
      </c>
      <c r="B47" s="3" t="s">
        <v>45</v>
      </c>
      <c r="C47" s="2">
        <v>2</v>
      </c>
      <c r="D47" s="2">
        <v>3886.6983019999998</v>
      </c>
      <c r="E47" s="2">
        <v>0</v>
      </c>
      <c r="F47" s="2">
        <v>40.400666666666652</v>
      </c>
      <c r="G47" s="2">
        <f t="shared" si="1"/>
        <v>0</v>
      </c>
      <c r="H47" s="2">
        <f t="shared" si="2"/>
        <v>0</v>
      </c>
      <c r="I47" s="2">
        <f t="shared" si="3"/>
        <v>0</v>
      </c>
      <c r="J47" s="2">
        <f t="shared" si="4"/>
        <v>0</v>
      </c>
      <c r="K47" s="11">
        <v>0</v>
      </c>
    </row>
    <row r="48" spans="1:11">
      <c r="A48" s="3">
        <v>104</v>
      </c>
      <c r="B48" s="3" t="s">
        <v>91</v>
      </c>
      <c r="C48" s="2">
        <v>2</v>
      </c>
      <c r="D48" s="2">
        <v>3500</v>
      </c>
      <c r="E48" s="2">
        <v>0</v>
      </c>
      <c r="F48" s="2">
        <v>60.242533333333327</v>
      </c>
      <c r="G48" s="2">
        <f t="shared" si="1"/>
        <v>0</v>
      </c>
      <c r="H48" s="2">
        <f t="shared" si="2"/>
        <v>0</v>
      </c>
      <c r="I48" s="2">
        <f t="shared" si="3"/>
        <v>0</v>
      </c>
      <c r="J48" s="2">
        <f t="shared" si="4"/>
        <v>0</v>
      </c>
      <c r="K48" s="11">
        <v>0</v>
      </c>
    </row>
    <row r="49" spans="1:11">
      <c r="A49" s="3">
        <v>89</v>
      </c>
      <c r="B49" s="3" t="s">
        <v>101</v>
      </c>
      <c r="C49" s="2">
        <v>2</v>
      </c>
      <c r="D49" s="2">
        <v>3361.8779070000001</v>
      </c>
      <c r="E49" s="2">
        <v>0</v>
      </c>
      <c r="F49" s="2">
        <v>36.653933333333342</v>
      </c>
      <c r="G49" s="2">
        <f t="shared" si="1"/>
        <v>0</v>
      </c>
      <c r="H49" s="2">
        <f t="shared" si="2"/>
        <v>0</v>
      </c>
      <c r="I49" s="2">
        <f t="shared" si="3"/>
        <v>0</v>
      </c>
      <c r="J49" s="2">
        <f t="shared" si="4"/>
        <v>0</v>
      </c>
      <c r="K49" s="11">
        <v>0</v>
      </c>
    </row>
    <row r="50" spans="1:11">
      <c r="A50" s="3">
        <v>7</v>
      </c>
      <c r="B50" s="3" t="s">
        <v>151</v>
      </c>
      <c r="C50" s="2">
        <v>2</v>
      </c>
      <c r="D50" s="2">
        <v>3319.1010179999998</v>
      </c>
      <c r="E50" s="2">
        <v>0</v>
      </c>
      <c r="F50" s="2">
        <v>21.280899999999999</v>
      </c>
      <c r="G50" s="2">
        <f t="shared" si="1"/>
        <v>0</v>
      </c>
      <c r="H50" s="2">
        <f t="shared" si="2"/>
        <v>1</v>
      </c>
      <c r="I50" s="2">
        <f t="shared" si="3"/>
        <v>0</v>
      </c>
      <c r="J50" s="2">
        <f t="shared" si="4"/>
        <v>0</v>
      </c>
      <c r="K50" s="11">
        <v>0</v>
      </c>
    </row>
    <row r="51" spans="1:11">
      <c r="A51" s="3">
        <v>27</v>
      </c>
      <c r="B51" s="3" t="s">
        <v>140</v>
      </c>
      <c r="C51" s="2">
        <v>2</v>
      </c>
      <c r="D51" s="2">
        <v>3166.911008</v>
      </c>
      <c r="E51" s="2">
        <v>0</v>
      </c>
      <c r="F51" s="2">
        <v>43.894666666666666</v>
      </c>
      <c r="G51" s="2">
        <f t="shared" si="1"/>
        <v>0</v>
      </c>
      <c r="H51" s="2">
        <f t="shared" si="2"/>
        <v>0</v>
      </c>
      <c r="I51" s="2">
        <f t="shared" si="3"/>
        <v>0</v>
      </c>
      <c r="J51" s="2">
        <f t="shared" si="4"/>
        <v>0</v>
      </c>
      <c r="K51" s="11">
        <v>0</v>
      </c>
    </row>
    <row r="52" spans="1:11">
      <c r="A52" s="3">
        <v>215</v>
      </c>
      <c r="B52" s="3" t="s">
        <v>18</v>
      </c>
      <c r="C52" s="2">
        <v>2</v>
      </c>
      <c r="D52" s="2">
        <v>2874.940552</v>
      </c>
      <c r="E52" s="2">
        <v>0</v>
      </c>
      <c r="F52" s="2">
        <v>24.21286666666667</v>
      </c>
      <c r="G52" s="2">
        <f t="shared" si="1"/>
        <v>0</v>
      </c>
      <c r="H52" s="2">
        <f t="shared" si="2"/>
        <v>1</v>
      </c>
      <c r="I52" s="2">
        <f t="shared" si="3"/>
        <v>0</v>
      </c>
      <c r="J52" s="2">
        <f t="shared" si="4"/>
        <v>0</v>
      </c>
      <c r="K52" s="11">
        <v>0</v>
      </c>
    </row>
    <row r="53" spans="1:11">
      <c r="A53" s="3">
        <v>64</v>
      </c>
      <c r="B53" s="3" t="s">
        <v>114</v>
      </c>
      <c r="C53" s="2">
        <v>2</v>
      </c>
      <c r="D53" s="2">
        <v>2853.4748909999998</v>
      </c>
      <c r="E53" s="2">
        <v>0</v>
      </c>
      <c r="F53" s="2">
        <v>42.561733333333329</v>
      </c>
      <c r="G53" s="2">
        <f t="shared" si="1"/>
        <v>0</v>
      </c>
      <c r="H53" s="2">
        <f t="shared" si="2"/>
        <v>0</v>
      </c>
      <c r="I53" s="2">
        <f t="shared" si="3"/>
        <v>0</v>
      </c>
      <c r="J53" s="2">
        <f t="shared" si="4"/>
        <v>0</v>
      </c>
      <c r="K53" s="11">
        <v>0</v>
      </c>
    </row>
    <row r="54" spans="1:11">
      <c r="A54" s="3">
        <v>97</v>
      </c>
      <c r="B54" s="3" t="s">
        <v>97</v>
      </c>
      <c r="C54" s="2">
        <v>2</v>
      </c>
      <c r="D54" s="2">
        <v>2661.6271980000001</v>
      </c>
      <c r="E54" s="2">
        <v>0</v>
      </c>
      <c r="F54" s="2">
        <v>32.115966666666665</v>
      </c>
      <c r="G54" s="2">
        <f t="shared" si="1"/>
        <v>0</v>
      </c>
      <c r="H54" s="2">
        <f t="shared" si="2"/>
        <v>0</v>
      </c>
      <c r="I54" s="2">
        <f t="shared" si="3"/>
        <v>0</v>
      </c>
      <c r="J54" s="2">
        <f t="shared" si="4"/>
        <v>0</v>
      </c>
      <c r="K54" s="11">
        <v>0</v>
      </c>
    </row>
    <row r="55" spans="1:11">
      <c r="A55" s="3">
        <v>241</v>
      </c>
      <c r="B55" s="3" t="s">
        <v>2</v>
      </c>
      <c r="C55" s="2">
        <v>2</v>
      </c>
      <c r="D55" s="2">
        <v>2600</v>
      </c>
      <c r="E55" s="2">
        <v>0</v>
      </c>
      <c r="F55" s="2">
        <v>15.045933333333334</v>
      </c>
      <c r="G55" s="2">
        <f t="shared" si="1"/>
        <v>0</v>
      </c>
      <c r="H55" s="2">
        <f t="shared" si="2"/>
        <v>1</v>
      </c>
      <c r="I55" s="2">
        <f t="shared" si="3"/>
        <v>0</v>
      </c>
      <c r="J55" s="2">
        <f t="shared" si="4"/>
        <v>0</v>
      </c>
      <c r="K55" s="11">
        <v>0</v>
      </c>
    </row>
    <row r="56" spans="1:11">
      <c r="A56" s="3">
        <v>173</v>
      </c>
      <c r="B56" s="3" t="s">
        <v>43</v>
      </c>
      <c r="C56" s="2">
        <v>2</v>
      </c>
      <c r="D56" s="2">
        <v>2564.2383220000002</v>
      </c>
      <c r="E56" s="2">
        <v>0</v>
      </c>
      <c r="F56" s="2">
        <v>36.990466666666663</v>
      </c>
      <c r="G56" s="2">
        <f t="shared" si="1"/>
        <v>0</v>
      </c>
      <c r="H56" s="2">
        <f t="shared" si="2"/>
        <v>0</v>
      </c>
      <c r="I56" s="2">
        <f t="shared" si="3"/>
        <v>0</v>
      </c>
      <c r="J56" s="2">
        <f t="shared" si="4"/>
        <v>0</v>
      </c>
      <c r="K56" s="11">
        <v>0</v>
      </c>
    </row>
    <row r="57" spans="1:11">
      <c r="A57" s="3">
        <v>38</v>
      </c>
      <c r="B57" s="3" t="s">
        <v>132</v>
      </c>
      <c r="C57" s="2">
        <v>2</v>
      </c>
      <c r="D57" s="2">
        <v>2469.1150080000002</v>
      </c>
      <c r="E57" s="2">
        <v>0</v>
      </c>
      <c r="F57" s="2">
        <v>26.999000000000006</v>
      </c>
      <c r="G57" s="2">
        <f t="shared" si="1"/>
        <v>0</v>
      </c>
      <c r="H57" s="2">
        <f t="shared" si="2"/>
        <v>0</v>
      </c>
      <c r="I57" s="2">
        <f t="shared" si="3"/>
        <v>0</v>
      </c>
      <c r="J57" s="2">
        <f t="shared" si="4"/>
        <v>0</v>
      </c>
      <c r="K57" s="11">
        <v>0</v>
      </c>
    </row>
    <row r="58" spans="1:11">
      <c r="A58" s="3">
        <v>158</v>
      </c>
      <c r="B58" s="3" t="s">
        <v>54</v>
      </c>
      <c r="C58" s="2">
        <v>2</v>
      </c>
      <c r="D58" s="2">
        <v>2401.642875</v>
      </c>
      <c r="E58" s="2">
        <v>0</v>
      </c>
      <c r="F58" s="2">
        <v>47.797433333333323</v>
      </c>
      <c r="G58" s="2">
        <f t="shared" si="1"/>
        <v>0</v>
      </c>
      <c r="H58" s="2">
        <f t="shared" si="2"/>
        <v>0</v>
      </c>
      <c r="I58" s="2">
        <f t="shared" si="3"/>
        <v>0</v>
      </c>
      <c r="J58" s="2">
        <f t="shared" si="4"/>
        <v>0</v>
      </c>
      <c r="K58" s="11">
        <v>0</v>
      </c>
    </row>
    <row r="59" spans="1:11">
      <c r="A59" s="3">
        <v>37</v>
      </c>
      <c r="B59" s="3" t="s">
        <v>133</v>
      </c>
      <c r="C59" s="2">
        <v>2</v>
      </c>
      <c r="D59" s="2">
        <v>2000</v>
      </c>
      <c r="E59" s="2">
        <v>0</v>
      </c>
      <c r="F59" s="2">
        <v>11.259099999999998</v>
      </c>
      <c r="G59" s="2">
        <f t="shared" si="1"/>
        <v>0</v>
      </c>
      <c r="H59" s="2">
        <f t="shared" si="2"/>
        <v>1</v>
      </c>
      <c r="I59" s="2">
        <f t="shared" si="3"/>
        <v>0</v>
      </c>
      <c r="J59" s="2">
        <f t="shared" si="4"/>
        <v>0</v>
      </c>
      <c r="K59" s="26">
        <v>0</v>
      </c>
    </row>
    <row r="60" spans="1:11">
      <c r="A60" s="3">
        <v>170</v>
      </c>
      <c r="B60" s="3" t="s">
        <v>46</v>
      </c>
      <c r="C60" s="2">
        <v>2</v>
      </c>
      <c r="D60" s="2">
        <v>1812.9961800000001</v>
      </c>
      <c r="E60" s="2">
        <v>0</v>
      </c>
      <c r="F60" s="2">
        <v>10.787900000000002</v>
      </c>
      <c r="G60" s="2">
        <f t="shared" si="1"/>
        <v>0</v>
      </c>
      <c r="H60" s="2">
        <f t="shared" si="2"/>
        <v>1</v>
      </c>
      <c r="I60" s="2">
        <f t="shared" si="3"/>
        <v>0</v>
      </c>
      <c r="J60" s="2">
        <f t="shared" si="4"/>
        <v>0</v>
      </c>
      <c r="K60" s="11">
        <v>0</v>
      </c>
    </row>
    <row r="61" spans="1:11">
      <c r="A61" s="3">
        <v>116</v>
      </c>
      <c r="B61" s="3" t="s">
        <v>82</v>
      </c>
      <c r="C61" s="2">
        <v>2</v>
      </c>
      <c r="D61" s="2">
        <v>1800</v>
      </c>
      <c r="E61" s="2">
        <v>0</v>
      </c>
      <c r="F61" s="2">
        <v>53.607233333333348</v>
      </c>
      <c r="G61" s="2">
        <f t="shared" si="1"/>
        <v>0</v>
      </c>
      <c r="H61" s="2">
        <f t="shared" si="2"/>
        <v>0</v>
      </c>
      <c r="I61" s="2">
        <f t="shared" si="3"/>
        <v>0</v>
      </c>
      <c r="J61" s="2">
        <f t="shared" si="4"/>
        <v>0</v>
      </c>
      <c r="K61" s="26">
        <v>0</v>
      </c>
    </row>
    <row r="62" spans="1:11">
      <c r="A62" s="3">
        <v>204</v>
      </c>
      <c r="B62" s="3" t="s">
        <v>26</v>
      </c>
      <c r="C62" s="2">
        <v>2</v>
      </c>
      <c r="D62" s="2">
        <v>1788.6289670000001</v>
      </c>
      <c r="E62" s="2">
        <v>0</v>
      </c>
      <c r="F62" s="2">
        <v>18.379633333333334</v>
      </c>
      <c r="G62" s="2">
        <f t="shared" si="1"/>
        <v>0</v>
      </c>
      <c r="H62" s="2">
        <f t="shared" si="2"/>
        <v>1</v>
      </c>
      <c r="I62" s="2">
        <f t="shared" si="3"/>
        <v>0</v>
      </c>
      <c r="J62" s="2">
        <f t="shared" si="4"/>
        <v>0</v>
      </c>
      <c r="K62" s="11">
        <v>0</v>
      </c>
    </row>
    <row r="63" spans="1:11">
      <c r="A63" s="3">
        <v>166</v>
      </c>
      <c r="B63" s="3" t="s">
        <v>49</v>
      </c>
      <c r="C63" s="2">
        <v>2</v>
      </c>
      <c r="D63" s="2">
        <v>1450.905573</v>
      </c>
      <c r="E63" s="2">
        <v>0</v>
      </c>
      <c r="F63" s="2">
        <v>26.544366666666672</v>
      </c>
      <c r="G63" s="2">
        <f t="shared" si="1"/>
        <v>0</v>
      </c>
      <c r="H63" s="2">
        <f t="shared" si="2"/>
        <v>0</v>
      </c>
      <c r="I63" s="2">
        <f t="shared" si="3"/>
        <v>0</v>
      </c>
      <c r="J63" s="2">
        <f t="shared" si="4"/>
        <v>0</v>
      </c>
      <c r="K63" s="11">
        <v>0</v>
      </c>
    </row>
    <row r="64" spans="1:11">
      <c r="A64" s="3">
        <v>124</v>
      </c>
      <c r="B64" s="3" t="s">
        <v>74</v>
      </c>
      <c r="C64" s="2">
        <v>2</v>
      </c>
      <c r="D64" s="2">
        <v>1303.3341129999999</v>
      </c>
      <c r="E64" s="2">
        <v>0</v>
      </c>
      <c r="F64" s="2">
        <v>30.827133333333336</v>
      </c>
      <c r="G64" s="2">
        <f t="shared" si="1"/>
        <v>0</v>
      </c>
      <c r="H64" s="2">
        <f t="shared" si="2"/>
        <v>0</v>
      </c>
      <c r="I64" s="2">
        <f t="shared" si="3"/>
        <v>0</v>
      </c>
      <c r="J64" s="2">
        <f t="shared" si="4"/>
        <v>0</v>
      </c>
      <c r="K64" s="11">
        <v>0</v>
      </c>
    </row>
    <row r="65" spans="1:11">
      <c r="A65" s="3">
        <v>160</v>
      </c>
      <c r="B65" s="3" t="s">
        <v>52</v>
      </c>
      <c r="C65" s="2">
        <v>2</v>
      </c>
      <c r="D65" s="2">
        <v>1288.1260709999999</v>
      </c>
      <c r="E65" s="2">
        <v>0</v>
      </c>
      <c r="F65" s="2">
        <v>26.066600000000001</v>
      </c>
      <c r="G65" s="2">
        <f t="shared" si="1"/>
        <v>0</v>
      </c>
      <c r="H65" s="2">
        <f t="shared" si="2"/>
        <v>0</v>
      </c>
      <c r="I65" s="2">
        <f t="shared" si="3"/>
        <v>0</v>
      </c>
      <c r="J65" s="2">
        <f t="shared" si="4"/>
        <v>0</v>
      </c>
      <c r="K65" s="26">
        <v>0</v>
      </c>
    </row>
    <row r="66" spans="1:11">
      <c r="A66" s="3">
        <v>79</v>
      </c>
      <c r="B66" s="3" t="s">
        <v>106</v>
      </c>
      <c r="C66" s="2">
        <v>2</v>
      </c>
      <c r="D66" s="2">
        <v>1164.1215010000001</v>
      </c>
      <c r="E66" s="2">
        <v>0</v>
      </c>
      <c r="F66" s="2">
        <v>24.621133333333329</v>
      </c>
      <c r="G66" s="2">
        <f t="shared" si="1"/>
        <v>0</v>
      </c>
      <c r="H66" s="2">
        <f t="shared" si="2"/>
        <v>1</v>
      </c>
      <c r="I66" s="2">
        <f t="shared" si="3"/>
        <v>0</v>
      </c>
      <c r="J66" s="2">
        <f t="shared" ref="J66:J97" si="5">IF(E66=1,IF(F66&lt;$Z$7,1,0),0)</f>
        <v>0</v>
      </c>
      <c r="K66" s="11">
        <v>0</v>
      </c>
    </row>
    <row r="67" spans="1:11">
      <c r="A67" s="3">
        <v>94</v>
      </c>
      <c r="B67" s="3" t="s">
        <v>98</v>
      </c>
      <c r="C67" s="2">
        <v>2</v>
      </c>
      <c r="D67" s="2">
        <v>1100</v>
      </c>
      <c r="E67" s="2">
        <v>0</v>
      </c>
      <c r="F67" s="2">
        <v>20.815199999999997</v>
      </c>
      <c r="G67" s="2">
        <f t="shared" ref="G67:G124" si="6">IF(E67=1,IF(D67&gt;$N$6,0,IF(F67&gt;=$N$7,0,1)),0)</f>
        <v>0</v>
      </c>
      <c r="H67" s="2">
        <f t="shared" ref="H67:H124" si="7">IF(D67&gt;$R$6,0,IF(F67&gt;=$R$7,0,1))</f>
        <v>1</v>
      </c>
      <c r="I67" s="2">
        <f t="shared" ref="I67:I124" si="8">IF(E67=1,IF(D67&lt;$V$6,1,0),0)</f>
        <v>0</v>
      </c>
      <c r="J67" s="2">
        <f t="shared" si="5"/>
        <v>0</v>
      </c>
      <c r="K67" s="11">
        <v>0</v>
      </c>
    </row>
    <row r="68" spans="1:11">
      <c r="A68" s="3">
        <v>92</v>
      </c>
      <c r="B68" s="3" t="s">
        <v>99</v>
      </c>
      <c r="C68" s="2">
        <v>2</v>
      </c>
      <c r="D68" s="2">
        <v>1096.2152530000001</v>
      </c>
      <c r="E68" s="2">
        <v>0</v>
      </c>
      <c r="F68" s="2">
        <v>17.964266666666671</v>
      </c>
      <c r="G68" s="2">
        <f t="shared" si="6"/>
        <v>0</v>
      </c>
      <c r="H68" s="2">
        <f t="shared" si="7"/>
        <v>1</v>
      </c>
      <c r="I68" s="2">
        <f t="shared" si="8"/>
        <v>0</v>
      </c>
      <c r="J68" s="2">
        <f t="shared" si="5"/>
        <v>0</v>
      </c>
      <c r="K68" s="11">
        <v>0</v>
      </c>
    </row>
    <row r="69" spans="1:11">
      <c r="A69" s="3">
        <v>131</v>
      </c>
      <c r="B69" s="3" t="s">
        <v>70</v>
      </c>
      <c r="C69" s="2">
        <v>2</v>
      </c>
      <c r="D69" s="2">
        <v>1054.1358190000001</v>
      </c>
      <c r="E69" s="2">
        <v>0</v>
      </c>
      <c r="F69" s="2">
        <v>16.777733333333334</v>
      </c>
      <c r="G69" s="2">
        <f t="shared" si="6"/>
        <v>0</v>
      </c>
      <c r="H69" s="2">
        <f t="shared" si="7"/>
        <v>1</v>
      </c>
      <c r="I69" s="2">
        <f t="shared" si="8"/>
        <v>0</v>
      </c>
      <c r="J69" s="2">
        <f t="shared" si="5"/>
        <v>0</v>
      </c>
      <c r="K69" s="11">
        <v>0</v>
      </c>
    </row>
    <row r="70" spans="1:11">
      <c r="A70" s="3">
        <v>1</v>
      </c>
      <c r="B70" s="3" t="s">
        <v>154</v>
      </c>
      <c r="C70" s="2">
        <v>2</v>
      </c>
      <c r="D70" s="2">
        <v>1000</v>
      </c>
      <c r="E70" s="2">
        <v>0</v>
      </c>
      <c r="F70" s="2">
        <v>13.3909</v>
      </c>
      <c r="G70" s="2">
        <f t="shared" si="6"/>
        <v>0</v>
      </c>
      <c r="H70" s="2">
        <f t="shared" si="7"/>
        <v>1</v>
      </c>
      <c r="I70" s="2">
        <f t="shared" si="8"/>
        <v>0</v>
      </c>
      <c r="J70" s="2">
        <f t="shared" si="5"/>
        <v>0</v>
      </c>
      <c r="K70" s="11">
        <v>0</v>
      </c>
    </row>
    <row r="71" spans="1:11">
      <c r="A71" s="3">
        <v>42</v>
      </c>
      <c r="B71" s="3" t="s">
        <v>130</v>
      </c>
      <c r="C71" s="2">
        <v>2</v>
      </c>
      <c r="D71" s="2">
        <v>887.01545329999999</v>
      </c>
      <c r="E71" s="2">
        <v>0</v>
      </c>
      <c r="F71" s="2">
        <v>30.390666666666679</v>
      </c>
      <c r="G71" s="2">
        <f t="shared" si="6"/>
        <v>0</v>
      </c>
      <c r="H71" s="2">
        <f t="shared" si="7"/>
        <v>0</v>
      </c>
      <c r="I71" s="2">
        <f t="shared" si="8"/>
        <v>0</v>
      </c>
      <c r="J71" s="2">
        <f t="shared" si="5"/>
        <v>0</v>
      </c>
      <c r="K71" s="11">
        <v>0</v>
      </c>
    </row>
    <row r="72" spans="1:11">
      <c r="A72" s="3">
        <v>214</v>
      </c>
      <c r="B72" s="3" t="s">
        <v>19</v>
      </c>
      <c r="C72" s="2">
        <v>2</v>
      </c>
      <c r="D72" s="2">
        <v>837.53527570000006</v>
      </c>
      <c r="E72" s="2">
        <v>0</v>
      </c>
      <c r="F72" s="2">
        <v>11.629800000000001</v>
      </c>
      <c r="G72" s="2">
        <f t="shared" si="6"/>
        <v>0</v>
      </c>
      <c r="H72" s="2">
        <f t="shared" si="7"/>
        <v>1</v>
      </c>
      <c r="I72" s="2">
        <f t="shared" si="8"/>
        <v>0</v>
      </c>
      <c r="J72" s="2">
        <f t="shared" si="5"/>
        <v>0</v>
      </c>
      <c r="K72" s="11">
        <v>0</v>
      </c>
    </row>
    <row r="73" spans="1:11">
      <c r="A73" s="3">
        <v>45</v>
      </c>
      <c r="B73" s="3" t="s">
        <v>127</v>
      </c>
      <c r="C73" s="2">
        <v>2</v>
      </c>
      <c r="D73" s="2">
        <v>836.71728459999997</v>
      </c>
      <c r="E73" s="2">
        <v>0</v>
      </c>
      <c r="F73" s="2">
        <v>19.577400000000001</v>
      </c>
      <c r="G73" s="2">
        <f t="shared" si="6"/>
        <v>0</v>
      </c>
      <c r="H73" s="2">
        <f t="shared" si="7"/>
        <v>1</v>
      </c>
      <c r="I73" s="2">
        <f t="shared" si="8"/>
        <v>0</v>
      </c>
      <c r="J73" s="2">
        <f t="shared" si="5"/>
        <v>0</v>
      </c>
      <c r="K73" s="11">
        <v>0</v>
      </c>
    </row>
    <row r="74" spans="1:11">
      <c r="A74" s="3">
        <v>236</v>
      </c>
      <c r="B74" s="3" t="s">
        <v>3</v>
      </c>
      <c r="C74" s="2">
        <v>2</v>
      </c>
      <c r="D74" s="2">
        <v>833.4864129</v>
      </c>
      <c r="E74" s="2">
        <v>0</v>
      </c>
      <c r="F74" s="2">
        <v>18.390666666666664</v>
      </c>
      <c r="G74" s="2">
        <f t="shared" si="6"/>
        <v>0</v>
      </c>
      <c r="H74" s="2">
        <f t="shared" si="7"/>
        <v>1</v>
      </c>
      <c r="I74" s="2">
        <f t="shared" si="8"/>
        <v>0</v>
      </c>
      <c r="J74" s="2">
        <f t="shared" si="5"/>
        <v>0</v>
      </c>
      <c r="K74" s="11">
        <v>0</v>
      </c>
    </row>
    <row r="75" spans="1:11">
      <c r="A75" s="3">
        <v>182</v>
      </c>
      <c r="B75" s="3" t="s">
        <v>36</v>
      </c>
      <c r="C75" s="2">
        <v>2</v>
      </c>
      <c r="D75" s="2">
        <v>786.26164070000004</v>
      </c>
      <c r="E75" s="2">
        <v>0</v>
      </c>
      <c r="F75" s="2">
        <v>3.9911000000000008</v>
      </c>
      <c r="G75" s="2">
        <f t="shared" si="6"/>
        <v>0</v>
      </c>
      <c r="H75" s="2">
        <f t="shared" si="7"/>
        <v>1</v>
      </c>
      <c r="I75" s="2">
        <f t="shared" si="8"/>
        <v>0</v>
      </c>
      <c r="J75" s="2">
        <f t="shared" si="5"/>
        <v>0</v>
      </c>
      <c r="K75" s="2">
        <v>1</v>
      </c>
    </row>
    <row r="76" spans="1:11">
      <c r="A76" s="3">
        <v>19</v>
      </c>
      <c r="B76" s="3" t="s">
        <v>144</v>
      </c>
      <c r="C76" s="2">
        <v>2</v>
      </c>
      <c r="D76" s="2">
        <v>710.9835468</v>
      </c>
      <c r="E76" s="2">
        <v>0</v>
      </c>
      <c r="F76" s="2">
        <v>11.654599999999999</v>
      </c>
      <c r="G76" s="2">
        <f t="shared" si="6"/>
        <v>0</v>
      </c>
      <c r="H76" s="2">
        <f t="shared" si="7"/>
        <v>1</v>
      </c>
      <c r="I76" s="2">
        <f t="shared" si="8"/>
        <v>0</v>
      </c>
      <c r="J76" s="2">
        <f t="shared" si="5"/>
        <v>0</v>
      </c>
      <c r="K76" s="26">
        <v>0</v>
      </c>
    </row>
    <row r="77" spans="1:11">
      <c r="A77" s="3">
        <v>153</v>
      </c>
      <c r="B77" s="3" t="s">
        <v>57</v>
      </c>
      <c r="C77" s="2">
        <v>2</v>
      </c>
      <c r="D77" s="2">
        <v>642.49515789999998</v>
      </c>
      <c r="E77" s="2">
        <v>0</v>
      </c>
      <c r="F77" s="2">
        <v>5.4507333333333312</v>
      </c>
      <c r="G77" s="2">
        <f t="shared" si="6"/>
        <v>0</v>
      </c>
      <c r="H77" s="2">
        <f t="shared" si="7"/>
        <v>1</v>
      </c>
      <c r="I77" s="2">
        <f t="shared" si="8"/>
        <v>0</v>
      </c>
      <c r="J77" s="2">
        <f t="shared" si="5"/>
        <v>0</v>
      </c>
      <c r="K77" s="11">
        <v>0</v>
      </c>
    </row>
    <row r="78" spans="1:11">
      <c r="A78" s="3">
        <v>69</v>
      </c>
      <c r="B78" s="3" t="s">
        <v>110</v>
      </c>
      <c r="C78" s="2">
        <v>2</v>
      </c>
      <c r="D78" s="2">
        <v>566.39685069999996</v>
      </c>
      <c r="E78" s="2">
        <v>0</v>
      </c>
      <c r="F78" s="2">
        <v>9.6073000000000004</v>
      </c>
      <c r="G78" s="2">
        <f t="shared" si="6"/>
        <v>0</v>
      </c>
      <c r="H78" s="2">
        <f t="shared" si="7"/>
        <v>1</v>
      </c>
      <c r="I78" s="2">
        <f t="shared" si="8"/>
        <v>0</v>
      </c>
      <c r="J78" s="2">
        <f t="shared" si="5"/>
        <v>0</v>
      </c>
      <c r="K78" s="2">
        <v>1</v>
      </c>
    </row>
    <row r="79" spans="1:11">
      <c r="A79" s="3">
        <v>36</v>
      </c>
      <c r="B79" s="3" t="s">
        <v>134</v>
      </c>
      <c r="C79" s="2">
        <v>2</v>
      </c>
      <c r="D79" s="2">
        <v>470.15290929999998</v>
      </c>
      <c r="E79" s="2">
        <v>0</v>
      </c>
      <c r="F79" s="2">
        <v>3.6581333333333337</v>
      </c>
      <c r="G79" s="2">
        <f t="shared" si="6"/>
        <v>0</v>
      </c>
      <c r="H79" s="2">
        <f t="shared" si="7"/>
        <v>1</v>
      </c>
      <c r="I79" s="2">
        <f t="shared" si="8"/>
        <v>0</v>
      </c>
      <c r="J79" s="2">
        <f t="shared" si="5"/>
        <v>0</v>
      </c>
      <c r="K79" s="11">
        <v>0</v>
      </c>
    </row>
    <row r="80" spans="1:11">
      <c r="A80" s="3">
        <v>123</v>
      </c>
      <c r="B80" s="3" t="s">
        <v>75</v>
      </c>
      <c r="C80" s="2">
        <v>2</v>
      </c>
      <c r="D80" s="2">
        <v>412.09228869999998</v>
      </c>
      <c r="E80" s="2">
        <v>0</v>
      </c>
      <c r="F80" s="2">
        <v>9.7866999999999997</v>
      </c>
      <c r="G80" s="2">
        <f t="shared" si="6"/>
        <v>0</v>
      </c>
      <c r="H80" s="2">
        <f t="shared" si="7"/>
        <v>1</v>
      </c>
      <c r="I80" s="2">
        <f t="shared" si="8"/>
        <v>0</v>
      </c>
      <c r="J80" s="2">
        <f t="shared" si="5"/>
        <v>0</v>
      </c>
      <c r="K80" s="11">
        <v>0</v>
      </c>
    </row>
    <row r="81" spans="1:11">
      <c r="A81" s="3">
        <v>150</v>
      </c>
      <c r="B81" s="3" t="s">
        <v>59</v>
      </c>
      <c r="C81" s="2">
        <v>2</v>
      </c>
      <c r="D81" s="2">
        <v>378.93861290000001</v>
      </c>
      <c r="E81" s="2">
        <v>0</v>
      </c>
      <c r="F81" s="2">
        <v>23.038733333333344</v>
      </c>
      <c r="G81" s="2">
        <f t="shared" si="6"/>
        <v>0</v>
      </c>
      <c r="H81" s="2">
        <f t="shared" si="7"/>
        <v>1</v>
      </c>
      <c r="I81" s="2">
        <f t="shared" si="8"/>
        <v>0</v>
      </c>
      <c r="J81" s="2">
        <f t="shared" si="5"/>
        <v>0</v>
      </c>
      <c r="K81" s="11">
        <v>0</v>
      </c>
    </row>
    <row r="82" spans="1:11">
      <c r="A82" s="3">
        <v>149</v>
      </c>
      <c r="B82" s="3" t="s">
        <v>60</v>
      </c>
      <c r="C82" s="2">
        <v>2</v>
      </c>
      <c r="D82" s="2">
        <v>365.23229900000001</v>
      </c>
      <c r="E82" s="2">
        <v>0</v>
      </c>
      <c r="F82" s="2">
        <v>10.510733333333331</v>
      </c>
      <c r="G82" s="2">
        <f t="shared" si="6"/>
        <v>0</v>
      </c>
      <c r="H82" s="2">
        <f t="shared" si="7"/>
        <v>1</v>
      </c>
      <c r="I82" s="2">
        <f t="shared" si="8"/>
        <v>0</v>
      </c>
      <c r="J82" s="2">
        <f t="shared" si="5"/>
        <v>0</v>
      </c>
      <c r="K82" s="2">
        <v>1</v>
      </c>
    </row>
    <row r="83" spans="1:11">
      <c r="A83" s="3">
        <v>230</v>
      </c>
      <c r="B83" s="3" t="s">
        <v>7</v>
      </c>
      <c r="C83" s="2">
        <v>3</v>
      </c>
      <c r="D83" s="2">
        <v>28697.708030000002</v>
      </c>
      <c r="E83" s="2">
        <v>1</v>
      </c>
      <c r="F83" s="2">
        <v>73.424066666666675</v>
      </c>
      <c r="G83" s="2">
        <f t="shared" si="6"/>
        <v>0</v>
      </c>
      <c r="H83" s="2">
        <f t="shared" si="7"/>
        <v>0</v>
      </c>
      <c r="I83" s="2">
        <f t="shared" si="8"/>
        <v>0</v>
      </c>
      <c r="J83" s="2">
        <f t="shared" si="5"/>
        <v>0</v>
      </c>
      <c r="K83" s="11">
        <v>0</v>
      </c>
    </row>
    <row r="84" spans="1:11">
      <c r="A84" s="3">
        <v>39</v>
      </c>
      <c r="B84" s="3" t="s">
        <v>131</v>
      </c>
      <c r="C84" s="2">
        <v>3</v>
      </c>
      <c r="D84" s="2">
        <v>25123.678609999999</v>
      </c>
      <c r="E84" s="2">
        <v>1</v>
      </c>
      <c r="F84" s="2">
        <v>74.95793333333333</v>
      </c>
      <c r="G84" s="2">
        <f t="shared" si="6"/>
        <v>0</v>
      </c>
      <c r="H84" s="2">
        <f t="shared" si="7"/>
        <v>0</v>
      </c>
      <c r="I84" s="2">
        <f t="shared" si="8"/>
        <v>0</v>
      </c>
      <c r="J84" s="2">
        <f t="shared" si="5"/>
        <v>0</v>
      </c>
      <c r="K84" s="11">
        <v>0</v>
      </c>
    </row>
    <row r="85" spans="1:11">
      <c r="A85" s="3">
        <v>59</v>
      </c>
      <c r="B85" s="3" t="s">
        <v>117</v>
      </c>
      <c r="C85" s="2">
        <v>3</v>
      </c>
      <c r="D85" s="2">
        <v>23612.410929999998</v>
      </c>
      <c r="E85" s="2">
        <v>1</v>
      </c>
      <c r="F85" s="2">
        <v>81.230933333333311</v>
      </c>
      <c r="G85" s="2">
        <f t="shared" si="6"/>
        <v>0</v>
      </c>
      <c r="H85" s="2">
        <f t="shared" si="7"/>
        <v>0</v>
      </c>
      <c r="I85" s="2">
        <f t="shared" si="8"/>
        <v>0</v>
      </c>
      <c r="J85" s="2">
        <f t="shared" si="5"/>
        <v>0</v>
      </c>
      <c r="K85" s="11">
        <v>0</v>
      </c>
    </row>
    <row r="86" spans="1:11">
      <c r="A86" s="3">
        <v>154</v>
      </c>
      <c r="B86" s="3" t="s">
        <v>56</v>
      </c>
      <c r="C86" s="2">
        <v>3</v>
      </c>
      <c r="D86" s="2">
        <v>23441.659670000001</v>
      </c>
      <c r="E86" s="2">
        <v>1</v>
      </c>
      <c r="F86" s="2">
        <v>63.695700000000009</v>
      </c>
      <c r="G86" s="2">
        <f t="shared" si="6"/>
        <v>0</v>
      </c>
      <c r="H86" s="2">
        <f t="shared" si="7"/>
        <v>0</v>
      </c>
      <c r="I86" s="2">
        <f t="shared" si="8"/>
        <v>0</v>
      </c>
      <c r="J86" s="2">
        <f t="shared" si="5"/>
        <v>0</v>
      </c>
      <c r="K86" s="11">
        <v>0</v>
      </c>
    </row>
    <row r="87" spans="1:11">
      <c r="A87" s="3">
        <v>22</v>
      </c>
      <c r="B87" s="3" t="s">
        <v>142</v>
      </c>
      <c r="C87" s="2">
        <v>3</v>
      </c>
      <c r="D87" s="2">
        <v>22382.896489999999</v>
      </c>
      <c r="E87" s="2">
        <v>1</v>
      </c>
      <c r="F87" s="2">
        <v>94.596866666666685</v>
      </c>
      <c r="G87" s="2">
        <f t="shared" si="6"/>
        <v>0</v>
      </c>
      <c r="H87" s="2">
        <f t="shared" si="7"/>
        <v>0</v>
      </c>
      <c r="I87" s="2">
        <f t="shared" si="8"/>
        <v>0</v>
      </c>
      <c r="J87" s="2">
        <f t="shared" si="5"/>
        <v>0</v>
      </c>
      <c r="K87" s="11">
        <v>0</v>
      </c>
    </row>
    <row r="88" spans="1:11">
      <c r="A88" s="3">
        <v>14</v>
      </c>
      <c r="B88" s="3" t="s">
        <v>148</v>
      </c>
      <c r="C88" s="2">
        <v>3</v>
      </c>
      <c r="D88" s="2">
        <v>21811.427919999998</v>
      </c>
      <c r="E88" s="2">
        <v>1</v>
      </c>
      <c r="F88" s="2">
        <v>84.957100000000011</v>
      </c>
      <c r="G88" s="2">
        <f t="shared" si="6"/>
        <v>0</v>
      </c>
      <c r="H88" s="2">
        <f t="shared" si="7"/>
        <v>0</v>
      </c>
      <c r="I88" s="2">
        <f t="shared" si="8"/>
        <v>0</v>
      </c>
      <c r="J88" s="2">
        <f t="shared" si="5"/>
        <v>0</v>
      </c>
      <c r="K88" s="11">
        <v>0</v>
      </c>
    </row>
    <row r="89" spans="1:11">
      <c r="A89" s="3">
        <v>108</v>
      </c>
      <c r="B89" s="3" t="s">
        <v>88</v>
      </c>
      <c r="C89" s="2">
        <v>3</v>
      </c>
      <c r="D89" s="2">
        <v>20988.681850000001</v>
      </c>
      <c r="E89" s="2">
        <v>1</v>
      </c>
      <c r="F89" s="2">
        <v>64.834000000000017</v>
      </c>
      <c r="G89" s="2">
        <f t="shared" si="6"/>
        <v>0</v>
      </c>
      <c r="H89" s="2">
        <f t="shared" si="7"/>
        <v>0</v>
      </c>
      <c r="I89" s="2">
        <f t="shared" si="8"/>
        <v>0</v>
      </c>
      <c r="J89" s="2">
        <f t="shared" si="5"/>
        <v>0</v>
      </c>
      <c r="K89" s="11">
        <v>0</v>
      </c>
    </row>
    <row r="90" spans="1:11">
      <c r="A90" s="3">
        <v>229</v>
      </c>
      <c r="B90" s="3" t="s">
        <v>8</v>
      </c>
      <c r="C90" s="2">
        <v>3</v>
      </c>
      <c r="D90" s="2">
        <v>20957.243709999999</v>
      </c>
      <c r="E90" s="2">
        <v>1</v>
      </c>
      <c r="F90" s="2">
        <v>77.958933333333334</v>
      </c>
      <c r="G90" s="2">
        <f t="shared" si="6"/>
        <v>0</v>
      </c>
      <c r="H90" s="2">
        <f t="shared" si="7"/>
        <v>0</v>
      </c>
      <c r="I90" s="2">
        <f t="shared" si="8"/>
        <v>0</v>
      </c>
      <c r="J90" s="2">
        <f t="shared" si="5"/>
        <v>0</v>
      </c>
      <c r="K90" s="11">
        <v>0</v>
      </c>
    </row>
    <row r="91" spans="1:11">
      <c r="A91" s="3">
        <v>177</v>
      </c>
      <c r="B91" s="3" t="s">
        <v>40</v>
      </c>
      <c r="C91" s="2">
        <v>3</v>
      </c>
      <c r="D91" s="2">
        <v>16000</v>
      </c>
      <c r="E91" s="2">
        <v>1</v>
      </c>
      <c r="F91" s="2">
        <v>61.633200000000002</v>
      </c>
      <c r="G91" s="2">
        <f t="shared" si="6"/>
        <v>0</v>
      </c>
      <c r="H91" s="2">
        <f t="shared" si="7"/>
        <v>0</v>
      </c>
      <c r="I91" s="2">
        <f t="shared" si="8"/>
        <v>0</v>
      </c>
      <c r="J91" s="2">
        <f t="shared" si="5"/>
        <v>0</v>
      </c>
      <c r="K91" s="11">
        <v>0</v>
      </c>
    </row>
    <row r="92" spans="1:11">
      <c r="A92" s="3">
        <v>181</v>
      </c>
      <c r="B92" s="3" t="s">
        <v>37</v>
      </c>
      <c r="C92" s="2">
        <v>3</v>
      </c>
      <c r="D92" s="2">
        <v>12846.01706</v>
      </c>
      <c r="E92" s="2">
        <v>1</v>
      </c>
      <c r="F92" s="2">
        <v>65.712299999999999</v>
      </c>
      <c r="G92" s="2">
        <f t="shared" si="6"/>
        <v>0</v>
      </c>
      <c r="H92" s="2">
        <f t="shared" si="7"/>
        <v>0</v>
      </c>
      <c r="I92" s="2">
        <f t="shared" si="8"/>
        <v>0</v>
      </c>
      <c r="J92" s="2">
        <f t="shared" si="5"/>
        <v>0</v>
      </c>
      <c r="K92" s="11">
        <v>0</v>
      </c>
    </row>
    <row r="93" spans="1:11">
      <c r="A93" s="3">
        <v>99</v>
      </c>
      <c r="B93" s="3" t="s">
        <v>95</v>
      </c>
      <c r="C93" s="2">
        <v>3</v>
      </c>
      <c r="D93" s="2">
        <v>12715.60824</v>
      </c>
      <c r="E93" s="2">
        <v>1</v>
      </c>
      <c r="F93" s="2">
        <v>61.919699999999999</v>
      </c>
      <c r="G93" s="2">
        <f t="shared" si="6"/>
        <v>0</v>
      </c>
      <c r="H93" s="2">
        <f t="shared" si="7"/>
        <v>0</v>
      </c>
      <c r="I93" s="2">
        <f t="shared" si="8"/>
        <v>0</v>
      </c>
      <c r="J93" s="2">
        <f t="shared" si="5"/>
        <v>0</v>
      </c>
      <c r="K93" s="11">
        <v>0</v>
      </c>
    </row>
    <row r="94" spans="1:11">
      <c r="A94" s="3">
        <v>235</v>
      </c>
      <c r="B94" s="3" t="s">
        <v>4</v>
      </c>
      <c r="C94" s="2">
        <v>3</v>
      </c>
      <c r="D94" s="2">
        <v>10039.25078</v>
      </c>
      <c r="E94" s="2">
        <v>1</v>
      </c>
      <c r="F94" s="2">
        <v>75.164266666666649</v>
      </c>
      <c r="G94" s="2">
        <f t="shared" si="6"/>
        <v>0</v>
      </c>
      <c r="H94" s="2">
        <f t="shared" si="7"/>
        <v>0</v>
      </c>
      <c r="I94" s="2">
        <f t="shared" si="8"/>
        <v>0</v>
      </c>
      <c r="J94" s="2">
        <f t="shared" si="5"/>
        <v>0</v>
      </c>
      <c r="K94" s="11">
        <v>0</v>
      </c>
    </row>
    <row r="95" spans="1:11">
      <c r="A95" s="3">
        <v>222</v>
      </c>
      <c r="B95" s="3" t="s">
        <v>13</v>
      </c>
      <c r="C95" s="2">
        <v>4</v>
      </c>
      <c r="D95" s="2">
        <v>6992.1891889999997</v>
      </c>
      <c r="E95" s="2">
        <v>1</v>
      </c>
      <c r="F95" s="2">
        <v>43.067133333333338</v>
      </c>
      <c r="G95" s="2">
        <f t="shared" si="6"/>
        <v>0</v>
      </c>
      <c r="H95" s="2">
        <f t="shared" si="7"/>
        <v>0</v>
      </c>
      <c r="I95" s="2">
        <f t="shared" si="8"/>
        <v>1</v>
      </c>
      <c r="J95" s="2">
        <f t="shared" si="5"/>
        <v>0</v>
      </c>
      <c r="K95" s="11">
        <v>0</v>
      </c>
    </row>
    <row r="96" spans="1:11">
      <c r="A96" s="3">
        <v>109</v>
      </c>
      <c r="B96" s="3" t="s">
        <v>87</v>
      </c>
      <c r="C96" s="2">
        <v>4</v>
      </c>
      <c r="D96" s="2">
        <v>5247.4458119999999</v>
      </c>
      <c r="E96" s="2">
        <v>1</v>
      </c>
      <c r="F96" s="2">
        <v>43.528833333333338</v>
      </c>
      <c r="G96" s="2">
        <f t="shared" si="6"/>
        <v>0</v>
      </c>
      <c r="H96" s="2">
        <f t="shared" si="7"/>
        <v>0</v>
      </c>
      <c r="I96" s="2">
        <f t="shared" si="8"/>
        <v>1</v>
      </c>
      <c r="J96" s="2">
        <f t="shared" si="5"/>
        <v>0</v>
      </c>
      <c r="K96" s="11">
        <v>0</v>
      </c>
    </row>
    <row r="97" spans="1:11">
      <c r="A97" s="3">
        <v>29</v>
      </c>
      <c r="B97" s="3" t="s">
        <v>138</v>
      </c>
      <c r="C97" s="2">
        <v>4</v>
      </c>
      <c r="D97" s="2">
        <v>5086.3358040000003</v>
      </c>
      <c r="E97" s="2">
        <v>1</v>
      </c>
      <c r="F97" s="2">
        <v>15.523966666666665</v>
      </c>
      <c r="G97" s="2">
        <f t="shared" si="6"/>
        <v>1</v>
      </c>
      <c r="H97" s="2">
        <f t="shared" si="7"/>
        <v>1</v>
      </c>
      <c r="I97" s="2">
        <f t="shared" si="8"/>
        <v>1</v>
      </c>
      <c r="J97" s="2">
        <f t="shared" si="5"/>
        <v>1</v>
      </c>
      <c r="K97" s="11">
        <v>0</v>
      </c>
    </row>
    <row r="98" spans="1:11">
      <c r="A98" s="3">
        <v>112</v>
      </c>
      <c r="B98" s="3" t="s">
        <v>85</v>
      </c>
      <c r="C98" s="2">
        <v>4</v>
      </c>
      <c r="D98" s="2">
        <v>3972.8567200000002</v>
      </c>
      <c r="E98" s="2">
        <v>1</v>
      </c>
      <c r="F98" s="2">
        <v>59.62833333333333</v>
      </c>
      <c r="G98" s="2">
        <f t="shared" si="6"/>
        <v>0</v>
      </c>
      <c r="H98" s="2">
        <f t="shared" si="7"/>
        <v>0</v>
      </c>
      <c r="I98" s="2">
        <f t="shared" si="8"/>
        <v>1</v>
      </c>
      <c r="J98" s="2">
        <f t="shared" ref="J98:J124" si="9">IF(E98=1,IF(F98&lt;$Z$7,1,0),0)</f>
        <v>0</v>
      </c>
      <c r="K98" s="11">
        <v>0</v>
      </c>
    </row>
    <row r="99" spans="1:11">
      <c r="A99" s="3">
        <v>50</v>
      </c>
      <c r="B99" s="3" t="s">
        <v>125</v>
      </c>
      <c r="C99" s="2">
        <v>4</v>
      </c>
      <c r="D99" s="2">
        <v>3854.8369659999998</v>
      </c>
      <c r="E99" s="2">
        <v>1</v>
      </c>
      <c r="F99" s="2">
        <v>43.829799999999999</v>
      </c>
      <c r="G99" s="2">
        <f t="shared" si="6"/>
        <v>0</v>
      </c>
      <c r="H99" s="2">
        <f t="shared" si="7"/>
        <v>0</v>
      </c>
      <c r="I99" s="2">
        <f t="shared" si="8"/>
        <v>1</v>
      </c>
      <c r="J99" s="2">
        <f t="shared" si="9"/>
        <v>0</v>
      </c>
      <c r="K99" s="11">
        <v>0</v>
      </c>
    </row>
    <row r="100" spans="1:11">
      <c r="A100" s="3">
        <v>65</v>
      </c>
      <c r="B100" s="3" t="s">
        <v>113</v>
      </c>
      <c r="C100" s="2">
        <v>4</v>
      </c>
      <c r="D100" s="2">
        <v>3591.4353550000001</v>
      </c>
      <c r="E100" s="2">
        <v>1</v>
      </c>
      <c r="F100" s="2">
        <v>42.565466666666666</v>
      </c>
      <c r="G100" s="2">
        <f t="shared" si="6"/>
        <v>0</v>
      </c>
      <c r="H100" s="2">
        <f t="shared" si="7"/>
        <v>0</v>
      </c>
      <c r="I100" s="2">
        <f t="shared" si="8"/>
        <v>1</v>
      </c>
      <c r="J100" s="2">
        <f t="shared" si="9"/>
        <v>0</v>
      </c>
      <c r="K100" s="11">
        <v>0</v>
      </c>
    </row>
    <row r="101" spans="1:11">
      <c r="A101" s="3">
        <v>211</v>
      </c>
      <c r="B101" s="3" t="s">
        <v>21</v>
      </c>
      <c r="C101" s="2">
        <v>4</v>
      </c>
      <c r="D101" s="2">
        <v>3158.4667899999999</v>
      </c>
      <c r="E101" s="2">
        <v>1</v>
      </c>
      <c r="F101" s="2">
        <v>44.512133333333331</v>
      </c>
      <c r="G101" s="2">
        <f t="shared" si="6"/>
        <v>0</v>
      </c>
      <c r="H101" s="2">
        <f t="shared" si="7"/>
        <v>0</v>
      </c>
      <c r="I101" s="2">
        <f t="shared" si="8"/>
        <v>1</v>
      </c>
      <c r="J101" s="2">
        <f t="shared" si="9"/>
        <v>0</v>
      </c>
      <c r="K101" s="11">
        <v>0</v>
      </c>
    </row>
    <row r="102" spans="1:11">
      <c r="A102" s="3">
        <v>208</v>
      </c>
      <c r="B102" s="3" t="s">
        <v>24</v>
      </c>
      <c r="C102" s="2">
        <v>4</v>
      </c>
      <c r="D102" s="2">
        <v>2866.6203620000001</v>
      </c>
      <c r="E102" s="2">
        <v>1</v>
      </c>
      <c r="F102" s="2">
        <v>14.193833333333336</v>
      </c>
      <c r="G102" s="2">
        <f t="shared" si="6"/>
        <v>1</v>
      </c>
      <c r="H102" s="2">
        <f t="shared" si="7"/>
        <v>1</v>
      </c>
      <c r="I102" s="2">
        <f t="shared" si="8"/>
        <v>1</v>
      </c>
      <c r="J102" s="2">
        <f t="shared" si="9"/>
        <v>1</v>
      </c>
      <c r="K102" s="11">
        <v>0</v>
      </c>
    </row>
    <row r="103" spans="1:11">
      <c r="A103" s="3">
        <v>148</v>
      </c>
      <c r="B103" s="3" t="s">
        <v>61</v>
      </c>
      <c r="C103" s="2">
        <v>4</v>
      </c>
      <c r="D103" s="2">
        <v>2450.349968</v>
      </c>
      <c r="E103" s="2">
        <v>1</v>
      </c>
      <c r="F103" s="2">
        <v>38.469900000000003</v>
      </c>
      <c r="G103" s="2">
        <f t="shared" si="6"/>
        <v>0</v>
      </c>
      <c r="H103" s="2">
        <f t="shared" si="7"/>
        <v>0</v>
      </c>
      <c r="I103" s="2">
        <f t="shared" si="8"/>
        <v>1</v>
      </c>
      <c r="J103" s="2">
        <f t="shared" si="9"/>
        <v>0</v>
      </c>
      <c r="K103" s="11">
        <v>0</v>
      </c>
    </row>
    <row r="104" spans="1:11">
      <c r="A104" s="3">
        <v>146</v>
      </c>
      <c r="B104" s="3" t="s">
        <v>62</v>
      </c>
      <c r="C104" s="2">
        <v>4</v>
      </c>
      <c r="D104" s="2">
        <v>2328.6066890000002</v>
      </c>
      <c r="E104" s="2">
        <v>1</v>
      </c>
      <c r="F104" s="2">
        <v>48.572733333333318</v>
      </c>
      <c r="G104" s="2">
        <f t="shared" si="6"/>
        <v>0</v>
      </c>
      <c r="H104" s="2">
        <f t="shared" si="7"/>
        <v>0</v>
      </c>
      <c r="I104" s="2">
        <f t="shared" si="8"/>
        <v>1</v>
      </c>
      <c r="J104" s="2">
        <f t="shared" si="9"/>
        <v>0</v>
      </c>
      <c r="K104" s="11">
        <v>0</v>
      </c>
    </row>
    <row r="105" spans="1:11">
      <c r="A105" s="3">
        <v>102</v>
      </c>
      <c r="B105" s="3" t="s">
        <v>93</v>
      </c>
      <c r="C105" s="2">
        <v>4</v>
      </c>
      <c r="D105" s="2">
        <v>1627.763111</v>
      </c>
      <c r="E105" s="2">
        <v>1</v>
      </c>
      <c r="F105" s="2">
        <v>20.759133333333335</v>
      </c>
      <c r="G105" s="2" t="s">
        <v>181</v>
      </c>
      <c r="H105" s="2">
        <f t="shared" si="7"/>
        <v>1</v>
      </c>
      <c r="I105" s="2">
        <f t="shared" si="8"/>
        <v>1</v>
      </c>
      <c r="J105" s="2">
        <f t="shared" si="9"/>
        <v>1</v>
      </c>
      <c r="K105" s="11">
        <v>0</v>
      </c>
    </row>
    <row r="106" spans="1:11">
      <c r="A106" s="3">
        <v>139</v>
      </c>
      <c r="B106" s="3" t="s">
        <v>66</v>
      </c>
      <c r="C106" s="2">
        <v>4</v>
      </c>
      <c r="D106" s="2">
        <v>1615.7270779999999</v>
      </c>
      <c r="E106" s="2">
        <v>1</v>
      </c>
      <c r="F106" s="2">
        <v>22.357100000000003</v>
      </c>
      <c r="G106" s="2">
        <f t="shared" si="6"/>
        <v>1</v>
      </c>
      <c r="H106" s="2">
        <f t="shared" si="7"/>
        <v>1</v>
      </c>
      <c r="I106" s="2">
        <f t="shared" si="8"/>
        <v>1</v>
      </c>
      <c r="J106" s="2">
        <f t="shared" si="9"/>
        <v>1</v>
      </c>
      <c r="K106" s="2">
        <v>1</v>
      </c>
    </row>
    <row r="107" spans="1:11">
      <c r="A107" s="3">
        <v>192</v>
      </c>
      <c r="B107" s="3" t="s">
        <v>34</v>
      </c>
      <c r="C107" s="2">
        <v>4</v>
      </c>
      <c r="D107" s="2">
        <v>1541.2844270000001</v>
      </c>
      <c r="E107" s="2">
        <v>1</v>
      </c>
      <c r="F107" s="2">
        <v>32.650333333333329</v>
      </c>
      <c r="G107" s="2">
        <f t="shared" si="6"/>
        <v>0</v>
      </c>
      <c r="H107" s="2">
        <f t="shared" si="7"/>
        <v>0</v>
      </c>
      <c r="I107" s="2">
        <f t="shared" si="8"/>
        <v>1</v>
      </c>
      <c r="J107" s="2">
        <f t="shared" si="9"/>
        <v>0</v>
      </c>
      <c r="K107" s="11">
        <v>0</v>
      </c>
    </row>
    <row r="108" spans="1:11">
      <c r="A108" s="3">
        <v>242</v>
      </c>
      <c r="B108" s="3" t="s">
        <v>1</v>
      </c>
      <c r="C108" s="2">
        <v>4</v>
      </c>
      <c r="D108" s="2">
        <v>1363.586</v>
      </c>
      <c r="E108" s="2">
        <v>1</v>
      </c>
      <c r="F108" s="2">
        <v>33.171533333333336</v>
      </c>
      <c r="G108" s="2">
        <f t="shared" si="6"/>
        <v>0</v>
      </c>
      <c r="H108" s="2">
        <f t="shared" si="7"/>
        <v>0</v>
      </c>
      <c r="I108" s="2">
        <f t="shared" si="8"/>
        <v>1</v>
      </c>
      <c r="J108" s="2">
        <f t="shared" si="9"/>
        <v>0</v>
      </c>
      <c r="K108" s="11">
        <v>0</v>
      </c>
    </row>
    <row r="109" spans="1:11">
      <c r="A109" s="3">
        <v>114</v>
      </c>
      <c r="B109" s="3" t="s">
        <v>83</v>
      </c>
      <c r="C109" s="2">
        <v>4</v>
      </c>
      <c r="D109" s="2">
        <v>1351.5256260000001</v>
      </c>
      <c r="E109" s="2">
        <v>1</v>
      </c>
      <c r="F109" s="2">
        <v>12.744933333333334</v>
      </c>
      <c r="G109" s="2">
        <f t="shared" si="6"/>
        <v>1</v>
      </c>
      <c r="H109" s="2">
        <f t="shared" si="7"/>
        <v>1</v>
      </c>
      <c r="I109" s="2">
        <f t="shared" si="8"/>
        <v>1</v>
      </c>
      <c r="J109" s="2">
        <f t="shared" si="9"/>
        <v>1</v>
      </c>
      <c r="K109" s="2">
        <v>1</v>
      </c>
    </row>
    <row r="110" spans="1:11">
      <c r="A110" s="3">
        <v>24</v>
      </c>
      <c r="B110" s="3" t="s">
        <v>141</v>
      </c>
      <c r="C110" s="2">
        <v>4</v>
      </c>
      <c r="D110" s="2">
        <v>1177.932652</v>
      </c>
      <c r="E110" s="2">
        <v>1</v>
      </c>
      <c r="F110" s="2">
        <v>22.275000000000002</v>
      </c>
      <c r="G110" s="2">
        <f t="shared" si="6"/>
        <v>1</v>
      </c>
      <c r="H110" s="2">
        <f t="shared" si="7"/>
        <v>1</v>
      </c>
      <c r="I110" s="2">
        <f t="shared" si="8"/>
        <v>1</v>
      </c>
      <c r="J110" s="2">
        <f t="shared" si="9"/>
        <v>1</v>
      </c>
      <c r="K110" s="11">
        <v>0</v>
      </c>
    </row>
    <row r="111" spans="1:11">
      <c r="A111" s="3">
        <v>101</v>
      </c>
      <c r="B111" s="3" t="s">
        <v>94</v>
      </c>
      <c r="C111" s="2">
        <v>4</v>
      </c>
      <c r="D111" s="2">
        <v>1063.579706</v>
      </c>
      <c r="E111" s="2">
        <v>1</v>
      </c>
      <c r="F111" s="2">
        <v>21.636800000000001</v>
      </c>
      <c r="G111" s="2">
        <f t="shared" si="6"/>
        <v>1</v>
      </c>
      <c r="H111" s="2">
        <f t="shared" si="7"/>
        <v>1</v>
      </c>
      <c r="I111" s="2">
        <f t="shared" si="8"/>
        <v>1</v>
      </c>
      <c r="J111" s="2">
        <f t="shared" si="9"/>
        <v>1</v>
      </c>
      <c r="K111" s="2">
        <v>1</v>
      </c>
    </row>
    <row r="112" spans="1:11">
      <c r="A112" s="3">
        <v>205</v>
      </c>
      <c r="B112" s="3" t="s">
        <v>25</v>
      </c>
      <c r="C112" s="2">
        <v>4</v>
      </c>
      <c r="D112" s="2">
        <v>1054.9745210000001</v>
      </c>
      <c r="E112" s="2">
        <v>1</v>
      </c>
      <c r="F112" s="2">
        <v>18.866566666666667</v>
      </c>
      <c r="G112" s="2">
        <f t="shared" si="6"/>
        <v>1</v>
      </c>
      <c r="H112" s="2">
        <f t="shared" si="7"/>
        <v>1</v>
      </c>
      <c r="I112" s="2">
        <f t="shared" si="8"/>
        <v>1</v>
      </c>
      <c r="J112" s="2">
        <f t="shared" si="9"/>
        <v>1</v>
      </c>
      <c r="K112" s="2">
        <v>1</v>
      </c>
    </row>
    <row r="113" spans="1:11">
      <c r="A113" s="3">
        <v>217</v>
      </c>
      <c r="B113" s="3" t="s">
        <v>16</v>
      </c>
      <c r="C113" s="2">
        <v>4</v>
      </c>
      <c r="D113" s="2">
        <v>943.69275849999997</v>
      </c>
      <c r="E113" s="2">
        <v>1</v>
      </c>
      <c r="F113" s="2">
        <v>21.929099999999995</v>
      </c>
      <c r="G113" s="2">
        <f t="shared" si="6"/>
        <v>1</v>
      </c>
      <c r="H113" s="2">
        <f t="shared" si="7"/>
        <v>1</v>
      </c>
      <c r="I113" s="2">
        <f t="shared" si="8"/>
        <v>1</v>
      </c>
      <c r="J113" s="2">
        <f t="shared" si="9"/>
        <v>1</v>
      </c>
      <c r="K113" s="11">
        <v>0</v>
      </c>
    </row>
    <row r="114" spans="1:11">
      <c r="A114" s="3">
        <v>82</v>
      </c>
      <c r="B114" s="3" t="s">
        <v>103</v>
      </c>
      <c r="C114" s="2">
        <v>4</v>
      </c>
      <c r="D114" s="2">
        <v>856.62119229999996</v>
      </c>
      <c r="E114" s="2">
        <v>1</v>
      </c>
      <c r="F114" s="2">
        <v>30.055400000000002</v>
      </c>
      <c r="G114" s="2">
        <f t="shared" si="6"/>
        <v>0</v>
      </c>
      <c r="H114" s="2">
        <f t="shared" si="7"/>
        <v>0</v>
      </c>
      <c r="I114" s="2">
        <f t="shared" si="8"/>
        <v>1</v>
      </c>
      <c r="J114" s="2">
        <f t="shared" si="9"/>
        <v>0</v>
      </c>
      <c r="K114" s="11">
        <v>0</v>
      </c>
    </row>
    <row r="115" spans="1:11">
      <c r="A115" s="3">
        <v>91</v>
      </c>
      <c r="B115" s="3" t="s">
        <v>100</v>
      </c>
      <c r="C115" s="2">
        <v>4</v>
      </c>
      <c r="D115" s="2">
        <v>849.10380810000004</v>
      </c>
      <c r="E115" s="2">
        <v>1</v>
      </c>
      <c r="F115" s="2">
        <v>19.952066666666664</v>
      </c>
      <c r="G115" s="2">
        <f t="shared" si="6"/>
        <v>1</v>
      </c>
      <c r="H115" s="2">
        <f t="shared" si="7"/>
        <v>1</v>
      </c>
      <c r="I115" s="2">
        <f t="shared" si="8"/>
        <v>1</v>
      </c>
      <c r="J115" s="2">
        <f t="shared" si="9"/>
        <v>1</v>
      </c>
      <c r="K115" s="11">
        <v>0</v>
      </c>
    </row>
    <row r="116" spans="1:11">
      <c r="A116" s="3">
        <v>43</v>
      </c>
      <c r="B116" s="3" t="s">
        <v>129</v>
      </c>
      <c r="C116" s="2">
        <v>4</v>
      </c>
      <c r="D116" s="2">
        <v>783.97599490000005</v>
      </c>
      <c r="E116" s="2">
        <v>1</v>
      </c>
      <c r="F116" s="2">
        <v>14.878433333333335</v>
      </c>
      <c r="G116" s="2">
        <f t="shared" si="6"/>
        <v>1</v>
      </c>
      <c r="H116" s="2">
        <f t="shared" si="7"/>
        <v>1</v>
      </c>
      <c r="I116" s="2">
        <f t="shared" si="8"/>
        <v>1</v>
      </c>
      <c r="J116" s="2">
        <f t="shared" si="9"/>
        <v>1</v>
      </c>
      <c r="K116" s="2">
        <v>1</v>
      </c>
    </row>
    <row r="117" spans="1:11">
      <c r="A117" s="3">
        <v>159</v>
      </c>
      <c r="B117" s="3" t="s">
        <v>53</v>
      </c>
      <c r="C117" s="2">
        <v>4</v>
      </c>
      <c r="D117" s="2">
        <v>771.11228879999999</v>
      </c>
      <c r="E117" s="2">
        <v>1</v>
      </c>
      <c r="F117" s="2">
        <v>11.089833333333333</v>
      </c>
      <c r="G117" s="2">
        <f t="shared" si="6"/>
        <v>1</v>
      </c>
      <c r="H117" s="2">
        <f t="shared" si="7"/>
        <v>1</v>
      </c>
      <c r="I117" s="2">
        <f t="shared" si="8"/>
        <v>1</v>
      </c>
      <c r="J117" s="2">
        <f t="shared" si="9"/>
        <v>1</v>
      </c>
      <c r="K117" s="2">
        <v>1</v>
      </c>
    </row>
    <row r="118" spans="1:11">
      <c r="A118" s="3">
        <v>195</v>
      </c>
      <c r="B118" s="3" t="s">
        <v>33</v>
      </c>
      <c r="C118" s="2">
        <v>4</v>
      </c>
      <c r="D118" s="2">
        <v>764.07026099999996</v>
      </c>
      <c r="E118" s="2">
        <v>1</v>
      </c>
      <c r="F118" s="2">
        <v>26.303499999999996</v>
      </c>
      <c r="G118" s="2">
        <f t="shared" si="6"/>
        <v>0</v>
      </c>
      <c r="H118" s="2">
        <f t="shared" si="7"/>
        <v>0</v>
      </c>
      <c r="I118" s="2">
        <f t="shared" si="8"/>
        <v>1</v>
      </c>
      <c r="J118" s="2">
        <f t="shared" si="9"/>
        <v>0</v>
      </c>
      <c r="K118" s="11">
        <v>0</v>
      </c>
    </row>
    <row r="119" spans="1:11">
      <c r="A119" s="3">
        <v>35</v>
      </c>
      <c r="B119" s="3" t="s">
        <v>135</v>
      </c>
      <c r="C119" s="2">
        <v>4</v>
      </c>
      <c r="D119" s="2">
        <v>676.29903390000004</v>
      </c>
      <c r="E119" s="2">
        <v>1</v>
      </c>
      <c r="F119" s="2">
        <v>8.0998333333333328</v>
      </c>
      <c r="G119" s="2">
        <f t="shared" si="6"/>
        <v>1</v>
      </c>
      <c r="H119" s="2">
        <f t="shared" si="7"/>
        <v>1</v>
      </c>
      <c r="I119" s="2">
        <f t="shared" si="8"/>
        <v>1</v>
      </c>
      <c r="J119" s="2">
        <f t="shared" si="9"/>
        <v>1</v>
      </c>
      <c r="K119" s="2">
        <v>1</v>
      </c>
    </row>
    <row r="120" spans="1:11">
      <c r="A120" s="3">
        <v>135</v>
      </c>
      <c r="B120" s="3" t="s">
        <v>67</v>
      </c>
      <c r="C120" s="2">
        <v>4</v>
      </c>
      <c r="D120" s="2">
        <v>657.04991919999998</v>
      </c>
      <c r="E120" s="2">
        <v>1</v>
      </c>
      <c r="F120" s="2">
        <v>16.849766666666667</v>
      </c>
      <c r="G120" s="2">
        <f t="shared" si="6"/>
        <v>1</v>
      </c>
      <c r="H120" s="2">
        <f t="shared" si="7"/>
        <v>1</v>
      </c>
      <c r="I120" s="2">
        <f t="shared" si="8"/>
        <v>1</v>
      </c>
      <c r="J120" s="2">
        <f t="shared" si="9"/>
        <v>1</v>
      </c>
      <c r="K120" s="2">
        <v>1</v>
      </c>
    </row>
    <row r="121" spans="1:11">
      <c r="A121" s="3">
        <v>132</v>
      </c>
      <c r="B121" s="3" t="s">
        <v>69</v>
      </c>
      <c r="C121" s="2">
        <v>4</v>
      </c>
      <c r="D121" s="2">
        <v>614.35602649999998</v>
      </c>
      <c r="E121" s="2">
        <v>1</v>
      </c>
      <c r="F121" s="2">
        <v>7.7530000000000019</v>
      </c>
      <c r="G121" s="2">
        <f t="shared" si="6"/>
        <v>1</v>
      </c>
      <c r="H121" s="2">
        <f t="shared" si="7"/>
        <v>1</v>
      </c>
      <c r="I121" s="2">
        <f t="shared" si="8"/>
        <v>1</v>
      </c>
      <c r="J121" s="2">
        <f t="shared" si="9"/>
        <v>1</v>
      </c>
      <c r="K121" s="2">
        <v>1</v>
      </c>
    </row>
    <row r="122" spans="1:11">
      <c r="A122" s="3">
        <v>200</v>
      </c>
      <c r="B122" s="3" t="s">
        <v>29</v>
      </c>
      <c r="C122" s="2">
        <v>4</v>
      </c>
      <c r="D122" s="2">
        <v>600</v>
      </c>
      <c r="E122" s="2">
        <v>1</v>
      </c>
      <c r="F122" s="2">
        <v>24.614933333333333</v>
      </c>
      <c r="G122" s="2">
        <f t="shared" si="6"/>
        <v>1</v>
      </c>
      <c r="H122" s="2">
        <f t="shared" si="7"/>
        <v>1</v>
      </c>
      <c r="I122" s="2">
        <f t="shared" si="8"/>
        <v>1</v>
      </c>
      <c r="J122" s="2">
        <f t="shared" si="9"/>
        <v>1</v>
      </c>
      <c r="K122" s="2">
        <v>1</v>
      </c>
    </row>
    <row r="123" spans="1:11">
      <c r="A123" s="3">
        <v>226</v>
      </c>
      <c r="B123" s="3" t="s">
        <v>11</v>
      </c>
      <c r="C123" s="2">
        <v>4</v>
      </c>
      <c r="D123" s="2">
        <v>544.77022250000005</v>
      </c>
      <c r="E123" s="2">
        <v>1</v>
      </c>
      <c r="F123" s="2">
        <v>7.3852333333333329</v>
      </c>
      <c r="G123" s="2">
        <f t="shared" si="6"/>
        <v>1</v>
      </c>
      <c r="H123" s="2">
        <f t="shared" si="7"/>
        <v>1</v>
      </c>
      <c r="I123" s="2">
        <f t="shared" si="8"/>
        <v>1</v>
      </c>
      <c r="J123" s="2">
        <f t="shared" si="9"/>
        <v>1</v>
      </c>
      <c r="K123" s="2">
        <v>1</v>
      </c>
    </row>
    <row r="124" spans="1:11">
      <c r="A124" s="3">
        <v>243</v>
      </c>
      <c r="B124" s="3" t="s">
        <v>0</v>
      </c>
      <c r="C124" s="2">
        <v>4</v>
      </c>
      <c r="D124" s="2">
        <v>400</v>
      </c>
      <c r="E124" s="2">
        <v>1</v>
      </c>
      <c r="F124" s="2">
        <v>20.345999999999997</v>
      </c>
      <c r="G124" s="2">
        <f t="shared" si="6"/>
        <v>1</v>
      </c>
      <c r="H124" s="2">
        <f t="shared" si="7"/>
        <v>1</v>
      </c>
      <c r="I124" s="2">
        <f t="shared" si="8"/>
        <v>1</v>
      </c>
      <c r="J124" s="2">
        <f t="shared" si="9"/>
        <v>1</v>
      </c>
      <c r="K124" s="2">
        <v>1</v>
      </c>
    </row>
    <row r="125" spans="1:11">
      <c r="A125" s="12">
        <v>12</v>
      </c>
      <c r="B125" s="12" t="s">
        <v>149</v>
      </c>
      <c r="C125" s="13"/>
      <c r="D125" s="13"/>
      <c r="E125" s="13">
        <v>1</v>
      </c>
      <c r="F125" s="13">
        <v>62.199933333333334</v>
      </c>
      <c r="G125" s="13"/>
      <c r="H125" s="13"/>
      <c r="I125" s="13"/>
      <c r="K125" s="13"/>
    </row>
    <row r="126" spans="1:11">
      <c r="A126" s="12">
        <v>16</v>
      </c>
      <c r="B126" s="12" t="s">
        <v>146</v>
      </c>
      <c r="C126" s="13"/>
      <c r="D126" s="13"/>
      <c r="E126" s="13">
        <v>1</v>
      </c>
      <c r="F126" s="13">
        <v>52.109766666666658</v>
      </c>
      <c r="G126" s="13"/>
      <c r="H126" s="13"/>
      <c r="I126" s="13"/>
      <c r="K126" s="13"/>
    </row>
    <row r="127" spans="1:11">
      <c r="A127" s="12">
        <v>18</v>
      </c>
      <c r="B127" s="12" t="s">
        <v>145</v>
      </c>
      <c r="C127" s="13"/>
      <c r="D127" s="13"/>
      <c r="E127" s="13">
        <v>1</v>
      </c>
      <c r="F127" s="13">
        <v>85.052999999999983</v>
      </c>
      <c r="G127" s="13"/>
      <c r="H127" s="13"/>
      <c r="I127" s="13"/>
      <c r="K127" s="13"/>
    </row>
    <row r="128" spans="1:11">
      <c r="A128" s="12">
        <v>21</v>
      </c>
      <c r="B128" s="12" t="s">
        <v>143</v>
      </c>
      <c r="C128" s="13"/>
      <c r="D128" s="13"/>
      <c r="E128" s="13">
        <v>1</v>
      </c>
      <c r="F128" s="13">
        <v>50.605166666666655</v>
      </c>
      <c r="G128" s="13"/>
      <c r="H128" s="13"/>
      <c r="I128" s="13"/>
      <c r="K128" s="13"/>
    </row>
    <row r="129" spans="1:11">
      <c r="A129" s="12">
        <v>28</v>
      </c>
      <c r="B129" s="12" t="s">
        <v>139</v>
      </c>
      <c r="C129" s="13"/>
      <c r="D129" s="13"/>
      <c r="E129" s="13">
        <v>1</v>
      </c>
      <c r="F129" s="13">
        <v>30.933900000000008</v>
      </c>
      <c r="G129" s="13"/>
      <c r="H129" s="13"/>
      <c r="I129" s="13"/>
      <c r="K129" s="13"/>
    </row>
    <row r="130" spans="1:11">
      <c r="A130" s="12">
        <v>51</v>
      </c>
      <c r="B130" s="12" t="s">
        <v>124</v>
      </c>
      <c r="C130" s="13"/>
      <c r="D130" s="13"/>
      <c r="E130" s="13">
        <v>1</v>
      </c>
      <c r="F130" s="13">
        <v>28.027300000000018</v>
      </c>
      <c r="G130" s="13"/>
      <c r="H130" s="13"/>
      <c r="I130" s="13"/>
      <c r="K130" s="13">
        <v>1</v>
      </c>
    </row>
    <row r="131" spans="1:11">
      <c r="A131" s="12">
        <v>54</v>
      </c>
      <c r="B131" s="12" t="s">
        <v>122</v>
      </c>
      <c r="C131" s="13"/>
      <c r="D131" s="13"/>
      <c r="E131" s="13">
        <v>1</v>
      </c>
      <c r="F131" s="13">
        <v>31.718266666666668</v>
      </c>
      <c r="G131" s="13"/>
      <c r="H131" s="13"/>
      <c r="I131" s="13"/>
      <c r="K131" s="13"/>
    </row>
    <row r="132" spans="1:11">
      <c r="A132" s="12">
        <v>55</v>
      </c>
      <c r="B132" s="12" t="s">
        <v>121</v>
      </c>
      <c r="C132" s="13"/>
      <c r="D132" s="13"/>
      <c r="E132" s="13">
        <v>1</v>
      </c>
      <c r="F132" s="13">
        <v>44.522666666666659</v>
      </c>
      <c r="G132" s="13"/>
      <c r="H132" s="13"/>
      <c r="I132" s="13"/>
      <c r="K132" s="13"/>
    </row>
    <row r="133" spans="1:11">
      <c r="A133" s="12">
        <v>57</v>
      </c>
      <c r="B133" s="12" t="s">
        <v>119</v>
      </c>
      <c r="C133" s="13"/>
      <c r="D133" s="13"/>
      <c r="E133" s="13">
        <v>1</v>
      </c>
      <c r="F133" s="13">
        <v>50.639133333333341</v>
      </c>
      <c r="G133" s="13"/>
      <c r="H133" s="13"/>
      <c r="I133" s="13"/>
      <c r="K133" s="13"/>
    </row>
    <row r="134" spans="1:11">
      <c r="A134" s="12">
        <v>67</v>
      </c>
      <c r="B134" s="12" t="s">
        <v>112</v>
      </c>
      <c r="C134" s="13"/>
      <c r="D134" s="13"/>
      <c r="E134" s="13">
        <v>1</v>
      </c>
      <c r="F134" s="13">
        <v>13.400400000000001</v>
      </c>
      <c r="G134" s="13"/>
      <c r="H134" s="13"/>
      <c r="I134" s="13"/>
      <c r="K134" s="13">
        <v>1</v>
      </c>
    </row>
    <row r="135" spans="1:11">
      <c r="A135" s="12">
        <v>68</v>
      </c>
      <c r="B135" s="12" t="s">
        <v>111</v>
      </c>
      <c r="C135" s="13"/>
      <c r="D135" s="13"/>
      <c r="E135" s="13">
        <v>1</v>
      </c>
      <c r="F135" s="13">
        <v>66.675333333333327</v>
      </c>
      <c r="G135" s="13"/>
      <c r="H135" s="13"/>
      <c r="I135" s="13"/>
      <c r="K135" s="13"/>
    </row>
    <row r="136" spans="1:11">
      <c r="A136" s="12">
        <v>80</v>
      </c>
      <c r="B136" s="12" t="s">
        <v>105</v>
      </c>
      <c r="C136" s="13"/>
      <c r="D136" s="13"/>
      <c r="E136" s="13">
        <v>1</v>
      </c>
      <c r="F136" s="13">
        <v>50.137566666666672</v>
      </c>
      <c r="G136" s="13"/>
      <c r="H136" s="13"/>
      <c r="I136" s="13"/>
      <c r="K136" s="13"/>
    </row>
    <row r="137" spans="1:11">
      <c r="A137" s="12">
        <v>98</v>
      </c>
      <c r="B137" s="12" t="s">
        <v>96</v>
      </c>
      <c r="C137" s="13"/>
      <c r="D137" s="13"/>
      <c r="E137" s="13">
        <v>1</v>
      </c>
      <c r="F137" s="13"/>
      <c r="G137" s="13"/>
      <c r="H137" s="13"/>
      <c r="I137" s="13"/>
      <c r="K137" s="13"/>
    </row>
    <row r="138" spans="1:11">
      <c r="A138" s="12">
        <v>113</v>
      </c>
      <c r="B138" s="12" t="s">
        <v>84</v>
      </c>
      <c r="C138" s="13"/>
      <c r="D138" s="13"/>
      <c r="E138" s="13">
        <v>1</v>
      </c>
      <c r="F138" s="13">
        <v>51.906300000000009</v>
      </c>
      <c r="G138" s="13"/>
      <c r="H138" s="13"/>
      <c r="I138" s="13"/>
      <c r="K138" s="13"/>
    </row>
    <row r="139" spans="1:11">
      <c r="A139" s="12">
        <v>119</v>
      </c>
      <c r="B139" s="12" t="s">
        <v>79</v>
      </c>
      <c r="C139" s="13"/>
      <c r="D139" s="13"/>
      <c r="E139" s="13">
        <v>1</v>
      </c>
      <c r="F139" s="13">
        <v>37.474266666666672</v>
      </c>
      <c r="G139" s="13"/>
      <c r="H139" s="13"/>
      <c r="I139" s="13"/>
      <c r="K139" s="13"/>
    </row>
    <row r="140" spans="1:11">
      <c r="A140" s="12">
        <v>120</v>
      </c>
      <c r="B140" s="12" t="s">
        <v>78</v>
      </c>
      <c r="C140" s="13"/>
      <c r="D140" s="13"/>
      <c r="E140" s="13">
        <v>1</v>
      </c>
      <c r="F140" s="13">
        <v>11.275100000000002</v>
      </c>
      <c r="G140" s="13"/>
      <c r="H140" s="13"/>
      <c r="I140" s="13"/>
      <c r="K140" s="13"/>
    </row>
    <row r="141" spans="1:11">
      <c r="A141" s="12">
        <v>121</v>
      </c>
      <c r="B141" s="12" t="s">
        <v>77</v>
      </c>
      <c r="C141" s="13"/>
      <c r="D141" s="13"/>
      <c r="E141" s="13">
        <v>1</v>
      </c>
      <c r="F141" s="13">
        <v>63.342300000000002</v>
      </c>
      <c r="G141" s="13"/>
      <c r="H141" s="13"/>
      <c r="I141" s="13"/>
      <c r="K141" s="13"/>
    </row>
    <row r="142" spans="1:11">
      <c r="A142" s="12">
        <v>127</v>
      </c>
      <c r="B142" s="12" t="s">
        <v>72</v>
      </c>
      <c r="C142" s="13"/>
      <c r="D142" s="13"/>
      <c r="E142" s="13">
        <v>1</v>
      </c>
      <c r="F142" s="13">
        <v>55.36996666666667</v>
      </c>
      <c r="G142" s="13"/>
      <c r="H142" s="13"/>
      <c r="I142" s="13"/>
      <c r="K142" s="13"/>
    </row>
    <row r="143" spans="1:11">
      <c r="A143" s="12">
        <v>130</v>
      </c>
      <c r="B143" s="12" t="s">
        <v>71</v>
      </c>
      <c r="C143" s="13"/>
      <c r="D143" s="13"/>
      <c r="E143" s="13">
        <v>1</v>
      </c>
      <c r="F143" s="13">
        <v>49.241566666666678</v>
      </c>
      <c r="G143" s="13"/>
      <c r="H143" s="13"/>
      <c r="I143" s="13"/>
      <c r="K143" s="13"/>
    </row>
    <row r="144" spans="1:11">
      <c r="A144" s="12">
        <v>140</v>
      </c>
      <c r="B144" s="12" t="s">
        <v>65</v>
      </c>
      <c r="C144" s="13"/>
      <c r="D144" s="13"/>
      <c r="E144" s="13">
        <v>1</v>
      </c>
      <c r="F144" s="13">
        <v>41.126800000000003</v>
      </c>
      <c r="G144" s="13"/>
      <c r="H144" s="13"/>
      <c r="I144" s="13"/>
      <c r="K144" s="13"/>
    </row>
    <row r="145" spans="1:11">
      <c r="A145" s="12">
        <v>144</v>
      </c>
      <c r="B145" s="12" t="s">
        <v>63</v>
      </c>
      <c r="C145" s="13"/>
      <c r="D145" s="13"/>
      <c r="E145" s="13">
        <v>1</v>
      </c>
      <c r="F145" s="13">
        <v>36.307633333333335</v>
      </c>
      <c r="G145" s="13"/>
      <c r="H145" s="13"/>
      <c r="I145" s="13"/>
      <c r="K145" s="13"/>
    </row>
    <row r="146" spans="1:11">
      <c r="A146" s="12">
        <v>165</v>
      </c>
      <c r="B146" s="12" t="s">
        <v>50</v>
      </c>
      <c r="C146" s="13"/>
      <c r="D146" s="13"/>
      <c r="E146" s="13">
        <v>1</v>
      </c>
      <c r="F146" s="13">
        <v>40.179700000000004</v>
      </c>
      <c r="G146" s="13"/>
      <c r="H146" s="13"/>
      <c r="I146" s="13"/>
      <c r="K146" s="13"/>
    </row>
    <row r="147" spans="1:11">
      <c r="A147" s="12">
        <v>168</v>
      </c>
      <c r="B147" s="12" t="s">
        <v>48</v>
      </c>
      <c r="C147" s="13"/>
      <c r="D147" s="13"/>
      <c r="E147" s="13">
        <v>1</v>
      </c>
      <c r="F147" s="13"/>
      <c r="G147" s="13"/>
      <c r="H147" s="13"/>
      <c r="I147" s="13"/>
      <c r="K147" s="13"/>
    </row>
    <row r="148" spans="1:11">
      <c r="A148" s="12">
        <v>178</v>
      </c>
      <c r="B148" s="12" t="s">
        <v>39</v>
      </c>
      <c r="C148" s="13"/>
      <c r="D148" s="13"/>
      <c r="E148" s="13">
        <v>1</v>
      </c>
      <c r="F148" s="13">
        <v>88.959233333333316</v>
      </c>
      <c r="G148" s="13"/>
      <c r="H148" s="13"/>
      <c r="I148" s="13"/>
      <c r="K148" s="13"/>
    </row>
    <row r="149" spans="1:11">
      <c r="A149" s="12">
        <v>196</v>
      </c>
      <c r="B149" s="12" t="s">
        <v>32</v>
      </c>
      <c r="C149" s="13"/>
      <c r="D149" s="13"/>
      <c r="E149" s="13">
        <v>1</v>
      </c>
      <c r="F149" s="13">
        <v>100</v>
      </c>
      <c r="G149" s="13"/>
      <c r="H149" s="13"/>
      <c r="I149" s="13"/>
      <c r="K149" s="13"/>
    </row>
    <row r="150" spans="1:11">
      <c r="A150" s="12">
        <v>197</v>
      </c>
      <c r="B150" s="12" t="s">
        <v>31</v>
      </c>
      <c r="C150" s="13"/>
      <c r="D150" s="13"/>
      <c r="E150" s="13">
        <v>1</v>
      </c>
      <c r="F150" s="13">
        <v>46.24186666666666</v>
      </c>
      <c r="G150" s="13"/>
      <c r="H150" s="13"/>
      <c r="I150" s="13"/>
      <c r="K150" s="13"/>
    </row>
    <row r="151" spans="1:11">
      <c r="A151" s="12">
        <v>198</v>
      </c>
      <c r="B151" s="12" t="s">
        <v>30</v>
      </c>
      <c r="C151" s="13"/>
      <c r="D151" s="13"/>
      <c r="E151" s="13">
        <v>1</v>
      </c>
      <c r="F151" s="13">
        <v>41.834933333333339</v>
      </c>
      <c r="G151" s="13"/>
      <c r="H151" s="13"/>
      <c r="I151" s="13"/>
      <c r="K151" s="13"/>
    </row>
    <row r="152" spans="1:11">
      <c r="A152" s="12">
        <v>213</v>
      </c>
      <c r="B152" s="12" t="s">
        <v>20</v>
      </c>
      <c r="C152" s="13"/>
      <c r="D152" s="13"/>
      <c r="E152" s="13">
        <v>1</v>
      </c>
      <c r="F152" s="13">
        <v>34.55833333333333</v>
      </c>
      <c r="G152" s="13"/>
      <c r="H152" s="13"/>
      <c r="I152" s="13"/>
      <c r="K152" s="13"/>
    </row>
    <row r="153" spans="1:11">
      <c r="A153" s="12">
        <v>216</v>
      </c>
      <c r="B153" s="12" t="s">
        <v>17</v>
      </c>
      <c r="C153" s="13"/>
      <c r="D153" s="13"/>
      <c r="E153" s="13">
        <v>1</v>
      </c>
      <c r="F153" s="13">
        <v>15.06993333333333</v>
      </c>
      <c r="G153" s="13"/>
      <c r="H153" s="13"/>
      <c r="I153" s="13"/>
      <c r="K153" s="13"/>
    </row>
    <row r="154" spans="1:11">
      <c r="A154" s="12">
        <v>223</v>
      </c>
      <c r="B154" s="12" t="s">
        <v>12</v>
      </c>
      <c r="C154" s="13"/>
      <c r="D154" s="13"/>
      <c r="E154" s="13">
        <v>1</v>
      </c>
      <c r="F154" s="13">
        <v>46.856633333333342</v>
      </c>
      <c r="G154" s="13"/>
      <c r="H154" s="13"/>
      <c r="I154" s="13"/>
      <c r="K154" s="13"/>
    </row>
    <row r="155" spans="1:11">
      <c r="A155" s="12">
        <v>227</v>
      </c>
      <c r="B155" s="12" t="s">
        <v>10</v>
      </c>
      <c r="C155" s="13"/>
      <c r="D155" s="13"/>
      <c r="E155" s="13">
        <v>1</v>
      </c>
      <c r="F155" s="13">
        <v>58.169000000000004</v>
      </c>
      <c r="G155" s="13"/>
      <c r="H155" s="13"/>
      <c r="I155" s="13"/>
      <c r="K155" s="13"/>
    </row>
    <row r="156" spans="1:11">
      <c r="A156" s="12">
        <v>233</v>
      </c>
      <c r="B156" s="12" t="s">
        <v>5</v>
      </c>
      <c r="C156" s="13"/>
      <c r="D156" s="13"/>
      <c r="E156" s="13">
        <v>1</v>
      </c>
      <c r="F156" s="13">
        <v>38.381400000000006</v>
      </c>
      <c r="G156" s="13"/>
      <c r="H156" s="13"/>
      <c r="I156" s="13"/>
      <c r="K156" s="13"/>
    </row>
  </sheetData>
  <mergeCells count="12">
    <mergeCell ref="M4:M5"/>
    <mergeCell ref="Q4:Q5"/>
    <mergeCell ref="U4:U5"/>
    <mergeCell ref="Y2:Z3"/>
    <mergeCell ref="AA2:AB2"/>
    <mergeCell ref="Y4:Y5"/>
    <mergeCell ref="M2:N3"/>
    <mergeCell ref="O2:P2"/>
    <mergeCell ref="Q2:R3"/>
    <mergeCell ref="S2:T2"/>
    <mergeCell ref="U2:V3"/>
    <mergeCell ref="W2:X2"/>
  </mergeCells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5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V16" sqref="V16"/>
    </sheetView>
  </sheetViews>
  <sheetFormatPr baseColWidth="10" defaultColWidth="8.83203125" defaultRowHeight="14"/>
  <cols>
    <col min="1" max="2" width="9.1640625" style="1"/>
    <col min="3" max="10" width="9.1640625" style="2"/>
    <col min="11" max="12" width="10.83203125" style="2" customWidth="1"/>
    <col min="13" max="13" width="10.83203125" style="11" customWidth="1"/>
    <col min="14" max="14" width="10.83203125" style="2" customWidth="1"/>
  </cols>
  <sheetData>
    <row r="1" spans="1:30" ht="15" thickBot="1">
      <c r="A1" s="1" t="s">
        <v>159</v>
      </c>
      <c r="B1" s="1" t="s">
        <v>158</v>
      </c>
      <c r="C1" s="2" t="s">
        <v>157</v>
      </c>
      <c r="D1" s="2" t="s">
        <v>156</v>
      </c>
      <c r="E1" s="2" t="s">
        <v>161</v>
      </c>
      <c r="F1" s="2" t="s">
        <v>160</v>
      </c>
      <c r="G1" s="11" t="s">
        <v>255</v>
      </c>
      <c r="H1" s="11" t="s">
        <v>254</v>
      </c>
      <c r="I1" s="13" t="s">
        <v>174</v>
      </c>
      <c r="J1" s="13" t="s">
        <v>178</v>
      </c>
      <c r="K1" s="2" t="s">
        <v>252</v>
      </c>
      <c r="L1" s="11" t="s">
        <v>251</v>
      </c>
      <c r="M1" s="11" t="s">
        <v>249</v>
      </c>
      <c r="N1" s="11" t="s">
        <v>250</v>
      </c>
      <c r="O1" s="11" t="s">
        <v>172</v>
      </c>
      <c r="S1" t="s">
        <v>173</v>
      </c>
      <c r="W1" t="s">
        <v>174</v>
      </c>
      <c r="AA1" t="s">
        <v>178</v>
      </c>
    </row>
    <row r="2" spans="1:30">
      <c r="A2" s="3">
        <v>228</v>
      </c>
      <c r="B2" s="3" t="s">
        <v>9</v>
      </c>
      <c r="C2" s="2">
        <v>1</v>
      </c>
      <c r="D2" s="2">
        <v>84127.607050000006</v>
      </c>
      <c r="E2" s="2">
        <v>0</v>
      </c>
      <c r="F2" s="2">
        <v>78.386933333333317</v>
      </c>
      <c r="G2" s="2">
        <f>IF(E2=1,IF(D2&gt;$P$14,0,IF(F2&gt;=$P$15,0,1)),0)</f>
        <v>0</v>
      </c>
      <c r="H2" s="2">
        <f>IF(D2&gt;$T$14,0,IF(F2&gt;=$T$15,0,1))</f>
        <v>0</v>
      </c>
      <c r="I2" s="13">
        <f t="shared" ref="I2:I33" si="0">IF(E2=1,IF(D2&lt;$X$6,1,0),0)</f>
        <v>0</v>
      </c>
      <c r="J2" s="13">
        <f t="shared" ref="J2:J33" si="1">IF(E2=1,IF(F2&lt;$AB$7,1,0),0)</f>
        <v>0</v>
      </c>
      <c r="K2" s="11">
        <v>0</v>
      </c>
      <c r="L2" s="11">
        <v>0</v>
      </c>
      <c r="M2" s="11">
        <v>0</v>
      </c>
      <c r="N2" s="2">
        <v>0</v>
      </c>
      <c r="O2" s="69" t="s">
        <v>175</v>
      </c>
      <c r="P2" s="70"/>
      <c r="Q2" s="65" t="s">
        <v>170</v>
      </c>
      <c r="R2" s="66"/>
      <c r="S2" s="69" t="s">
        <v>176</v>
      </c>
      <c r="T2" s="70"/>
      <c r="U2" s="65" t="s">
        <v>170</v>
      </c>
      <c r="V2" s="66"/>
      <c r="W2" s="69" t="s">
        <v>177</v>
      </c>
      <c r="X2" s="70"/>
      <c r="Y2" s="65" t="s">
        <v>170</v>
      </c>
      <c r="Z2" s="66"/>
      <c r="AA2" s="69" t="s">
        <v>179</v>
      </c>
      <c r="AB2" s="70"/>
      <c r="AC2" s="65" t="s">
        <v>170</v>
      </c>
      <c r="AD2" s="66"/>
    </row>
    <row r="3" spans="1:30">
      <c r="A3" s="3">
        <v>210</v>
      </c>
      <c r="B3" s="3" t="s">
        <v>22</v>
      </c>
      <c r="C3" s="2">
        <v>1</v>
      </c>
      <c r="D3" s="2">
        <v>30299.480240000001</v>
      </c>
      <c r="E3" s="2">
        <v>0</v>
      </c>
      <c r="F3" s="2">
        <v>59.261000000000003</v>
      </c>
      <c r="G3" s="2">
        <f t="shared" ref="G3:G66" si="2">IF(E3=1,IF(D3&gt;$P$14,0,IF(F3&gt;=$P$15,0,1)),0)</f>
        <v>0</v>
      </c>
      <c r="H3" s="2">
        <f t="shared" ref="H3:H66" si="3">IF(D3&gt;$T$14,0,IF(F3&gt;=$T$15,0,1))</f>
        <v>0</v>
      </c>
      <c r="I3" s="2">
        <f t="shared" si="0"/>
        <v>0</v>
      </c>
      <c r="J3" s="2">
        <f t="shared" si="1"/>
        <v>0</v>
      </c>
      <c r="K3" s="11">
        <v>0</v>
      </c>
      <c r="L3" s="11">
        <v>0</v>
      </c>
      <c r="M3" s="11">
        <v>0</v>
      </c>
      <c r="N3" s="2">
        <v>0</v>
      </c>
      <c r="O3" s="71"/>
      <c r="P3" s="72"/>
      <c r="Q3" s="6" t="s">
        <v>162</v>
      </c>
      <c r="R3" s="16" t="s">
        <v>163</v>
      </c>
      <c r="S3" s="71"/>
      <c r="T3" s="72"/>
      <c r="U3" s="6" t="s">
        <v>162</v>
      </c>
      <c r="V3" s="16" t="s">
        <v>163</v>
      </c>
      <c r="W3" s="71"/>
      <c r="X3" s="72"/>
      <c r="Y3" s="6" t="s">
        <v>162</v>
      </c>
      <c r="Z3" s="16" t="s">
        <v>163</v>
      </c>
      <c r="AA3" s="71"/>
      <c r="AB3" s="72"/>
      <c r="AC3" s="6" t="s">
        <v>162</v>
      </c>
      <c r="AD3" s="16" t="s">
        <v>163</v>
      </c>
    </row>
    <row r="4" spans="1:30">
      <c r="A4" s="3">
        <v>164</v>
      </c>
      <c r="B4" s="3" t="s">
        <v>51</v>
      </c>
      <c r="C4" s="2">
        <v>1</v>
      </c>
      <c r="D4" s="2">
        <v>29664.009900000001</v>
      </c>
      <c r="E4" s="2">
        <v>0</v>
      </c>
      <c r="F4" s="2">
        <v>66.024599999999992</v>
      </c>
      <c r="G4" s="2">
        <f t="shared" si="2"/>
        <v>0</v>
      </c>
      <c r="H4" s="2">
        <f t="shared" si="3"/>
        <v>0</v>
      </c>
      <c r="I4" s="2">
        <f t="shared" si="0"/>
        <v>0</v>
      </c>
      <c r="J4" s="2">
        <f t="shared" si="1"/>
        <v>0</v>
      </c>
      <c r="K4" s="11">
        <v>0</v>
      </c>
      <c r="L4" s="11">
        <v>0</v>
      </c>
      <c r="M4" s="11">
        <v>0</v>
      </c>
      <c r="N4" s="2">
        <v>0</v>
      </c>
      <c r="O4" s="67" t="s">
        <v>171</v>
      </c>
      <c r="P4" s="7" t="s">
        <v>162</v>
      </c>
      <c r="Q4" s="8">
        <f>COUNTIFS(G2:G124,"=1",K2:K124,"=1")</f>
        <v>12</v>
      </c>
      <c r="R4" s="17">
        <f>COUNTIFS(G2:G124,"=0",K2:K124,"=1")</f>
        <v>3</v>
      </c>
      <c r="S4" s="67" t="s">
        <v>171</v>
      </c>
      <c r="T4" s="7" t="s">
        <v>162</v>
      </c>
      <c r="U4" s="8">
        <f>COUNTIFS(H2:H124,"=1",K2:K124,"=1")</f>
        <v>15</v>
      </c>
      <c r="V4" s="17">
        <f>COUNTIFS(H2:H124,"=0",K2:K124,"=1")</f>
        <v>0</v>
      </c>
      <c r="W4" s="67" t="s">
        <v>171</v>
      </c>
      <c r="X4" s="7" t="s">
        <v>162</v>
      </c>
      <c r="Y4" s="8">
        <f>COUNTIFS(I2:I124,"=1",K2:K124,"=1")</f>
        <v>12</v>
      </c>
      <c r="Z4" s="17">
        <f>COUNTIFS(I2:I124,"=0",K2:K124,"=1")</f>
        <v>3</v>
      </c>
      <c r="AA4" s="67" t="s">
        <v>171</v>
      </c>
      <c r="AB4" s="7" t="s">
        <v>162</v>
      </c>
      <c r="AC4" s="8">
        <f>COUNTIFS(J2:J124,"=1",K2:K124,"=1")</f>
        <v>12</v>
      </c>
      <c r="AD4" s="17">
        <f>COUNTIFS(J2:J124,"=0",K2:K124,"=1")</f>
        <v>3</v>
      </c>
    </row>
    <row r="5" spans="1:30">
      <c r="A5" s="3">
        <v>118</v>
      </c>
      <c r="B5" s="3" t="s">
        <v>80</v>
      </c>
      <c r="C5" s="2">
        <v>1</v>
      </c>
      <c r="D5" s="2">
        <v>26520.201880000001</v>
      </c>
      <c r="E5" s="2">
        <v>0</v>
      </c>
      <c r="F5" s="2">
        <v>89.290600000000012</v>
      </c>
      <c r="G5" s="2">
        <f t="shared" si="2"/>
        <v>0</v>
      </c>
      <c r="H5" s="2">
        <f t="shared" si="3"/>
        <v>0</v>
      </c>
      <c r="I5" s="2">
        <f t="shared" si="0"/>
        <v>0</v>
      </c>
      <c r="J5" s="2">
        <f t="shared" si="1"/>
        <v>0</v>
      </c>
      <c r="K5" s="11">
        <v>0</v>
      </c>
      <c r="L5" s="11">
        <v>0</v>
      </c>
      <c r="M5" s="48">
        <v>0</v>
      </c>
      <c r="N5" s="2">
        <v>0</v>
      </c>
      <c r="O5" s="68"/>
      <c r="P5" s="9" t="s">
        <v>163</v>
      </c>
      <c r="Q5" s="10">
        <f>COUNTIFS(G2:G124,"=1",K2:K124,"=0")</f>
        <v>6</v>
      </c>
      <c r="R5" s="18">
        <f>COUNTIFS(G2:G124,"=0",K2:K124,"=0")</f>
        <v>102</v>
      </c>
      <c r="S5" s="68"/>
      <c r="T5" s="9" t="s">
        <v>163</v>
      </c>
      <c r="U5" s="10">
        <f>COUNTIFS(H2:H124,"=1",K2:K124,"=0")</f>
        <v>26</v>
      </c>
      <c r="V5" s="18">
        <f>COUNTIFS(H2:H124,"=0",K2:K124,"=0")</f>
        <v>82</v>
      </c>
      <c r="W5" s="68"/>
      <c r="X5" s="9" t="s">
        <v>163</v>
      </c>
      <c r="Y5" s="10">
        <f>COUNTIFS(I2:I124,"=1",K2:K124,"=0")</f>
        <v>18</v>
      </c>
      <c r="Z5" s="18">
        <f>COUNTIFS(I2:I124,"=0",K2:K124,"=0")</f>
        <v>90</v>
      </c>
      <c r="AA5" s="68"/>
      <c r="AB5" s="9" t="s">
        <v>163</v>
      </c>
      <c r="AC5" s="10">
        <f>COUNTIFS(J2:J124,"=1",K2:K124,"=0")</f>
        <v>6</v>
      </c>
      <c r="AD5" s="18">
        <f>COUNTIFS(J2:J124,"=0",K2:K124,"=0")</f>
        <v>102</v>
      </c>
    </row>
    <row r="6" spans="1:30">
      <c r="A6" s="3">
        <v>58</v>
      </c>
      <c r="B6" s="3" t="s">
        <v>118</v>
      </c>
      <c r="C6" s="2">
        <v>1</v>
      </c>
      <c r="D6" s="2">
        <v>25000</v>
      </c>
      <c r="E6" s="2">
        <v>0</v>
      </c>
      <c r="F6" s="2">
        <v>69.303033333333332</v>
      </c>
      <c r="G6" s="2">
        <f t="shared" si="2"/>
        <v>0</v>
      </c>
      <c r="H6" s="2">
        <f t="shared" si="3"/>
        <v>0</v>
      </c>
      <c r="I6" s="2">
        <f t="shared" si="0"/>
        <v>0</v>
      </c>
      <c r="J6" s="2">
        <f t="shared" si="1"/>
        <v>0</v>
      </c>
      <c r="K6" s="11">
        <v>0</v>
      </c>
      <c r="L6" s="11">
        <v>0</v>
      </c>
      <c r="M6" s="11">
        <v>0</v>
      </c>
      <c r="N6" s="2">
        <v>0</v>
      </c>
      <c r="O6" s="19" t="s">
        <v>164</v>
      </c>
      <c r="P6" s="14">
        <v>10000</v>
      </c>
      <c r="Q6" s="4" t="s">
        <v>166</v>
      </c>
      <c r="R6" s="20">
        <f>SUM(Q4:R5)</f>
        <v>123</v>
      </c>
      <c r="S6" s="19" t="s">
        <v>164</v>
      </c>
      <c r="T6" s="14">
        <v>10000</v>
      </c>
      <c r="U6" s="4" t="s">
        <v>166</v>
      </c>
      <c r="V6" s="20">
        <f>SUM(U4:V5)</f>
        <v>123</v>
      </c>
      <c r="W6" s="19" t="s">
        <v>164</v>
      </c>
      <c r="X6" s="14">
        <v>10000</v>
      </c>
      <c r="Y6" s="4" t="s">
        <v>166</v>
      </c>
      <c r="Z6" s="20">
        <f>SUM(Y4:Z5)</f>
        <v>123</v>
      </c>
      <c r="AA6" s="19" t="s">
        <v>164</v>
      </c>
      <c r="AB6" s="14">
        <v>10000</v>
      </c>
      <c r="AC6" s="4" t="s">
        <v>166</v>
      </c>
      <c r="AD6" s="20">
        <f>SUM(AC4:AD5)</f>
        <v>123</v>
      </c>
    </row>
    <row r="7" spans="1:30">
      <c r="A7" s="3">
        <v>15</v>
      </c>
      <c r="B7" s="3" t="s">
        <v>147</v>
      </c>
      <c r="C7" s="2">
        <v>1</v>
      </c>
      <c r="D7" s="2">
        <v>22919.096699999998</v>
      </c>
      <c r="E7" s="2">
        <v>0</v>
      </c>
      <c r="F7" s="2">
        <v>65.319000000000031</v>
      </c>
      <c r="G7" s="2">
        <f t="shared" si="2"/>
        <v>0</v>
      </c>
      <c r="H7" s="2">
        <f t="shared" si="3"/>
        <v>0</v>
      </c>
      <c r="I7" s="2">
        <f t="shared" si="0"/>
        <v>0</v>
      </c>
      <c r="J7" s="2">
        <f t="shared" si="1"/>
        <v>0</v>
      </c>
      <c r="K7" s="11">
        <v>0</v>
      </c>
      <c r="L7" s="11">
        <v>0</v>
      </c>
      <c r="M7" s="11">
        <v>0</v>
      </c>
      <c r="N7" s="2">
        <v>0</v>
      </c>
      <c r="O7" s="21" t="s">
        <v>165</v>
      </c>
      <c r="P7" s="15">
        <v>25</v>
      </c>
      <c r="Q7" s="5" t="s">
        <v>168</v>
      </c>
      <c r="R7" s="22">
        <f>SUM(G2:G124)</f>
        <v>18</v>
      </c>
      <c r="S7" s="21" t="s">
        <v>165</v>
      </c>
      <c r="T7" s="15">
        <v>25</v>
      </c>
      <c r="U7" s="5" t="s">
        <v>168</v>
      </c>
      <c r="V7" s="22">
        <f>SUM(H2:H124)</f>
        <v>41</v>
      </c>
      <c r="W7" s="21" t="s">
        <v>165</v>
      </c>
      <c r="X7" s="15">
        <v>25</v>
      </c>
      <c r="Y7" s="5" t="s">
        <v>168</v>
      </c>
      <c r="Z7" s="22">
        <f>SUM(I2:I124)</f>
        <v>30</v>
      </c>
      <c r="AA7" s="21" t="s">
        <v>165</v>
      </c>
      <c r="AB7" s="15">
        <v>25</v>
      </c>
      <c r="AC7" s="5" t="s">
        <v>168</v>
      </c>
      <c r="AD7" s="22">
        <f>SUM(P2:P124)</f>
        <v>30350.328622445104</v>
      </c>
    </row>
    <row r="8" spans="1:30" ht="15" thickBot="1">
      <c r="A8" s="3">
        <v>81</v>
      </c>
      <c r="B8" s="3" t="s">
        <v>104</v>
      </c>
      <c r="C8" s="2">
        <v>1</v>
      </c>
      <c r="D8" s="2">
        <v>22853.3475</v>
      </c>
      <c r="E8" s="2">
        <v>0</v>
      </c>
      <c r="F8" s="2">
        <v>72.461399999999998</v>
      </c>
      <c r="G8" s="2">
        <f t="shared" si="2"/>
        <v>0</v>
      </c>
      <c r="H8" s="2">
        <f t="shared" si="3"/>
        <v>0</v>
      </c>
      <c r="I8" s="2">
        <f t="shared" si="0"/>
        <v>0</v>
      </c>
      <c r="J8" s="2">
        <f t="shared" si="1"/>
        <v>0</v>
      </c>
      <c r="K8" s="11">
        <v>0</v>
      </c>
      <c r="L8" s="11">
        <v>0</v>
      </c>
      <c r="M8" s="11">
        <v>0</v>
      </c>
      <c r="N8" s="2">
        <v>0</v>
      </c>
      <c r="O8" s="23" t="s">
        <v>167</v>
      </c>
      <c r="P8" s="27">
        <f>(Q4+R5)/SUM(Q4:R5)*100</f>
        <v>92.682926829268297</v>
      </c>
      <c r="Q8" s="24" t="s">
        <v>169</v>
      </c>
      <c r="R8" s="25">
        <f>SUM(K2:K124)</f>
        <v>15</v>
      </c>
      <c r="S8" s="23" t="s">
        <v>167</v>
      </c>
      <c r="T8" s="27">
        <f>(U4+V5)/SUM(U4:V5)*100</f>
        <v>78.861788617886177</v>
      </c>
      <c r="U8" s="24" t="s">
        <v>169</v>
      </c>
      <c r="V8" s="25">
        <f>SUM(K2:K124)</f>
        <v>15</v>
      </c>
      <c r="W8" s="23" t="s">
        <v>167</v>
      </c>
      <c r="X8" s="27">
        <f>(Y4+Z5)/SUM(Y4:Z5)*100</f>
        <v>82.926829268292678</v>
      </c>
      <c r="Y8" s="24" t="s">
        <v>169</v>
      </c>
      <c r="Z8" s="25">
        <f>SUM(K2:K124)</f>
        <v>15</v>
      </c>
      <c r="AA8" s="23" t="s">
        <v>167</v>
      </c>
      <c r="AB8" s="27">
        <f>(AC4+AD5)/SUM(AC4:AD5)*100</f>
        <v>92.682926829268297</v>
      </c>
      <c r="AC8" s="24" t="s">
        <v>169</v>
      </c>
      <c r="AD8" s="25">
        <f>SUM(Q2:Q124)</f>
        <v>54</v>
      </c>
    </row>
    <row r="9" spans="1:30" ht="15" thickBot="1">
      <c r="A9" s="3">
        <v>209</v>
      </c>
      <c r="B9" s="3" t="s">
        <v>23</v>
      </c>
      <c r="C9" s="2">
        <v>1</v>
      </c>
      <c r="D9" s="2">
        <v>22502.77347</v>
      </c>
      <c r="E9" s="2">
        <v>0</v>
      </c>
      <c r="F9" s="2">
        <v>80.977166666666648</v>
      </c>
      <c r="G9" s="2">
        <f t="shared" si="2"/>
        <v>0</v>
      </c>
      <c r="H9" s="2">
        <f t="shared" si="3"/>
        <v>0</v>
      </c>
      <c r="I9" s="2">
        <f t="shared" si="0"/>
        <v>0</v>
      </c>
      <c r="J9" s="2">
        <f t="shared" si="1"/>
        <v>0</v>
      </c>
      <c r="K9" s="11">
        <v>0</v>
      </c>
      <c r="L9" s="11">
        <v>0</v>
      </c>
      <c r="M9" s="11">
        <v>0</v>
      </c>
      <c r="N9" s="2">
        <v>0</v>
      </c>
    </row>
    <row r="10" spans="1:30">
      <c r="A10" s="3">
        <v>191</v>
      </c>
      <c r="B10" s="3" t="s">
        <v>35</v>
      </c>
      <c r="C10" s="2">
        <v>1</v>
      </c>
      <c r="D10" s="2">
        <v>22209.258890000001</v>
      </c>
      <c r="E10" s="2">
        <v>0</v>
      </c>
      <c r="F10" s="2">
        <v>57.123966666666661</v>
      </c>
      <c r="G10" s="2">
        <f t="shared" si="2"/>
        <v>0</v>
      </c>
      <c r="H10" s="2">
        <f t="shared" si="3"/>
        <v>0</v>
      </c>
      <c r="I10" s="2">
        <f t="shared" si="0"/>
        <v>0</v>
      </c>
      <c r="J10" s="2">
        <f t="shared" si="1"/>
        <v>0</v>
      </c>
      <c r="K10" s="11">
        <v>0</v>
      </c>
      <c r="L10" s="11">
        <v>0</v>
      </c>
      <c r="M10" s="11">
        <v>0</v>
      </c>
      <c r="N10" s="2">
        <v>0</v>
      </c>
      <c r="O10" s="75" t="s">
        <v>249</v>
      </c>
      <c r="P10" s="76"/>
      <c r="Q10" s="78" t="s">
        <v>170</v>
      </c>
      <c r="R10" s="79"/>
      <c r="S10" s="80" t="s">
        <v>250</v>
      </c>
      <c r="T10" s="76"/>
      <c r="U10" s="78" t="s">
        <v>170</v>
      </c>
      <c r="V10" s="81"/>
      <c r="W10" s="75" t="s">
        <v>253</v>
      </c>
      <c r="X10" s="76"/>
      <c r="Y10" s="78" t="s">
        <v>170</v>
      </c>
      <c r="Z10" s="81"/>
    </row>
    <row r="11" spans="1:30">
      <c r="A11" s="3">
        <v>74</v>
      </c>
      <c r="B11" s="3" t="s">
        <v>108</v>
      </c>
      <c r="C11" s="2">
        <v>1</v>
      </c>
      <c r="D11" s="2">
        <v>21928.429629999999</v>
      </c>
      <c r="E11" s="2">
        <v>0</v>
      </c>
      <c r="F11" s="2">
        <v>71.194933333333353</v>
      </c>
      <c r="G11" s="2">
        <f t="shared" si="2"/>
        <v>0</v>
      </c>
      <c r="H11" s="2">
        <f t="shared" si="3"/>
        <v>0</v>
      </c>
      <c r="I11" s="2">
        <f t="shared" si="0"/>
        <v>0</v>
      </c>
      <c r="J11" s="2">
        <f t="shared" si="1"/>
        <v>0</v>
      </c>
      <c r="K11" s="11">
        <v>0</v>
      </c>
      <c r="L11" s="11">
        <v>0</v>
      </c>
      <c r="M11" s="11">
        <v>0</v>
      </c>
      <c r="N11" s="2">
        <v>0</v>
      </c>
      <c r="O11" s="77"/>
      <c r="P11" s="72"/>
      <c r="Q11" s="6" t="s">
        <v>162</v>
      </c>
      <c r="R11" s="16" t="s">
        <v>163</v>
      </c>
      <c r="S11" s="71"/>
      <c r="T11" s="72"/>
      <c r="U11" s="6" t="s">
        <v>162</v>
      </c>
      <c r="V11" s="49" t="s">
        <v>163</v>
      </c>
      <c r="W11" s="77"/>
      <c r="X11" s="72"/>
      <c r="Y11" s="6" t="s">
        <v>162</v>
      </c>
      <c r="Z11" s="49" t="s">
        <v>163</v>
      </c>
    </row>
    <row r="12" spans="1:30">
      <c r="A12" s="3">
        <v>110</v>
      </c>
      <c r="B12" s="3" t="s">
        <v>86</v>
      </c>
      <c r="C12" s="2">
        <v>1</v>
      </c>
      <c r="D12" s="2">
        <v>21875.399990000002</v>
      </c>
      <c r="E12" s="2">
        <v>0</v>
      </c>
      <c r="F12" s="2">
        <v>73.343033333333324</v>
      </c>
      <c r="G12" s="2">
        <f t="shared" si="2"/>
        <v>0</v>
      </c>
      <c r="H12" s="2">
        <f t="shared" si="3"/>
        <v>0</v>
      </c>
      <c r="I12" s="2">
        <f t="shared" si="0"/>
        <v>0</v>
      </c>
      <c r="J12" s="2">
        <f t="shared" si="1"/>
        <v>0</v>
      </c>
      <c r="K12" s="11">
        <v>0</v>
      </c>
      <c r="L12" s="11">
        <v>0</v>
      </c>
      <c r="M12" s="11">
        <v>0</v>
      </c>
      <c r="N12" s="2">
        <v>0</v>
      </c>
      <c r="O12" s="73" t="s">
        <v>171</v>
      </c>
      <c r="P12" s="7" t="s">
        <v>162</v>
      </c>
      <c r="Q12" s="8">
        <f>COUNTIFS(G2:G124,"=1",M2:M124,"=1")</f>
        <v>9</v>
      </c>
      <c r="R12" s="17">
        <f>COUNTIFS(G2:G124,"=0",M2:M124,"=1")</f>
        <v>2</v>
      </c>
      <c r="S12" s="67" t="s">
        <v>171</v>
      </c>
      <c r="T12" s="7" t="s">
        <v>162</v>
      </c>
      <c r="U12" s="8">
        <f>COUNTIFS(H2:H124,"=1",N2:N124,"=1")</f>
        <v>12</v>
      </c>
      <c r="V12" s="50">
        <f>COUNTIFS(H2:H124,"=0",N2:N124,"=1")</f>
        <v>1</v>
      </c>
      <c r="W12" s="73" t="s">
        <v>171</v>
      </c>
      <c r="X12" s="7" t="s">
        <v>162</v>
      </c>
      <c r="Y12" s="8">
        <f>COUNTIFS(I2:I124,"=1",K2:K124,"=1")</f>
        <v>12</v>
      </c>
      <c r="Z12" s="50">
        <f>COUNTIFS(I2:I124,"=0",K2:K124,"=1")</f>
        <v>3</v>
      </c>
    </row>
    <row r="13" spans="1:30">
      <c r="A13" s="3">
        <v>73</v>
      </c>
      <c r="B13" s="3" t="s">
        <v>109</v>
      </c>
      <c r="C13" s="2">
        <v>1</v>
      </c>
      <c r="D13" s="2">
        <v>20449.50517</v>
      </c>
      <c r="E13" s="2">
        <v>0</v>
      </c>
      <c r="F13" s="2">
        <v>68.077366666666663</v>
      </c>
      <c r="G13" s="2">
        <f t="shared" si="2"/>
        <v>0</v>
      </c>
      <c r="H13" s="2">
        <f t="shared" si="3"/>
        <v>0</v>
      </c>
      <c r="I13" s="2">
        <f t="shared" si="0"/>
        <v>0</v>
      </c>
      <c r="J13" s="2">
        <f t="shared" si="1"/>
        <v>0</v>
      </c>
      <c r="K13" s="11">
        <v>0</v>
      </c>
      <c r="L13" s="11">
        <v>0</v>
      </c>
      <c r="M13" s="11">
        <v>0</v>
      </c>
      <c r="N13" s="2">
        <v>0</v>
      </c>
      <c r="O13" s="74"/>
      <c r="P13" s="9" t="s">
        <v>163</v>
      </c>
      <c r="Q13" s="10">
        <f>COUNTIFS(G2:G124,"=1",M2:M124,"=0")</f>
        <v>9</v>
      </c>
      <c r="R13" s="18">
        <f>COUNTIFS(G2:G124,"=0",M2:M124,"=0")</f>
        <v>103</v>
      </c>
      <c r="S13" s="68"/>
      <c r="T13" s="9" t="s">
        <v>163</v>
      </c>
      <c r="U13" s="10">
        <f>COUNTIFS(H2:H124,"=1",N2:N124,"=0")</f>
        <v>29</v>
      </c>
      <c r="V13" s="51">
        <f>COUNTIFS(H2:H124,"=0",N2:N124,"=0")</f>
        <v>81</v>
      </c>
      <c r="W13" s="74"/>
      <c r="X13" s="9" t="s">
        <v>163</v>
      </c>
      <c r="Y13" s="10">
        <f>COUNTIFS(I2:I124,"=1",K2:K124,"=0")</f>
        <v>18</v>
      </c>
      <c r="Z13" s="51">
        <f>COUNTIFS(I2:I124,"=0",K2:K124,"=0")</f>
        <v>90</v>
      </c>
    </row>
    <row r="14" spans="1:30">
      <c r="A14" s="3">
        <v>157</v>
      </c>
      <c r="B14" s="3" t="s">
        <v>55</v>
      </c>
      <c r="C14" s="2">
        <v>1</v>
      </c>
      <c r="D14" s="2">
        <v>18754.85917</v>
      </c>
      <c r="E14" s="2">
        <v>0</v>
      </c>
      <c r="F14" s="2">
        <v>81.852733333333362</v>
      </c>
      <c r="G14" s="2">
        <f t="shared" si="2"/>
        <v>0</v>
      </c>
      <c r="H14" s="2">
        <f t="shared" si="3"/>
        <v>0</v>
      </c>
      <c r="I14" s="2">
        <f t="shared" si="0"/>
        <v>0</v>
      </c>
      <c r="J14" s="2">
        <f t="shared" si="1"/>
        <v>0</v>
      </c>
      <c r="K14" s="11">
        <v>0</v>
      </c>
      <c r="L14" s="11">
        <v>0</v>
      </c>
      <c r="M14" s="11">
        <v>0</v>
      </c>
      <c r="N14" s="2">
        <v>0</v>
      </c>
      <c r="O14" s="52" t="s">
        <v>164</v>
      </c>
      <c r="P14" s="14">
        <v>10000</v>
      </c>
      <c r="Q14" s="4" t="s">
        <v>166</v>
      </c>
      <c r="R14" s="20">
        <f>SUM(Q12:R13)</f>
        <v>123</v>
      </c>
      <c r="S14" s="19" t="s">
        <v>164</v>
      </c>
      <c r="T14" s="14">
        <v>10000</v>
      </c>
      <c r="U14" s="4" t="s">
        <v>166</v>
      </c>
      <c r="V14" s="53">
        <f>SUM(U12:V13)</f>
        <v>123</v>
      </c>
      <c r="W14" s="52" t="s">
        <v>164</v>
      </c>
      <c r="X14" s="14">
        <v>10000</v>
      </c>
      <c r="Y14" s="4" t="s">
        <v>166</v>
      </c>
      <c r="Z14" s="53">
        <f>SUM(Y12:Z13)</f>
        <v>123</v>
      </c>
    </row>
    <row r="15" spans="1:30">
      <c r="A15" s="3">
        <v>203</v>
      </c>
      <c r="B15" s="3" t="s">
        <v>27</v>
      </c>
      <c r="C15" s="2">
        <v>1</v>
      </c>
      <c r="D15" s="2">
        <v>16883.63193</v>
      </c>
      <c r="E15" s="2">
        <v>0</v>
      </c>
      <c r="F15" s="2">
        <v>68.620899999999992</v>
      </c>
      <c r="G15" s="2">
        <f t="shared" si="2"/>
        <v>0</v>
      </c>
      <c r="H15" s="2">
        <f t="shared" si="3"/>
        <v>0</v>
      </c>
      <c r="I15" s="2">
        <f t="shared" si="0"/>
        <v>0</v>
      </c>
      <c r="J15" s="2">
        <f t="shared" si="1"/>
        <v>0</v>
      </c>
      <c r="K15" s="11">
        <v>0</v>
      </c>
      <c r="L15" s="11">
        <v>0</v>
      </c>
      <c r="M15" s="11">
        <v>0</v>
      </c>
      <c r="N15" s="2">
        <v>0</v>
      </c>
      <c r="O15" s="54" t="s">
        <v>165</v>
      </c>
      <c r="P15" s="15">
        <v>25</v>
      </c>
      <c r="Q15" s="5" t="s">
        <v>168</v>
      </c>
      <c r="R15" s="22">
        <f>SUM(G10:G132)</f>
        <v>18</v>
      </c>
      <c r="S15" s="21" t="s">
        <v>165</v>
      </c>
      <c r="T15" s="15">
        <v>25</v>
      </c>
      <c r="U15" s="5" t="s">
        <v>168</v>
      </c>
      <c r="V15" s="55">
        <f>SUM(H10:H132)</f>
        <v>41</v>
      </c>
      <c r="W15" s="54" t="s">
        <v>165</v>
      </c>
      <c r="X15" s="15">
        <v>25</v>
      </c>
      <c r="Y15" s="5" t="s">
        <v>168</v>
      </c>
      <c r="Z15" s="55">
        <f>SUM(I10:I132)</f>
        <v>30</v>
      </c>
    </row>
    <row r="16" spans="1:30" ht="15" thickBot="1">
      <c r="A16" s="3">
        <v>84</v>
      </c>
      <c r="B16" s="3" t="s">
        <v>102</v>
      </c>
      <c r="C16" s="2">
        <v>1</v>
      </c>
      <c r="D16" s="2">
        <v>16659.471799999999</v>
      </c>
      <c r="E16" s="2">
        <v>0</v>
      </c>
      <c r="F16" s="2">
        <v>53.996200000000009</v>
      </c>
      <c r="G16" s="2">
        <f t="shared" si="2"/>
        <v>0</v>
      </c>
      <c r="H16" s="2">
        <f t="shared" si="3"/>
        <v>0</v>
      </c>
      <c r="I16" s="2">
        <f t="shared" si="0"/>
        <v>0</v>
      </c>
      <c r="J16" s="2">
        <f t="shared" si="1"/>
        <v>0</v>
      </c>
      <c r="K16" s="11">
        <v>0</v>
      </c>
      <c r="L16" s="11">
        <v>0</v>
      </c>
      <c r="M16" s="11">
        <v>0</v>
      </c>
      <c r="N16" s="2">
        <v>0</v>
      </c>
      <c r="O16" s="56" t="s">
        <v>167</v>
      </c>
      <c r="P16" s="57">
        <f>(Q12+R13)/SUM(Q12:R13)*100</f>
        <v>91.056910569105682</v>
      </c>
      <c r="Q16" s="58" t="s">
        <v>169</v>
      </c>
      <c r="R16" s="59">
        <f>SUM(L2:L124)</f>
        <v>17</v>
      </c>
      <c r="S16" s="60" t="s">
        <v>167</v>
      </c>
      <c r="T16" s="57">
        <f>(U12+V13)/SUM(U12:V13)*100</f>
        <v>75.609756097560975</v>
      </c>
      <c r="U16" s="58" t="s">
        <v>169</v>
      </c>
      <c r="V16" s="61">
        <f>SUM(L2:L124)</f>
        <v>17</v>
      </c>
      <c r="W16" s="56" t="s">
        <v>167</v>
      </c>
      <c r="X16" s="57">
        <f>(Y12+Z13)/SUM(Y12:Z13)*100</f>
        <v>82.926829268292678</v>
      </c>
      <c r="Y16" s="58" t="s">
        <v>169</v>
      </c>
      <c r="Z16" s="61">
        <f>SUM(L2:L124)</f>
        <v>17</v>
      </c>
    </row>
    <row r="17" spans="1:30" ht="15" thickBot="1">
      <c r="A17" s="3">
        <v>107</v>
      </c>
      <c r="B17" s="3" t="s">
        <v>89</v>
      </c>
      <c r="C17" s="2">
        <v>1</v>
      </c>
      <c r="D17" s="2">
        <v>16454.964189999999</v>
      </c>
      <c r="E17" s="2">
        <v>0</v>
      </c>
      <c r="F17" s="2">
        <v>85.857266666666661</v>
      </c>
      <c r="G17" s="2">
        <f t="shared" si="2"/>
        <v>0</v>
      </c>
      <c r="H17" s="2">
        <f t="shared" si="3"/>
        <v>0</v>
      </c>
      <c r="I17" s="2">
        <f t="shared" si="0"/>
        <v>0</v>
      </c>
      <c r="J17" s="2">
        <f t="shared" si="1"/>
        <v>0</v>
      </c>
      <c r="K17" s="11">
        <v>0</v>
      </c>
      <c r="L17" s="11">
        <v>0</v>
      </c>
      <c r="M17" s="11">
        <v>0</v>
      </c>
      <c r="N17" s="2">
        <v>0</v>
      </c>
    </row>
    <row r="18" spans="1:30">
      <c r="A18" s="3">
        <v>78</v>
      </c>
      <c r="B18" s="3" t="s">
        <v>107</v>
      </c>
      <c r="C18" s="2">
        <v>1</v>
      </c>
      <c r="D18" s="2">
        <v>15656.95959</v>
      </c>
      <c r="E18" s="2">
        <v>0</v>
      </c>
      <c r="F18" s="2">
        <v>44.045833333333334</v>
      </c>
      <c r="G18" s="2">
        <f t="shared" si="2"/>
        <v>0</v>
      </c>
      <c r="H18" s="2">
        <f t="shared" si="3"/>
        <v>0</v>
      </c>
      <c r="I18" s="2">
        <f t="shared" si="0"/>
        <v>0</v>
      </c>
      <c r="J18" s="2">
        <f t="shared" si="1"/>
        <v>0</v>
      </c>
      <c r="K18" s="11">
        <v>0</v>
      </c>
      <c r="L18" s="11">
        <v>0</v>
      </c>
      <c r="M18" s="11">
        <v>0</v>
      </c>
      <c r="N18" s="2">
        <v>0</v>
      </c>
      <c r="O18" s="69" t="s">
        <v>175</v>
      </c>
      <c r="P18" s="70"/>
      <c r="Q18" s="65" t="s">
        <v>170</v>
      </c>
      <c r="R18" s="66"/>
      <c r="S18" s="69" t="s">
        <v>176</v>
      </c>
      <c r="T18" s="70"/>
      <c r="U18" s="65" t="s">
        <v>170</v>
      </c>
      <c r="V18" s="66"/>
      <c r="W18" s="69" t="s">
        <v>177</v>
      </c>
      <c r="X18" s="70"/>
      <c r="Y18" s="65" t="s">
        <v>170</v>
      </c>
      <c r="Z18" s="66"/>
      <c r="AA18" s="69" t="s">
        <v>179</v>
      </c>
      <c r="AB18" s="70"/>
      <c r="AC18" s="65" t="s">
        <v>170</v>
      </c>
      <c r="AD18" s="66"/>
    </row>
    <row r="19" spans="1:30">
      <c r="A19" s="3">
        <v>105</v>
      </c>
      <c r="B19" s="3" t="s">
        <v>90</v>
      </c>
      <c r="C19" s="2">
        <v>1</v>
      </c>
      <c r="D19" s="2">
        <v>14370.90199</v>
      </c>
      <c r="E19" s="2">
        <v>0</v>
      </c>
      <c r="F19" s="2">
        <v>53.024233333333349</v>
      </c>
      <c r="G19" s="2">
        <f t="shared" si="2"/>
        <v>0</v>
      </c>
      <c r="H19" s="2">
        <f t="shared" si="3"/>
        <v>0</v>
      </c>
      <c r="I19" s="2">
        <f t="shared" si="0"/>
        <v>0</v>
      </c>
      <c r="J19" s="2">
        <f t="shared" si="1"/>
        <v>0</v>
      </c>
      <c r="K19" s="11">
        <v>0</v>
      </c>
      <c r="L19" s="11">
        <v>0</v>
      </c>
      <c r="M19" s="11">
        <v>0</v>
      </c>
      <c r="N19" s="2">
        <v>0</v>
      </c>
      <c r="O19" s="71"/>
      <c r="P19" s="72"/>
      <c r="Q19" s="6" t="s">
        <v>162</v>
      </c>
      <c r="R19" s="16" t="s">
        <v>163</v>
      </c>
      <c r="S19" s="71"/>
      <c r="T19" s="72"/>
      <c r="U19" s="6" t="s">
        <v>162</v>
      </c>
      <c r="V19" s="16" t="s">
        <v>163</v>
      </c>
      <c r="W19" s="71"/>
      <c r="X19" s="72"/>
      <c r="Y19" s="6" t="s">
        <v>162</v>
      </c>
      <c r="Z19" s="16" t="s">
        <v>163</v>
      </c>
      <c r="AA19" s="71"/>
      <c r="AB19" s="72"/>
      <c r="AC19" s="6" t="s">
        <v>162</v>
      </c>
      <c r="AD19" s="16" t="s">
        <v>163</v>
      </c>
    </row>
    <row r="20" spans="1:30">
      <c r="A20" s="3">
        <v>176</v>
      </c>
      <c r="B20" s="3" t="s">
        <v>41</v>
      </c>
      <c r="C20" s="2">
        <v>1</v>
      </c>
      <c r="D20" s="2">
        <v>13353.04428</v>
      </c>
      <c r="E20" s="2">
        <v>0</v>
      </c>
      <c r="F20" s="2">
        <v>41.210500000000003</v>
      </c>
      <c r="G20" s="2">
        <f t="shared" si="2"/>
        <v>0</v>
      </c>
      <c r="H20" s="2">
        <f t="shared" si="3"/>
        <v>0</v>
      </c>
      <c r="I20" s="2">
        <f t="shared" si="0"/>
        <v>0</v>
      </c>
      <c r="J20" s="2">
        <f t="shared" si="1"/>
        <v>0</v>
      </c>
      <c r="K20" s="11">
        <v>0</v>
      </c>
      <c r="L20" s="11">
        <v>0</v>
      </c>
      <c r="M20" s="11">
        <v>0</v>
      </c>
      <c r="N20" s="2">
        <v>0</v>
      </c>
      <c r="O20" s="67" t="s">
        <v>171</v>
      </c>
      <c r="P20" s="7" t="s">
        <v>162</v>
      </c>
      <c r="Q20" s="8">
        <f>COUNTIFS(G18:G140,"=1",K18:K140,"=1")</f>
        <v>12</v>
      </c>
      <c r="R20" s="17">
        <f>COUNTIFS(G18:G140,"=0",K18:K140,"=1")</f>
        <v>3</v>
      </c>
      <c r="S20" s="67" t="s">
        <v>171</v>
      </c>
      <c r="T20" s="7" t="s">
        <v>162</v>
      </c>
      <c r="U20" s="8">
        <f>COUNTIFS(H18:H140,"=1",K18:K140,"=1")</f>
        <v>15</v>
      </c>
      <c r="V20" s="17">
        <f>COUNTIFS(H18:H140,"=0",K18:K140,"=1")</f>
        <v>0</v>
      </c>
      <c r="W20" s="67" t="s">
        <v>171</v>
      </c>
      <c r="X20" s="7" t="s">
        <v>162</v>
      </c>
      <c r="Y20" s="8">
        <f>COUNTIFS(I18:I140,"=1",K18:K140,"=1")</f>
        <v>12</v>
      </c>
      <c r="Z20" s="17">
        <f>COUNTIFS(I18:I140,"=0",K18:K140,"=1")</f>
        <v>3</v>
      </c>
      <c r="AA20" s="67" t="s">
        <v>171</v>
      </c>
      <c r="AB20" s="7" t="s">
        <v>162</v>
      </c>
      <c r="AC20" s="8">
        <f>COUNTIFS(J18:J140,"=1",K18:K140,"=1")</f>
        <v>12</v>
      </c>
      <c r="AD20" s="17">
        <f>COUNTIFS(J18:J140,"=0",K18:K140,"=1")</f>
        <v>3</v>
      </c>
    </row>
    <row r="21" spans="1:30">
      <c r="A21" s="3">
        <v>125</v>
      </c>
      <c r="B21" s="3" t="s">
        <v>73</v>
      </c>
      <c r="C21" s="2">
        <v>1</v>
      </c>
      <c r="D21" s="2">
        <v>13000</v>
      </c>
      <c r="E21" s="2">
        <v>0</v>
      </c>
      <c r="F21" s="2">
        <v>58.00483333333333</v>
      </c>
      <c r="G21" s="2">
        <f t="shared" si="2"/>
        <v>0</v>
      </c>
      <c r="H21" s="2">
        <f t="shared" si="3"/>
        <v>0</v>
      </c>
      <c r="I21" s="2">
        <f t="shared" si="0"/>
        <v>0</v>
      </c>
      <c r="J21" s="2">
        <f t="shared" si="1"/>
        <v>0</v>
      </c>
      <c r="K21" s="11">
        <v>0</v>
      </c>
      <c r="L21" s="11">
        <v>0</v>
      </c>
      <c r="M21" s="11">
        <v>0</v>
      </c>
      <c r="N21" s="2">
        <v>0</v>
      </c>
      <c r="O21" s="68"/>
      <c r="P21" s="9" t="s">
        <v>163</v>
      </c>
      <c r="Q21" s="10">
        <f>COUNTIFS(G18:G140,"=1",K18:K140,"=0")</f>
        <v>6</v>
      </c>
      <c r="R21" s="18">
        <f>COUNTIFS(G18:G140,"=0",K18:K140,"=0")</f>
        <v>86</v>
      </c>
      <c r="S21" s="68"/>
      <c r="T21" s="9" t="s">
        <v>163</v>
      </c>
      <c r="U21" s="10">
        <f>COUNTIFS(H18:H140,"=1",K18:K140,"=0")</f>
        <v>26</v>
      </c>
      <c r="V21" s="18">
        <f>COUNTIFS(H18:H140,"=0",K18:K140,"=0")</f>
        <v>66</v>
      </c>
      <c r="W21" s="68"/>
      <c r="X21" s="9" t="s">
        <v>163</v>
      </c>
      <c r="Y21" s="10">
        <f>COUNTIFS(I18:I140,"=1",K18:K140,"=0")</f>
        <v>18</v>
      </c>
      <c r="Z21" s="18">
        <f>COUNTIFS(I18:I140,"=0",K18:K140,"=0")</f>
        <v>74</v>
      </c>
      <c r="AA21" s="68"/>
      <c r="AB21" s="9" t="s">
        <v>163</v>
      </c>
      <c r="AC21" s="10">
        <f>COUNTIFS(J18:J140,"=1",K18:K140,"=0")</f>
        <v>6</v>
      </c>
      <c r="AD21" s="18">
        <f>COUNTIFS(J18:J140,"=0",K18:K140,"=0")</f>
        <v>86</v>
      </c>
    </row>
    <row r="22" spans="1:30">
      <c r="A22" s="3">
        <v>220</v>
      </c>
      <c r="B22" s="3" t="s">
        <v>15</v>
      </c>
      <c r="C22" s="2">
        <v>1</v>
      </c>
      <c r="D22" s="2">
        <v>12779.409589999999</v>
      </c>
      <c r="E22" s="2">
        <v>0</v>
      </c>
      <c r="F22" s="2">
        <v>11.685833333333335</v>
      </c>
      <c r="G22" s="2">
        <f t="shared" si="2"/>
        <v>0</v>
      </c>
      <c r="H22" s="2">
        <f t="shared" si="3"/>
        <v>0</v>
      </c>
      <c r="I22" s="2">
        <f t="shared" si="0"/>
        <v>0</v>
      </c>
      <c r="J22" s="2">
        <f t="shared" si="1"/>
        <v>0</v>
      </c>
      <c r="K22" s="11">
        <v>0</v>
      </c>
      <c r="L22" s="11">
        <v>0</v>
      </c>
      <c r="M22" s="11">
        <v>0</v>
      </c>
      <c r="N22" s="2">
        <v>0</v>
      </c>
      <c r="O22" s="19" t="s">
        <v>164</v>
      </c>
      <c r="P22" s="14">
        <v>10000</v>
      </c>
      <c r="Q22" s="4" t="s">
        <v>166</v>
      </c>
      <c r="R22" s="20">
        <f>SUM(Q20:R21)</f>
        <v>107</v>
      </c>
      <c r="S22" s="19" t="s">
        <v>164</v>
      </c>
      <c r="T22" s="14">
        <v>10000</v>
      </c>
      <c r="U22" s="4" t="s">
        <v>166</v>
      </c>
      <c r="V22" s="20">
        <f>SUM(U20:V21)</f>
        <v>107</v>
      </c>
      <c r="W22" s="19" t="s">
        <v>164</v>
      </c>
      <c r="X22" s="14">
        <v>10000</v>
      </c>
      <c r="Y22" s="4" t="s">
        <v>166</v>
      </c>
      <c r="Z22" s="20">
        <f>SUM(Y20:Z21)</f>
        <v>107</v>
      </c>
      <c r="AA22" s="19" t="s">
        <v>164</v>
      </c>
      <c r="AB22" s="14">
        <v>10000</v>
      </c>
      <c r="AC22" s="4" t="s">
        <v>166</v>
      </c>
      <c r="AD22" s="20">
        <f>SUM(AC20:AD21)</f>
        <v>107</v>
      </c>
    </row>
    <row r="23" spans="1:30">
      <c r="A23" s="3">
        <v>142</v>
      </c>
      <c r="B23" s="3" t="s">
        <v>64</v>
      </c>
      <c r="C23" s="2">
        <v>1</v>
      </c>
      <c r="D23" s="2">
        <v>10010.12811</v>
      </c>
      <c r="E23" s="2">
        <v>0</v>
      </c>
      <c r="F23" s="2">
        <v>62.525433333333332</v>
      </c>
      <c r="G23" s="2">
        <f t="shared" si="2"/>
        <v>0</v>
      </c>
      <c r="H23" s="2">
        <f t="shared" si="3"/>
        <v>0</v>
      </c>
      <c r="I23" s="2">
        <f t="shared" si="0"/>
        <v>0</v>
      </c>
      <c r="J23" s="2">
        <f t="shared" si="1"/>
        <v>0</v>
      </c>
      <c r="K23" s="11">
        <v>0</v>
      </c>
      <c r="L23" s="11">
        <v>0</v>
      </c>
      <c r="M23" s="11">
        <v>0</v>
      </c>
      <c r="N23" s="2">
        <v>0</v>
      </c>
      <c r="O23" s="21" t="s">
        <v>165</v>
      </c>
      <c r="P23" s="15">
        <v>25</v>
      </c>
      <c r="Q23" s="5" t="s">
        <v>168</v>
      </c>
      <c r="R23" s="22">
        <f>SUM(G18:G140)</f>
        <v>18</v>
      </c>
      <c r="S23" s="21" t="s">
        <v>165</v>
      </c>
      <c r="T23" s="15">
        <v>25</v>
      </c>
      <c r="U23" s="5" t="s">
        <v>168</v>
      </c>
      <c r="V23" s="22">
        <f>SUM(H18:H140)</f>
        <v>41</v>
      </c>
      <c r="W23" s="21" t="s">
        <v>165</v>
      </c>
      <c r="X23" s="15">
        <v>25</v>
      </c>
      <c r="Y23" s="5" t="s">
        <v>168</v>
      </c>
      <c r="Z23" s="22">
        <f>SUM(I18:I140)</f>
        <v>30</v>
      </c>
      <c r="AA23" s="21" t="s">
        <v>165</v>
      </c>
      <c r="AB23" s="15">
        <v>25</v>
      </c>
      <c r="AC23" s="5" t="s">
        <v>168</v>
      </c>
      <c r="AD23" s="22">
        <f>SUM(P18:P140)</f>
        <v>10116.58878504673</v>
      </c>
    </row>
    <row r="24" spans="1:30" ht="15" thickBot="1">
      <c r="A24" s="3">
        <v>56</v>
      </c>
      <c r="B24" s="3" t="s">
        <v>120</v>
      </c>
      <c r="C24" s="2">
        <v>2</v>
      </c>
      <c r="D24" s="2">
        <v>9900</v>
      </c>
      <c r="E24" s="2">
        <v>0</v>
      </c>
      <c r="F24" s="2">
        <v>65.040800000000004</v>
      </c>
      <c r="G24" s="2">
        <f t="shared" si="2"/>
        <v>0</v>
      </c>
      <c r="H24" s="2">
        <f t="shared" si="3"/>
        <v>0</v>
      </c>
      <c r="I24" s="2">
        <f t="shared" si="0"/>
        <v>0</v>
      </c>
      <c r="J24" s="2">
        <f t="shared" si="1"/>
        <v>0</v>
      </c>
      <c r="K24" s="11">
        <v>0</v>
      </c>
      <c r="L24" s="11">
        <v>0</v>
      </c>
      <c r="M24" s="11">
        <v>0</v>
      </c>
      <c r="N24" s="2">
        <v>0</v>
      </c>
      <c r="O24" s="23" t="s">
        <v>167</v>
      </c>
      <c r="P24" s="27">
        <f>(Q20+R21)/SUM(Q20:R21)*100</f>
        <v>91.588785046728972</v>
      </c>
      <c r="Q24" s="24" t="s">
        <v>169</v>
      </c>
      <c r="R24" s="25">
        <f>SUM(K18:K140)</f>
        <v>17</v>
      </c>
      <c r="S24" s="23" t="s">
        <v>167</v>
      </c>
      <c r="T24" s="27">
        <f>(U20+V21)/SUM(U20:V21)*100</f>
        <v>75.700934579439249</v>
      </c>
      <c r="U24" s="24" t="s">
        <v>169</v>
      </c>
      <c r="V24" s="25">
        <f>SUM(K18:K140)</f>
        <v>17</v>
      </c>
      <c r="W24" s="23" t="s">
        <v>167</v>
      </c>
      <c r="X24" s="27">
        <f>(Y20+Z21)/SUM(Y20:Z21)*100</f>
        <v>80.373831775700936</v>
      </c>
      <c r="Y24" s="24" t="s">
        <v>169</v>
      </c>
      <c r="Z24" s="25">
        <f>SUM(K18:K140)</f>
        <v>17</v>
      </c>
      <c r="AA24" s="23" t="s">
        <v>167</v>
      </c>
      <c r="AB24" s="27">
        <f>(AC20+AD21)/SUM(AC20:AD21)*100</f>
        <v>91.588785046728972</v>
      </c>
      <c r="AC24" s="24" t="s">
        <v>169</v>
      </c>
      <c r="AD24" s="25">
        <f>SUM(Q18:Q140)</f>
        <v>18</v>
      </c>
    </row>
    <row r="25" spans="1:30">
      <c r="A25" s="3">
        <v>11</v>
      </c>
      <c r="B25" s="3" t="s">
        <v>150</v>
      </c>
      <c r="C25" s="2">
        <v>2</v>
      </c>
      <c r="D25" s="2">
        <v>8559.8257470000008</v>
      </c>
      <c r="E25" s="2">
        <v>0</v>
      </c>
      <c r="F25" s="2">
        <v>80.962966666666659</v>
      </c>
      <c r="G25" s="2">
        <f t="shared" si="2"/>
        <v>0</v>
      </c>
      <c r="H25" s="2">
        <f t="shared" si="3"/>
        <v>0</v>
      </c>
      <c r="I25" s="2">
        <f t="shared" si="0"/>
        <v>0</v>
      </c>
      <c r="J25" s="2">
        <f t="shared" si="1"/>
        <v>0</v>
      </c>
      <c r="K25" s="11">
        <v>0</v>
      </c>
      <c r="L25" s="11">
        <v>0</v>
      </c>
      <c r="M25" s="11">
        <v>0</v>
      </c>
      <c r="N25" s="2">
        <v>0</v>
      </c>
    </row>
    <row r="26" spans="1:30">
      <c r="A26" s="3">
        <v>180</v>
      </c>
      <c r="B26" s="3" t="s">
        <v>38</v>
      </c>
      <c r="C26" s="2">
        <v>2</v>
      </c>
      <c r="D26" s="2">
        <v>8459.8775929999993</v>
      </c>
      <c r="E26" s="2">
        <v>0</v>
      </c>
      <c r="F26" s="2">
        <v>43.695299999999996</v>
      </c>
      <c r="G26" s="2">
        <f t="shared" si="2"/>
        <v>0</v>
      </c>
      <c r="H26" s="2">
        <f t="shared" si="3"/>
        <v>0</v>
      </c>
      <c r="I26" s="2">
        <f t="shared" si="0"/>
        <v>0</v>
      </c>
      <c r="J26" s="2">
        <f t="shared" si="1"/>
        <v>0</v>
      </c>
      <c r="K26" s="11">
        <v>0</v>
      </c>
      <c r="L26" s="11">
        <v>0</v>
      </c>
      <c r="M26" s="11">
        <v>0</v>
      </c>
      <c r="N26" s="2">
        <v>0</v>
      </c>
    </row>
    <row r="27" spans="1:30">
      <c r="A27" s="3">
        <v>201</v>
      </c>
      <c r="B27" s="3" t="s">
        <v>28</v>
      </c>
      <c r="C27" s="2">
        <v>2</v>
      </c>
      <c r="D27" s="2">
        <v>8332.619616</v>
      </c>
      <c r="E27" s="2">
        <v>0</v>
      </c>
      <c r="F27" s="2">
        <v>48.472133333333332</v>
      </c>
      <c r="G27" s="2">
        <f t="shared" si="2"/>
        <v>0</v>
      </c>
      <c r="H27" s="2">
        <f t="shared" si="3"/>
        <v>0</v>
      </c>
      <c r="I27" s="2">
        <f t="shared" si="0"/>
        <v>0</v>
      </c>
      <c r="J27" s="2">
        <f t="shared" si="1"/>
        <v>0</v>
      </c>
      <c r="K27" s="11">
        <v>0</v>
      </c>
      <c r="L27" s="11">
        <v>0</v>
      </c>
      <c r="M27" s="11">
        <v>0</v>
      </c>
      <c r="N27" s="2">
        <v>0</v>
      </c>
    </row>
    <row r="28" spans="1:30">
      <c r="A28" s="3">
        <v>175</v>
      </c>
      <c r="B28" s="3" t="s">
        <v>42</v>
      </c>
      <c r="C28" s="2">
        <v>2</v>
      </c>
      <c r="D28" s="2">
        <v>8180.373071</v>
      </c>
      <c r="E28" s="2">
        <v>0</v>
      </c>
      <c r="F28" s="2">
        <v>55.246299999999998</v>
      </c>
      <c r="G28" s="2">
        <f t="shared" si="2"/>
        <v>0</v>
      </c>
      <c r="H28" s="2">
        <f t="shared" si="3"/>
        <v>0</v>
      </c>
      <c r="I28" s="2">
        <f t="shared" si="0"/>
        <v>0</v>
      </c>
      <c r="J28" s="2">
        <f t="shared" si="1"/>
        <v>0</v>
      </c>
      <c r="K28" s="11">
        <v>0</v>
      </c>
      <c r="L28" s="11">
        <v>0</v>
      </c>
      <c r="M28" s="11">
        <v>0</v>
      </c>
      <c r="N28" s="2">
        <v>0</v>
      </c>
    </row>
    <row r="29" spans="1:30">
      <c r="A29" s="3">
        <v>117</v>
      </c>
      <c r="B29" s="3" t="s">
        <v>81</v>
      </c>
      <c r="C29" s="2">
        <v>2</v>
      </c>
      <c r="D29" s="2">
        <v>7909.6841000000004</v>
      </c>
      <c r="E29" s="2">
        <v>0</v>
      </c>
      <c r="F29" s="2">
        <v>49.679066666666664</v>
      </c>
      <c r="G29" s="2">
        <f t="shared" si="2"/>
        <v>0</v>
      </c>
      <c r="H29" s="2">
        <f t="shared" si="3"/>
        <v>0</v>
      </c>
      <c r="I29" s="2">
        <f t="shared" si="0"/>
        <v>0</v>
      </c>
      <c r="J29" s="2">
        <f t="shared" si="1"/>
        <v>0</v>
      </c>
      <c r="K29" s="11">
        <v>0</v>
      </c>
      <c r="L29" s="11">
        <v>0</v>
      </c>
      <c r="M29" s="11">
        <v>0</v>
      </c>
      <c r="N29" s="2">
        <v>0</v>
      </c>
    </row>
    <row r="30" spans="1:30">
      <c r="A30" s="3">
        <v>31</v>
      </c>
      <c r="B30" s="3" t="s">
        <v>137</v>
      </c>
      <c r="C30" s="2">
        <v>2</v>
      </c>
      <c r="D30" s="2">
        <v>7199.390187</v>
      </c>
      <c r="E30" s="2">
        <v>0</v>
      </c>
      <c r="F30" s="2">
        <v>60.978966666666665</v>
      </c>
      <c r="G30" s="2">
        <f t="shared" si="2"/>
        <v>0</v>
      </c>
      <c r="H30" s="2">
        <f t="shared" si="3"/>
        <v>0</v>
      </c>
      <c r="I30" s="2">
        <f t="shared" si="0"/>
        <v>0</v>
      </c>
      <c r="J30" s="2">
        <f t="shared" si="1"/>
        <v>0</v>
      </c>
      <c r="K30" s="11">
        <v>0</v>
      </c>
      <c r="L30" s="11">
        <v>0</v>
      </c>
      <c r="M30" s="11">
        <v>0</v>
      </c>
      <c r="N30" s="2">
        <v>0</v>
      </c>
    </row>
    <row r="31" spans="1:30">
      <c r="A31" s="3">
        <v>34</v>
      </c>
      <c r="B31" s="3" t="s">
        <v>136</v>
      </c>
      <c r="C31" s="2">
        <v>2</v>
      </c>
      <c r="D31" s="2">
        <v>7087.3317299999999</v>
      </c>
      <c r="E31" s="2">
        <v>0</v>
      </c>
      <c r="F31" s="2">
        <v>56.162200000000006</v>
      </c>
      <c r="G31" s="2">
        <f t="shared" si="2"/>
        <v>0</v>
      </c>
      <c r="H31" s="2">
        <f t="shared" si="3"/>
        <v>0</v>
      </c>
      <c r="I31" s="2">
        <f t="shared" si="0"/>
        <v>0</v>
      </c>
      <c r="J31" s="2">
        <f t="shared" si="1"/>
        <v>0</v>
      </c>
      <c r="K31" s="11">
        <v>0</v>
      </c>
      <c r="L31" s="11">
        <v>0</v>
      </c>
      <c r="M31" s="11">
        <v>0</v>
      </c>
      <c r="N31" s="2">
        <v>0</v>
      </c>
    </row>
    <row r="32" spans="1:30">
      <c r="A32" s="3">
        <v>232</v>
      </c>
      <c r="B32" s="3" t="s">
        <v>6</v>
      </c>
      <c r="C32" s="2">
        <v>2</v>
      </c>
      <c r="D32" s="2">
        <v>6956.3323010000004</v>
      </c>
      <c r="E32" s="2">
        <v>0</v>
      </c>
      <c r="F32" s="2">
        <v>84.191866666666641</v>
      </c>
      <c r="G32" s="2">
        <f t="shared" si="2"/>
        <v>0</v>
      </c>
      <c r="H32" s="2">
        <f t="shared" si="3"/>
        <v>0</v>
      </c>
      <c r="I32" s="2">
        <f t="shared" si="0"/>
        <v>0</v>
      </c>
      <c r="J32" s="2">
        <f t="shared" si="1"/>
        <v>0</v>
      </c>
      <c r="K32" s="11">
        <v>0</v>
      </c>
      <c r="L32" s="11">
        <v>0</v>
      </c>
      <c r="M32" s="11">
        <v>0</v>
      </c>
      <c r="N32" s="2">
        <v>0</v>
      </c>
    </row>
    <row r="33" spans="1:14">
      <c r="A33" s="3">
        <v>169</v>
      </c>
      <c r="B33" s="3" t="s">
        <v>47</v>
      </c>
      <c r="C33" s="2">
        <v>2</v>
      </c>
      <c r="D33" s="2">
        <v>6610.2076010000001</v>
      </c>
      <c r="E33" s="2">
        <v>0</v>
      </c>
      <c r="F33" s="2">
        <v>48.745199999999997</v>
      </c>
      <c r="G33" s="2">
        <f t="shared" si="2"/>
        <v>0</v>
      </c>
      <c r="H33" s="2">
        <f t="shared" si="3"/>
        <v>0</v>
      </c>
      <c r="I33" s="2">
        <f t="shared" si="0"/>
        <v>0</v>
      </c>
      <c r="J33" s="2">
        <f t="shared" si="1"/>
        <v>0</v>
      </c>
      <c r="K33" s="11">
        <v>0</v>
      </c>
      <c r="L33" s="11">
        <v>0</v>
      </c>
      <c r="M33" s="11">
        <v>0</v>
      </c>
      <c r="N33" s="2">
        <v>0</v>
      </c>
    </row>
    <row r="34" spans="1:14">
      <c r="A34" s="3">
        <v>103</v>
      </c>
      <c r="B34" s="3" t="s">
        <v>92</v>
      </c>
      <c r="C34" s="2">
        <v>2</v>
      </c>
      <c r="D34" s="2">
        <v>6601.6238540000004</v>
      </c>
      <c r="E34" s="2">
        <v>0</v>
      </c>
      <c r="F34" s="2">
        <v>45.73449999999999</v>
      </c>
      <c r="G34" s="2">
        <f t="shared" si="2"/>
        <v>0</v>
      </c>
      <c r="H34" s="2">
        <f t="shared" si="3"/>
        <v>0</v>
      </c>
      <c r="I34" s="2">
        <f t="shared" ref="I34:I65" si="4">IF(E34=1,IF(D34&lt;$X$6,1,0),0)</f>
        <v>0</v>
      </c>
      <c r="J34" s="2">
        <f t="shared" ref="J34:J65" si="5">IF(E34=1,IF(F34&lt;$AB$7,1,0),0)</f>
        <v>0</v>
      </c>
      <c r="K34" s="11">
        <v>0</v>
      </c>
      <c r="L34" s="11">
        <v>0</v>
      </c>
      <c r="M34" s="11">
        <v>0</v>
      </c>
      <c r="N34" s="2">
        <v>0</v>
      </c>
    </row>
    <row r="35" spans="1:14">
      <c r="A35" s="3">
        <v>4</v>
      </c>
      <c r="B35" s="1" t="s">
        <v>152</v>
      </c>
      <c r="C35" s="2">
        <v>2</v>
      </c>
      <c r="D35" s="2">
        <v>6503.1951250000002</v>
      </c>
      <c r="E35" s="2">
        <v>0</v>
      </c>
      <c r="F35" s="2">
        <v>42.073000000000008</v>
      </c>
      <c r="G35" s="2">
        <f t="shared" si="2"/>
        <v>0</v>
      </c>
      <c r="H35" s="2">
        <f t="shared" si="3"/>
        <v>0</v>
      </c>
      <c r="I35" s="2">
        <f t="shared" si="4"/>
        <v>0</v>
      </c>
      <c r="J35" s="2">
        <f t="shared" si="5"/>
        <v>0</v>
      </c>
      <c r="K35" s="11">
        <v>0</v>
      </c>
      <c r="L35" s="11">
        <v>0</v>
      </c>
      <c r="M35" s="11">
        <v>0</v>
      </c>
      <c r="N35" s="2">
        <v>0</v>
      </c>
    </row>
    <row r="36" spans="1:14">
      <c r="A36" s="3">
        <v>122</v>
      </c>
      <c r="B36" s="3" t="s">
        <v>76</v>
      </c>
      <c r="C36" s="2">
        <v>2</v>
      </c>
      <c r="D36" s="2">
        <v>6131.089422</v>
      </c>
      <c r="E36" s="2">
        <v>0</v>
      </c>
      <c r="F36" s="2">
        <v>66.215199999999996</v>
      </c>
      <c r="G36" s="2">
        <f t="shared" si="2"/>
        <v>0</v>
      </c>
      <c r="H36" s="2">
        <f t="shared" si="3"/>
        <v>0</v>
      </c>
      <c r="I36" s="2">
        <f t="shared" si="4"/>
        <v>0</v>
      </c>
      <c r="J36" s="2">
        <f t="shared" si="5"/>
        <v>0</v>
      </c>
      <c r="K36" s="11">
        <v>0</v>
      </c>
      <c r="L36" s="11">
        <v>0</v>
      </c>
      <c r="M36" s="11">
        <v>0</v>
      </c>
      <c r="N36" s="2">
        <v>0</v>
      </c>
    </row>
    <row r="37" spans="1:14">
      <c r="A37" s="3">
        <v>53</v>
      </c>
      <c r="B37" s="3" t="s">
        <v>123</v>
      </c>
      <c r="C37" s="2">
        <v>2</v>
      </c>
      <c r="D37" s="2">
        <v>5828.1124289999998</v>
      </c>
      <c r="E37" s="2">
        <v>0</v>
      </c>
      <c r="F37" s="2">
        <v>41.456733333333339</v>
      </c>
      <c r="G37" s="2">
        <f t="shared" si="2"/>
        <v>0</v>
      </c>
      <c r="H37" s="2">
        <f t="shared" si="3"/>
        <v>0</v>
      </c>
      <c r="I37" s="2">
        <f t="shared" si="4"/>
        <v>0</v>
      </c>
      <c r="J37" s="2">
        <f t="shared" si="5"/>
        <v>0</v>
      </c>
      <c r="K37" s="11">
        <v>0</v>
      </c>
      <c r="L37" s="11">
        <v>0</v>
      </c>
      <c r="M37" s="11">
        <v>0</v>
      </c>
      <c r="N37" s="2">
        <v>0</v>
      </c>
    </row>
    <row r="38" spans="1:14">
      <c r="A38" s="3">
        <v>133</v>
      </c>
      <c r="B38" s="3" t="s">
        <v>68</v>
      </c>
      <c r="C38" s="2">
        <v>2</v>
      </c>
      <c r="D38" s="2">
        <v>5654.7528469999997</v>
      </c>
      <c r="E38" s="2">
        <v>0</v>
      </c>
      <c r="F38" s="2">
        <v>38.245266666666673</v>
      </c>
      <c r="G38" s="2">
        <f t="shared" si="2"/>
        <v>0</v>
      </c>
      <c r="H38" s="2">
        <f t="shared" si="3"/>
        <v>0</v>
      </c>
      <c r="I38" s="2">
        <f t="shared" si="4"/>
        <v>0</v>
      </c>
      <c r="J38" s="2">
        <f t="shared" si="5"/>
        <v>0</v>
      </c>
      <c r="K38" s="11">
        <v>0</v>
      </c>
      <c r="L38" s="11">
        <v>0</v>
      </c>
      <c r="M38" s="11">
        <v>0</v>
      </c>
      <c r="N38" s="2">
        <v>0</v>
      </c>
    </row>
    <row r="39" spans="1:14">
      <c r="A39" s="3">
        <v>172</v>
      </c>
      <c r="B39" s="3" t="s">
        <v>44</v>
      </c>
      <c r="C39" s="2">
        <v>2</v>
      </c>
      <c r="D39" s="2">
        <v>5581.829694</v>
      </c>
      <c r="E39" s="2">
        <v>0</v>
      </c>
      <c r="F39" s="2">
        <v>60.373000000000005</v>
      </c>
      <c r="G39" s="2">
        <f t="shared" si="2"/>
        <v>0</v>
      </c>
      <c r="H39" s="2">
        <f t="shared" si="3"/>
        <v>0</v>
      </c>
      <c r="I39" s="2">
        <f t="shared" si="4"/>
        <v>0</v>
      </c>
      <c r="J39" s="2">
        <f t="shared" si="5"/>
        <v>0</v>
      </c>
      <c r="K39" s="11">
        <v>0</v>
      </c>
      <c r="L39" s="11">
        <v>0</v>
      </c>
      <c r="M39" s="11">
        <v>0</v>
      </c>
      <c r="N39" s="2">
        <v>0</v>
      </c>
    </row>
    <row r="40" spans="1:14">
      <c r="A40" s="3">
        <v>48</v>
      </c>
      <c r="B40" s="3" t="s">
        <v>126</v>
      </c>
      <c r="C40" s="2">
        <v>2</v>
      </c>
      <c r="D40" s="2">
        <v>5519.2294819999997</v>
      </c>
      <c r="E40" s="2">
        <v>0</v>
      </c>
      <c r="F40" s="2">
        <v>58.509133333333338</v>
      </c>
      <c r="G40" s="2">
        <f t="shared" si="2"/>
        <v>0</v>
      </c>
      <c r="H40" s="2">
        <f t="shared" si="3"/>
        <v>0</v>
      </c>
      <c r="I40" s="2">
        <f t="shared" si="4"/>
        <v>0</v>
      </c>
      <c r="J40" s="2">
        <f t="shared" si="5"/>
        <v>0</v>
      </c>
      <c r="K40" s="11">
        <v>0</v>
      </c>
      <c r="L40" s="11">
        <v>0</v>
      </c>
      <c r="M40" s="11">
        <v>0</v>
      </c>
      <c r="N40" s="2">
        <v>0</v>
      </c>
    </row>
    <row r="41" spans="1:14">
      <c r="A41" s="3">
        <v>44</v>
      </c>
      <c r="B41" s="3" t="s">
        <v>128</v>
      </c>
      <c r="C41" s="2">
        <v>2</v>
      </c>
      <c r="D41" s="2">
        <v>5516.1124319999999</v>
      </c>
      <c r="E41" s="2">
        <v>0</v>
      </c>
      <c r="F41" s="2">
        <v>77.712166666666675</v>
      </c>
      <c r="G41" s="2">
        <f t="shared" si="2"/>
        <v>0</v>
      </c>
      <c r="H41" s="2">
        <f t="shared" si="3"/>
        <v>0</v>
      </c>
      <c r="I41" s="2">
        <f t="shared" si="4"/>
        <v>0</v>
      </c>
      <c r="J41" s="2">
        <f t="shared" si="5"/>
        <v>0</v>
      </c>
      <c r="K41" s="11">
        <v>0</v>
      </c>
      <c r="L41" s="11">
        <v>0</v>
      </c>
      <c r="M41" s="11">
        <v>0</v>
      </c>
      <c r="N41" s="2">
        <v>0</v>
      </c>
    </row>
    <row r="42" spans="1:14">
      <c r="A42" s="3">
        <v>63</v>
      </c>
      <c r="B42" s="3" t="s">
        <v>115</v>
      </c>
      <c r="C42" s="2">
        <v>2</v>
      </c>
      <c r="D42" s="2">
        <v>5407.7671609999998</v>
      </c>
      <c r="E42" s="2">
        <v>0</v>
      </c>
      <c r="F42" s="2">
        <v>43.843699999999998</v>
      </c>
      <c r="G42" s="2">
        <f t="shared" si="2"/>
        <v>0</v>
      </c>
      <c r="H42" s="2">
        <f t="shared" si="3"/>
        <v>0</v>
      </c>
      <c r="I42" s="2">
        <f t="shared" si="4"/>
        <v>0</v>
      </c>
      <c r="J42" s="2">
        <f t="shared" si="5"/>
        <v>0</v>
      </c>
      <c r="K42" s="11">
        <v>0</v>
      </c>
      <c r="L42" s="11">
        <v>0</v>
      </c>
      <c r="M42" s="11">
        <v>0</v>
      </c>
      <c r="N42" s="2">
        <v>0</v>
      </c>
    </row>
    <row r="43" spans="1:14">
      <c r="A43" s="3">
        <v>151</v>
      </c>
      <c r="B43" s="3" t="s">
        <v>58</v>
      </c>
      <c r="C43" s="2">
        <v>2</v>
      </c>
      <c r="D43" s="2">
        <v>4368.6515630000004</v>
      </c>
      <c r="E43" s="2">
        <v>0</v>
      </c>
      <c r="F43" s="2">
        <v>23.527866666666664</v>
      </c>
      <c r="G43" s="2">
        <f t="shared" si="2"/>
        <v>0</v>
      </c>
      <c r="H43" s="2">
        <f t="shared" si="3"/>
        <v>1</v>
      </c>
      <c r="I43" s="2">
        <f t="shared" si="4"/>
        <v>0</v>
      </c>
      <c r="J43" s="2">
        <f t="shared" si="5"/>
        <v>0</v>
      </c>
      <c r="K43" s="11">
        <v>0</v>
      </c>
      <c r="L43" s="11">
        <v>0</v>
      </c>
      <c r="M43" s="11">
        <v>0</v>
      </c>
      <c r="N43" s="2">
        <v>0</v>
      </c>
    </row>
    <row r="44" spans="1:14">
      <c r="A44" s="3">
        <v>3</v>
      </c>
      <c r="B44" s="3" t="s">
        <v>153</v>
      </c>
      <c r="C44" s="2">
        <v>2</v>
      </c>
      <c r="D44" s="2">
        <v>4269.6167070000001</v>
      </c>
      <c r="E44" s="2">
        <v>0</v>
      </c>
      <c r="F44" s="2">
        <v>33.110966666666663</v>
      </c>
      <c r="G44" s="2">
        <f t="shared" si="2"/>
        <v>0</v>
      </c>
      <c r="H44" s="2">
        <f t="shared" si="3"/>
        <v>0</v>
      </c>
      <c r="I44" s="2">
        <f t="shared" si="4"/>
        <v>0</v>
      </c>
      <c r="J44" s="2">
        <f t="shared" si="5"/>
        <v>0</v>
      </c>
      <c r="K44" s="11">
        <v>0</v>
      </c>
      <c r="L44" s="11">
        <v>0</v>
      </c>
      <c r="M44" s="11">
        <v>0</v>
      </c>
      <c r="N44" s="2">
        <v>0</v>
      </c>
    </row>
    <row r="45" spans="1:14">
      <c r="A45" s="3">
        <v>221</v>
      </c>
      <c r="B45" s="3" t="s">
        <v>14</v>
      </c>
      <c r="C45" s="2">
        <v>2</v>
      </c>
      <c r="D45" s="2">
        <v>4246.0986000000003</v>
      </c>
      <c r="E45" s="2">
        <v>0</v>
      </c>
      <c r="F45" s="2">
        <v>47.495666666666665</v>
      </c>
      <c r="G45" s="2">
        <f t="shared" si="2"/>
        <v>0</v>
      </c>
      <c r="H45" s="2">
        <f t="shared" si="3"/>
        <v>0</v>
      </c>
      <c r="I45" s="2">
        <f t="shared" si="4"/>
        <v>0</v>
      </c>
      <c r="J45" s="2">
        <f t="shared" si="5"/>
        <v>0</v>
      </c>
      <c r="K45" s="11">
        <v>0</v>
      </c>
      <c r="L45" s="11">
        <v>0</v>
      </c>
      <c r="M45" s="11">
        <v>0</v>
      </c>
      <c r="N45" s="2">
        <v>0</v>
      </c>
    </row>
    <row r="46" spans="1:14">
      <c r="A46" s="3">
        <v>62</v>
      </c>
      <c r="B46" s="3" t="s">
        <v>116</v>
      </c>
      <c r="C46" s="2">
        <v>2</v>
      </c>
      <c r="D46" s="2">
        <v>3893.3536509999999</v>
      </c>
      <c r="E46" s="2">
        <v>0</v>
      </c>
      <c r="F46" s="2">
        <v>45.219200000000001</v>
      </c>
      <c r="G46" s="2">
        <f t="shared" si="2"/>
        <v>0</v>
      </c>
      <c r="H46" s="2">
        <f t="shared" si="3"/>
        <v>0</v>
      </c>
      <c r="I46" s="2">
        <f t="shared" si="4"/>
        <v>0</v>
      </c>
      <c r="J46" s="2">
        <f t="shared" si="5"/>
        <v>0</v>
      </c>
      <c r="K46" s="11">
        <v>0</v>
      </c>
      <c r="L46" s="11">
        <v>0</v>
      </c>
      <c r="M46" s="11">
        <v>0</v>
      </c>
      <c r="N46" s="2">
        <v>0</v>
      </c>
    </row>
    <row r="47" spans="1:14">
      <c r="A47" s="3">
        <v>171</v>
      </c>
      <c r="B47" s="3" t="s">
        <v>45</v>
      </c>
      <c r="C47" s="2">
        <v>2</v>
      </c>
      <c r="D47" s="2">
        <v>3886.6983019999998</v>
      </c>
      <c r="E47" s="2">
        <v>0</v>
      </c>
      <c r="F47" s="2">
        <v>40.400666666666652</v>
      </c>
      <c r="G47" s="2">
        <f t="shared" si="2"/>
        <v>0</v>
      </c>
      <c r="H47" s="2">
        <f t="shared" si="3"/>
        <v>0</v>
      </c>
      <c r="I47" s="2">
        <f t="shared" si="4"/>
        <v>0</v>
      </c>
      <c r="J47" s="2">
        <f t="shared" si="5"/>
        <v>0</v>
      </c>
      <c r="K47" s="11">
        <v>0</v>
      </c>
      <c r="L47" s="11">
        <v>0</v>
      </c>
      <c r="M47" s="11">
        <v>0</v>
      </c>
      <c r="N47" s="2">
        <v>0</v>
      </c>
    </row>
    <row r="48" spans="1:14">
      <c r="A48" s="3">
        <v>104</v>
      </c>
      <c r="B48" s="3" t="s">
        <v>91</v>
      </c>
      <c r="C48" s="2">
        <v>2</v>
      </c>
      <c r="D48" s="2">
        <v>3500</v>
      </c>
      <c r="E48" s="2">
        <v>0</v>
      </c>
      <c r="F48" s="2">
        <v>60.242533333333327</v>
      </c>
      <c r="G48" s="2">
        <f t="shared" si="2"/>
        <v>0</v>
      </c>
      <c r="H48" s="2">
        <f t="shared" si="3"/>
        <v>0</v>
      </c>
      <c r="I48" s="2">
        <f t="shared" si="4"/>
        <v>0</v>
      </c>
      <c r="J48" s="2">
        <f t="shared" si="5"/>
        <v>0</v>
      </c>
      <c r="K48" s="11">
        <v>0</v>
      </c>
      <c r="L48" s="11">
        <v>0</v>
      </c>
      <c r="M48" s="48">
        <v>0</v>
      </c>
      <c r="N48" s="2">
        <v>0</v>
      </c>
    </row>
    <row r="49" spans="1:14">
      <c r="A49" s="3">
        <v>89</v>
      </c>
      <c r="B49" s="3" t="s">
        <v>101</v>
      </c>
      <c r="C49" s="2">
        <v>2</v>
      </c>
      <c r="D49" s="2">
        <v>3361.8779070000001</v>
      </c>
      <c r="E49" s="2">
        <v>0</v>
      </c>
      <c r="F49" s="2">
        <v>36.653933333333342</v>
      </c>
      <c r="G49" s="2">
        <f t="shared" si="2"/>
        <v>0</v>
      </c>
      <c r="H49" s="2">
        <f t="shared" si="3"/>
        <v>0</v>
      </c>
      <c r="I49" s="2">
        <f t="shared" si="4"/>
        <v>0</v>
      </c>
      <c r="J49" s="2">
        <f t="shared" si="5"/>
        <v>0</v>
      </c>
      <c r="K49" s="11">
        <v>0</v>
      </c>
      <c r="L49" s="11">
        <v>0</v>
      </c>
      <c r="M49" s="11">
        <v>0</v>
      </c>
      <c r="N49" s="2">
        <v>0</v>
      </c>
    </row>
    <row r="50" spans="1:14">
      <c r="A50" s="3">
        <v>7</v>
      </c>
      <c r="B50" s="3" t="s">
        <v>151</v>
      </c>
      <c r="C50" s="2">
        <v>2</v>
      </c>
      <c r="D50" s="2">
        <v>3319.1010179999998</v>
      </c>
      <c r="E50" s="2">
        <v>0</v>
      </c>
      <c r="F50" s="2">
        <v>21.280899999999999</v>
      </c>
      <c r="G50" s="2">
        <f t="shared" si="2"/>
        <v>0</v>
      </c>
      <c r="H50" s="2">
        <f t="shared" si="3"/>
        <v>1</v>
      </c>
      <c r="I50" s="2">
        <f t="shared" si="4"/>
        <v>0</v>
      </c>
      <c r="J50" s="2">
        <f t="shared" si="5"/>
        <v>0</v>
      </c>
      <c r="K50" s="11">
        <v>0</v>
      </c>
      <c r="L50" s="11">
        <v>0</v>
      </c>
      <c r="M50" s="11">
        <v>0</v>
      </c>
      <c r="N50" s="2">
        <v>0</v>
      </c>
    </row>
    <row r="51" spans="1:14">
      <c r="A51" s="3">
        <v>27</v>
      </c>
      <c r="B51" s="3" t="s">
        <v>140</v>
      </c>
      <c r="C51" s="2">
        <v>2</v>
      </c>
      <c r="D51" s="2">
        <v>3166.911008</v>
      </c>
      <c r="E51" s="2">
        <v>0</v>
      </c>
      <c r="F51" s="2">
        <v>43.894666666666666</v>
      </c>
      <c r="G51" s="2">
        <f t="shared" si="2"/>
        <v>0</v>
      </c>
      <c r="H51" s="2">
        <f t="shared" si="3"/>
        <v>0</v>
      </c>
      <c r="I51" s="2">
        <f t="shared" si="4"/>
        <v>0</v>
      </c>
      <c r="J51" s="2">
        <f t="shared" si="5"/>
        <v>0</v>
      </c>
      <c r="K51" s="11">
        <v>0</v>
      </c>
      <c r="L51" s="11">
        <v>0</v>
      </c>
      <c r="M51" s="11">
        <v>0</v>
      </c>
      <c r="N51" s="2">
        <v>0</v>
      </c>
    </row>
    <row r="52" spans="1:14">
      <c r="A52" s="3">
        <v>215</v>
      </c>
      <c r="B52" s="3" t="s">
        <v>18</v>
      </c>
      <c r="C52" s="2">
        <v>2</v>
      </c>
      <c r="D52" s="2">
        <v>2874.940552</v>
      </c>
      <c r="E52" s="2">
        <v>0</v>
      </c>
      <c r="F52" s="2">
        <v>24.21286666666667</v>
      </c>
      <c r="G52" s="2">
        <f t="shared" si="2"/>
        <v>0</v>
      </c>
      <c r="H52" s="2">
        <f t="shared" si="3"/>
        <v>1</v>
      </c>
      <c r="I52" s="2">
        <f t="shared" si="4"/>
        <v>0</v>
      </c>
      <c r="J52" s="2">
        <f t="shared" si="5"/>
        <v>0</v>
      </c>
      <c r="K52" s="11">
        <v>0</v>
      </c>
      <c r="L52" s="11">
        <v>0</v>
      </c>
      <c r="M52" s="11">
        <v>0</v>
      </c>
      <c r="N52" s="2">
        <v>0</v>
      </c>
    </row>
    <row r="53" spans="1:14">
      <c r="A53" s="3">
        <v>64</v>
      </c>
      <c r="B53" s="3" t="s">
        <v>114</v>
      </c>
      <c r="C53" s="2">
        <v>2</v>
      </c>
      <c r="D53" s="2">
        <v>2853.4748909999998</v>
      </c>
      <c r="E53" s="2">
        <v>0</v>
      </c>
      <c r="F53" s="2">
        <v>42.561733333333329</v>
      </c>
      <c r="G53" s="2">
        <f t="shared" si="2"/>
        <v>0</v>
      </c>
      <c r="H53" s="2">
        <f t="shared" si="3"/>
        <v>0</v>
      </c>
      <c r="I53" s="2">
        <f t="shared" si="4"/>
        <v>0</v>
      </c>
      <c r="J53" s="2">
        <f t="shared" si="5"/>
        <v>0</v>
      </c>
      <c r="K53" s="11">
        <v>0</v>
      </c>
      <c r="L53" s="11">
        <v>0</v>
      </c>
      <c r="M53" s="11">
        <v>0</v>
      </c>
      <c r="N53" s="2">
        <v>0</v>
      </c>
    </row>
    <row r="54" spans="1:14">
      <c r="A54" s="3">
        <v>97</v>
      </c>
      <c r="B54" s="3" t="s">
        <v>97</v>
      </c>
      <c r="C54" s="2">
        <v>2</v>
      </c>
      <c r="D54" s="2">
        <v>2661.6271980000001</v>
      </c>
      <c r="E54" s="2">
        <v>0</v>
      </c>
      <c r="F54" s="2">
        <v>32.115966666666665</v>
      </c>
      <c r="G54" s="2">
        <f t="shared" si="2"/>
        <v>0</v>
      </c>
      <c r="H54" s="2">
        <f t="shared" si="3"/>
        <v>0</v>
      </c>
      <c r="I54" s="2">
        <f t="shared" si="4"/>
        <v>0</v>
      </c>
      <c r="J54" s="2">
        <f t="shared" si="5"/>
        <v>0</v>
      </c>
      <c r="K54" s="11">
        <v>0</v>
      </c>
      <c r="L54" s="11">
        <v>0</v>
      </c>
      <c r="M54" s="48">
        <v>0</v>
      </c>
      <c r="N54" s="2">
        <v>0</v>
      </c>
    </row>
    <row r="55" spans="1:14">
      <c r="A55" s="3">
        <v>241</v>
      </c>
      <c r="B55" s="3" t="s">
        <v>2</v>
      </c>
      <c r="C55" s="2">
        <v>2</v>
      </c>
      <c r="D55" s="2">
        <v>2600</v>
      </c>
      <c r="E55" s="2">
        <v>0</v>
      </c>
      <c r="F55" s="2">
        <v>15.045933333333334</v>
      </c>
      <c r="G55" s="2">
        <f t="shared" si="2"/>
        <v>0</v>
      </c>
      <c r="H55" s="2">
        <f t="shared" si="3"/>
        <v>1</v>
      </c>
      <c r="I55" s="2">
        <f t="shared" si="4"/>
        <v>0</v>
      </c>
      <c r="J55" s="2">
        <f t="shared" si="5"/>
        <v>0</v>
      </c>
      <c r="K55" s="11">
        <v>0</v>
      </c>
      <c r="L55" s="11">
        <v>0</v>
      </c>
      <c r="M55" s="11">
        <v>0</v>
      </c>
      <c r="N55" s="2">
        <v>0</v>
      </c>
    </row>
    <row r="56" spans="1:14">
      <c r="A56" s="3">
        <v>173</v>
      </c>
      <c r="B56" s="3" t="s">
        <v>43</v>
      </c>
      <c r="C56" s="2">
        <v>2</v>
      </c>
      <c r="D56" s="2">
        <v>2564.2383220000002</v>
      </c>
      <c r="E56" s="2">
        <v>0</v>
      </c>
      <c r="F56" s="2">
        <v>36.990466666666663</v>
      </c>
      <c r="G56" s="2">
        <f t="shared" si="2"/>
        <v>0</v>
      </c>
      <c r="H56" s="2">
        <f t="shared" si="3"/>
        <v>0</v>
      </c>
      <c r="I56" s="2">
        <f t="shared" si="4"/>
        <v>0</v>
      </c>
      <c r="J56" s="2">
        <f t="shared" si="5"/>
        <v>0</v>
      </c>
      <c r="K56" s="11">
        <v>0</v>
      </c>
      <c r="L56" s="11">
        <v>0</v>
      </c>
      <c r="M56" s="11">
        <v>0</v>
      </c>
      <c r="N56" s="2">
        <v>0</v>
      </c>
    </row>
    <row r="57" spans="1:14">
      <c r="A57" s="3">
        <v>38</v>
      </c>
      <c r="B57" s="3" t="s">
        <v>132</v>
      </c>
      <c r="C57" s="2">
        <v>2</v>
      </c>
      <c r="D57" s="2">
        <v>2469.1150080000002</v>
      </c>
      <c r="E57" s="2">
        <v>0</v>
      </c>
      <c r="F57" s="2">
        <v>26.999000000000006</v>
      </c>
      <c r="G57" s="2">
        <f t="shared" si="2"/>
        <v>0</v>
      </c>
      <c r="H57" s="2">
        <f t="shared" si="3"/>
        <v>0</v>
      </c>
      <c r="I57" s="2">
        <f t="shared" si="4"/>
        <v>0</v>
      </c>
      <c r="J57" s="2">
        <f t="shared" si="5"/>
        <v>0</v>
      </c>
      <c r="K57" s="11">
        <v>0</v>
      </c>
      <c r="L57" s="11">
        <v>0</v>
      </c>
      <c r="M57" s="11">
        <v>0</v>
      </c>
      <c r="N57" s="2">
        <v>0</v>
      </c>
    </row>
    <row r="58" spans="1:14">
      <c r="A58" s="3">
        <v>158</v>
      </c>
      <c r="B58" s="3" t="s">
        <v>54</v>
      </c>
      <c r="C58" s="2">
        <v>2</v>
      </c>
      <c r="D58" s="2">
        <v>2401.642875</v>
      </c>
      <c r="E58" s="2">
        <v>0</v>
      </c>
      <c r="F58" s="2">
        <v>47.797433333333323</v>
      </c>
      <c r="G58" s="2">
        <f t="shared" si="2"/>
        <v>0</v>
      </c>
      <c r="H58" s="2">
        <f t="shared" si="3"/>
        <v>0</v>
      </c>
      <c r="I58" s="2">
        <f t="shared" si="4"/>
        <v>0</v>
      </c>
      <c r="J58" s="2">
        <f t="shared" si="5"/>
        <v>0</v>
      </c>
      <c r="K58" s="11">
        <v>0</v>
      </c>
      <c r="L58" s="11">
        <v>0</v>
      </c>
      <c r="M58" s="11">
        <v>0</v>
      </c>
      <c r="N58" s="2">
        <v>0</v>
      </c>
    </row>
    <row r="59" spans="1:14">
      <c r="A59" s="3">
        <v>37</v>
      </c>
      <c r="B59" s="3" t="s">
        <v>133</v>
      </c>
      <c r="C59" s="2">
        <v>2</v>
      </c>
      <c r="D59" s="2">
        <v>2000</v>
      </c>
      <c r="E59" s="2">
        <v>0</v>
      </c>
      <c r="F59" s="2">
        <v>11.259099999999998</v>
      </c>
      <c r="G59" s="2">
        <f t="shared" si="2"/>
        <v>0</v>
      </c>
      <c r="H59" s="2">
        <f t="shared" si="3"/>
        <v>1</v>
      </c>
      <c r="I59" s="2">
        <f t="shared" si="4"/>
        <v>0</v>
      </c>
      <c r="J59" s="2">
        <f t="shared" si="5"/>
        <v>0</v>
      </c>
      <c r="K59" s="26">
        <v>0</v>
      </c>
      <c r="L59" s="11">
        <v>0</v>
      </c>
      <c r="M59" s="48">
        <v>0</v>
      </c>
      <c r="N59" s="2">
        <v>0</v>
      </c>
    </row>
    <row r="60" spans="1:14">
      <c r="A60" s="3">
        <v>170</v>
      </c>
      <c r="B60" s="3" t="s">
        <v>46</v>
      </c>
      <c r="C60" s="2">
        <v>2</v>
      </c>
      <c r="D60" s="2">
        <v>1812.9961800000001</v>
      </c>
      <c r="E60" s="2">
        <v>0</v>
      </c>
      <c r="F60" s="2">
        <v>10.787900000000002</v>
      </c>
      <c r="G60" s="2">
        <f t="shared" si="2"/>
        <v>0</v>
      </c>
      <c r="H60" s="2">
        <f t="shared" si="3"/>
        <v>1</v>
      </c>
      <c r="I60" s="2">
        <f t="shared" si="4"/>
        <v>0</v>
      </c>
      <c r="J60" s="2">
        <f t="shared" si="5"/>
        <v>0</v>
      </c>
      <c r="K60" s="11">
        <v>0</v>
      </c>
      <c r="L60" s="11">
        <v>0</v>
      </c>
      <c r="M60" s="11">
        <v>0</v>
      </c>
      <c r="N60" s="2">
        <v>0</v>
      </c>
    </row>
    <row r="61" spans="1:14">
      <c r="A61" s="3">
        <v>116</v>
      </c>
      <c r="B61" s="3" t="s">
        <v>82</v>
      </c>
      <c r="C61" s="2">
        <v>2</v>
      </c>
      <c r="D61" s="2">
        <v>1800</v>
      </c>
      <c r="E61" s="2">
        <v>0</v>
      </c>
      <c r="F61" s="2">
        <v>53.607233333333348</v>
      </c>
      <c r="G61" s="2">
        <f t="shared" si="2"/>
        <v>0</v>
      </c>
      <c r="H61" s="2">
        <f t="shared" si="3"/>
        <v>0</v>
      </c>
      <c r="I61" s="2">
        <f t="shared" si="4"/>
        <v>0</v>
      </c>
      <c r="J61" s="2">
        <f t="shared" si="5"/>
        <v>0</v>
      </c>
      <c r="K61" s="26">
        <v>0</v>
      </c>
      <c r="L61" s="11">
        <v>0</v>
      </c>
      <c r="M61" s="11">
        <v>0</v>
      </c>
      <c r="N61" s="26">
        <v>0</v>
      </c>
    </row>
    <row r="62" spans="1:14">
      <c r="A62" s="3">
        <v>204</v>
      </c>
      <c r="B62" s="3" t="s">
        <v>26</v>
      </c>
      <c r="C62" s="2">
        <v>2</v>
      </c>
      <c r="D62" s="2">
        <v>1788.6289670000001</v>
      </c>
      <c r="E62" s="2">
        <v>0</v>
      </c>
      <c r="F62" s="2">
        <v>18.379633333333334</v>
      </c>
      <c r="G62" s="2">
        <f t="shared" si="2"/>
        <v>0</v>
      </c>
      <c r="H62" s="2">
        <f t="shared" si="3"/>
        <v>1</v>
      </c>
      <c r="I62" s="2">
        <f t="shared" si="4"/>
        <v>0</v>
      </c>
      <c r="J62" s="2">
        <f t="shared" si="5"/>
        <v>0</v>
      </c>
      <c r="K62" s="11">
        <v>0</v>
      </c>
      <c r="L62" s="11">
        <v>0</v>
      </c>
      <c r="M62" s="11">
        <v>0</v>
      </c>
      <c r="N62" s="2">
        <v>0</v>
      </c>
    </row>
    <row r="63" spans="1:14">
      <c r="A63" s="3">
        <v>166</v>
      </c>
      <c r="B63" s="3" t="s">
        <v>49</v>
      </c>
      <c r="C63" s="2">
        <v>2</v>
      </c>
      <c r="D63" s="2">
        <v>1450.905573</v>
      </c>
      <c r="E63" s="2">
        <v>0</v>
      </c>
      <c r="F63" s="2">
        <v>26.544366666666672</v>
      </c>
      <c r="G63" s="2">
        <f t="shared" si="2"/>
        <v>0</v>
      </c>
      <c r="H63" s="2">
        <f t="shared" si="3"/>
        <v>0</v>
      </c>
      <c r="I63" s="2">
        <f t="shared" si="4"/>
        <v>0</v>
      </c>
      <c r="J63" s="2">
        <f t="shared" si="5"/>
        <v>0</v>
      </c>
      <c r="K63" s="11">
        <v>0</v>
      </c>
      <c r="L63" s="11">
        <v>0</v>
      </c>
      <c r="M63" s="11">
        <v>0</v>
      </c>
      <c r="N63" s="2">
        <v>0</v>
      </c>
    </row>
    <row r="64" spans="1:14">
      <c r="A64" s="3">
        <v>124</v>
      </c>
      <c r="B64" s="3" t="s">
        <v>74</v>
      </c>
      <c r="C64" s="2">
        <v>2</v>
      </c>
      <c r="D64" s="2">
        <v>1303.3341129999999</v>
      </c>
      <c r="E64" s="2">
        <v>0</v>
      </c>
      <c r="F64" s="2">
        <v>30.827133333333336</v>
      </c>
      <c r="G64" s="2">
        <f t="shared" si="2"/>
        <v>0</v>
      </c>
      <c r="H64" s="2">
        <f t="shared" si="3"/>
        <v>0</v>
      </c>
      <c r="I64" s="2">
        <f t="shared" si="4"/>
        <v>0</v>
      </c>
      <c r="J64" s="2">
        <f t="shared" si="5"/>
        <v>0</v>
      </c>
      <c r="K64" s="11">
        <v>0</v>
      </c>
      <c r="L64" s="11">
        <v>0</v>
      </c>
      <c r="M64" s="11">
        <v>0</v>
      </c>
      <c r="N64" s="2">
        <v>0</v>
      </c>
    </row>
    <row r="65" spans="1:14">
      <c r="A65" s="3">
        <v>160</v>
      </c>
      <c r="B65" s="3" t="s">
        <v>52</v>
      </c>
      <c r="C65" s="2">
        <v>2</v>
      </c>
      <c r="D65" s="2">
        <v>1288.1260709999999</v>
      </c>
      <c r="E65" s="2">
        <v>0</v>
      </c>
      <c r="F65" s="2">
        <v>26.066600000000001</v>
      </c>
      <c r="G65" s="2">
        <f t="shared" si="2"/>
        <v>0</v>
      </c>
      <c r="H65" s="2">
        <f t="shared" si="3"/>
        <v>0</v>
      </c>
      <c r="I65" s="2">
        <f t="shared" si="4"/>
        <v>0</v>
      </c>
      <c r="J65" s="2">
        <f t="shared" si="5"/>
        <v>0</v>
      </c>
      <c r="K65" s="26">
        <v>0</v>
      </c>
      <c r="L65" s="11">
        <v>0</v>
      </c>
      <c r="M65" s="48">
        <v>0</v>
      </c>
      <c r="N65" s="2">
        <v>0</v>
      </c>
    </row>
    <row r="66" spans="1:14">
      <c r="A66" s="3">
        <v>79</v>
      </c>
      <c r="B66" s="3" t="s">
        <v>106</v>
      </c>
      <c r="C66" s="2">
        <v>2</v>
      </c>
      <c r="D66" s="2">
        <v>1164.1215010000001</v>
      </c>
      <c r="E66" s="2">
        <v>0</v>
      </c>
      <c r="F66" s="2">
        <v>24.621133333333329</v>
      </c>
      <c r="G66" s="2">
        <f t="shared" si="2"/>
        <v>0</v>
      </c>
      <c r="H66" s="2">
        <f t="shared" si="3"/>
        <v>1</v>
      </c>
      <c r="I66" s="2">
        <f t="shared" ref="I66:I97" si="6">IF(E66=1,IF(D66&lt;$X$6,1,0),0)</f>
        <v>0</v>
      </c>
      <c r="J66" s="2">
        <f t="shared" ref="J66:J97" si="7">IF(E66=1,IF(F66&lt;$AB$7,1,0),0)</f>
        <v>0</v>
      </c>
      <c r="K66" s="11">
        <v>0</v>
      </c>
      <c r="L66" s="11">
        <v>1</v>
      </c>
      <c r="M66" s="11">
        <v>0</v>
      </c>
      <c r="N66" s="2">
        <v>1</v>
      </c>
    </row>
    <row r="67" spans="1:14">
      <c r="A67" s="3">
        <v>94</v>
      </c>
      <c r="B67" s="3" t="s">
        <v>98</v>
      </c>
      <c r="C67" s="2">
        <v>2</v>
      </c>
      <c r="D67" s="2">
        <v>1100</v>
      </c>
      <c r="E67" s="2">
        <v>0</v>
      </c>
      <c r="F67" s="2">
        <v>20.815199999999997</v>
      </c>
      <c r="G67" s="2">
        <f t="shared" ref="G67:G123" si="8">IF(E67=1,IF(D67&gt;$P$14,0,IF(F67&gt;=$P$15,0,1)),0)</f>
        <v>0</v>
      </c>
      <c r="H67" s="2">
        <f t="shared" ref="H67:H124" si="9">IF(D67&gt;$T$14,0,IF(F67&gt;=$T$15,0,1))</f>
        <v>1</v>
      </c>
      <c r="I67" s="2">
        <f t="shared" si="6"/>
        <v>0</v>
      </c>
      <c r="J67" s="2">
        <f t="shared" si="7"/>
        <v>0</v>
      </c>
      <c r="K67" s="11">
        <v>0</v>
      </c>
      <c r="L67" s="11">
        <v>0</v>
      </c>
      <c r="M67" s="11">
        <v>0</v>
      </c>
      <c r="N67" s="2">
        <v>0</v>
      </c>
    </row>
    <row r="68" spans="1:14">
      <c r="A68" s="3">
        <v>92</v>
      </c>
      <c r="B68" s="3" t="s">
        <v>99</v>
      </c>
      <c r="C68" s="2">
        <v>2</v>
      </c>
      <c r="D68" s="2">
        <v>1096.2152530000001</v>
      </c>
      <c r="E68" s="2">
        <v>0</v>
      </c>
      <c r="F68" s="2">
        <v>17.964266666666671</v>
      </c>
      <c r="G68" s="2">
        <f t="shared" si="8"/>
        <v>0</v>
      </c>
      <c r="H68" s="2">
        <f t="shared" si="9"/>
        <v>1</v>
      </c>
      <c r="I68" s="2">
        <f t="shared" si="6"/>
        <v>0</v>
      </c>
      <c r="J68" s="2">
        <f t="shared" si="7"/>
        <v>0</v>
      </c>
      <c r="K68" s="11">
        <v>0</v>
      </c>
      <c r="L68" s="11">
        <v>0</v>
      </c>
      <c r="M68" s="11">
        <v>0</v>
      </c>
      <c r="N68" s="2">
        <v>0</v>
      </c>
    </row>
    <row r="69" spans="1:14">
      <c r="A69" s="3">
        <v>131</v>
      </c>
      <c r="B69" s="3" t="s">
        <v>70</v>
      </c>
      <c r="C69" s="2">
        <v>2</v>
      </c>
      <c r="D69" s="2">
        <v>1054.1358190000001</v>
      </c>
      <c r="E69" s="2">
        <v>0</v>
      </c>
      <c r="F69" s="2">
        <v>16.777733333333334</v>
      </c>
      <c r="G69" s="2">
        <f t="shared" si="8"/>
        <v>0</v>
      </c>
      <c r="H69" s="2">
        <f t="shared" si="9"/>
        <v>1</v>
      </c>
      <c r="I69" s="2">
        <f t="shared" si="6"/>
        <v>0</v>
      </c>
      <c r="J69" s="2">
        <f t="shared" si="7"/>
        <v>0</v>
      </c>
      <c r="K69" s="11">
        <v>0</v>
      </c>
      <c r="L69" s="11">
        <v>0</v>
      </c>
      <c r="M69" s="11">
        <v>0</v>
      </c>
      <c r="N69" s="2">
        <v>0</v>
      </c>
    </row>
    <row r="70" spans="1:14">
      <c r="A70" s="3">
        <v>1</v>
      </c>
      <c r="B70" s="3" t="s">
        <v>154</v>
      </c>
      <c r="C70" s="2">
        <v>2</v>
      </c>
      <c r="D70" s="2">
        <v>1000</v>
      </c>
      <c r="E70" s="2">
        <v>0</v>
      </c>
      <c r="F70" s="2">
        <v>13.3909</v>
      </c>
      <c r="G70" s="2">
        <f t="shared" si="8"/>
        <v>0</v>
      </c>
      <c r="H70" s="2">
        <f t="shared" si="9"/>
        <v>1</v>
      </c>
      <c r="I70" s="2">
        <f t="shared" si="6"/>
        <v>0</v>
      </c>
      <c r="J70" s="2">
        <f t="shared" si="7"/>
        <v>0</v>
      </c>
      <c r="K70" s="11">
        <v>0</v>
      </c>
      <c r="L70" s="11">
        <v>0</v>
      </c>
      <c r="M70" s="11">
        <v>0</v>
      </c>
      <c r="N70" s="2">
        <v>0</v>
      </c>
    </row>
    <row r="71" spans="1:14">
      <c r="A71" s="3">
        <v>42</v>
      </c>
      <c r="B71" s="3" t="s">
        <v>130</v>
      </c>
      <c r="C71" s="2">
        <v>2</v>
      </c>
      <c r="D71" s="2">
        <v>887.01545329999999</v>
      </c>
      <c r="E71" s="2">
        <v>0</v>
      </c>
      <c r="F71" s="2">
        <v>30.390666666666679</v>
      </c>
      <c r="G71" s="2">
        <f t="shared" si="8"/>
        <v>0</v>
      </c>
      <c r="H71" s="2">
        <f t="shared" si="9"/>
        <v>0</v>
      </c>
      <c r="I71" s="2">
        <f t="shared" si="6"/>
        <v>0</v>
      </c>
      <c r="J71" s="2">
        <f t="shared" si="7"/>
        <v>0</v>
      </c>
      <c r="K71" s="11">
        <v>0</v>
      </c>
      <c r="L71" s="11">
        <v>0</v>
      </c>
      <c r="M71" s="11">
        <v>0</v>
      </c>
      <c r="N71" s="2">
        <v>0</v>
      </c>
    </row>
    <row r="72" spans="1:14">
      <c r="A72" s="3">
        <v>214</v>
      </c>
      <c r="B72" s="3" t="s">
        <v>19</v>
      </c>
      <c r="C72" s="2">
        <v>2</v>
      </c>
      <c r="D72" s="2">
        <v>837.53527570000006</v>
      </c>
      <c r="E72" s="2">
        <v>0</v>
      </c>
      <c r="F72" s="2">
        <v>11.629800000000001</v>
      </c>
      <c r="G72" s="2">
        <f t="shared" si="8"/>
        <v>0</v>
      </c>
      <c r="H72" s="2">
        <f t="shared" si="9"/>
        <v>1</v>
      </c>
      <c r="I72" s="2">
        <f t="shared" si="6"/>
        <v>0</v>
      </c>
      <c r="J72" s="2">
        <f t="shared" si="7"/>
        <v>0</v>
      </c>
      <c r="K72" s="11">
        <v>0</v>
      </c>
      <c r="L72" s="11">
        <v>0</v>
      </c>
      <c r="M72" s="11">
        <v>0</v>
      </c>
      <c r="N72" s="2">
        <v>0</v>
      </c>
    </row>
    <row r="73" spans="1:14">
      <c r="A73" s="3">
        <v>45</v>
      </c>
      <c r="B73" s="3" t="s">
        <v>127</v>
      </c>
      <c r="C73" s="2">
        <v>2</v>
      </c>
      <c r="D73" s="2">
        <v>836.71728459999997</v>
      </c>
      <c r="E73" s="2">
        <v>0</v>
      </c>
      <c r="F73" s="2">
        <v>19.577400000000001</v>
      </c>
      <c r="G73" s="2">
        <f t="shared" si="8"/>
        <v>0</v>
      </c>
      <c r="H73" s="2">
        <f t="shared" si="9"/>
        <v>1</v>
      </c>
      <c r="I73" s="2">
        <f t="shared" si="6"/>
        <v>0</v>
      </c>
      <c r="J73" s="2">
        <f t="shared" si="7"/>
        <v>0</v>
      </c>
      <c r="K73" s="11">
        <v>0</v>
      </c>
      <c r="L73" s="11">
        <v>0</v>
      </c>
      <c r="M73" s="11">
        <v>0</v>
      </c>
      <c r="N73" s="2">
        <v>0</v>
      </c>
    </row>
    <row r="74" spans="1:14">
      <c r="A74" s="3">
        <v>236</v>
      </c>
      <c r="B74" s="3" t="s">
        <v>3</v>
      </c>
      <c r="C74" s="2">
        <v>2</v>
      </c>
      <c r="D74" s="2">
        <v>833.4864129</v>
      </c>
      <c r="E74" s="2">
        <v>0</v>
      </c>
      <c r="F74" s="2">
        <v>18.390666666666664</v>
      </c>
      <c r="G74" s="2">
        <f t="shared" si="8"/>
        <v>0</v>
      </c>
      <c r="H74" s="2">
        <f t="shared" si="9"/>
        <v>1</v>
      </c>
      <c r="I74" s="2">
        <f t="shared" si="6"/>
        <v>0</v>
      </c>
      <c r="J74" s="2">
        <f t="shared" si="7"/>
        <v>0</v>
      </c>
      <c r="K74" s="11">
        <v>0</v>
      </c>
      <c r="L74" s="11">
        <v>0</v>
      </c>
      <c r="M74" s="11">
        <v>0</v>
      </c>
      <c r="N74" s="2">
        <v>0</v>
      </c>
    </row>
    <row r="75" spans="1:14">
      <c r="A75" s="3">
        <v>182</v>
      </c>
      <c r="B75" s="3" t="s">
        <v>36</v>
      </c>
      <c r="C75" s="2">
        <v>2</v>
      </c>
      <c r="D75" s="2">
        <v>786.26164070000004</v>
      </c>
      <c r="E75" s="2">
        <v>0</v>
      </c>
      <c r="F75" s="2">
        <v>3.9911000000000008</v>
      </c>
      <c r="G75" s="2">
        <f t="shared" si="8"/>
        <v>0</v>
      </c>
      <c r="H75" s="2">
        <f t="shared" si="9"/>
        <v>1</v>
      </c>
      <c r="I75" s="2">
        <f t="shared" si="6"/>
        <v>0</v>
      </c>
      <c r="J75" s="2">
        <f t="shared" si="7"/>
        <v>0</v>
      </c>
      <c r="K75" s="2">
        <v>1</v>
      </c>
      <c r="L75" s="11">
        <v>1</v>
      </c>
      <c r="M75" s="11">
        <v>0</v>
      </c>
      <c r="N75" s="2">
        <v>1</v>
      </c>
    </row>
    <row r="76" spans="1:14">
      <c r="A76" s="3">
        <v>19</v>
      </c>
      <c r="B76" s="3" t="s">
        <v>144</v>
      </c>
      <c r="C76" s="2">
        <v>2</v>
      </c>
      <c r="D76" s="2">
        <v>710.9835468</v>
      </c>
      <c r="E76" s="2">
        <v>0</v>
      </c>
      <c r="F76" s="2">
        <v>11.654599999999999</v>
      </c>
      <c r="G76" s="2">
        <f t="shared" si="8"/>
        <v>0</v>
      </c>
      <c r="H76" s="2">
        <f t="shared" si="9"/>
        <v>1</v>
      </c>
      <c r="I76" s="2">
        <f t="shared" si="6"/>
        <v>0</v>
      </c>
      <c r="J76" s="2">
        <f t="shared" si="7"/>
        <v>0</v>
      </c>
      <c r="K76" s="26">
        <v>0</v>
      </c>
      <c r="L76" s="11">
        <v>0</v>
      </c>
      <c r="M76" s="48">
        <v>0</v>
      </c>
      <c r="N76" s="2">
        <v>0</v>
      </c>
    </row>
    <row r="77" spans="1:14">
      <c r="A77" s="3">
        <v>153</v>
      </c>
      <c r="B77" s="3" t="s">
        <v>57</v>
      </c>
      <c r="C77" s="2">
        <v>2</v>
      </c>
      <c r="D77" s="2">
        <v>642.49515789999998</v>
      </c>
      <c r="E77" s="2">
        <v>0</v>
      </c>
      <c r="F77" s="2">
        <v>5.4507333333333312</v>
      </c>
      <c r="G77" s="2">
        <f t="shared" si="8"/>
        <v>0</v>
      </c>
      <c r="H77" s="2">
        <f t="shared" si="9"/>
        <v>1</v>
      </c>
      <c r="I77" s="2">
        <f t="shared" si="6"/>
        <v>0</v>
      </c>
      <c r="J77" s="2">
        <f t="shared" si="7"/>
        <v>0</v>
      </c>
      <c r="K77" s="11">
        <v>0</v>
      </c>
      <c r="L77" s="11">
        <v>0</v>
      </c>
      <c r="M77" s="11">
        <v>0</v>
      </c>
      <c r="N77" s="2">
        <v>0</v>
      </c>
    </row>
    <row r="78" spans="1:14">
      <c r="A78" s="3">
        <v>69</v>
      </c>
      <c r="B78" s="3" t="s">
        <v>110</v>
      </c>
      <c r="C78" s="2">
        <v>2</v>
      </c>
      <c r="D78" s="2">
        <v>566.39685069999996</v>
      </c>
      <c r="E78" s="2">
        <v>0</v>
      </c>
      <c r="F78" s="2">
        <v>9.6073000000000004</v>
      </c>
      <c r="G78" s="2">
        <f t="shared" si="8"/>
        <v>0</v>
      </c>
      <c r="H78" s="2">
        <f t="shared" si="9"/>
        <v>1</v>
      </c>
      <c r="I78" s="2">
        <f t="shared" si="6"/>
        <v>0</v>
      </c>
      <c r="J78" s="2">
        <f t="shared" si="7"/>
        <v>0</v>
      </c>
      <c r="K78" s="2">
        <v>1</v>
      </c>
      <c r="L78" s="11">
        <v>1</v>
      </c>
      <c r="M78" s="11">
        <v>1</v>
      </c>
      <c r="N78" s="2">
        <v>1</v>
      </c>
    </row>
    <row r="79" spans="1:14">
      <c r="A79" s="3">
        <v>36</v>
      </c>
      <c r="B79" s="3" t="s">
        <v>134</v>
      </c>
      <c r="C79" s="2">
        <v>2</v>
      </c>
      <c r="D79" s="2">
        <v>470.15290929999998</v>
      </c>
      <c r="E79" s="2">
        <v>0</v>
      </c>
      <c r="F79" s="2">
        <v>3.6581333333333337</v>
      </c>
      <c r="G79" s="2">
        <f t="shared" si="8"/>
        <v>0</v>
      </c>
      <c r="H79" s="2">
        <f t="shared" si="9"/>
        <v>1</v>
      </c>
      <c r="I79" s="2">
        <f t="shared" si="6"/>
        <v>0</v>
      </c>
      <c r="J79" s="2">
        <f t="shared" si="7"/>
        <v>0</v>
      </c>
      <c r="K79" s="11">
        <v>0</v>
      </c>
      <c r="L79" s="11">
        <v>0</v>
      </c>
      <c r="M79" s="11">
        <v>0</v>
      </c>
      <c r="N79" s="2">
        <v>0</v>
      </c>
    </row>
    <row r="80" spans="1:14">
      <c r="A80" s="3">
        <v>123</v>
      </c>
      <c r="B80" s="3" t="s">
        <v>75</v>
      </c>
      <c r="C80" s="2">
        <v>2</v>
      </c>
      <c r="D80" s="2">
        <v>412.09228869999998</v>
      </c>
      <c r="E80" s="2">
        <v>0</v>
      </c>
      <c r="F80" s="2">
        <v>9.7866999999999997</v>
      </c>
      <c r="G80" s="2">
        <f t="shared" si="8"/>
        <v>0</v>
      </c>
      <c r="H80" s="2">
        <f t="shared" si="9"/>
        <v>1</v>
      </c>
      <c r="I80" s="2">
        <f t="shared" si="6"/>
        <v>0</v>
      </c>
      <c r="J80" s="2">
        <f t="shared" si="7"/>
        <v>0</v>
      </c>
      <c r="K80" s="11">
        <v>0</v>
      </c>
      <c r="L80" s="11">
        <v>0</v>
      </c>
      <c r="M80" s="11">
        <v>0</v>
      </c>
      <c r="N80" s="2">
        <v>0</v>
      </c>
    </row>
    <row r="81" spans="1:14">
      <c r="A81" s="3">
        <v>150</v>
      </c>
      <c r="B81" s="3" t="s">
        <v>59</v>
      </c>
      <c r="C81" s="2">
        <v>2</v>
      </c>
      <c r="D81" s="2">
        <v>378.93861290000001</v>
      </c>
      <c r="E81" s="2">
        <v>0</v>
      </c>
      <c r="F81" s="2">
        <v>23.038733333333344</v>
      </c>
      <c r="G81" s="2">
        <f t="shared" si="8"/>
        <v>0</v>
      </c>
      <c r="H81" s="2">
        <f t="shared" si="9"/>
        <v>1</v>
      </c>
      <c r="I81" s="2">
        <f t="shared" si="6"/>
        <v>0</v>
      </c>
      <c r="J81" s="2">
        <f t="shared" si="7"/>
        <v>0</v>
      </c>
      <c r="K81" s="11">
        <v>0</v>
      </c>
      <c r="L81" s="11">
        <v>0</v>
      </c>
      <c r="M81" s="11">
        <v>0</v>
      </c>
      <c r="N81" s="2">
        <v>0</v>
      </c>
    </row>
    <row r="82" spans="1:14">
      <c r="A82" s="3">
        <v>149</v>
      </c>
      <c r="B82" s="3" t="s">
        <v>60</v>
      </c>
      <c r="C82" s="2">
        <v>2</v>
      </c>
      <c r="D82" s="2">
        <v>365.23229900000001</v>
      </c>
      <c r="E82" s="2">
        <v>0</v>
      </c>
      <c r="F82" s="2">
        <v>10.510733333333331</v>
      </c>
      <c r="G82" s="2">
        <f t="shared" si="8"/>
        <v>0</v>
      </c>
      <c r="H82" s="2">
        <f t="shared" si="9"/>
        <v>1</v>
      </c>
      <c r="I82" s="2">
        <f t="shared" si="6"/>
        <v>0</v>
      </c>
      <c r="J82" s="2">
        <f t="shared" si="7"/>
        <v>0</v>
      </c>
      <c r="K82" s="2">
        <v>1</v>
      </c>
      <c r="L82" s="11">
        <v>1</v>
      </c>
      <c r="M82" s="11">
        <v>1</v>
      </c>
      <c r="N82" s="2">
        <v>0</v>
      </c>
    </row>
    <row r="83" spans="1:14">
      <c r="A83" s="3">
        <v>230</v>
      </c>
      <c r="B83" s="3" t="s">
        <v>7</v>
      </c>
      <c r="C83" s="2">
        <v>3</v>
      </c>
      <c r="D83" s="2">
        <v>28697.708030000002</v>
      </c>
      <c r="E83" s="2">
        <v>1</v>
      </c>
      <c r="F83" s="2">
        <v>73.424066666666675</v>
      </c>
      <c r="G83" s="2">
        <f t="shared" si="8"/>
        <v>0</v>
      </c>
      <c r="H83" s="2">
        <f t="shared" si="9"/>
        <v>0</v>
      </c>
      <c r="I83" s="2">
        <f t="shared" si="6"/>
        <v>0</v>
      </c>
      <c r="J83" s="2">
        <f t="shared" si="7"/>
        <v>0</v>
      </c>
      <c r="K83" s="11">
        <v>0</v>
      </c>
      <c r="L83" s="11">
        <v>0</v>
      </c>
      <c r="M83" s="11">
        <v>0</v>
      </c>
      <c r="N83" s="2">
        <v>0</v>
      </c>
    </row>
    <row r="84" spans="1:14">
      <c r="A84" s="3">
        <v>39</v>
      </c>
      <c r="B84" s="3" t="s">
        <v>131</v>
      </c>
      <c r="C84" s="2">
        <v>3</v>
      </c>
      <c r="D84" s="2">
        <v>25123.678609999999</v>
      </c>
      <c r="E84" s="2">
        <v>1</v>
      </c>
      <c r="F84" s="2">
        <v>74.95793333333333</v>
      </c>
      <c r="G84" s="2">
        <f t="shared" si="8"/>
        <v>0</v>
      </c>
      <c r="H84" s="2">
        <f t="shared" si="9"/>
        <v>0</v>
      </c>
      <c r="I84" s="2">
        <f t="shared" si="6"/>
        <v>0</v>
      </c>
      <c r="J84" s="2">
        <f t="shared" si="7"/>
        <v>0</v>
      </c>
      <c r="K84" s="11">
        <v>0</v>
      </c>
      <c r="L84" s="11">
        <v>0</v>
      </c>
      <c r="M84" s="11">
        <v>0</v>
      </c>
      <c r="N84" s="2">
        <v>0</v>
      </c>
    </row>
    <row r="85" spans="1:14">
      <c r="A85" s="3">
        <v>59</v>
      </c>
      <c r="B85" s="3" t="s">
        <v>117</v>
      </c>
      <c r="C85" s="2">
        <v>3</v>
      </c>
      <c r="D85" s="2">
        <v>23612.410929999998</v>
      </c>
      <c r="E85" s="2">
        <v>1</v>
      </c>
      <c r="F85" s="2">
        <v>81.230933333333311</v>
      </c>
      <c r="G85" s="2">
        <f t="shared" si="8"/>
        <v>0</v>
      </c>
      <c r="H85" s="2">
        <f t="shared" si="9"/>
        <v>0</v>
      </c>
      <c r="I85" s="2">
        <f t="shared" si="6"/>
        <v>0</v>
      </c>
      <c r="J85" s="2">
        <f t="shared" si="7"/>
        <v>0</v>
      </c>
      <c r="K85" s="11">
        <v>0</v>
      </c>
      <c r="L85" s="11">
        <v>0</v>
      </c>
      <c r="M85" s="11">
        <v>0</v>
      </c>
      <c r="N85" s="2">
        <v>0</v>
      </c>
    </row>
    <row r="86" spans="1:14">
      <c r="A86" s="3">
        <v>154</v>
      </c>
      <c r="B86" s="3" t="s">
        <v>56</v>
      </c>
      <c r="C86" s="2">
        <v>3</v>
      </c>
      <c r="D86" s="2">
        <v>23441.659670000001</v>
      </c>
      <c r="E86" s="2">
        <v>1</v>
      </c>
      <c r="F86" s="2">
        <v>63.695700000000009</v>
      </c>
      <c r="G86" s="2">
        <f t="shared" si="8"/>
        <v>0</v>
      </c>
      <c r="H86" s="2">
        <f t="shared" si="9"/>
        <v>0</v>
      </c>
      <c r="I86" s="2">
        <f t="shared" si="6"/>
        <v>0</v>
      </c>
      <c r="J86" s="2">
        <f t="shared" si="7"/>
        <v>0</v>
      </c>
      <c r="K86" s="11">
        <v>0</v>
      </c>
      <c r="L86" s="11">
        <v>0</v>
      </c>
      <c r="M86" s="11">
        <v>0</v>
      </c>
      <c r="N86" s="2">
        <v>0</v>
      </c>
    </row>
    <row r="87" spans="1:14">
      <c r="A87" s="3">
        <v>22</v>
      </c>
      <c r="B87" s="3" t="s">
        <v>142</v>
      </c>
      <c r="C87" s="2">
        <v>3</v>
      </c>
      <c r="D87" s="2">
        <v>22382.896489999999</v>
      </c>
      <c r="E87" s="2">
        <v>1</v>
      </c>
      <c r="F87" s="2">
        <v>94.596866666666685</v>
      </c>
      <c r="G87" s="2">
        <f t="shared" si="8"/>
        <v>0</v>
      </c>
      <c r="H87" s="2">
        <f t="shared" si="9"/>
        <v>0</v>
      </c>
      <c r="I87" s="2">
        <f t="shared" si="6"/>
        <v>0</v>
      </c>
      <c r="J87" s="2">
        <f t="shared" si="7"/>
        <v>0</v>
      </c>
      <c r="K87" s="11">
        <v>0</v>
      </c>
      <c r="L87" s="11">
        <v>0</v>
      </c>
      <c r="M87" s="11">
        <v>0</v>
      </c>
      <c r="N87" s="2">
        <v>0</v>
      </c>
    </row>
    <row r="88" spans="1:14">
      <c r="A88" s="3">
        <v>14</v>
      </c>
      <c r="B88" s="3" t="s">
        <v>148</v>
      </c>
      <c r="C88" s="2">
        <v>3</v>
      </c>
      <c r="D88" s="2">
        <v>21811.427919999998</v>
      </c>
      <c r="E88" s="2">
        <v>1</v>
      </c>
      <c r="F88" s="2">
        <v>84.957100000000011</v>
      </c>
      <c r="G88" s="2">
        <f t="shared" si="8"/>
        <v>0</v>
      </c>
      <c r="H88" s="2">
        <f t="shared" si="9"/>
        <v>0</v>
      </c>
      <c r="I88" s="2">
        <f t="shared" si="6"/>
        <v>0</v>
      </c>
      <c r="J88" s="2">
        <f t="shared" si="7"/>
        <v>0</v>
      </c>
      <c r="K88" s="11">
        <v>0</v>
      </c>
      <c r="L88" s="11">
        <v>0</v>
      </c>
      <c r="M88" s="11">
        <v>0</v>
      </c>
      <c r="N88" s="2">
        <v>0</v>
      </c>
    </row>
    <row r="89" spans="1:14">
      <c r="A89" s="3">
        <v>108</v>
      </c>
      <c r="B89" s="3" t="s">
        <v>88</v>
      </c>
      <c r="C89" s="2">
        <v>3</v>
      </c>
      <c r="D89" s="2">
        <v>20988.681850000001</v>
      </c>
      <c r="E89" s="2">
        <v>1</v>
      </c>
      <c r="F89" s="2">
        <v>64.834000000000017</v>
      </c>
      <c r="G89" s="2">
        <f t="shared" si="8"/>
        <v>0</v>
      </c>
      <c r="H89" s="2">
        <f t="shared" si="9"/>
        <v>0</v>
      </c>
      <c r="I89" s="2">
        <f t="shared" si="6"/>
        <v>0</v>
      </c>
      <c r="J89" s="2">
        <f t="shared" si="7"/>
        <v>0</v>
      </c>
      <c r="K89" s="11">
        <v>0</v>
      </c>
      <c r="L89" s="11">
        <v>0</v>
      </c>
      <c r="M89" s="11">
        <v>0</v>
      </c>
      <c r="N89" s="2">
        <v>0</v>
      </c>
    </row>
    <row r="90" spans="1:14">
      <c r="A90" s="3">
        <v>229</v>
      </c>
      <c r="B90" s="3" t="s">
        <v>8</v>
      </c>
      <c r="C90" s="2">
        <v>3</v>
      </c>
      <c r="D90" s="2">
        <v>20957.243709999999</v>
      </c>
      <c r="E90" s="2">
        <v>1</v>
      </c>
      <c r="F90" s="2">
        <v>77.958933333333334</v>
      </c>
      <c r="G90" s="2">
        <f t="shared" si="8"/>
        <v>0</v>
      </c>
      <c r="H90" s="2">
        <f t="shared" si="9"/>
        <v>0</v>
      </c>
      <c r="I90" s="2">
        <f t="shared" si="6"/>
        <v>0</v>
      </c>
      <c r="J90" s="2">
        <f t="shared" si="7"/>
        <v>0</v>
      </c>
      <c r="K90" s="11">
        <v>0</v>
      </c>
      <c r="L90" s="11">
        <v>0</v>
      </c>
      <c r="M90" s="11">
        <v>0</v>
      </c>
      <c r="N90" s="2">
        <v>0</v>
      </c>
    </row>
    <row r="91" spans="1:14">
      <c r="A91" s="3">
        <v>177</v>
      </c>
      <c r="B91" s="3" t="s">
        <v>40</v>
      </c>
      <c r="C91" s="2">
        <v>3</v>
      </c>
      <c r="D91" s="2">
        <v>16000</v>
      </c>
      <c r="E91" s="2">
        <v>1</v>
      </c>
      <c r="F91" s="2">
        <v>61.633200000000002</v>
      </c>
      <c r="G91" s="2">
        <f t="shared" si="8"/>
        <v>0</v>
      </c>
      <c r="H91" s="2">
        <f t="shared" si="9"/>
        <v>0</v>
      </c>
      <c r="I91" s="2">
        <f t="shared" si="6"/>
        <v>0</v>
      </c>
      <c r="J91" s="2">
        <f t="shared" si="7"/>
        <v>0</v>
      </c>
      <c r="K91" s="11">
        <v>0</v>
      </c>
      <c r="L91" s="11">
        <v>0</v>
      </c>
      <c r="M91" s="11">
        <v>0</v>
      </c>
      <c r="N91" s="2">
        <v>0</v>
      </c>
    </row>
    <row r="92" spans="1:14">
      <c r="A92" s="3">
        <v>181</v>
      </c>
      <c r="B92" s="3" t="s">
        <v>37</v>
      </c>
      <c r="C92" s="2">
        <v>3</v>
      </c>
      <c r="D92" s="2">
        <v>12846.01706</v>
      </c>
      <c r="E92" s="2">
        <v>1</v>
      </c>
      <c r="F92" s="2">
        <v>65.712299999999999</v>
      </c>
      <c r="G92" s="2">
        <f t="shared" si="8"/>
        <v>0</v>
      </c>
      <c r="H92" s="2">
        <f t="shared" si="9"/>
        <v>0</v>
      </c>
      <c r="I92" s="2">
        <f t="shared" si="6"/>
        <v>0</v>
      </c>
      <c r="J92" s="2">
        <f t="shared" si="7"/>
        <v>0</v>
      </c>
      <c r="K92" s="11">
        <v>0</v>
      </c>
      <c r="L92" s="11">
        <v>0</v>
      </c>
      <c r="M92" s="11">
        <v>0</v>
      </c>
      <c r="N92" s="2">
        <v>0</v>
      </c>
    </row>
    <row r="93" spans="1:14">
      <c r="A93" s="3">
        <v>99</v>
      </c>
      <c r="B93" s="3" t="s">
        <v>95</v>
      </c>
      <c r="C93" s="2">
        <v>3</v>
      </c>
      <c r="D93" s="2">
        <v>12715.60824</v>
      </c>
      <c r="E93" s="2">
        <v>1</v>
      </c>
      <c r="F93" s="2">
        <v>61.919699999999999</v>
      </c>
      <c r="G93" s="2">
        <f t="shared" si="8"/>
        <v>0</v>
      </c>
      <c r="H93" s="2">
        <f t="shared" si="9"/>
        <v>0</v>
      </c>
      <c r="I93" s="2">
        <f t="shared" si="6"/>
        <v>0</v>
      </c>
      <c r="J93" s="2">
        <f t="shared" si="7"/>
        <v>0</v>
      </c>
      <c r="K93" s="11">
        <v>0</v>
      </c>
      <c r="L93" s="11">
        <v>0</v>
      </c>
      <c r="M93" s="48">
        <v>0</v>
      </c>
      <c r="N93" s="2">
        <v>0</v>
      </c>
    </row>
    <row r="94" spans="1:14">
      <c r="A94" s="3">
        <v>235</v>
      </c>
      <c r="B94" s="3" t="s">
        <v>4</v>
      </c>
      <c r="C94" s="2">
        <v>3</v>
      </c>
      <c r="D94" s="2">
        <v>10039.25078</v>
      </c>
      <c r="E94" s="2">
        <v>1</v>
      </c>
      <c r="F94" s="2">
        <v>75.164266666666649</v>
      </c>
      <c r="G94" s="2">
        <f t="shared" si="8"/>
        <v>0</v>
      </c>
      <c r="H94" s="2">
        <f t="shared" si="9"/>
        <v>0</v>
      </c>
      <c r="I94" s="2">
        <f t="shared" si="6"/>
        <v>0</v>
      </c>
      <c r="J94" s="2">
        <f t="shared" si="7"/>
        <v>0</v>
      </c>
      <c r="K94" s="11">
        <v>0</v>
      </c>
      <c r="L94" s="11">
        <v>0</v>
      </c>
      <c r="M94" s="11">
        <v>0</v>
      </c>
      <c r="N94" s="2">
        <v>0</v>
      </c>
    </row>
    <row r="95" spans="1:14">
      <c r="A95" s="3">
        <v>222</v>
      </c>
      <c r="B95" s="3" t="s">
        <v>13</v>
      </c>
      <c r="C95" s="2">
        <v>4</v>
      </c>
      <c r="D95" s="2">
        <v>6992.1891889999997</v>
      </c>
      <c r="E95" s="2">
        <v>1</v>
      </c>
      <c r="F95" s="2">
        <v>43.067133333333338</v>
      </c>
      <c r="G95" s="2">
        <f t="shared" si="8"/>
        <v>0</v>
      </c>
      <c r="H95" s="2">
        <f t="shared" si="9"/>
        <v>0</v>
      </c>
      <c r="I95" s="2">
        <f t="shared" si="6"/>
        <v>1</v>
      </c>
      <c r="J95" s="2">
        <f t="shared" si="7"/>
        <v>0</v>
      </c>
      <c r="K95" s="11">
        <v>0</v>
      </c>
      <c r="L95" s="11">
        <v>0</v>
      </c>
      <c r="M95" s="11">
        <v>0</v>
      </c>
      <c r="N95" s="2">
        <v>0</v>
      </c>
    </row>
    <row r="96" spans="1:14">
      <c r="A96" s="3">
        <v>109</v>
      </c>
      <c r="B96" s="3" t="s">
        <v>87</v>
      </c>
      <c r="C96" s="2">
        <v>4</v>
      </c>
      <c r="D96" s="2">
        <v>5247.4458119999999</v>
      </c>
      <c r="E96" s="2">
        <v>1</v>
      </c>
      <c r="F96" s="2">
        <v>43.528833333333338</v>
      </c>
      <c r="G96" s="2">
        <f t="shared" si="8"/>
        <v>0</v>
      </c>
      <c r="H96" s="2">
        <f t="shared" si="9"/>
        <v>0</v>
      </c>
      <c r="I96" s="2">
        <f t="shared" si="6"/>
        <v>1</v>
      </c>
      <c r="J96" s="2">
        <f t="shared" si="7"/>
        <v>0</v>
      </c>
      <c r="K96" s="11">
        <v>0</v>
      </c>
      <c r="L96" s="11">
        <v>0</v>
      </c>
      <c r="M96" s="11">
        <v>0</v>
      </c>
      <c r="N96" s="2">
        <v>0</v>
      </c>
    </row>
    <row r="97" spans="1:14">
      <c r="A97" s="3">
        <v>29</v>
      </c>
      <c r="B97" s="3" t="s">
        <v>138</v>
      </c>
      <c r="C97" s="2">
        <v>4</v>
      </c>
      <c r="D97" s="2">
        <v>5086.3358040000003</v>
      </c>
      <c r="E97" s="2">
        <v>1</v>
      </c>
      <c r="F97" s="2">
        <v>15.523966666666665</v>
      </c>
      <c r="G97" s="2">
        <f t="shared" si="8"/>
        <v>1</v>
      </c>
      <c r="H97" s="2">
        <f t="shared" si="9"/>
        <v>1</v>
      </c>
      <c r="I97" s="2">
        <f t="shared" si="6"/>
        <v>1</v>
      </c>
      <c r="J97" s="2">
        <f t="shared" si="7"/>
        <v>1</v>
      </c>
      <c r="K97" s="11">
        <v>0</v>
      </c>
      <c r="L97" s="11">
        <v>0</v>
      </c>
      <c r="M97" s="11">
        <v>0</v>
      </c>
      <c r="N97" s="2">
        <v>0</v>
      </c>
    </row>
    <row r="98" spans="1:14">
      <c r="A98" s="3">
        <v>112</v>
      </c>
      <c r="B98" s="3" t="s">
        <v>85</v>
      </c>
      <c r="C98" s="2">
        <v>4</v>
      </c>
      <c r="D98" s="2">
        <v>3972.8567200000002</v>
      </c>
      <c r="E98" s="2">
        <v>1</v>
      </c>
      <c r="F98" s="2">
        <v>59.62833333333333</v>
      </c>
      <c r="G98" s="2">
        <f t="shared" si="8"/>
        <v>0</v>
      </c>
      <c r="H98" s="2">
        <f t="shared" si="9"/>
        <v>0</v>
      </c>
      <c r="I98" s="2">
        <f t="shared" ref="I98:I124" si="10">IF(E98=1,IF(D98&lt;$X$6,1,0),0)</f>
        <v>1</v>
      </c>
      <c r="J98" s="2">
        <f t="shared" ref="J98:J124" si="11">IF(E98=1,IF(F98&lt;$AB$7,1,0),0)</f>
        <v>0</v>
      </c>
      <c r="K98" s="11">
        <v>0</v>
      </c>
      <c r="L98" s="11">
        <v>0</v>
      </c>
      <c r="M98" s="11">
        <v>0</v>
      </c>
      <c r="N98" s="2">
        <v>0</v>
      </c>
    </row>
    <row r="99" spans="1:14">
      <c r="A99" s="3">
        <v>50</v>
      </c>
      <c r="B99" s="3" t="s">
        <v>125</v>
      </c>
      <c r="C99" s="2">
        <v>4</v>
      </c>
      <c r="D99" s="2">
        <v>3854.8369659999998</v>
      </c>
      <c r="E99" s="2">
        <v>1</v>
      </c>
      <c r="F99" s="2">
        <v>43.829799999999999</v>
      </c>
      <c r="G99" s="2">
        <f t="shared" si="8"/>
        <v>0</v>
      </c>
      <c r="H99" s="2">
        <f t="shared" si="9"/>
        <v>0</v>
      </c>
      <c r="I99" s="2">
        <f t="shared" si="10"/>
        <v>1</v>
      </c>
      <c r="J99" s="2">
        <f t="shared" si="11"/>
        <v>0</v>
      </c>
      <c r="K99" s="11">
        <v>0</v>
      </c>
      <c r="L99" s="11">
        <v>0</v>
      </c>
      <c r="M99" s="11">
        <v>0</v>
      </c>
      <c r="N99" s="2">
        <v>0</v>
      </c>
    </row>
    <row r="100" spans="1:14">
      <c r="A100" s="3">
        <v>65</v>
      </c>
      <c r="B100" s="3" t="s">
        <v>113</v>
      </c>
      <c r="C100" s="2">
        <v>4</v>
      </c>
      <c r="D100" s="2">
        <v>3591.4353550000001</v>
      </c>
      <c r="E100" s="2">
        <v>1</v>
      </c>
      <c r="F100" s="2">
        <v>42.565466666666666</v>
      </c>
      <c r="G100" s="2">
        <f t="shared" si="8"/>
        <v>0</v>
      </c>
      <c r="H100" s="2">
        <f t="shared" si="9"/>
        <v>0</v>
      </c>
      <c r="I100" s="2">
        <f t="shared" si="10"/>
        <v>1</v>
      </c>
      <c r="J100" s="2">
        <f t="shared" si="11"/>
        <v>0</v>
      </c>
      <c r="K100" s="11">
        <v>0</v>
      </c>
      <c r="L100" s="11">
        <v>0</v>
      </c>
      <c r="M100" s="11">
        <v>0</v>
      </c>
      <c r="N100" s="2">
        <v>0</v>
      </c>
    </row>
    <row r="101" spans="1:14">
      <c r="A101" s="3">
        <v>211</v>
      </c>
      <c r="B101" s="3" t="s">
        <v>21</v>
      </c>
      <c r="C101" s="2">
        <v>4</v>
      </c>
      <c r="D101" s="2">
        <v>3158.4667899999999</v>
      </c>
      <c r="E101" s="2">
        <v>1</v>
      </c>
      <c r="F101" s="2">
        <v>44.512133333333331</v>
      </c>
      <c r="G101" s="2">
        <f t="shared" si="8"/>
        <v>0</v>
      </c>
      <c r="H101" s="2">
        <f t="shared" si="9"/>
        <v>0</v>
      </c>
      <c r="I101" s="2">
        <f t="shared" si="10"/>
        <v>1</v>
      </c>
      <c r="J101" s="2">
        <f t="shared" si="11"/>
        <v>0</v>
      </c>
      <c r="K101" s="11">
        <v>0</v>
      </c>
      <c r="L101" s="11">
        <v>0</v>
      </c>
      <c r="M101" s="11">
        <v>0</v>
      </c>
      <c r="N101" s="2">
        <v>0</v>
      </c>
    </row>
    <row r="102" spans="1:14">
      <c r="A102" s="3">
        <v>208</v>
      </c>
      <c r="B102" s="3" t="s">
        <v>24</v>
      </c>
      <c r="C102" s="2">
        <v>4</v>
      </c>
      <c r="D102" s="2">
        <v>2866.6203620000001</v>
      </c>
      <c r="E102" s="2">
        <v>1</v>
      </c>
      <c r="F102" s="2">
        <v>14.193833333333336</v>
      </c>
      <c r="G102" s="2">
        <f t="shared" si="8"/>
        <v>1</v>
      </c>
      <c r="H102" s="2">
        <f t="shared" si="9"/>
        <v>1</v>
      </c>
      <c r="I102" s="2">
        <f t="shared" si="10"/>
        <v>1</v>
      </c>
      <c r="J102" s="2">
        <f t="shared" si="11"/>
        <v>1</v>
      </c>
      <c r="K102" s="11">
        <v>0</v>
      </c>
      <c r="L102" s="11">
        <v>0</v>
      </c>
      <c r="M102" s="11">
        <v>0</v>
      </c>
      <c r="N102" s="2">
        <v>0</v>
      </c>
    </row>
    <row r="103" spans="1:14">
      <c r="A103" s="3">
        <v>148</v>
      </c>
      <c r="B103" s="3" t="s">
        <v>61</v>
      </c>
      <c r="C103" s="2">
        <v>4</v>
      </c>
      <c r="D103" s="2">
        <v>2450.349968</v>
      </c>
      <c r="E103" s="2">
        <v>1</v>
      </c>
      <c r="F103" s="2">
        <v>38.469900000000003</v>
      </c>
      <c r="G103" s="2">
        <f t="shared" si="8"/>
        <v>0</v>
      </c>
      <c r="H103" s="2">
        <f t="shared" si="9"/>
        <v>0</v>
      </c>
      <c r="I103" s="2">
        <f t="shared" si="10"/>
        <v>1</v>
      </c>
      <c r="J103" s="2">
        <f t="shared" si="11"/>
        <v>0</v>
      </c>
      <c r="K103" s="11">
        <v>0</v>
      </c>
      <c r="L103" s="11">
        <v>0</v>
      </c>
      <c r="M103" s="11">
        <v>0</v>
      </c>
      <c r="N103" s="2">
        <v>0</v>
      </c>
    </row>
    <row r="104" spans="1:14">
      <c r="A104" s="3">
        <v>146</v>
      </c>
      <c r="B104" s="3" t="s">
        <v>62</v>
      </c>
      <c r="C104" s="2">
        <v>4</v>
      </c>
      <c r="D104" s="2">
        <v>2328.6066890000002</v>
      </c>
      <c r="E104" s="2">
        <v>1</v>
      </c>
      <c r="F104" s="2">
        <v>48.572733333333318</v>
      </c>
      <c r="G104" s="2">
        <f t="shared" si="8"/>
        <v>0</v>
      </c>
      <c r="H104" s="2">
        <f t="shared" si="9"/>
        <v>0</v>
      </c>
      <c r="I104" s="2">
        <f t="shared" si="10"/>
        <v>1</v>
      </c>
      <c r="J104" s="2">
        <f t="shared" si="11"/>
        <v>0</v>
      </c>
      <c r="K104" s="11">
        <v>0</v>
      </c>
      <c r="L104" s="11">
        <v>0</v>
      </c>
      <c r="M104" s="11">
        <v>0</v>
      </c>
      <c r="N104" s="2">
        <v>0</v>
      </c>
    </row>
    <row r="105" spans="1:14">
      <c r="A105" s="3">
        <v>102</v>
      </c>
      <c r="B105" s="3" t="s">
        <v>93</v>
      </c>
      <c r="C105" s="2">
        <v>4</v>
      </c>
      <c r="D105" s="2">
        <v>1627.763111</v>
      </c>
      <c r="E105" s="2">
        <v>1</v>
      </c>
      <c r="F105" s="2">
        <v>20.759133333333335</v>
      </c>
      <c r="G105" s="2">
        <f t="shared" si="8"/>
        <v>1</v>
      </c>
      <c r="H105" s="2">
        <f t="shared" si="9"/>
        <v>1</v>
      </c>
      <c r="I105" s="2">
        <f t="shared" si="10"/>
        <v>1</v>
      </c>
      <c r="J105" s="2">
        <f t="shared" si="11"/>
        <v>1</v>
      </c>
      <c r="K105" s="11">
        <v>0</v>
      </c>
      <c r="L105" s="11">
        <v>0</v>
      </c>
      <c r="M105" s="11">
        <v>0</v>
      </c>
      <c r="N105" s="2">
        <v>0</v>
      </c>
    </row>
    <row r="106" spans="1:14">
      <c r="A106" s="3">
        <v>139</v>
      </c>
      <c r="B106" s="3" t="s">
        <v>66</v>
      </c>
      <c r="C106" s="2">
        <v>4</v>
      </c>
      <c r="D106" s="2">
        <v>1615.7270779999999</v>
      </c>
      <c r="E106" s="2">
        <v>1</v>
      </c>
      <c r="F106" s="2">
        <v>22.357100000000003</v>
      </c>
      <c r="G106" s="2">
        <f t="shared" si="8"/>
        <v>1</v>
      </c>
      <c r="H106" s="2">
        <f t="shared" si="9"/>
        <v>1</v>
      </c>
      <c r="I106" s="2">
        <f t="shared" si="10"/>
        <v>1</v>
      </c>
      <c r="J106" s="2">
        <f t="shared" si="11"/>
        <v>1</v>
      </c>
      <c r="K106" s="2">
        <v>1</v>
      </c>
      <c r="L106" s="11">
        <v>1</v>
      </c>
      <c r="M106" s="11">
        <v>1</v>
      </c>
      <c r="N106" s="2">
        <v>1</v>
      </c>
    </row>
    <row r="107" spans="1:14">
      <c r="A107" s="3">
        <v>192</v>
      </c>
      <c r="B107" s="3" t="s">
        <v>34</v>
      </c>
      <c r="C107" s="2">
        <v>4</v>
      </c>
      <c r="D107" s="2">
        <v>1541.2844270000001</v>
      </c>
      <c r="E107" s="2">
        <v>1</v>
      </c>
      <c r="F107" s="2">
        <v>32.650333333333329</v>
      </c>
      <c r="G107" s="2">
        <f t="shared" si="8"/>
        <v>0</v>
      </c>
      <c r="H107" s="2">
        <f t="shared" si="9"/>
        <v>0</v>
      </c>
      <c r="I107" s="2">
        <f t="shared" si="10"/>
        <v>1</v>
      </c>
      <c r="J107" s="2">
        <f t="shared" si="11"/>
        <v>0</v>
      </c>
      <c r="K107" s="11">
        <v>0</v>
      </c>
      <c r="L107" s="11">
        <v>1</v>
      </c>
      <c r="M107" s="11">
        <v>0</v>
      </c>
      <c r="N107" s="2">
        <v>1</v>
      </c>
    </row>
    <row r="108" spans="1:14">
      <c r="A108" s="3">
        <v>242</v>
      </c>
      <c r="B108" s="3" t="s">
        <v>1</v>
      </c>
      <c r="C108" s="2">
        <v>4</v>
      </c>
      <c r="D108" s="2">
        <v>1363.586</v>
      </c>
      <c r="E108" s="2">
        <v>1</v>
      </c>
      <c r="F108" s="2">
        <v>33.171533333333336</v>
      </c>
      <c r="G108" s="2">
        <f t="shared" si="8"/>
        <v>0</v>
      </c>
      <c r="H108" s="2">
        <f t="shared" si="9"/>
        <v>0</v>
      </c>
      <c r="I108" s="2">
        <f t="shared" si="10"/>
        <v>1</v>
      </c>
      <c r="J108" s="2">
        <f t="shared" si="11"/>
        <v>0</v>
      </c>
      <c r="K108" s="11">
        <v>0</v>
      </c>
      <c r="L108" s="11">
        <v>0</v>
      </c>
      <c r="M108" s="11">
        <v>0</v>
      </c>
      <c r="N108" s="2">
        <v>0</v>
      </c>
    </row>
    <row r="109" spans="1:14">
      <c r="A109" s="3">
        <v>114</v>
      </c>
      <c r="B109" s="3" t="s">
        <v>83</v>
      </c>
      <c r="C109" s="2">
        <v>4</v>
      </c>
      <c r="D109" s="2">
        <v>1351.5256260000001</v>
      </c>
      <c r="E109" s="2">
        <v>1</v>
      </c>
      <c r="F109" s="2">
        <v>12.744933333333334</v>
      </c>
      <c r="G109" s="2">
        <f t="shared" si="8"/>
        <v>1</v>
      </c>
      <c r="H109" s="2">
        <f t="shared" si="9"/>
        <v>1</v>
      </c>
      <c r="I109" s="2">
        <f t="shared" si="10"/>
        <v>1</v>
      </c>
      <c r="J109" s="2">
        <f t="shared" si="11"/>
        <v>1</v>
      </c>
      <c r="K109" s="2">
        <v>1</v>
      </c>
      <c r="L109" s="11">
        <v>1</v>
      </c>
      <c r="M109" s="11">
        <v>0</v>
      </c>
      <c r="N109" s="2">
        <v>1</v>
      </c>
    </row>
    <row r="110" spans="1:14">
      <c r="A110" s="3">
        <v>24</v>
      </c>
      <c r="B110" s="3" t="s">
        <v>141</v>
      </c>
      <c r="C110" s="2">
        <v>4</v>
      </c>
      <c r="D110" s="2">
        <v>1177.932652</v>
      </c>
      <c r="E110" s="2">
        <v>1</v>
      </c>
      <c r="F110" s="2">
        <v>22.275000000000002</v>
      </c>
      <c r="G110" s="2">
        <f t="shared" si="8"/>
        <v>1</v>
      </c>
      <c r="H110" s="2">
        <f t="shared" si="9"/>
        <v>1</v>
      </c>
      <c r="I110" s="2">
        <f t="shared" si="10"/>
        <v>1</v>
      </c>
      <c r="J110" s="2">
        <f t="shared" si="11"/>
        <v>1</v>
      </c>
      <c r="K110" s="11">
        <v>0</v>
      </c>
      <c r="L110" s="11">
        <v>0</v>
      </c>
      <c r="M110" s="11">
        <v>0</v>
      </c>
      <c r="N110" s="2">
        <v>0</v>
      </c>
    </row>
    <row r="111" spans="1:14">
      <c r="A111" s="3">
        <v>101</v>
      </c>
      <c r="B111" s="3" t="s">
        <v>94</v>
      </c>
      <c r="C111" s="2">
        <v>4</v>
      </c>
      <c r="D111" s="2">
        <v>1063.579706</v>
      </c>
      <c r="E111" s="2">
        <v>1</v>
      </c>
      <c r="F111" s="2">
        <v>21.636800000000001</v>
      </c>
      <c r="G111" s="2">
        <f t="shared" si="8"/>
        <v>1</v>
      </c>
      <c r="H111" s="2">
        <f t="shared" si="9"/>
        <v>1</v>
      </c>
      <c r="I111" s="2">
        <f t="shared" si="10"/>
        <v>1</v>
      </c>
      <c r="J111" s="2">
        <f t="shared" si="11"/>
        <v>1</v>
      </c>
      <c r="K111" s="2">
        <v>1</v>
      </c>
      <c r="L111" s="11">
        <v>1</v>
      </c>
      <c r="M111" s="11">
        <v>1</v>
      </c>
      <c r="N111" s="2">
        <v>0</v>
      </c>
    </row>
    <row r="112" spans="1:14">
      <c r="A112" s="3">
        <v>205</v>
      </c>
      <c r="B112" s="3" t="s">
        <v>25</v>
      </c>
      <c r="C112" s="2">
        <v>4</v>
      </c>
      <c r="D112" s="2">
        <v>1054.9745210000001</v>
      </c>
      <c r="E112" s="2">
        <v>1</v>
      </c>
      <c r="F112" s="2">
        <v>18.866566666666667</v>
      </c>
      <c r="G112" s="2">
        <f t="shared" si="8"/>
        <v>1</v>
      </c>
      <c r="H112" s="2">
        <f t="shared" si="9"/>
        <v>1</v>
      </c>
      <c r="I112" s="2">
        <f t="shared" si="10"/>
        <v>1</v>
      </c>
      <c r="J112" s="2">
        <f t="shared" si="11"/>
        <v>1</v>
      </c>
      <c r="K112" s="2">
        <v>1</v>
      </c>
      <c r="L112" s="11">
        <v>1</v>
      </c>
      <c r="M112" s="11">
        <v>1</v>
      </c>
      <c r="N112" s="2">
        <v>1</v>
      </c>
    </row>
    <row r="113" spans="1:14">
      <c r="A113" s="3">
        <v>217</v>
      </c>
      <c r="B113" s="3" t="s">
        <v>16</v>
      </c>
      <c r="C113" s="2">
        <v>4</v>
      </c>
      <c r="D113" s="2">
        <v>943.69275849999997</v>
      </c>
      <c r="E113" s="2">
        <v>1</v>
      </c>
      <c r="F113" s="2">
        <v>21.929099999999995</v>
      </c>
      <c r="G113" s="2">
        <f t="shared" si="8"/>
        <v>1</v>
      </c>
      <c r="H113" s="2">
        <f t="shared" si="9"/>
        <v>1</v>
      </c>
      <c r="I113" s="2">
        <f t="shared" si="10"/>
        <v>1</v>
      </c>
      <c r="J113" s="2">
        <f t="shared" si="11"/>
        <v>1</v>
      </c>
      <c r="K113" s="11">
        <v>0</v>
      </c>
      <c r="L113" s="11">
        <v>0</v>
      </c>
      <c r="M113" s="11">
        <v>0</v>
      </c>
      <c r="N113" s="2">
        <v>0</v>
      </c>
    </row>
    <row r="114" spans="1:14">
      <c r="A114" s="3">
        <v>82</v>
      </c>
      <c r="B114" s="3" t="s">
        <v>103</v>
      </c>
      <c r="C114" s="2">
        <v>4</v>
      </c>
      <c r="D114" s="2">
        <v>856.62119229999996</v>
      </c>
      <c r="E114" s="2">
        <v>1</v>
      </c>
      <c r="F114" s="2">
        <v>30.055400000000002</v>
      </c>
      <c r="G114" s="2">
        <f t="shared" si="8"/>
        <v>0</v>
      </c>
      <c r="H114" s="2">
        <f t="shared" si="9"/>
        <v>0</v>
      </c>
      <c r="I114" s="2">
        <f t="shared" si="10"/>
        <v>1</v>
      </c>
      <c r="J114" s="2">
        <f t="shared" si="11"/>
        <v>0</v>
      </c>
      <c r="K114" s="11">
        <v>0</v>
      </c>
      <c r="L114" s="11">
        <v>0</v>
      </c>
      <c r="M114" s="11">
        <v>0</v>
      </c>
      <c r="N114" s="2">
        <v>0</v>
      </c>
    </row>
    <row r="115" spans="1:14">
      <c r="A115" s="3">
        <v>91</v>
      </c>
      <c r="B115" s="3" t="s">
        <v>100</v>
      </c>
      <c r="C115" s="2">
        <v>4</v>
      </c>
      <c r="D115" s="2">
        <v>849.10380810000004</v>
      </c>
      <c r="E115" s="2">
        <v>1</v>
      </c>
      <c r="F115" s="2">
        <v>19.952066666666664</v>
      </c>
      <c r="G115" s="2">
        <f t="shared" si="8"/>
        <v>1</v>
      </c>
      <c r="H115" s="2">
        <f t="shared" si="9"/>
        <v>1</v>
      </c>
      <c r="I115" s="2">
        <f t="shared" si="10"/>
        <v>1</v>
      </c>
      <c r="J115" s="2">
        <f t="shared" si="11"/>
        <v>1</v>
      </c>
      <c r="K115" s="11">
        <v>0</v>
      </c>
      <c r="L115" s="11">
        <v>0</v>
      </c>
      <c r="M115" s="11">
        <v>0</v>
      </c>
      <c r="N115" s="2">
        <v>0</v>
      </c>
    </row>
    <row r="116" spans="1:14">
      <c r="A116" s="3">
        <v>43</v>
      </c>
      <c r="B116" s="3" t="s">
        <v>129</v>
      </c>
      <c r="C116" s="2">
        <v>4</v>
      </c>
      <c r="D116" s="2">
        <v>783.97599490000005</v>
      </c>
      <c r="E116" s="2">
        <v>1</v>
      </c>
      <c r="F116" s="2">
        <v>14.878433333333335</v>
      </c>
      <c r="G116" s="2">
        <f t="shared" si="8"/>
        <v>1</v>
      </c>
      <c r="H116" s="2">
        <f t="shared" si="9"/>
        <v>1</v>
      </c>
      <c r="I116" s="2">
        <f t="shared" si="10"/>
        <v>1</v>
      </c>
      <c r="J116" s="2">
        <f t="shared" si="11"/>
        <v>1</v>
      </c>
      <c r="K116" s="2">
        <v>1</v>
      </c>
      <c r="L116" s="11">
        <v>1</v>
      </c>
      <c r="M116" s="11">
        <v>1</v>
      </c>
      <c r="N116" s="2">
        <v>0</v>
      </c>
    </row>
    <row r="117" spans="1:14">
      <c r="A117" s="3">
        <v>159</v>
      </c>
      <c r="B117" s="3" t="s">
        <v>53</v>
      </c>
      <c r="C117" s="2">
        <v>4</v>
      </c>
      <c r="D117" s="2">
        <v>771.11228879999999</v>
      </c>
      <c r="E117" s="2">
        <v>1</v>
      </c>
      <c r="F117" s="2">
        <v>11.089833333333333</v>
      </c>
      <c r="G117" s="2">
        <f t="shared" si="8"/>
        <v>1</v>
      </c>
      <c r="H117" s="2">
        <f t="shared" si="9"/>
        <v>1</v>
      </c>
      <c r="I117" s="2">
        <f t="shared" si="10"/>
        <v>1</v>
      </c>
      <c r="J117" s="2">
        <f t="shared" si="11"/>
        <v>1</v>
      </c>
      <c r="K117" s="2">
        <v>1</v>
      </c>
      <c r="L117" s="11">
        <v>1</v>
      </c>
      <c r="M117" s="11">
        <v>1</v>
      </c>
      <c r="N117" s="2">
        <v>1</v>
      </c>
    </row>
    <row r="118" spans="1:14">
      <c r="A118" s="3">
        <v>195</v>
      </c>
      <c r="B118" s="3" t="s">
        <v>33</v>
      </c>
      <c r="C118" s="2">
        <v>4</v>
      </c>
      <c r="D118" s="2">
        <v>764.07026099999996</v>
      </c>
      <c r="E118" s="2">
        <v>1</v>
      </c>
      <c r="F118" s="2">
        <v>26.303499999999996</v>
      </c>
      <c r="G118" s="2">
        <f t="shared" si="8"/>
        <v>0</v>
      </c>
      <c r="H118" s="2">
        <f t="shared" si="9"/>
        <v>0</v>
      </c>
      <c r="I118" s="2">
        <f t="shared" si="10"/>
        <v>1</v>
      </c>
      <c r="J118" s="2">
        <f t="shared" si="11"/>
        <v>0</v>
      </c>
      <c r="K118" s="11">
        <v>0</v>
      </c>
      <c r="L118" s="11">
        <v>0</v>
      </c>
      <c r="M118" s="11">
        <v>0</v>
      </c>
      <c r="N118" s="2">
        <v>0</v>
      </c>
    </row>
    <row r="119" spans="1:14">
      <c r="A119" s="3">
        <v>35</v>
      </c>
      <c r="B119" s="3" t="s">
        <v>135</v>
      </c>
      <c r="C119" s="2">
        <v>4</v>
      </c>
      <c r="D119" s="2">
        <v>676.29903390000004</v>
      </c>
      <c r="E119" s="2">
        <v>1</v>
      </c>
      <c r="F119" s="2">
        <v>8.0998333333333328</v>
      </c>
      <c r="G119" s="2">
        <f t="shared" si="8"/>
        <v>1</v>
      </c>
      <c r="H119" s="2">
        <f t="shared" si="9"/>
        <v>1</v>
      </c>
      <c r="I119" s="2">
        <f t="shared" si="10"/>
        <v>1</v>
      </c>
      <c r="J119" s="2">
        <f t="shared" si="11"/>
        <v>1</v>
      </c>
      <c r="K119" s="2">
        <v>1</v>
      </c>
      <c r="L119" s="11">
        <v>1</v>
      </c>
      <c r="M119" s="11">
        <v>1</v>
      </c>
      <c r="N119" s="2">
        <v>1</v>
      </c>
    </row>
    <row r="120" spans="1:14">
      <c r="A120" s="3">
        <v>135</v>
      </c>
      <c r="B120" s="3" t="s">
        <v>67</v>
      </c>
      <c r="C120" s="2">
        <v>4</v>
      </c>
      <c r="D120" s="2">
        <v>657.04991919999998</v>
      </c>
      <c r="E120" s="2">
        <v>1</v>
      </c>
      <c r="F120" s="2">
        <v>16.849766666666667</v>
      </c>
      <c r="G120" s="2">
        <f t="shared" si="8"/>
        <v>1</v>
      </c>
      <c r="H120" s="2">
        <f t="shared" si="9"/>
        <v>1</v>
      </c>
      <c r="I120" s="2">
        <f t="shared" si="10"/>
        <v>1</v>
      </c>
      <c r="J120" s="2">
        <f t="shared" si="11"/>
        <v>1</v>
      </c>
      <c r="K120" s="2">
        <v>1</v>
      </c>
      <c r="L120" s="11">
        <v>1</v>
      </c>
      <c r="M120" s="11">
        <v>1</v>
      </c>
      <c r="N120" s="2">
        <v>1</v>
      </c>
    </row>
    <row r="121" spans="1:14">
      <c r="A121" s="3">
        <v>132</v>
      </c>
      <c r="B121" s="3" t="s">
        <v>69</v>
      </c>
      <c r="C121" s="2">
        <v>4</v>
      </c>
      <c r="D121" s="2">
        <v>614.35602649999998</v>
      </c>
      <c r="E121" s="2">
        <v>1</v>
      </c>
      <c r="F121" s="2">
        <v>7.7530000000000019</v>
      </c>
      <c r="G121" s="2">
        <f t="shared" si="8"/>
        <v>1</v>
      </c>
      <c r="H121" s="2">
        <f t="shared" si="9"/>
        <v>1</v>
      </c>
      <c r="I121" s="2">
        <f t="shared" si="10"/>
        <v>1</v>
      </c>
      <c r="J121" s="2">
        <f t="shared" si="11"/>
        <v>1</v>
      </c>
      <c r="K121" s="2">
        <v>1</v>
      </c>
      <c r="L121" s="11">
        <v>1</v>
      </c>
      <c r="M121" s="11">
        <v>0</v>
      </c>
      <c r="N121" s="2">
        <v>1</v>
      </c>
    </row>
    <row r="122" spans="1:14">
      <c r="A122" s="3">
        <v>200</v>
      </c>
      <c r="B122" s="3" t="s">
        <v>29</v>
      </c>
      <c r="C122" s="2">
        <v>4</v>
      </c>
      <c r="D122" s="2">
        <v>600</v>
      </c>
      <c r="E122" s="2">
        <v>1</v>
      </c>
      <c r="F122" s="2">
        <v>24.614933333333333</v>
      </c>
      <c r="G122" s="2">
        <f t="shared" si="8"/>
        <v>1</v>
      </c>
      <c r="H122" s="2">
        <f t="shared" si="9"/>
        <v>1</v>
      </c>
      <c r="I122" s="2">
        <f t="shared" si="10"/>
        <v>1</v>
      </c>
      <c r="J122" s="2">
        <f t="shared" si="11"/>
        <v>1</v>
      </c>
      <c r="K122" s="2">
        <v>1</v>
      </c>
      <c r="L122" s="11">
        <v>1</v>
      </c>
      <c r="M122" s="11">
        <v>1</v>
      </c>
      <c r="N122" s="2">
        <v>1</v>
      </c>
    </row>
    <row r="123" spans="1:14">
      <c r="A123" s="3">
        <v>226</v>
      </c>
      <c r="B123" s="3" t="s">
        <v>11</v>
      </c>
      <c r="C123" s="2">
        <v>4</v>
      </c>
      <c r="D123" s="2">
        <v>544.77022250000005</v>
      </c>
      <c r="E123" s="2">
        <v>1</v>
      </c>
      <c r="F123" s="2">
        <v>7.3852333333333329</v>
      </c>
      <c r="G123" s="2">
        <f t="shared" si="8"/>
        <v>1</v>
      </c>
      <c r="H123" s="2">
        <f t="shared" si="9"/>
        <v>1</v>
      </c>
      <c r="I123" s="2">
        <f t="shared" si="10"/>
        <v>1</v>
      </c>
      <c r="J123" s="2">
        <f t="shared" si="11"/>
        <v>1</v>
      </c>
      <c r="K123" s="2">
        <v>1</v>
      </c>
      <c r="L123" s="11">
        <v>1</v>
      </c>
      <c r="M123" s="11">
        <v>1</v>
      </c>
      <c r="N123" s="2">
        <v>0</v>
      </c>
    </row>
    <row r="124" spans="1:14">
      <c r="A124" s="3">
        <v>243</v>
      </c>
      <c r="B124" s="3" t="s">
        <v>0</v>
      </c>
      <c r="C124" s="2">
        <v>4</v>
      </c>
      <c r="D124" s="2">
        <v>400</v>
      </c>
      <c r="E124" s="2">
        <v>1</v>
      </c>
      <c r="F124" s="2">
        <v>20.345999999999997</v>
      </c>
      <c r="G124" s="2">
        <f>IF(E124=1,IF(D124&gt;$P$14,0,IF(F124&gt;=$P$15,0,1)),0)</f>
        <v>1</v>
      </c>
      <c r="H124" s="2">
        <f t="shared" si="9"/>
        <v>1</v>
      </c>
      <c r="I124" s="2">
        <f t="shared" si="10"/>
        <v>1</v>
      </c>
      <c r="J124" s="2">
        <f t="shared" si="11"/>
        <v>1</v>
      </c>
      <c r="K124" s="2">
        <v>1</v>
      </c>
      <c r="L124" s="11">
        <v>1</v>
      </c>
      <c r="M124" s="11">
        <v>0</v>
      </c>
      <c r="N124" s="2">
        <v>1</v>
      </c>
    </row>
    <row r="125" spans="1:14">
      <c r="A125" s="12">
        <v>12</v>
      </c>
      <c r="B125" s="12" t="s">
        <v>149</v>
      </c>
      <c r="C125" s="13"/>
      <c r="D125" s="13"/>
      <c r="E125" s="13">
        <v>1</v>
      </c>
      <c r="F125" s="13">
        <v>62.199933333333334</v>
      </c>
      <c r="G125" s="13"/>
      <c r="H125" s="13"/>
      <c r="I125" s="13"/>
      <c r="J125" s="13"/>
      <c r="K125" s="13"/>
      <c r="L125" s="13">
        <v>0</v>
      </c>
      <c r="M125" s="13">
        <v>0</v>
      </c>
      <c r="N125" s="13">
        <v>0</v>
      </c>
    </row>
    <row r="126" spans="1:14">
      <c r="A126" s="12">
        <v>16</v>
      </c>
      <c r="B126" s="12" t="s">
        <v>146</v>
      </c>
      <c r="C126" s="13"/>
      <c r="D126" s="13"/>
      <c r="E126" s="13">
        <v>1</v>
      </c>
      <c r="F126" s="13">
        <v>52.109766666666658</v>
      </c>
      <c r="G126" s="13"/>
      <c r="H126" s="13"/>
      <c r="I126" s="13"/>
      <c r="J126" s="13"/>
      <c r="K126" s="13"/>
      <c r="L126" s="13">
        <v>0</v>
      </c>
      <c r="M126" s="13">
        <v>0</v>
      </c>
      <c r="N126" s="13">
        <v>0</v>
      </c>
    </row>
    <row r="127" spans="1:14">
      <c r="A127" s="12">
        <v>18</v>
      </c>
      <c r="B127" s="12" t="s">
        <v>145</v>
      </c>
      <c r="C127" s="13"/>
      <c r="D127" s="13"/>
      <c r="E127" s="13">
        <v>1</v>
      </c>
      <c r="F127" s="13">
        <v>85.052999999999983</v>
      </c>
      <c r="G127" s="13"/>
      <c r="H127" s="13"/>
      <c r="I127" s="13"/>
      <c r="J127" s="13"/>
      <c r="K127" s="13"/>
      <c r="L127" s="13">
        <v>0</v>
      </c>
      <c r="M127" s="13">
        <v>0</v>
      </c>
      <c r="N127" s="13">
        <v>0</v>
      </c>
    </row>
    <row r="128" spans="1:14">
      <c r="A128" s="12">
        <v>21</v>
      </c>
      <c r="B128" s="12" t="s">
        <v>143</v>
      </c>
      <c r="C128" s="13"/>
      <c r="D128" s="13"/>
      <c r="E128" s="13">
        <v>1</v>
      </c>
      <c r="F128" s="13">
        <v>50.605166666666655</v>
      </c>
      <c r="G128" s="13"/>
      <c r="H128" s="13"/>
      <c r="I128" s="13"/>
      <c r="J128" s="13"/>
      <c r="K128" s="13"/>
      <c r="L128" s="13">
        <v>0</v>
      </c>
      <c r="M128" s="13">
        <v>0</v>
      </c>
      <c r="N128" s="13">
        <v>0</v>
      </c>
    </row>
    <row r="129" spans="1:14">
      <c r="A129" s="12">
        <v>28</v>
      </c>
      <c r="B129" s="12" t="s">
        <v>139</v>
      </c>
      <c r="C129" s="13"/>
      <c r="D129" s="13"/>
      <c r="E129" s="13">
        <v>1</v>
      </c>
      <c r="F129" s="13">
        <v>30.933900000000008</v>
      </c>
      <c r="G129" s="13"/>
      <c r="H129" s="13"/>
      <c r="I129" s="13"/>
      <c r="J129" s="13"/>
      <c r="K129" s="13"/>
      <c r="L129" s="13">
        <v>0</v>
      </c>
      <c r="M129" s="13">
        <v>0</v>
      </c>
      <c r="N129" s="13">
        <v>0</v>
      </c>
    </row>
    <row r="130" spans="1:14">
      <c r="A130" s="12">
        <v>51</v>
      </c>
      <c r="B130" s="12" t="s">
        <v>124</v>
      </c>
      <c r="C130" s="13"/>
      <c r="D130" s="13"/>
      <c r="E130" s="13">
        <v>1</v>
      </c>
      <c r="F130" s="13">
        <v>28.027300000000018</v>
      </c>
      <c r="G130" s="13"/>
      <c r="H130" s="13"/>
      <c r="I130" s="13"/>
      <c r="J130" s="13"/>
      <c r="K130" s="13">
        <v>1</v>
      </c>
      <c r="L130" s="13">
        <v>1</v>
      </c>
      <c r="M130" s="13">
        <v>0</v>
      </c>
      <c r="N130" s="13">
        <v>1</v>
      </c>
    </row>
    <row r="131" spans="1:14">
      <c r="A131" s="12">
        <v>54</v>
      </c>
      <c r="B131" s="12" t="s">
        <v>122</v>
      </c>
      <c r="C131" s="13"/>
      <c r="D131" s="13"/>
      <c r="E131" s="13">
        <v>1</v>
      </c>
      <c r="F131" s="13">
        <v>31.718266666666668</v>
      </c>
      <c r="G131" s="13"/>
      <c r="H131" s="13"/>
      <c r="I131" s="13"/>
      <c r="J131" s="13"/>
      <c r="K131" s="13"/>
      <c r="L131" s="13">
        <v>0</v>
      </c>
      <c r="M131" s="13">
        <v>0</v>
      </c>
      <c r="N131" s="13">
        <v>0</v>
      </c>
    </row>
    <row r="132" spans="1:14">
      <c r="A132" s="12">
        <v>55</v>
      </c>
      <c r="B132" s="12" t="s">
        <v>121</v>
      </c>
      <c r="C132" s="13"/>
      <c r="D132" s="13"/>
      <c r="E132" s="13">
        <v>1</v>
      </c>
      <c r="F132" s="13">
        <v>44.522666666666659</v>
      </c>
      <c r="G132" s="13"/>
      <c r="H132" s="13"/>
      <c r="I132" s="13"/>
      <c r="J132" s="13"/>
      <c r="K132" s="13"/>
      <c r="L132" s="13">
        <v>0</v>
      </c>
      <c r="M132" s="13">
        <v>0</v>
      </c>
      <c r="N132" s="13">
        <v>0</v>
      </c>
    </row>
    <row r="133" spans="1:14">
      <c r="A133" s="12">
        <v>57</v>
      </c>
      <c r="B133" s="12" t="s">
        <v>119</v>
      </c>
      <c r="C133" s="13"/>
      <c r="D133" s="13"/>
      <c r="E133" s="13">
        <v>1</v>
      </c>
      <c r="F133" s="13">
        <v>50.639133333333341</v>
      </c>
      <c r="G133" s="13"/>
      <c r="H133" s="13"/>
      <c r="I133" s="13"/>
      <c r="J133" s="13"/>
      <c r="K133" s="13"/>
      <c r="L133" s="13">
        <v>0</v>
      </c>
      <c r="M133" s="13">
        <v>0</v>
      </c>
      <c r="N133" s="13">
        <v>0</v>
      </c>
    </row>
    <row r="134" spans="1:14">
      <c r="A134" s="12">
        <v>67</v>
      </c>
      <c r="B134" s="12" t="s">
        <v>112</v>
      </c>
      <c r="C134" s="13"/>
      <c r="D134" s="13"/>
      <c r="E134" s="13">
        <v>1</v>
      </c>
      <c r="F134" s="13">
        <v>13.400400000000001</v>
      </c>
      <c r="G134" s="13"/>
      <c r="H134" s="13"/>
      <c r="I134" s="13"/>
      <c r="J134" s="13"/>
      <c r="K134" s="13">
        <v>1</v>
      </c>
      <c r="L134" s="13">
        <v>1</v>
      </c>
      <c r="M134" s="13">
        <v>0</v>
      </c>
      <c r="N134" s="13">
        <v>1</v>
      </c>
    </row>
    <row r="135" spans="1:14">
      <c r="A135" s="12">
        <v>68</v>
      </c>
      <c r="B135" s="12" t="s">
        <v>111</v>
      </c>
      <c r="C135" s="13"/>
      <c r="D135" s="13"/>
      <c r="E135" s="13">
        <v>1</v>
      </c>
      <c r="F135" s="13">
        <v>66.675333333333327</v>
      </c>
      <c r="G135" s="13"/>
      <c r="H135" s="13"/>
      <c r="I135" s="13"/>
      <c r="J135" s="13"/>
      <c r="K135" s="13"/>
      <c r="L135" s="13">
        <v>0</v>
      </c>
      <c r="M135" s="13">
        <v>0</v>
      </c>
      <c r="N135" s="13">
        <v>0</v>
      </c>
    </row>
    <row r="136" spans="1:14">
      <c r="A136" s="12">
        <v>80</v>
      </c>
      <c r="B136" s="12" t="s">
        <v>105</v>
      </c>
      <c r="C136" s="13"/>
      <c r="D136" s="13"/>
      <c r="E136" s="13">
        <v>1</v>
      </c>
      <c r="F136" s="13">
        <v>50.137566666666672</v>
      </c>
      <c r="G136" s="13"/>
      <c r="H136" s="13"/>
      <c r="I136" s="13"/>
      <c r="J136" s="13"/>
      <c r="K136" s="13"/>
      <c r="L136" s="13">
        <v>0</v>
      </c>
      <c r="M136" s="13">
        <v>0</v>
      </c>
      <c r="N136" s="13">
        <v>0</v>
      </c>
    </row>
    <row r="137" spans="1:14">
      <c r="A137" s="12">
        <v>98</v>
      </c>
      <c r="B137" s="12" t="s">
        <v>96</v>
      </c>
      <c r="C137" s="13"/>
      <c r="D137" s="13"/>
      <c r="E137" s="13">
        <v>1</v>
      </c>
      <c r="F137" s="13"/>
      <c r="G137" s="13"/>
      <c r="H137" s="13"/>
      <c r="I137" s="13"/>
      <c r="J137" s="13"/>
      <c r="K137" s="13"/>
      <c r="L137" s="13">
        <v>0</v>
      </c>
      <c r="M137" s="13">
        <v>0</v>
      </c>
      <c r="N137" s="13">
        <v>0</v>
      </c>
    </row>
    <row r="138" spans="1:14">
      <c r="A138" s="12">
        <v>113</v>
      </c>
      <c r="B138" s="12" t="s">
        <v>84</v>
      </c>
      <c r="C138" s="13"/>
      <c r="D138" s="13"/>
      <c r="E138" s="13">
        <v>1</v>
      </c>
      <c r="F138" s="13">
        <v>51.906300000000009</v>
      </c>
      <c r="G138" s="13"/>
      <c r="H138" s="13"/>
      <c r="I138" s="13"/>
      <c r="J138" s="13"/>
      <c r="K138" s="13"/>
      <c r="L138" s="13">
        <v>0</v>
      </c>
      <c r="M138" s="13">
        <v>0</v>
      </c>
      <c r="N138" s="13">
        <v>0</v>
      </c>
    </row>
    <row r="139" spans="1:14">
      <c r="A139" s="12">
        <v>119</v>
      </c>
      <c r="B139" s="12" t="s">
        <v>79</v>
      </c>
      <c r="C139" s="13"/>
      <c r="D139" s="13"/>
      <c r="E139" s="13">
        <v>1</v>
      </c>
      <c r="F139" s="13">
        <v>37.474266666666672</v>
      </c>
      <c r="G139" s="13"/>
      <c r="H139" s="13"/>
      <c r="I139" s="13"/>
      <c r="J139" s="13"/>
      <c r="K139" s="13"/>
      <c r="L139" s="13">
        <v>0</v>
      </c>
      <c r="M139" s="13">
        <v>0</v>
      </c>
      <c r="N139" s="13">
        <v>0</v>
      </c>
    </row>
    <row r="140" spans="1:14">
      <c r="A140" s="12">
        <v>120</v>
      </c>
      <c r="B140" s="12" t="s">
        <v>78</v>
      </c>
      <c r="C140" s="13"/>
      <c r="D140" s="13"/>
      <c r="E140" s="13">
        <v>1</v>
      </c>
      <c r="F140" s="13">
        <v>11.275100000000002</v>
      </c>
      <c r="G140" s="13"/>
      <c r="H140" s="13"/>
      <c r="I140" s="13"/>
      <c r="J140" s="13"/>
      <c r="K140" s="13"/>
      <c r="L140" s="13">
        <v>0</v>
      </c>
      <c r="M140" s="13">
        <v>0</v>
      </c>
      <c r="N140" s="13">
        <v>0</v>
      </c>
    </row>
    <row r="141" spans="1:14">
      <c r="A141" s="12">
        <v>121</v>
      </c>
      <c r="B141" s="12" t="s">
        <v>77</v>
      </c>
      <c r="C141" s="13"/>
      <c r="D141" s="13"/>
      <c r="E141" s="13">
        <v>1</v>
      </c>
      <c r="F141" s="13">
        <v>63.342300000000002</v>
      </c>
      <c r="G141" s="13"/>
      <c r="H141" s="13"/>
      <c r="I141" s="13"/>
      <c r="J141" s="13"/>
      <c r="K141" s="13"/>
      <c r="L141" s="13">
        <v>0</v>
      </c>
      <c r="M141" s="13">
        <v>0</v>
      </c>
      <c r="N141" s="13">
        <v>0</v>
      </c>
    </row>
    <row r="142" spans="1:14">
      <c r="A142" s="12">
        <v>127</v>
      </c>
      <c r="B142" s="12" t="s">
        <v>72</v>
      </c>
      <c r="C142" s="13"/>
      <c r="D142" s="13"/>
      <c r="E142" s="13">
        <v>1</v>
      </c>
      <c r="F142" s="13">
        <v>55.36996666666667</v>
      </c>
      <c r="G142" s="13"/>
      <c r="H142" s="13"/>
      <c r="I142" s="13"/>
      <c r="J142" s="13"/>
      <c r="K142" s="13"/>
      <c r="L142" s="13">
        <v>0</v>
      </c>
      <c r="M142" s="13">
        <v>0</v>
      </c>
      <c r="N142" s="13">
        <v>0</v>
      </c>
    </row>
    <row r="143" spans="1:14">
      <c r="A143" s="12">
        <v>130</v>
      </c>
      <c r="B143" s="12" t="s">
        <v>71</v>
      </c>
      <c r="C143" s="13"/>
      <c r="D143" s="13"/>
      <c r="E143" s="13">
        <v>1</v>
      </c>
      <c r="F143" s="13">
        <v>49.241566666666678</v>
      </c>
      <c r="G143" s="13"/>
      <c r="H143" s="13"/>
      <c r="I143" s="13"/>
      <c r="J143" s="13"/>
      <c r="K143" s="13"/>
      <c r="L143" s="13">
        <v>0</v>
      </c>
      <c r="M143" s="13">
        <v>0</v>
      </c>
      <c r="N143" s="13">
        <v>0</v>
      </c>
    </row>
    <row r="144" spans="1:14">
      <c r="A144" s="12">
        <v>140</v>
      </c>
      <c r="B144" s="12" t="s">
        <v>65</v>
      </c>
      <c r="C144" s="13"/>
      <c r="D144" s="13"/>
      <c r="E144" s="13">
        <v>1</v>
      </c>
      <c r="F144" s="13">
        <v>41.126800000000003</v>
      </c>
      <c r="G144" s="13"/>
      <c r="H144" s="13"/>
      <c r="I144" s="13"/>
      <c r="J144" s="13"/>
      <c r="K144" s="13"/>
      <c r="L144" s="13">
        <v>0</v>
      </c>
      <c r="M144" s="13">
        <v>0</v>
      </c>
      <c r="N144" s="13">
        <v>0</v>
      </c>
    </row>
    <row r="145" spans="1:14">
      <c r="A145" s="12">
        <v>144</v>
      </c>
      <c r="B145" s="12" t="s">
        <v>63</v>
      </c>
      <c r="C145" s="13"/>
      <c r="D145" s="13"/>
      <c r="E145" s="13">
        <v>1</v>
      </c>
      <c r="F145" s="13">
        <v>36.307633333333335</v>
      </c>
      <c r="G145" s="13"/>
      <c r="H145" s="13"/>
      <c r="I145" s="13"/>
      <c r="J145" s="13"/>
      <c r="K145" s="13"/>
      <c r="L145" s="13">
        <v>0</v>
      </c>
      <c r="M145" s="13">
        <v>0</v>
      </c>
      <c r="N145" s="13">
        <v>0</v>
      </c>
    </row>
    <row r="146" spans="1:14">
      <c r="A146" s="12">
        <v>165</v>
      </c>
      <c r="B146" s="12" t="s">
        <v>50</v>
      </c>
      <c r="C146" s="13"/>
      <c r="D146" s="13"/>
      <c r="E146" s="13">
        <v>1</v>
      </c>
      <c r="F146" s="13">
        <v>40.179700000000004</v>
      </c>
      <c r="G146" s="13"/>
      <c r="H146" s="13"/>
      <c r="I146" s="13"/>
      <c r="J146" s="13"/>
      <c r="K146" s="13"/>
      <c r="L146" s="13">
        <v>0</v>
      </c>
      <c r="M146" s="13">
        <v>0</v>
      </c>
      <c r="N146" s="13">
        <v>0</v>
      </c>
    </row>
    <row r="147" spans="1:14">
      <c r="A147" s="12">
        <v>168</v>
      </c>
      <c r="B147" s="12" t="s">
        <v>48</v>
      </c>
      <c r="C147" s="13"/>
      <c r="D147" s="13"/>
      <c r="E147" s="13">
        <v>1</v>
      </c>
      <c r="F147" s="13"/>
      <c r="G147" s="13"/>
      <c r="H147" s="13"/>
      <c r="I147" s="13"/>
      <c r="J147" s="13"/>
      <c r="K147" s="13"/>
      <c r="L147" s="13">
        <v>0</v>
      </c>
      <c r="M147" s="13">
        <v>0</v>
      </c>
      <c r="N147" s="13">
        <v>0</v>
      </c>
    </row>
    <row r="148" spans="1:14">
      <c r="A148" s="12">
        <v>178</v>
      </c>
      <c r="B148" s="12" t="s">
        <v>39</v>
      </c>
      <c r="C148" s="13"/>
      <c r="D148" s="13"/>
      <c r="E148" s="13">
        <v>1</v>
      </c>
      <c r="F148" s="13">
        <v>88.959233333333316</v>
      </c>
      <c r="G148" s="13"/>
      <c r="H148" s="13"/>
      <c r="I148" s="13"/>
      <c r="J148" s="13"/>
      <c r="K148" s="13"/>
      <c r="L148" s="13">
        <v>0</v>
      </c>
      <c r="M148" s="13">
        <v>0</v>
      </c>
      <c r="N148" s="13">
        <v>0</v>
      </c>
    </row>
    <row r="149" spans="1:14">
      <c r="A149" s="12">
        <v>196</v>
      </c>
      <c r="B149" s="12" t="s">
        <v>32</v>
      </c>
      <c r="C149" s="13"/>
      <c r="D149" s="13"/>
      <c r="E149" s="13">
        <v>1</v>
      </c>
      <c r="F149" s="13">
        <v>100</v>
      </c>
      <c r="G149" s="13"/>
      <c r="H149" s="13"/>
      <c r="I149" s="13"/>
      <c r="J149" s="13"/>
      <c r="K149" s="13"/>
      <c r="L149" s="13">
        <v>0</v>
      </c>
      <c r="M149" s="13">
        <v>0</v>
      </c>
      <c r="N149" s="13">
        <v>0</v>
      </c>
    </row>
    <row r="150" spans="1:14">
      <c r="A150" s="12">
        <v>197</v>
      </c>
      <c r="B150" s="12" t="s">
        <v>31</v>
      </c>
      <c r="C150" s="13"/>
      <c r="D150" s="13"/>
      <c r="E150" s="13">
        <v>1</v>
      </c>
      <c r="F150" s="13">
        <v>46.24186666666666</v>
      </c>
      <c r="G150" s="13"/>
      <c r="H150" s="13"/>
      <c r="I150" s="13"/>
      <c r="J150" s="13"/>
      <c r="K150" s="13"/>
      <c r="L150" s="13">
        <v>0</v>
      </c>
      <c r="M150" s="13">
        <v>0</v>
      </c>
      <c r="N150" s="13">
        <v>0</v>
      </c>
    </row>
    <row r="151" spans="1:14">
      <c r="A151" s="12">
        <v>198</v>
      </c>
      <c r="B151" s="12" t="s">
        <v>30</v>
      </c>
      <c r="C151" s="13"/>
      <c r="D151" s="13"/>
      <c r="E151" s="13">
        <v>1</v>
      </c>
      <c r="F151" s="13">
        <v>41.834933333333339</v>
      </c>
      <c r="G151" s="13"/>
      <c r="H151" s="13"/>
      <c r="I151" s="13"/>
      <c r="J151" s="13"/>
      <c r="K151" s="13"/>
      <c r="L151" s="13">
        <v>0</v>
      </c>
      <c r="M151" s="13">
        <v>0</v>
      </c>
      <c r="N151" s="13">
        <v>0</v>
      </c>
    </row>
    <row r="152" spans="1:14">
      <c r="A152" s="12">
        <v>213</v>
      </c>
      <c r="B152" s="12" t="s">
        <v>20</v>
      </c>
      <c r="C152" s="13"/>
      <c r="D152" s="13"/>
      <c r="E152" s="13">
        <v>1</v>
      </c>
      <c r="F152" s="13">
        <v>34.55833333333333</v>
      </c>
      <c r="G152" s="13"/>
      <c r="H152" s="13"/>
      <c r="I152" s="13"/>
      <c r="J152" s="13"/>
      <c r="K152" s="13"/>
      <c r="L152" s="13">
        <v>0</v>
      </c>
      <c r="M152" s="13">
        <v>0</v>
      </c>
      <c r="N152" s="13">
        <v>0</v>
      </c>
    </row>
    <row r="153" spans="1:14">
      <c r="A153" s="12">
        <v>216</v>
      </c>
      <c r="B153" s="12" t="s">
        <v>17</v>
      </c>
      <c r="C153" s="13"/>
      <c r="D153" s="13"/>
      <c r="E153" s="13">
        <v>1</v>
      </c>
      <c r="F153" s="13">
        <v>15.06993333333333</v>
      </c>
      <c r="G153" s="13"/>
      <c r="H153" s="13"/>
      <c r="I153" s="13"/>
      <c r="J153" s="13"/>
      <c r="K153" s="13"/>
      <c r="L153" s="13">
        <v>0</v>
      </c>
      <c r="M153" s="13">
        <v>0</v>
      </c>
      <c r="N153" s="13">
        <v>0</v>
      </c>
    </row>
    <row r="154" spans="1:14">
      <c r="A154" s="12">
        <v>223</v>
      </c>
      <c r="B154" s="12" t="s">
        <v>12</v>
      </c>
      <c r="C154" s="13"/>
      <c r="D154" s="13"/>
      <c r="E154" s="13">
        <v>1</v>
      </c>
      <c r="F154" s="13">
        <v>46.856633333333342</v>
      </c>
      <c r="G154" s="13"/>
      <c r="H154" s="13"/>
      <c r="I154" s="13"/>
      <c r="J154" s="13"/>
      <c r="K154" s="13"/>
      <c r="L154" s="13">
        <v>0</v>
      </c>
      <c r="M154" s="13">
        <v>0</v>
      </c>
      <c r="N154" s="13">
        <v>0</v>
      </c>
    </row>
    <row r="155" spans="1:14">
      <c r="A155" s="12">
        <v>227</v>
      </c>
      <c r="B155" s="12" t="s">
        <v>10</v>
      </c>
      <c r="C155" s="13"/>
      <c r="D155" s="13"/>
      <c r="E155" s="13">
        <v>1</v>
      </c>
      <c r="F155" s="13">
        <v>58.169000000000004</v>
      </c>
      <c r="G155" s="13"/>
      <c r="H155" s="13"/>
      <c r="I155" s="13"/>
      <c r="J155" s="13"/>
      <c r="K155" s="13"/>
      <c r="L155" s="13">
        <v>0</v>
      </c>
      <c r="M155" s="13">
        <v>0</v>
      </c>
      <c r="N155" s="13">
        <v>0</v>
      </c>
    </row>
    <row r="156" spans="1:14">
      <c r="A156" s="12">
        <v>233</v>
      </c>
      <c r="B156" s="12" t="s">
        <v>5</v>
      </c>
      <c r="C156" s="13"/>
      <c r="D156" s="13"/>
      <c r="E156" s="13">
        <v>1</v>
      </c>
      <c r="F156" s="13">
        <v>38.381400000000006</v>
      </c>
      <c r="G156" s="13"/>
      <c r="H156" s="13"/>
      <c r="I156" s="13"/>
      <c r="J156" s="13"/>
      <c r="K156" s="13"/>
      <c r="L156" s="13">
        <v>0</v>
      </c>
      <c r="M156" s="13">
        <v>0</v>
      </c>
      <c r="N156" s="13">
        <v>0</v>
      </c>
    </row>
    <row r="157" spans="1:14">
      <c r="L157" s="11">
        <v>1</v>
      </c>
      <c r="M157" s="11">
        <v>16</v>
      </c>
      <c r="N157" s="2">
        <v>24</v>
      </c>
    </row>
  </sheetData>
  <sortState ref="A2:N157">
    <sortCondition ref="C2:C157"/>
    <sortCondition descending="1" ref="D2:D157"/>
  </sortState>
  <mergeCells count="33">
    <mergeCell ref="Y10:Z10"/>
    <mergeCell ref="AA2:AB3"/>
    <mergeCell ref="AC2:AD2"/>
    <mergeCell ref="O4:O5"/>
    <mergeCell ref="S4:S5"/>
    <mergeCell ref="W4:W5"/>
    <mergeCell ref="AA4:AA5"/>
    <mergeCell ref="O2:P3"/>
    <mergeCell ref="Q2:R2"/>
    <mergeCell ref="S2:T3"/>
    <mergeCell ref="U2:V2"/>
    <mergeCell ref="W2:X3"/>
    <mergeCell ref="Y2:Z2"/>
    <mergeCell ref="O12:O13"/>
    <mergeCell ref="S12:S13"/>
    <mergeCell ref="W12:W13"/>
    <mergeCell ref="O10:P11"/>
    <mergeCell ref="Q10:R10"/>
    <mergeCell ref="S10:T11"/>
    <mergeCell ref="U10:V10"/>
    <mergeCell ref="W10:X11"/>
    <mergeCell ref="AA18:AB19"/>
    <mergeCell ref="AC18:AD18"/>
    <mergeCell ref="O20:O21"/>
    <mergeCell ref="S20:S21"/>
    <mergeCell ref="W20:W21"/>
    <mergeCell ref="AA20:AA21"/>
    <mergeCell ref="O18:P19"/>
    <mergeCell ref="Q18:R18"/>
    <mergeCell ref="S18:T19"/>
    <mergeCell ref="U18:V18"/>
    <mergeCell ref="W18:X19"/>
    <mergeCell ref="Y18:Z18"/>
  </mergeCells>
  <phoneticPr fontId="4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E157"/>
  <sheetViews>
    <sheetView workbookViewId="0">
      <pane xSplit="2" ySplit="1" topLeftCell="C21" activePane="bottomRight" state="frozen"/>
      <selection sqref="A1:XFD1"/>
      <selection pane="topRight" sqref="A1:XFD1"/>
      <selection pane="bottomLeft" sqref="A1:XFD1"/>
      <selection pane="bottomRight" activeCell="BE1" sqref="BD1:BE1048576"/>
    </sheetView>
  </sheetViews>
  <sheetFormatPr baseColWidth="10" defaultColWidth="8.83203125" defaultRowHeight="14"/>
  <cols>
    <col min="1" max="2" width="9.1640625" style="40"/>
    <col min="3" max="3" width="9.1640625" style="45"/>
  </cols>
  <sheetData>
    <row r="1" spans="1:57" s="40" customFormat="1">
      <c r="A1" s="40" t="s">
        <v>183</v>
      </c>
      <c r="B1" s="40" t="s">
        <v>247</v>
      </c>
      <c r="C1" s="45" t="s">
        <v>248</v>
      </c>
      <c r="D1" s="40">
        <v>1961</v>
      </c>
      <c r="E1" s="40">
        <v>1962</v>
      </c>
      <c r="F1" s="40">
        <v>1963</v>
      </c>
      <c r="G1" s="40">
        <v>1964</v>
      </c>
      <c r="H1" s="40">
        <v>1965</v>
      </c>
      <c r="I1" s="40">
        <v>1966</v>
      </c>
      <c r="J1" s="40">
        <v>1967</v>
      </c>
      <c r="K1" s="40">
        <v>1968</v>
      </c>
      <c r="L1" s="40">
        <v>1969</v>
      </c>
      <c r="M1" s="40">
        <v>1970</v>
      </c>
      <c r="N1" s="40">
        <v>1971</v>
      </c>
      <c r="O1" s="40">
        <v>1972</v>
      </c>
      <c r="P1" s="40">
        <v>1973</v>
      </c>
      <c r="Q1" s="40">
        <v>1974</v>
      </c>
      <c r="R1" s="40">
        <v>1975</v>
      </c>
      <c r="S1" s="40">
        <v>1976</v>
      </c>
      <c r="T1" s="40">
        <v>1977</v>
      </c>
      <c r="U1" s="40">
        <v>1978</v>
      </c>
      <c r="V1" s="40">
        <v>1979</v>
      </c>
      <c r="W1" s="40">
        <v>1980</v>
      </c>
      <c r="X1" s="40">
        <v>1981</v>
      </c>
      <c r="Y1" s="40">
        <v>1982</v>
      </c>
      <c r="Z1" s="40">
        <v>1983</v>
      </c>
      <c r="AA1" s="40">
        <v>1984</v>
      </c>
      <c r="AB1" s="40">
        <v>1985</v>
      </c>
      <c r="AC1" s="40">
        <v>1986</v>
      </c>
      <c r="AD1" s="40">
        <v>1987</v>
      </c>
      <c r="AE1" s="40">
        <v>1988</v>
      </c>
      <c r="AF1" s="40">
        <v>1989</v>
      </c>
      <c r="AG1" s="40">
        <v>1990</v>
      </c>
      <c r="AH1" s="40">
        <v>1991</v>
      </c>
      <c r="AI1" s="40">
        <v>1992</v>
      </c>
      <c r="AJ1" s="40">
        <v>1993</v>
      </c>
      <c r="AK1" s="40">
        <v>1994</v>
      </c>
      <c r="AL1" s="40">
        <v>1995</v>
      </c>
      <c r="AM1" s="40">
        <v>1996</v>
      </c>
      <c r="AN1" s="40">
        <v>1997</v>
      </c>
      <c r="AO1" s="40">
        <v>1998</v>
      </c>
      <c r="AP1" s="40">
        <v>1999</v>
      </c>
      <c r="AQ1" s="40">
        <v>2000</v>
      </c>
      <c r="AR1" s="40">
        <v>2001</v>
      </c>
      <c r="AS1" s="40">
        <v>2002</v>
      </c>
      <c r="AT1" s="40">
        <v>2003</v>
      </c>
      <c r="AU1" s="40">
        <v>2004</v>
      </c>
      <c r="AV1" s="40">
        <v>2005</v>
      </c>
      <c r="AW1" s="40">
        <v>2006</v>
      </c>
      <c r="AX1" s="40">
        <v>2007</v>
      </c>
      <c r="AY1" s="40">
        <v>2008</v>
      </c>
      <c r="AZ1" s="40">
        <v>2009</v>
      </c>
      <c r="BA1" s="40">
        <v>2010</v>
      </c>
      <c r="BB1" s="40">
        <v>2011</v>
      </c>
      <c r="BC1" s="40">
        <v>2012</v>
      </c>
    </row>
    <row r="2" spans="1:57">
      <c r="A2" s="41">
        <v>1</v>
      </c>
      <c r="B2" s="41" t="s">
        <v>154</v>
      </c>
      <c r="C2" s="46">
        <v>2</v>
      </c>
      <c r="BD2">
        <f>SUM(D2:AD2)</f>
        <v>0</v>
      </c>
      <c r="BE2">
        <f>SUM(AE2:BC2)</f>
        <v>0</v>
      </c>
    </row>
    <row r="3" spans="1:57">
      <c r="A3" s="41">
        <v>3</v>
      </c>
      <c r="B3" s="41" t="s">
        <v>153</v>
      </c>
      <c r="C3" s="46">
        <v>2</v>
      </c>
      <c r="BD3">
        <f t="shared" ref="BD3:BD66" si="0">SUM(D3:AD3)</f>
        <v>0</v>
      </c>
      <c r="BE3">
        <f t="shared" ref="BE3:BE66" si="1">SUM(AE3:BC3)</f>
        <v>0</v>
      </c>
    </row>
    <row r="4" spans="1:57">
      <c r="A4" s="41">
        <v>4</v>
      </c>
      <c r="B4" s="40" t="s">
        <v>185</v>
      </c>
      <c r="C4" s="46">
        <v>2</v>
      </c>
      <c r="BD4">
        <f t="shared" si="0"/>
        <v>0</v>
      </c>
      <c r="BE4">
        <f t="shared" si="1"/>
        <v>0</v>
      </c>
    </row>
    <row r="5" spans="1:57">
      <c r="A5" s="41">
        <v>7</v>
      </c>
      <c r="B5" s="41" t="s">
        <v>151</v>
      </c>
      <c r="C5" s="46">
        <v>2</v>
      </c>
      <c r="BD5">
        <f t="shared" si="0"/>
        <v>0</v>
      </c>
      <c r="BE5">
        <f t="shared" si="1"/>
        <v>0</v>
      </c>
    </row>
    <row r="6" spans="1:57">
      <c r="A6" s="41">
        <v>11</v>
      </c>
      <c r="B6" s="41" t="s">
        <v>150</v>
      </c>
      <c r="C6" s="46">
        <v>2</v>
      </c>
      <c r="BD6">
        <f t="shared" si="0"/>
        <v>0</v>
      </c>
      <c r="BE6">
        <f t="shared" si="1"/>
        <v>0</v>
      </c>
    </row>
    <row r="7" spans="1:57">
      <c r="A7" s="41">
        <v>12</v>
      </c>
      <c r="B7" s="41" t="s">
        <v>149</v>
      </c>
      <c r="BD7">
        <f t="shared" si="0"/>
        <v>0</v>
      </c>
      <c r="BE7">
        <f t="shared" si="1"/>
        <v>0</v>
      </c>
    </row>
    <row r="8" spans="1:57">
      <c r="A8" s="41">
        <v>14</v>
      </c>
      <c r="B8" s="41" t="s">
        <v>148</v>
      </c>
      <c r="C8" s="46">
        <v>3</v>
      </c>
      <c r="BD8">
        <f t="shared" si="0"/>
        <v>0</v>
      </c>
      <c r="BE8">
        <f t="shared" si="1"/>
        <v>0</v>
      </c>
    </row>
    <row r="9" spans="1:57">
      <c r="A9" s="41">
        <v>15</v>
      </c>
      <c r="B9" s="41" t="s">
        <v>147</v>
      </c>
      <c r="C9" s="46">
        <v>1</v>
      </c>
      <c r="BD9">
        <f t="shared" si="0"/>
        <v>0</v>
      </c>
      <c r="BE9">
        <f t="shared" si="1"/>
        <v>0</v>
      </c>
    </row>
    <row r="10" spans="1:57">
      <c r="A10" s="41">
        <v>16</v>
      </c>
      <c r="B10" s="41" t="s">
        <v>146</v>
      </c>
      <c r="BD10">
        <f t="shared" si="0"/>
        <v>0</v>
      </c>
      <c r="BE10">
        <f t="shared" si="1"/>
        <v>0</v>
      </c>
    </row>
    <row r="11" spans="1:57">
      <c r="A11" s="41">
        <v>18</v>
      </c>
      <c r="B11" s="41" t="s">
        <v>145</v>
      </c>
      <c r="BD11">
        <f t="shared" si="0"/>
        <v>0</v>
      </c>
      <c r="BE11">
        <f t="shared" si="1"/>
        <v>0</v>
      </c>
    </row>
    <row r="12" spans="1:57">
      <c r="A12" s="41">
        <v>19</v>
      </c>
      <c r="B12" s="41" t="s">
        <v>144</v>
      </c>
      <c r="C12" s="46">
        <v>2</v>
      </c>
      <c r="Q12">
        <v>1</v>
      </c>
      <c r="BD12">
        <f t="shared" si="0"/>
        <v>1</v>
      </c>
      <c r="BE12">
        <f t="shared" si="1"/>
        <v>0</v>
      </c>
    </row>
    <row r="13" spans="1:57">
      <c r="A13" s="41">
        <v>21</v>
      </c>
      <c r="B13" s="41" t="s">
        <v>143</v>
      </c>
      <c r="BD13">
        <f t="shared" si="0"/>
        <v>0</v>
      </c>
      <c r="BE13">
        <f t="shared" si="1"/>
        <v>0</v>
      </c>
    </row>
    <row r="14" spans="1:57">
      <c r="A14" s="41">
        <v>22</v>
      </c>
      <c r="B14" s="41" t="s">
        <v>142</v>
      </c>
      <c r="C14" s="46">
        <v>3</v>
      </c>
      <c r="BD14">
        <f t="shared" si="0"/>
        <v>0</v>
      </c>
      <c r="BE14">
        <f t="shared" si="1"/>
        <v>0</v>
      </c>
    </row>
    <row r="15" spans="1:57">
      <c r="A15" s="41">
        <v>24</v>
      </c>
      <c r="B15" s="41" t="s">
        <v>141</v>
      </c>
      <c r="C15" s="46">
        <v>4</v>
      </c>
      <c r="BD15">
        <f t="shared" si="0"/>
        <v>0</v>
      </c>
      <c r="BE15">
        <f t="shared" si="1"/>
        <v>0</v>
      </c>
    </row>
    <row r="16" spans="1:57">
      <c r="A16" s="41">
        <v>27</v>
      </c>
      <c r="B16" s="41" t="s">
        <v>140</v>
      </c>
      <c r="C16" s="46">
        <v>2</v>
      </c>
      <c r="BD16">
        <f t="shared" si="0"/>
        <v>0</v>
      </c>
      <c r="BE16">
        <f t="shared" si="1"/>
        <v>0</v>
      </c>
    </row>
    <row r="17" spans="1:57">
      <c r="A17" s="41">
        <v>28</v>
      </c>
      <c r="B17" s="41" t="s">
        <v>139</v>
      </c>
      <c r="BD17">
        <f t="shared" si="0"/>
        <v>0</v>
      </c>
      <c r="BE17">
        <f t="shared" si="1"/>
        <v>0</v>
      </c>
    </row>
    <row r="18" spans="1:57">
      <c r="A18" s="41">
        <v>29</v>
      </c>
      <c r="B18" s="41" t="s">
        <v>138</v>
      </c>
      <c r="C18" s="46">
        <v>4</v>
      </c>
      <c r="BD18">
        <f t="shared" si="0"/>
        <v>0</v>
      </c>
      <c r="BE18">
        <f t="shared" si="1"/>
        <v>0</v>
      </c>
    </row>
    <row r="19" spans="1:57">
      <c r="A19" s="41">
        <v>31</v>
      </c>
      <c r="B19" s="41" t="s">
        <v>137</v>
      </c>
      <c r="C19" s="46">
        <v>2</v>
      </c>
      <c r="BD19">
        <f t="shared" si="0"/>
        <v>0</v>
      </c>
      <c r="BE19">
        <f t="shared" si="1"/>
        <v>0</v>
      </c>
    </row>
    <row r="20" spans="1:57">
      <c r="A20" s="41">
        <v>34</v>
      </c>
      <c r="B20" s="41" t="s">
        <v>136</v>
      </c>
      <c r="C20" s="46">
        <v>2</v>
      </c>
      <c r="BD20">
        <f t="shared" si="0"/>
        <v>0</v>
      </c>
      <c r="BE20">
        <f t="shared" si="1"/>
        <v>0</v>
      </c>
    </row>
    <row r="21" spans="1:57">
      <c r="A21" s="41">
        <v>35</v>
      </c>
      <c r="B21" s="41" t="s">
        <v>135</v>
      </c>
      <c r="C21" s="46">
        <v>4</v>
      </c>
      <c r="K21">
        <v>1</v>
      </c>
      <c r="BC21">
        <v>1</v>
      </c>
      <c r="BD21">
        <f t="shared" si="0"/>
        <v>1</v>
      </c>
      <c r="BE21">
        <f t="shared" si="1"/>
        <v>1</v>
      </c>
    </row>
    <row r="22" spans="1:57">
      <c r="A22" s="41">
        <v>36</v>
      </c>
      <c r="B22" s="41" t="s">
        <v>134</v>
      </c>
      <c r="C22" s="46">
        <v>2</v>
      </c>
      <c r="BD22">
        <f t="shared" si="0"/>
        <v>0</v>
      </c>
      <c r="BE22">
        <f t="shared" si="1"/>
        <v>0</v>
      </c>
    </row>
    <row r="23" spans="1:57">
      <c r="A23" s="41">
        <v>37</v>
      </c>
      <c r="B23" s="41" t="s">
        <v>133</v>
      </c>
      <c r="C23" s="46">
        <v>2</v>
      </c>
      <c r="R23">
        <v>1</v>
      </c>
      <c r="BD23">
        <f t="shared" si="0"/>
        <v>1</v>
      </c>
      <c r="BE23">
        <f t="shared" si="1"/>
        <v>0</v>
      </c>
    </row>
    <row r="24" spans="1:57">
      <c r="A24" s="41">
        <v>38</v>
      </c>
      <c r="B24" s="41" t="s">
        <v>132</v>
      </c>
      <c r="C24" s="46">
        <v>2</v>
      </c>
      <c r="BD24">
        <f t="shared" si="0"/>
        <v>0</v>
      </c>
      <c r="BE24">
        <f t="shared" si="1"/>
        <v>0</v>
      </c>
    </row>
    <row r="25" spans="1:57">
      <c r="A25" s="41">
        <v>39</v>
      </c>
      <c r="B25" s="41" t="s">
        <v>131</v>
      </c>
      <c r="C25" s="46">
        <v>3</v>
      </c>
      <c r="BD25">
        <f t="shared" si="0"/>
        <v>0</v>
      </c>
      <c r="BE25">
        <f t="shared" si="1"/>
        <v>0</v>
      </c>
    </row>
    <row r="26" spans="1:57">
      <c r="A26" s="41">
        <v>42</v>
      </c>
      <c r="B26" s="41" t="s">
        <v>130</v>
      </c>
      <c r="C26" s="46">
        <v>2</v>
      </c>
      <c r="BD26">
        <f t="shared" si="0"/>
        <v>0</v>
      </c>
      <c r="BE26">
        <f t="shared" si="1"/>
        <v>0</v>
      </c>
    </row>
    <row r="27" spans="1:57">
      <c r="A27" s="41">
        <v>43</v>
      </c>
      <c r="B27" s="41" t="s">
        <v>129</v>
      </c>
      <c r="C27" s="46">
        <v>4</v>
      </c>
      <c r="K27">
        <v>1</v>
      </c>
      <c r="BD27">
        <f t="shared" si="0"/>
        <v>1</v>
      </c>
      <c r="BE27">
        <f t="shared" si="1"/>
        <v>0</v>
      </c>
    </row>
    <row r="28" spans="1:57">
      <c r="A28" s="41">
        <v>44</v>
      </c>
      <c r="B28" s="41" t="s">
        <v>128</v>
      </c>
      <c r="C28" s="46">
        <v>2</v>
      </c>
      <c r="BD28">
        <f t="shared" si="0"/>
        <v>0</v>
      </c>
      <c r="BE28">
        <f t="shared" si="1"/>
        <v>0</v>
      </c>
    </row>
    <row r="29" spans="1:57">
      <c r="A29" s="41">
        <v>45</v>
      </c>
      <c r="B29" s="41" t="s">
        <v>127</v>
      </c>
      <c r="C29" s="46">
        <v>2</v>
      </c>
      <c r="BD29">
        <f t="shared" si="0"/>
        <v>0</v>
      </c>
      <c r="BE29">
        <f t="shared" si="1"/>
        <v>0</v>
      </c>
    </row>
    <row r="30" spans="1:57">
      <c r="A30" s="41">
        <v>48</v>
      </c>
      <c r="B30" s="41" t="s">
        <v>126</v>
      </c>
      <c r="C30" s="46">
        <v>2</v>
      </c>
      <c r="BD30">
        <f t="shared" si="0"/>
        <v>0</v>
      </c>
      <c r="BE30">
        <f t="shared" si="1"/>
        <v>0</v>
      </c>
    </row>
    <row r="31" spans="1:57">
      <c r="A31" s="41">
        <v>50</v>
      </c>
      <c r="B31" s="41" t="s">
        <v>125</v>
      </c>
      <c r="C31" s="46">
        <v>4</v>
      </c>
      <c r="BD31">
        <f t="shared" si="0"/>
        <v>0</v>
      </c>
      <c r="BE31">
        <f t="shared" si="1"/>
        <v>0</v>
      </c>
    </row>
    <row r="32" spans="1:57">
      <c r="A32" s="41">
        <v>51</v>
      </c>
      <c r="B32" s="41" t="s">
        <v>124</v>
      </c>
      <c r="AO32">
        <v>1</v>
      </c>
      <c r="BD32">
        <f t="shared" si="0"/>
        <v>0</v>
      </c>
      <c r="BE32">
        <f t="shared" si="1"/>
        <v>1</v>
      </c>
    </row>
    <row r="33" spans="1:57">
      <c r="A33" s="41">
        <v>53</v>
      </c>
      <c r="B33" s="41" t="s">
        <v>123</v>
      </c>
      <c r="C33" s="46">
        <v>2</v>
      </c>
      <c r="BD33">
        <f t="shared" si="0"/>
        <v>0</v>
      </c>
      <c r="BE33">
        <f t="shared" si="1"/>
        <v>0</v>
      </c>
    </row>
    <row r="34" spans="1:57">
      <c r="A34" s="41">
        <v>54</v>
      </c>
      <c r="B34" s="41" t="s">
        <v>122</v>
      </c>
      <c r="BD34">
        <f t="shared" si="0"/>
        <v>0</v>
      </c>
      <c r="BE34">
        <f t="shared" si="1"/>
        <v>0</v>
      </c>
    </row>
    <row r="35" spans="1:57">
      <c r="A35" s="41">
        <v>55</v>
      </c>
      <c r="B35" s="41" t="s">
        <v>121</v>
      </c>
      <c r="BD35">
        <f t="shared" si="0"/>
        <v>0</v>
      </c>
      <c r="BE35">
        <f t="shared" si="1"/>
        <v>0</v>
      </c>
    </row>
    <row r="36" spans="1:57">
      <c r="A36" s="41">
        <v>56</v>
      </c>
      <c r="B36" s="41" t="s">
        <v>120</v>
      </c>
      <c r="C36" s="46">
        <v>2</v>
      </c>
      <c r="BD36">
        <f t="shared" si="0"/>
        <v>0</v>
      </c>
      <c r="BE36">
        <f t="shared" si="1"/>
        <v>0</v>
      </c>
    </row>
    <row r="37" spans="1:57">
      <c r="A37" s="41">
        <v>57</v>
      </c>
      <c r="B37" s="41" t="s">
        <v>119</v>
      </c>
      <c r="BD37">
        <f t="shared" si="0"/>
        <v>0</v>
      </c>
      <c r="BE37">
        <f t="shared" si="1"/>
        <v>0</v>
      </c>
    </row>
    <row r="38" spans="1:57">
      <c r="A38" s="41">
        <v>58</v>
      </c>
      <c r="B38" s="41" t="s">
        <v>118</v>
      </c>
      <c r="C38" s="46">
        <v>1</v>
      </c>
      <c r="BD38">
        <f t="shared" si="0"/>
        <v>0</v>
      </c>
      <c r="BE38">
        <f t="shared" si="1"/>
        <v>0</v>
      </c>
    </row>
    <row r="39" spans="1:57">
      <c r="A39" s="41">
        <v>59</v>
      </c>
      <c r="B39" s="41" t="s">
        <v>117</v>
      </c>
      <c r="C39" s="46">
        <v>3</v>
      </c>
      <c r="BD39">
        <f t="shared" si="0"/>
        <v>0</v>
      </c>
      <c r="BE39">
        <f t="shared" si="1"/>
        <v>0</v>
      </c>
    </row>
    <row r="40" spans="1:57">
      <c r="A40" s="41">
        <v>62</v>
      </c>
      <c r="B40" s="41" t="s">
        <v>116</v>
      </c>
      <c r="C40" s="46">
        <v>2</v>
      </c>
      <c r="BD40">
        <f t="shared" si="0"/>
        <v>0</v>
      </c>
      <c r="BE40">
        <f t="shared" si="1"/>
        <v>0</v>
      </c>
    </row>
    <row r="41" spans="1:57">
      <c r="A41" s="41">
        <v>63</v>
      </c>
      <c r="B41" s="41" t="s">
        <v>115</v>
      </c>
      <c r="C41" s="46">
        <v>2</v>
      </c>
      <c r="BD41">
        <f t="shared" si="0"/>
        <v>0</v>
      </c>
      <c r="BE41">
        <f t="shared" si="1"/>
        <v>0</v>
      </c>
    </row>
    <row r="42" spans="1:57">
      <c r="A42" s="41">
        <v>64</v>
      </c>
      <c r="B42" s="41" t="s">
        <v>114</v>
      </c>
      <c r="C42" s="46">
        <v>2</v>
      </c>
      <c r="BD42">
        <f t="shared" si="0"/>
        <v>0</v>
      </c>
      <c r="BE42">
        <f t="shared" si="1"/>
        <v>0</v>
      </c>
    </row>
    <row r="43" spans="1:57">
      <c r="A43" s="41">
        <v>65</v>
      </c>
      <c r="B43" s="41" t="s">
        <v>113</v>
      </c>
      <c r="C43" s="46">
        <v>4</v>
      </c>
      <c r="BD43">
        <f t="shared" si="0"/>
        <v>0</v>
      </c>
      <c r="BE43">
        <f t="shared" si="1"/>
        <v>0</v>
      </c>
    </row>
    <row r="44" spans="1:57">
      <c r="A44" s="41">
        <v>67</v>
      </c>
      <c r="B44" s="41" t="s">
        <v>112</v>
      </c>
      <c r="AW44">
        <v>1</v>
      </c>
      <c r="BD44">
        <f t="shared" si="0"/>
        <v>0</v>
      </c>
      <c r="BE44">
        <f t="shared" si="1"/>
        <v>1</v>
      </c>
    </row>
    <row r="45" spans="1:57">
      <c r="A45" s="41">
        <v>68</v>
      </c>
      <c r="B45" s="41" t="s">
        <v>111</v>
      </c>
      <c r="BD45">
        <f t="shared" si="0"/>
        <v>0</v>
      </c>
      <c r="BE45">
        <f t="shared" si="1"/>
        <v>0</v>
      </c>
    </row>
    <row r="46" spans="1:57">
      <c r="A46" s="41">
        <v>69</v>
      </c>
      <c r="B46" s="41" t="s">
        <v>110</v>
      </c>
      <c r="C46" s="46">
        <v>2</v>
      </c>
      <c r="I46">
        <v>1</v>
      </c>
      <c r="O46">
        <v>1</v>
      </c>
      <c r="AA46">
        <v>1</v>
      </c>
      <c r="AO46">
        <v>1</v>
      </c>
      <c r="AW46">
        <v>1</v>
      </c>
      <c r="BB46">
        <v>1</v>
      </c>
      <c r="BD46">
        <f t="shared" si="0"/>
        <v>3</v>
      </c>
      <c r="BE46">
        <f t="shared" si="1"/>
        <v>3</v>
      </c>
    </row>
    <row r="47" spans="1:57">
      <c r="A47" s="41">
        <v>73</v>
      </c>
      <c r="B47" s="41" t="s">
        <v>109</v>
      </c>
      <c r="C47" s="46">
        <v>1</v>
      </c>
      <c r="BD47">
        <f t="shared" si="0"/>
        <v>0</v>
      </c>
      <c r="BE47">
        <f t="shared" si="1"/>
        <v>0</v>
      </c>
    </row>
    <row r="48" spans="1:57">
      <c r="A48" s="41">
        <v>74</v>
      </c>
      <c r="B48" s="41" t="s">
        <v>108</v>
      </c>
      <c r="C48" s="46">
        <v>1</v>
      </c>
      <c r="BD48">
        <f t="shared" si="0"/>
        <v>0</v>
      </c>
      <c r="BE48">
        <f t="shared" si="1"/>
        <v>0</v>
      </c>
    </row>
    <row r="49" spans="1:57">
      <c r="A49" s="41">
        <v>78</v>
      </c>
      <c r="B49" s="41" t="s">
        <v>107</v>
      </c>
      <c r="C49" s="46">
        <v>1</v>
      </c>
      <c r="BD49">
        <f t="shared" si="0"/>
        <v>0</v>
      </c>
      <c r="BE49">
        <f t="shared" si="1"/>
        <v>0</v>
      </c>
    </row>
    <row r="50" spans="1:57">
      <c r="A50" s="41">
        <v>79</v>
      </c>
      <c r="B50" s="41" t="s">
        <v>106</v>
      </c>
      <c r="C50" s="46">
        <v>2</v>
      </c>
      <c r="BC50">
        <v>1</v>
      </c>
      <c r="BD50">
        <f t="shared" si="0"/>
        <v>0</v>
      </c>
      <c r="BE50">
        <f t="shared" si="1"/>
        <v>1</v>
      </c>
    </row>
    <row r="51" spans="1:57">
      <c r="A51" s="41">
        <v>80</v>
      </c>
      <c r="B51" s="41" t="s">
        <v>105</v>
      </c>
      <c r="BD51">
        <f t="shared" si="0"/>
        <v>0</v>
      </c>
      <c r="BE51">
        <f t="shared" si="1"/>
        <v>0</v>
      </c>
    </row>
    <row r="52" spans="1:57">
      <c r="A52" s="41">
        <v>81</v>
      </c>
      <c r="B52" s="41" t="s">
        <v>104</v>
      </c>
      <c r="C52" s="46">
        <v>1</v>
      </c>
      <c r="BD52">
        <f t="shared" si="0"/>
        <v>0</v>
      </c>
      <c r="BE52">
        <f t="shared" si="1"/>
        <v>0</v>
      </c>
    </row>
    <row r="53" spans="1:57">
      <c r="A53" s="41">
        <v>82</v>
      </c>
      <c r="B53" s="41" t="s">
        <v>103</v>
      </c>
      <c r="C53" s="46">
        <v>4</v>
      </c>
      <c r="BD53">
        <f t="shared" si="0"/>
        <v>0</v>
      </c>
      <c r="BE53">
        <f t="shared" si="1"/>
        <v>0</v>
      </c>
    </row>
    <row r="54" spans="1:57">
      <c r="A54" s="41">
        <v>84</v>
      </c>
      <c r="B54" s="41" t="s">
        <v>102</v>
      </c>
      <c r="C54" s="46">
        <v>1</v>
      </c>
      <c r="BD54">
        <f t="shared" si="0"/>
        <v>0</v>
      </c>
      <c r="BE54">
        <f t="shared" si="1"/>
        <v>0</v>
      </c>
    </row>
    <row r="55" spans="1:57">
      <c r="A55" s="41">
        <v>89</v>
      </c>
      <c r="B55" s="41" t="s">
        <v>101</v>
      </c>
      <c r="C55" s="46">
        <v>2</v>
      </c>
      <c r="BD55">
        <f t="shared" si="0"/>
        <v>0</v>
      </c>
      <c r="BE55">
        <f t="shared" si="1"/>
        <v>0</v>
      </c>
    </row>
    <row r="56" spans="1:57">
      <c r="A56" s="41">
        <v>91</v>
      </c>
      <c r="B56" s="41" t="s">
        <v>100</v>
      </c>
      <c r="C56" s="46">
        <v>4</v>
      </c>
      <c r="BD56">
        <f t="shared" si="0"/>
        <v>0</v>
      </c>
      <c r="BE56">
        <f t="shared" si="1"/>
        <v>0</v>
      </c>
    </row>
    <row r="57" spans="1:57">
      <c r="A57" s="41">
        <v>92</v>
      </c>
      <c r="B57" s="41" t="s">
        <v>99</v>
      </c>
      <c r="C57" s="46">
        <v>2</v>
      </c>
      <c r="BD57">
        <f t="shared" si="0"/>
        <v>0</v>
      </c>
      <c r="BE57">
        <f t="shared" si="1"/>
        <v>0</v>
      </c>
    </row>
    <row r="58" spans="1:57">
      <c r="A58" s="41">
        <v>94</v>
      </c>
      <c r="B58" s="41" t="s">
        <v>98</v>
      </c>
      <c r="C58" s="46">
        <v>2</v>
      </c>
      <c r="BD58">
        <f t="shared" si="0"/>
        <v>0</v>
      </c>
      <c r="BE58">
        <f t="shared" si="1"/>
        <v>0</v>
      </c>
    </row>
    <row r="59" spans="1:57">
      <c r="A59" s="41">
        <v>97</v>
      </c>
      <c r="B59" s="41" t="s">
        <v>97</v>
      </c>
      <c r="C59" s="46">
        <v>2</v>
      </c>
      <c r="BD59">
        <f t="shared" si="0"/>
        <v>0</v>
      </c>
      <c r="BE59">
        <f t="shared" si="1"/>
        <v>0</v>
      </c>
    </row>
    <row r="60" spans="1:57">
      <c r="A60" s="41">
        <v>98</v>
      </c>
      <c r="B60" s="41" t="s">
        <v>96</v>
      </c>
      <c r="BD60">
        <f t="shared" si="0"/>
        <v>0</v>
      </c>
      <c r="BE60">
        <f t="shared" si="1"/>
        <v>0</v>
      </c>
    </row>
    <row r="61" spans="1:57">
      <c r="A61" s="41">
        <v>99</v>
      </c>
      <c r="B61" s="41" t="s">
        <v>95</v>
      </c>
      <c r="C61" s="46">
        <v>3</v>
      </c>
      <c r="BD61">
        <f t="shared" si="0"/>
        <v>0</v>
      </c>
      <c r="BE61">
        <f t="shared" si="1"/>
        <v>0</v>
      </c>
    </row>
    <row r="62" spans="1:57">
      <c r="A62" s="41">
        <v>101</v>
      </c>
      <c r="B62" s="41" t="s">
        <v>94</v>
      </c>
      <c r="C62" s="46">
        <v>4</v>
      </c>
      <c r="O62">
        <v>1</v>
      </c>
      <c r="BD62">
        <f t="shared" si="0"/>
        <v>1</v>
      </c>
      <c r="BE62">
        <f t="shared" si="1"/>
        <v>0</v>
      </c>
    </row>
    <row r="63" spans="1:57">
      <c r="A63" s="41">
        <v>102</v>
      </c>
      <c r="B63" s="41" t="s">
        <v>93</v>
      </c>
      <c r="C63" s="46">
        <v>4</v>
      </c>
      <c r="BD63">
        <f t="shared" si="0"/>
        <v>0</v>
      </c>
      <c r="BE63">
        <f t="shared" si="1"/>
        <v>0</v>
      </c>
    </row>
    <row r="64" spans="1:57">
      <c r="A64" s="41">
        <v>103</v>
      </c>
      <c r="B64" s="41" t="s">
        <v>92</v>
      </c>
      <c r="C64" s="46">
        <v>2</v>
      </c>
      <c r="BD64">
        <f t="shared" si="0"/>
        <v>0</v>
      </c>
      <c r="BE64">
        <f t="shared" si="1"/>
        <v>0</v>
      </c>
    </row>
    <row r="65" spans="1:57">
      <c r="A65" s="41">
        <v>104</v>
      </c>
      <c r="B65" s="41" t="s">
        <v>91</v>
      </c>
      <c r="C65" s="46">
        <v>2</v>
      </c>
      <c r="BD65">
        <f t="shared" si="0"/>
        <v>0</v>
      </c>
      <c r="BE65">
        <f t="shared" si="1"/>
        <v>0</v>
      </c>
    </row>
    <row r="66" spans="1:57">
      <c r="A66" s="41">
        <v>105</v>
      </c>
      <c r="B66" s="41" t="s">
        <v>90</v>
      </c>
      <c r="C66" s="46">
        <v>1</v>
      </c>
      <c r="BD66">
        <f t="shared" si="0"/>
        <v>0</v>
      </c>
      <c r="BE66">
        <f t="shared" si="1"/>
        <v>0</v>
      </c>
    </row>
    <row r="67" spans="1:57">
      <c r="A67" s="41">
        <v>107</v>
      </c>
      <c r="B67" s="41" t="s">
        <v>89</v>
      </c>
      <c r="C67" s="46">
        <v>1</v>
      </c>
      <c r="BD67">
        <f t="shared" ref="BD67:BD130" si="2">SUM(D67:AD67)</f>
        <v>0</v>
      </c>
      <c r="BE67">
        <f t="shared" ref="BE67:BE130" si="3">SUM(AE67:BC67)</f>
        <v>0</v>
      </c>
    </row>
    <row r="68" spans="1:57">
      <c r="A68" s="41">
        <v>108</v>
      </c>
      <c r="B68" s="41" t="s">
        <v>88</v>
      </c>
      <c r="C68" s="46">
        <v>3</v>
      </c>
      <c r="BD68">
        <f t="shared" si="2"/>
        <v>0</v>
      </c>
      <c r="BE68">
        <f t="shared" si="3"/>
        <v>0</v>
      </c>
    </row>
    <row r="69" spans="1:57">
      <c r="A69" s="41">
        <v>109</v>
      </c>
      <c r="B69" s="41" t="s">
        <v>87</v>
      </c>
      <c r="C69" s="46">
        <v>4</v>
      </c>
      <c r="BD69">
        <f t="shared" si="2"/>
        <v>0</v>
      </c>
      <c r="BE69">
        <f t="shared" si="3"/>
        <v>0</v>
      </c>
    </row>
    <row r="70" spans="1:57">
      <c r="A70" s="41">
        <v>110</v>
      </c>
      <c r="B70" s="41" t="s">
        <v>86</v>
      </c>
      <c r="C70" s="46">
        <v>1</v>
      </c>
      <c r="BD70">
        <f t="shared" si="2"/>
        <v>0</v>
      </c>
      <c r="BE70">
        <f t="shared" si="3"/>
        <v>0</v>
      </c>
    </row>
    <row r="71" spans="1:57">
      <c r="A71" s="41">
        <v>112</v>
      </c>
      <c r="B71" s="41" t="s">
        <v>85</v>
      </c>
      <c r="C71" s="46">
        <v>4</v>
      </c>
      <c r="BD71">
        <f t="shared" si="2"/>
        <v>0</v>
      </c>
      <c r="BE71">
        <f t="shared" si="3"/>
        <v>0</v>
      </c>
    </row>
    <row r="72" spans="1:57">
      <c r="A72" s="41">
        <v>113</v>
      </c>
      <c r="B72" s="41" t="s">
        <v>84</v>
      </c>
      <c r="BD72">
        <f t="shared" si="2"/>
        <v>0</v>
      </c>
      <c r="BE72">
        <f t="shared" si="3"/>
        <v>0</v>
      </c>
    </row>
    <row r="73" spans="1:57">
      <c r="A73" s="41">
        <v>114</v>
      </c>
      <c r="B73" s="41" t="s">
        <v>83</v>
      </c>
      <c r="C73" s="46">
        <v>4</v>
      </c>
      <c r="AW73">
        <v>1</v>
      </c>
      <c r="BB73">
        <v>1</v>
      </c>
      <c r="BD73">
        <f t="shared" si="2"/>
        <v>0</v>
      </c>
      <c r="BE73">
        <f t="shared" si="3"/>
        <v>2</v>
      </c>
    </row>
    <row r="74" spans="1:57">
      <c r="A74" s="41">
        <v>116</v>
      </c>
      <c r="B74" s="41" t="s">
        <v>82</v>
      </c>
      <c r="C74" s="46">
        <v>2</v>
      </c>
      <c r="AM74">
        <v>1</v>
      </c>
      <c r="BD74">
        <f t="shared" si="2"/>
        <v>0</v>
      </c>
      <c r="BE74">
        <f t="shared" si="3"/>
        <v>1</v>
      </c>
    </row>
    <row r="75" spans="1:57">
      <c r="A75" s="41">
        <v>117</v>
      </c>
      <c r="B75" s="41" t="s">
        <v>81</v>
      </c>
      <c r="C75" s="46">
        <v>2</v>
      </c>
      <c r="BD75">
        <f t="shared" si="2"/>
        <v>0</v>
      </c>
      <c r="BE75">
        <f t="shared" si="3"/>
        <v>0</v>
      </c>
    </row>
    <row r="76" spans="1:57">
      <c r="A76" s="41">
        <v>118</v>
      </c>
      <c r="B76" s="41" t="s">
        <v>80</v>
      </c>
      <c r="C76" s="46">
        <v>1</v>
      </c>
      <c r="BD76">
        <f t="shared" si="2"/>
        <v>0</v>
      </c>
      <c r="BE76">
        <f t="shared" si="3"/>
        <v>0</v>
      </c>
    </row>
    <row r="77" spans="1:57">
      <c r="A77" s="41">
        <v>119</v>
      </c>
      <c r="B77" s="41" t="s">
        <v>79</v>
      </c>
      <c r="BD77">
        <f t="shared" si="2"/>
        <v>0</v>
      </c>
      <c r="BE77">
        <f t="shared" si="3"/>
        <v>0</v>
      </c>
    </row>
    <row r="78" spans="1:57">
      <c r="A78" s="41">
        <v>120</v>
      </c>
      <c r="B78" s="41" t="s">
        <v>78</v>
      </c>
      <c r="BD78">
        <f t="shared" si="2"/>
        <v>0</v>
      </c>
      <c r="BE78">
        <f t="shared" si="3"/>
        <v>0</v>
      </c>
    </row>
    <row r="79" spans="1:57">
      <c r="A79" s="41">
        <v>121</v>
      </c>
      <c r="B79" s="41" t="s">
        <v>77</v>
      </c>
      <c r="BD79">
        <f t="shared" si="2"/>
        <v>0</v>
      </c>
      <c r="BE79">
        <f t="shared" si="3"/>
        <v>0</v>
      </c>
    </row>
    <row r="80" spans="1:57">
      <c r="A80" s="41">
        <v>122</v>
      </c>
      <c r="B80" s="41" t="s">
        <v>76</v>
      </c>
      <c r="C80" s="46">
        <v>2</v>
      </c>
      <c r="BD80">
        <f t="shared" si="2"/>
        <v>0</v>
      </c>
      <c r="BE80">
        <f t="shared" si="3"/>
        <v>0</v>
      </c>
    </row>
    <row r="81" spans="1:57">
      <c r="A81" s="41">
        <v>123</v>
      </c>
      <c r="B81" s="41" t="s">
        <v>75</v>
      </c>
      <c r="C81" s="46">
        <v>2</v>
      </c>
      <c r="BD81">
        <f t="shared" si="2"/>
        <v>0</v>
      </c>
      <c r="BE81">
        <f t="shared" si="3"/>
        <v>0</v>
      </c>
    </row>
    <row r="82" spans="1:57">
      <c r="A82" s="41">
        <v>124</v>
      </c>
      <c r="B82" s="41" t="s">
        <v>74</v>
      </c>
      <c r="C82" s="46">
        <v>2</v>
      </c>
      <c r="BD82">
        <f t="shared" si="2"/>
        <v>0</v>
      </c>
      <c r="BE82">
        <f t="shared" si="3"/>
        <v>0</v>
      </c>
    </row>
    <row r="83" spans="1:57">
      <c r="A83" s="41">
        <v>125</v>
      </c>
      <c r="B83" s="41" t="s">
        <v>73</v>
      </c>
      <c r="C83" s="46">
        <v>1</v>
      </c>
      <c r="BD83">
        <f t="shared" si="2"/>
        <v>0</v>
      </c>
      <c r="BE83">
        <f t="shared" si="3"/>
        <v>0</v>
      </c>
    </row>
    <row r="84" spans="1:57">
      <c r="A84" s="41">
        <v>127</v>
      </c>
      <c r="B84" s="41" t="s">
        <v>72</v>
      </c>
      <c r="BD84">
        <f t="shared" si="2"/>
        <v>0</v>
      </c>
      <c r="BE84">
        <f t="shared" si="3"/>
        <v>0</v>
      </c>
    </row>
    <row r="85" spans="1:57">
      <c r="A85" s="41">
        <v>130</v>
      </c>
      <c r="B85" s="41" t="s">
        <v>71</v>
      </c>
      <c r="BD85">
        <f t="shared" si="2"/>
        <v>0</v>
      </c>
      <c r="BE85">
        <f t="shared" si="3"/>
        <v>0</v>
      </c>
    </row>
    <row r="86" spans="1:57">
      <c r="A86" s="41">
        <v>131</v>
      </c>
      <c r="B86" s="41" t="s">
        <v>70</v>
      </c>
      <c r="C86" s="46">
        <v>2</v>
      </c>
      <c r="BD86">
        <f t="shared" si="2"/>
        <v>0</v>
      </c>
      <c r="BE86">
        <f t="shared" si="3"/>
        <v>0</v>
      </c>
    </row>
    <row r="87" spans="1:57">
      <c r="A87" s="41">
        <v>132</v>
      </c>
      <c r="B87" s="41" t="s">
        <v>69</v>
      </c>
      <c r="C87" s="46">
        <v>4</v>
      </c>
      <c r="AV87">
        <v>1</v>
      </c>
      <c r="BD87">
        <f t="shared" si="2"/>
        <v>0</v>
      </c>
      <c r="BE87">
        <f t="shared" si="3"/>
        <v>1</v>
      </c>
    </row>
    <row r="88" spans="1:57">
      <c r="A88" s="41">
        <v>133</v>
      </c>
      <c r="B88" s="41" t="s">
        <v>68</v>
      </c>
      <c r="C88" s="46">
        <v>2</v>
      </c>
      <c r="BD88">
        <f t="shared" si="2"/>
        <v>0</v>
      </c>
      <c r="BE88">
        <f t="shared" si="3"/>
        <v>0</v>
      </c>
    </row>
    <row r="89" spans="1:57">
      <c r="A89" s="41">
        <v>135</v>
      </c>
      <c r="B89" s="41" t="s">
        <v>67</v>
      </c>
      <c r="C89" s="46">
        <v>4</v>
      </c>
      <c r="K89">
        <v>1</v>
      </c>
      <c r="BC89">
        <v>1</v>
      </c>
      <c r="BD89">
        <f t="shared" si="2"/>
        <v>1</v>
      </c>
      <c r="BE89">
        <f t="shared" si="3"/>
        <v>1</v>
      </c>
    </row>
    <row r="90" spans="1:57">
      <c r="A90" s="41">
        <v>139</v>
      </c>
      <c r="B90" s="41" t="s">
        <v>66</v>
      </c>
      <c r="C90" s="46">
        <v>4</v>
      </c>
      <c r="K90">
        <v>1</v>
      </c>
      <c r="BC90">
        <v>1</v>
      </c>
      <c r="BD90">
        <f t="shared" si="2"/>
        <v>1</v>
      </c>
      <c r="BE90">
        <f t="shared" si="3"/>
        <v>1</v>
      </c>
    </row>
    <row r="91" spans="1:57">
      <c r="A91" s="41">
        <v>140</v>
      </c>
      <c r="B91" s="41" t="s">
        <v>65</v>
      </c>
      <c r="BD91">
        <f t="shared" si="2"/>
        <v>0</v>
      </c>
      <c r="BE91">
        <f t="shared" si="3"/>
        <v>0</v>
      </c>
    </row>
    <row r="92" spans="1:57">
      <c r="A92" s="41">
        <v>142</v>
      </c>
      <c r="B92" s="41" t="s">
        <v>64</v>
      </c>
      <c r="C92" s="46">
        <v>1</v>
      </c>
      <c r="BD92">
        <f t="shared" si="2"/>
        <v>0</v>
      </c>
      <c r="BE92">
        <f t="shared" si="3"/>
        <v>0</v>
      </c>
    </row>
    <row r="93" spans="1:57">
      <c r="A93" s="41">
        <v>144</v>
      </c>
      <c r="B93" s="41" t="s">
        <v>63</v>
      </c>
      <c r="BD93">
        <f t="shared" si="2"/>
        <v>0</v>
      </c>
      <c r="BE93">
        <f t="shared" si="3"/>
        <v>0</v>
      </c>
    </row>
    <row r="94" spans="1:57">
      <c r="A94" s="41">
        <v>146</v>
      </c>
      <c r="B94" s="41" t="s">
        <v>62</v>
      </c>
      <c r="C94" s="46">
        <v>4</v>
      </c>
      <c r="BD94">
        <f t="shared" si="2"/>
        <v>0</v>
      </c>
      <c r="BE94">
        <f t="shared" si="3"/>
        <v>0</v>
      </c>
    </row>
    <row r="95" spans="1:57">
      <c r="A95" s="41">
        <v>148</v>
      </c>
      <c r="B95" s="41" t="s">
        <v>61</v>
      </c>
      <c r="C95" s="46">
        <v>4</v>
      </c>
      <c r="BD95">
        <f t="shared" si="2"/>
        <v>0</v>
      </c>
      <c r="BE95">
        <f t="shared" si="3"/>
        <v>0</v>
      </c>
    </row>
    <row r="96" spans="1:57">
      <c r="A96" s="41">
        <v>149</v>
      </c>
      <c r="B96" s="41" t="s">
        <v>60</v>
      </c>
      <c r="C96" s="46">
        <v>2</v>
      </c>
      <c r="Y96">
        <v>1</v>
      </c>
      <c r="BD96">
        <f t="shared" si="2"/>
        <v>1</v>
      </c>
      <c r="BE96">
        <f t="shared" si="3"/>
        <v>0</v>
      </c>
    </row>
    <row r="97" spans="1:57">
      <c r="A97" s="41">
        <v>150</v>
      </c>
      <c r="B97" s="41" t="s">
        <v>59</v>
      </c>
      <c r="C97" s="46">
        <v>2</v>
      </c>
      <c r="BD97">
        <f t="shared" si="2"/>
        <v>0</v>
      </c>
      <c r="BE97">
        <f t="shared" si="3"/>
        <v>0</v>
      </c>
    </row>
    <row r="98" spans="1:57">
      <c r="A98" s="41">
        <v>151</v>
      </c>
      <c r="B98" s="41" t="s">
        <v>58</v>
      </c>
      <c r="C98" s="46">
        <v>2</v>
      </c>
      <c r="BD98">
        <f t="shared" si="2"/>
        <v>0</v>
      </c>
      <c r="BE98">
        <f t="shared" si="3"/>
        <v>0</v>
      </c>
    </row>
    <row r="99" spans="1:57">
      <c r="A99" s="41">
        <v>153</v>
      </c>
      <c r="B99" s="41" t="s">
        <v>57</v>
      </c>
      <c r="C99" s="46">
        <v>2</v>
      </c>
      <c r="BD99">
        <f t="shared" si="2"/>
        <v>0</v>
      </c>
      <c r="BE99">
        <f t="shared" si="3"/>
        <v>0</v>
      </c>
    </row>
    <row r="100" spans="1:57">
      <c r="A100" s="41">
        <v>154</v>
      </c>
      <c r="B100" s="41" t="s">
        <v>56</v>
      </c>
      <c r="C100" s="46">
        <v>3</v>
      </c>
      <c r="BD100">
        <f t="shared" si="2"/>
        <v>0</v>
      </c>
      <c r="BE100">
        <f t="shared" si="3"/>
        <v>0</v>
      </c>
    </row>
    <row r="101" spans="1:57">
      <c r="A101" s="41">
        <v>157</v>
      </c>
      <c r="B101" s="41" t="s">
        <v>55</v>
      </c>
      <c r="C101" s="46">
        <v>1</v>
      </c>
      <c r="BD101">
        <f t="shared" si="2"/>
        <v>0</v>
      </c>
      <c r="BE101">
        <f t="shared" si="3"/>
        <v>0</v>
      </c>
    </row>
    <row r="102" spans="1:57">
      <c r="A102" s="41">
        <v>158</v>
      </c>
      <c r="B102" s="41" t="s">
        <v>54</v>
      </c>
      <c r="C102" s="46">
        <v>2</v>
      </c>
      <c r="BD102">
        <f t="shared" si="2"/>
        <v>0</v>
      </c>
      <c r="BE102">
        <f t="shared" si="3"/>
        <v>0</v>
      </c>
    </row>
    <row r="103" spans="1:57">
      <c r="A103" s="41">
        <v>159</v>
      </c>
      <c r="B103" s="41" t="s">
        <v>53</v>
      </c>
      <c r="C103" s="46">
        <v>4</v>
      </c>
      <c r="K103">
        <v>1</v>
      </c>
      <c r="AV103">
        <v>1</v>
      </c>
      <c r="BC103">
        <v>1</v>
      </c>
      <c r="BD103">
        <f t="shared" si="2"/>
        <v>1</v>
      </c>
      <c r="BE103">
        <f t="shared" si="3"/>
        <v>2</v>
      </c>
    </row>
    <row r="104" spans="1:57">
      <c r="A104" s="41">
        <v>160</v>
      </c>
      <c r="B104" s="41" t="s">
        <v>52</v>
      </c>
      <c r="C104" s="46">
        <v>2</v>
      </c>
      <c r="J104">
        <v>1</v>
      </c>
      <c r="BD104">
        <f t="shared" si="2"/>
        <v>1</v>
      </c>
      <c r="BE104">
        <f t="shared" si="3"/>
        <v>0</v>
      </c>
    </row>
    <row r="105" spans="1:57">
      <c r="A105" s="41">
        <v>164</v>
      </c>
      <c r="B105" s="41" t="s">
        <v>51</v>
      </c>
      <c r="C105" s="46">
        <v>1</v>
      </c>
      <c r="BD105">
        <f t="shared" si="2"/>
        <v>0</v>
      </c>
      <c r="BE105">
        <f t="shared" si="3"/>
        <v>0</v>
      </c>
    </row>
    <row r="106" spans="1:57">
      <c r="A106" s="41">
        <v>165</v>
      </c>
      <c r="B106" s="41" t="s">
        <v>50</v>
      </c>
      <c r="BD106">
        <f t="shared" si="2"/>
        <v>0</v>
      </c>
      <c r="BE106">
        <f t="shared" si="3"/>
        <v>0</v>
      </c>
    </row>
    <row r="107" spans="1:57">
      <c r="A107" s="41">
        <v>166</v>
      </c>
      <c r="B107" s="41" t="s">
        <v>49</v>
      </c>
      <c r="C107" s="46">
        <v>2</v>
      </c>
      <c r="BD107">
        <f t="shared" si="2"/>
        <v>0</v>
      </c>
      <c r="BE107">
        <f t="shared" si="3"/>
        <v>0</v>
      </c>
    </row>
    <row r="108" spans="1:57">
      <c r="A108" s="41">
        <v>168</v>
      </c>
      <c r="B108" s="41" t="s">
        <v>48</v>
      </c>
      <c r="BD108">
        <f t="shared" si="2"/>
        <v>0</v>
      </c>
      <c r="BE108">
        <f t="shared" si="3"/>
        <v>0</v>
      </c>
    </row>
    <row r="109" spans="1:57">
      <c r="A109" s="41">
        <v>169</v>
      </c>
      <c r="B109" s="41" t="s">
        <v>47</v>
      </c>
      <c r="C109" s="46">
        <v>2</v>
      </c>
      <c r="BD109">
        <f t="shared" si="2"/>
        <v>0</v>
      </c>
      <c r="BE109">
        <f t="shared" si="3"/>
        <v>0</v>
      </c>
    </row>
    <row r="110" spans="1:57">
      <c r="A110" s="41">
        <v>170</v>
      </c>
      <c r="B110" s="41" t="s">
        <v>46</v>
      </c>
      <c r="C110" s="46">
        <v>2</v>
      </c>
      <c r="BD110">
        <f t="shared" si="2"/>
        <v>0</v>
      </c>
      <c r="BE110">
        <f t="shared" si="3"/>
        <v>0</v>
      </c>
    </row>
    <row r="111" spans="1:57">
      <c r="A111" s="41">
        <v>171</v>
      </c>
      <c r="B111" s="41" t="s">
        <v>45</v>
      </c>
      <c r="C111" s="46">
        <v>2</v>
      </c>
      <c r="BD111">
        <f t="shared" si="2"/>
        <v>0</v>
      </c>
      <c r="BE111">
        <f t="shared" si="3"/>
        <v>0</v>
      </c>
    </row>
    <row r="112" spans="1:57">
      <c r="A112" s="41">
        <v>172</v>
      </c>
      <c r="B112" s="41" t="s">
        <v>44</v>
      </c>
      <c r="C112" s="46">
        <v>2</v>
      </c>
      <c r="BD112">
        <f t="shared" si="2"/>
        <v>0</v>
      </c>
      <c r="BE112">
        <f t="shared" si="3"/>
        <v>0</v>
      </c>
    </row>
    <row r="113" spans="1:57">
      <c r="A113" s="41">
        <v>173</v>
      </c>
      <c r="B113" s="41" t="s">
        <v>43</v>
      </c>
      <c r="C113" s="46">
        <v>2</v>
      </c>
      <c r="BD113">
        <f t="shared" si="2"/>
        <v>0</v>
      </c>
      <c r="BE113">
        <f t="shared" si="3"/>
        <v>0</v>
      </c>
    </row>
    <row r="114" spans="1:57">
      <c r="A114" s="41">
        <v>175</v>
      </c>
      <c r="B114" s="41" t="s">
        <v>42</v>
      </c>
      <c r="C114" s="46">
        <v>2</v>
      </c>
      <c r="BD114">
        <f t="shared" si="2"/>
        <v>0</v>
      </c>
      <c r="BE114">
        <f t="shared" si="3"/>
        <v>0</v>
      </c>
    </row>
    <row r="115" spans="1:57">
      <c r="A115" s="41">
        <v>176</v>
      </c>
      <c r="B115" s="41" t="s">
        <v>41</v>
      </c>
      <c r="C115" s="46">
        <v>1</v>
      </c>
      <c r="BD115">
        <f t="shared" si="2"/>
        <v>0</v>
      </c>
      <c r="BE115">
        <f t="shared" si="3"/>
        <v>0</v>
      </c>
    </row>
    <row r="116" spans="1:57">
      <c r="A116" s="41">
        <v>177</v>
      </c>
      <c r="B116" s="41" t="s">
        <v>40</v>
      </c>
      <c r="C116" s="46">
        <v>3</v>
      </c>
      <c r="BD116">
        <f t="shared" si="2"/>
        <v>0</v>
      </c>
      <c r="BE116">
        <f t="shared" si="3"/>
        <v>0</v>
      </c>
    </row>
    <row r="117" spans="1:57">
      <c r="A117" s="41">
        <v>178</v>
      </c>
      <c r="B117" s="41" t="s">
        <v>39</v>
      </c>
      <c r="BD117">
        <f t="shared" si="2"/>
        <v>0</v>
      </c>
      <c r="BE117">
        <f t="shared" si="3"/>
        <v>0</v>
      </c>
    </row>
    <row r="118" spans="1:57">
      <c r="A118" s="41">
        <v>180</v>
      </c>
      <c r="B118" s="41" t="s">
        <v>38</v>
      </c>
      <c r="C118" s="46">
        <v>2</v>
      </c>
      <c r="BD118">
        <f t="shared" si="2"/>
        <v>0</v>
      </c>
      <c r="BE118">
        <f t="shared" si="3"/>
        <v>0</v>
      </c>
    </row>
    <row r="119" spans="1:57">
      <c r="A119" s="41">
        <v>181</v>
      </c>
      <c r="B119" s="41" t="s">
        <v>37</v>
      </c>
      <c r="C119" s="46">
        <v>3</v>
      </c>
      <c r="BD119">
        <f t="shared" si="2"/>
        <v>0</v>
      </c>
      <c r="BE119">
        <f t="shared" si="3"/>
        <v>0</v>
      </c>
    </row>
    <row r="120" spans="1:57">
      <c r="A120" s="41">
        <v>182</v>
      </c>
      <c r="B120" s="41" t="s">
        <v>36</v>
      </c>
      <c r="C120" s="46">
        <v>2</v>
      </c>
      <c r="AO120">
        <v>1</v>
      </c>
      <c r="BD120">
        <f t="shared" si="2"/>
        <v>0</v>
      </c>
      <c r="BE120">
        <f t="shared" si="3"/>
        <v>1</v>
      </c>
    </row>
    <row r="121" spans="1:57">
      <c r="A121" s="41">
        <v>191</v>
      </c>
      <c r="B121" s="41" t="s">
        <v>35</v>
      </c>
      <c r="C121" s="46">
        <v>1</v>
      </c>
      <c r="BD121">
        <f t="shared" si="2"/>
        <v>0</v>
      </c>
      <c r="BE121">
        <f t="shared" si="3"/>
        <v>0</v>
      </c>
    </row>
    <row r="122" spans="1:57">
      <c r="A122" s="41">
        <v>192</v>
      </c>
      <c r="B122" s="41" t="s">
        <v>34</v>
      </c>
      <c r="C122" s="46">
        <v>4</v>
      </c>
      <c r="BC122">
        <v>1</v>
      </c>
      <c r="BD122">
        <f t="shared" si="2"/>
        <v>0</v>
      </c>
      <c r="BE122">
        <f t="shared" si="3"/>
        <v>1</v>
      </c>
    </row>
    <row r="123" spans="1:57">
      <c r="A123" s="41">
        <v>195</v>
      </c>
      <c r="B123" s="41" t="s">
        <v>33</v>
      </c>
      <c r="C123" s="46">
        <v>4</v>
      </c>
      <c r="BD123">
        <f t="shared" si="2"/>
        <v>0</v>
      </c>
      <c r="BE123">
        <f t="shared" si="3"/>
        <v>0</v>
      </c>
    </row>
    <row r="124" spans="1:57">
      <c r="A124" s="41">
        <v>196</v>
      </c>
      <c r="B124" s="41" t="s">
        <v>32</v>
      </c>
      <c r="BD124">
        <f t="shared" si="2"/>
        <v>0</v>
      </c>
      <c r="BE124">
        <f t="shared" si="3"/>
        <v>0</v>
      </c>
    </row>
    <row r="125" spans="1:57">
      <c r="A125" s="41">
        <v>197</v>
      </c>
      <c r="B125" s="41" t="s">
        <v>31</v>
      </c>
      <c r="BD125">
        <f t="shared" si="2"/>
        <v>0</v>
      </c>
      <c r="BE125">
        <f t="shared" si="3"/>
        <v>0</v>
      </c>
    </row>
    <row r="126" spans="1:57">
      <c r="A126" s="41">
        <v>198</v>
      </c>
      <c r="B126" s="41" t="s">
        <v>30</v>
      </c>
      <c r="BD126">
        <f t="shared" si="2"/>
        <v>0</v>
      </c>
      <c r="BE126">
        <f t="shared" si="3"/>
        <v>0</v>
      </c>
    </row>
    <row r="127" spans="1:57">
      <c r="A127" s="41">
        <v>200</v>
      </c>
      <c r="B127" s="41" t="s">
        <v>29</v>
      </c>
      <c r="C127" s="46">
        <v>4</v>
      </c>
      <c r="Q127">
        <v>1</v>
      </c>
      <c r="AH127">
        <v>1</v>
      </c>
      <c r="AW127">
        <v>1</v>
      </c>
      <c r="BB127">
        <v>1</v>
      </c>
      <c r="BD127">
        <f t="shared" si="2"/>
        <v>1</v>
      </c>
      <c r="BE127">
        <f t="shared" si="3"/>
        <v>3</v>
      </c>
    </row>
    <row r="128" spans="1:57">
      <c r="A128" s="41">
        <v>201</v>
      </c>
      <c r="B128" s="41" t="s">
        <v>28</v>
      </c>
      <c r="C128" s="46">
        <v>2</v>
      </c>
      <c r="BD128">
        <f t="shared" si="2"/>
        <v>0</v>
      </c>
      <c r="BE128">
        <f t="shared" si="3"/>
        <v>0</v>
      </c>
    </row>
    <row r="129" spans="1:57">
      <c r="A129" s="41">
        <v>203</v>
      </c>
      <c r="B129" s="41" t="s">
        <v>27</v>
      </c>
      <c r="C129" s="46">
        <v>1</v>
      </c>
      <c r="BD129">
        <f t="shared" si="2"/>
        <v>0</v>
      </c>
      <c r="BE129">
        <f t="shared" si="3"/>
        <v>0</v>
      </c>
    </row>
    <row r="130" spans="1:57">
      <c r="A130" s="41">
        <v>204</v>
      </c>
      <c r="B130" s="41" t="s">
        <v>26</v>
      </c>
      <c r="C130" s="46">
        <v>2</v>
      </c>
      <c r="BD130">
        <f t="shared" si="2"/>
        <v>0</v>
      </c>
      <c r="BE130">
        <f t="shared" si="3"/>
        <v>0</v>
      </c>
    </row>
    <row r="131" spans="1:57">
      <c r="A131" s="41">
        <v>205</v>
      </c>
      <c r="B131" s="41" t="s">
        <v>25</v>
      </c>
      <c r="C131" s="46">
        <v>4</v>
      </c>
      <c r="AA131">
        <v>1</v>
      </c>
      <c r="AE131">
        <v>1</v>
      </c>
      <c r="AO131">
        <v>1</v>
      </c>
      <c r="AT131">
        <v>1</v>
      </c>
      <c r="BD131">
        <f t="shared" ref="BD131:BD156" si="4">SUM(D131:AD131)</f>
        <v>1</v>
      </c>
      <c r="BE131">
        <f t="shared" ref="BE131:BE156" si="5">SUM(AE131:BC131)</f>
        <v>3</v>
      </c>
    </row>
    <row r="132" spans="1:57">
      <c r="A132" s="41">
        <v>208</v>
      </c>
      <c r="B132" s="41" t="s">
        <v>24</v>
      </c>
      <c r="C132" s="46">
        <v>4</v>
      </c>
      <c r="BD132">
        <f t="shared" si="4"/>
        <v>0</v>
      </c>
      <c r="BE132">
        <f t="shared" si="5"/>
        <v>0</v>
      </c>
    </row>
    <row r="133" spans="1:57">
      <c r="A133" s="41">
        <v>209</v>
      </c>
      <c r="B133" s="41" t="s">
        <v>23</v>
      </c>
      <c r="C133" s="46">
        <v>1</v>
      </c>
      <c r="BD133">
        <f t="shared" si="4"/>
        <v>0</v>
      </c>
      <c r="BE133">
        <f t="shared" si="5"/>
        <v>0</v>
      </c>
    </row>
    <row r="134" spans="1:57">
      <c r="A134" s="41">
        <v>210</v>
      </c>
      <c r="B134" s="41" t="s">
        <v>22</v>
      </c>
      <c r="C134" s="46">
        <v>1</v>
      </c>
      <c r="BD134">
        <f t="shared" si="4"/>
        <v>0</v>
      </c>
      <c r="BE134">
        <f t="shared" si="5"/>
        <v>0</v>
      </c>
    </row>
    <row r="135" spans="1:57">
      <c r="A135" s="41">
        <v>211</v>
      </c>
      <c r="B135" s="41" t="s">
        <v>21</v>
      </c>
      <c r="C135" s="46">
        <v>4</v>
      </c>
      <c r="BD135">
        <f t="shared" si="4"/>
        <v>0</v>
      </c>
      <c r="BE135">
        <f t="shared" si="5"/>
        <v>0</v>
      </c>
    </row>
    <row r="136" spans="1:57">
      <c r="A136" s="41">
        <v>213</v>
      </c>
      <c r="B136" s="41" t="s">
        <v>20</v>
      </c>
      <c r="BD136">
        <f t="shared" si="4"/>
        <v>0</v>
      </c>
      <c r="BE136">
        <f t="shared" si="5"/>
        <v>0</v>
      </c>
    </row>
    <row r="137" spans="1:57">
      <c r="A137" s="41">
        <v>214</v>
      </c>
      <c r="B137" s="41" t="s">
        <v>19</v>
      </c>
      <c r="C137" s="46">
        <v>2</v>
      </c>
      <c r="BD137">
        <f t="shared" si="4"/>
        <v>0</v>
      </c>
      <c r="BE137">
        <f t="shared" si="5"/>
        <v>0</v>
      </c>
    </row>
    <row r="138" spans="1:57">
      <c r="A138" s="41">
        <v>215</v>
      </c>
      <c r="B138" s="41" t="s">
        <v>18</v>
      </c>
      <c r="C138" s="46">
        <v>2</v>
      </c>
      <c r="BD138">
        <f t="shared" si="4"/>
        <v>0</v>
      </c>
      <c r="BE138">
        <f t="shared" si="5"/>
        <v>0</v>
      </c>
    </row>
    <row r="139" spans="1:57">
      <c r="A139" s="41">
        <v>216</v>
      </c>
      <c r="B139" s="41" t="s">
        <v>17</v>
      </c>
      <c r="BD139">
        <f t="shared" si="4"/>
        <v>0</v>
      </c>
      <c r="BE139">
        <f t="shared" si="5"/>
        <v>0</v>
      </c>
    </row>
    <row r="140" spans="1:57">
      <c r="A140" s="41">
        <v>217</v>
      </c>
      <c r="B140" s="41" t="s">
        <v>16</v>
      </c>
      <c r="C140" s="46">
        <v>4</v>
      </c>
      <c r="BD140">
        <f t="shared" si="4"/>
        <v>0</v>
      </c>
      <c r="BE140">
        <f t="shared" si="5"/>
        <v>0</v>
      </c>
    </row>
    <row r="141" spans="1:57">
      <c r="A141" s="41">
        <v>220</v>
      </c>
      <c r="B141" s="41" t="s">
        <v>15</v>
      </c>
      <c r="C141" s="46">
        <v>1</v>
      </c>
      <c r="BD141">
        <f t="shared" si="4"/>
        <v>0</v>
      </c>
      <c r="BE141">
        <f t="shared" si="5"/>
        <v>0</v>
      </c>
    </row>
    <row r="142" spans="1:57">
      <c r="A142" s="41">
        <v>221</v>
      </c>
      <c r="B142" s="41" t="s">
        <v>14</v>
      </c>
      <c r="C142" s="46">
        <v>2</v>
      </c>
      <c r="BD142">
        <f t="shared" si="4"/>
        <v>0</v>
      </c>
      <c r="BE142">
        <f t="shared" si="5"/>
        <v>0</v>
      </c>
    </row>
    <row r="143" spans="1:57">
      <c r="A143" s="41">
        <v>222</v>
      </c>
      <c r="B143" s="41" t="s">
        <v>13</v>
      </c>
      <c r="C143" s="46">
        <v>4</v>
      </c>
      <c r="BD143">
        <f t="shared" si="4"/>
        <v>0</v>
      </c>
      <c r="BE143">
        <f t="shared" si="5"/>
        <v>0</v>
      </c>
    </row>
    <row r="144" spans="1:57">
      <c r="A144" s="41">
        <v>223</v>
      </c>
      <c r="B144" s="41" t="s">
        <v>12</v>
      </c>
      <c r="BD144">
        <f t="shared" si="4"/>
        <v>0</v>
      </c>
      <c r="BE144">
        <f t="shared" si="5"/>
        <v>0</v>
      </c>
    </row>
    <row r="145" spans="1:57">
      <c r="A145" s="41">
        <v>226</v>
      </c>
      <c r="B145" s="41" t="s">
        <v>11</v>
      </c>
      <c r="C145" s="46">
        <v>4</v>
      </c>
      <c r="W145">
        <v>1</v>
      </c>
      <c r="BD145">
        <f t="shared" si="4"/>
        <v>1</v>
      </c>
      <c r="BE145">
        <f t="shared" si="5"/>
        <v>0</v>
      </c>
    </row>
    <row r="146" spans="1:57">
      <c r="A146" s="41">
        <v>227</v>
      </c>
      <c r="B146" s="41" t="s">
        <v>10</v>
      </c>
      <c r="BD146">
        <f t="shared" si="4"/>
        <v>0</v>
      </c>
      <c r="BE146">
        <f t="shared" si="5"/>
        <v>0</v>
      </c>
    </row>
    <row r="147" spans="1:57">
      <c r="A147" s="41">
        <v>228</v>
      </c>
      <c r="B147" s="41" t="s">
        <v>9</v>
      </c>
      <c r="C147" s="46">
        <v>1</v>
      </c>
      <c r="BD147">
        <f t="shared" si="4"/>
        <v>0</v>
      </c>
      <c r="BE147">
        <f t="shared" si="5"/>
        <v>0</v>
      </c>
    </row>
    <row r="148" spans="1:57">
      <c r="A148" s="41">
        <v>229</v>
      </c>
      <c r="B148" s="41" t="s">
        <v>8</v>
      </c>
      <c r="C148" s="46">
        <v>3</v>
      </c>
      <c r="BD148">
        <f t="shared" si="4"/>
        <v>0</v>
      </c>
      <c r="BE148">
        <f t="shared" si="5"/>
        <v>0</v>
      </c>
    </row>
    <row r="149" spans="1:57">
      <c r="A149" s="41">
        <v>230</v>
      </c>
      <c r="B149" s="41" t="s">
        <v>7</v>
      </c>
      <c r="C149" s="46">
        <v>3</v>
      </c>
      <c r="BD149">
        <f t="shared" si="4"/>
        <v>0</v>
      </c>
      <c r="BE149">
        <f t="shared" si="5"/>
        <v>0</v>
      </c>
    </row>
    <row r="150" spans="1:57">
      <c r="A150" s="41">
        <v>232</v>
      </c>
      <c r="B150" s="41" t="s">
        <v>6</v>
      </c>
      <c r="C150" s="46">
        <v>2</v>
      </c>
      <c r="BD150">
        <f t="shared" si="4"/>
        <v>0</v>
      </c>
      <c r="BE150">
        <f t="shared" si="5"/>
        <v>0</v>
      </c>
    </row>
    <row r="151" spans="1:57">
      <c r="A151" s="41">
        <v>233</v>
      </c>
      <c r="B151" s="41" t="s">
        <v>5</v>
      </c>
      <c r="BD151">
        <f t="shared" si="4"/>
        <v>0</v>
      </c>
      <c r="BE151">
        <f t="shared" si="5"/>
        <v>0</v>
      </c>
    </row>
    <row r="152" spans="1:57">
      <c r="A152" s="41">
        <v>235</v>
      </c>
      <c r="B152" s="41" t="s">
        <v>4</v>
      </c>
      <c r="C152" s="46">
        <v>3</v>
      </c>
      <c r="BD152">
        <f t="shared" si="4"/>
        <v>0</v>
      </c>
      <c r="BE152">
        <f t="shared" si="5"/>
        <v>0</v>
      </c>
    </row>
    <row r="153" spans="1:57">
      <c r="A153" s="41">
        <v>236</v>
      </c>
      <c r="B153" s="41" t="s">
        <v>3</v>
      </c>
      <c r="C153" s="46">
        <v>2</v>
      </c>
      <c r="BD153">
        <f t="shared" si="4"/>
        <v>0</v>
      </c>
      <c r="BE153">
        <f t="shared" si="5"/>
        <v>0</v>
      </c>
    </row>
    <row r="154" spans="1:57">
      <c r="A154" s="41">
        <v>241</v>
      </c>
      <c r="B154" s="41" t="s">
        <v>2</v>
      </c>
      <c r="C154" s="46">
        <v>2</v>
      </c>
      <c r="BD154">
        <f t="shared" si="4"/>
        <v>0</v>
      </c>
      <c r="BE154">
        <f t="shared" si="5"/>
        <v>0</v>
      </c>
    </row>
    <row r="155" spans="1:57">
      <c r="A155" s="41">
        <v>242</v>
      </c>
      <c r="B155" s="41" t="s">
        <v>1</v>
      </c>
      <c r="C155" s="46">
        <v>4</v>
      </c>
      <c r="BD155">
        <f t="shared" si="4"/>
        <v>0</v>
      </c>
      <c r="BE155">
        <f t="shared" si="5"/>
        <v>0</v>
      </c>
    </row>
    <row r="156" spans="1:57">
      <c r="A156" s="41">
        <v>243</v>
      </c>
      <c r="B156" s="41" t="s">
        <v>0</v>
      </c>
      <c r="C156" s="46">
        <v>4</v>
      </c>
      <c r="AQ156">
        <v>1</v>
      </c>
      <c r="BD156">
        <f t="shared" si="4"/>
        <v>0</v>
      </c>
      <c r="BE156">
        <f t="shared" si="5"/>
        <v>1</v>
      </c>
    </row>
    <row r="157" spans="1:57">
      <c r="D157">
        <f t="shared" ref="D157:BB157" si="6">SUM(D2:D155)</f>
        <v>0</v>
      </c>
      <c r="E157">
        <f t="shared" si="6"/>
        <v>0</v>
      </c>
      <c r="F157">
        <f t="shared" si="6"/>
        <v>0</v>
      </c>
      <c r="G157">
        <f t="shared" si="6"/>
        <v>0</v>
      </c>
      <c r="H157">
        <f t="shared" si="6"/>
        <v>0</v>
      </c>
      <c r="I157">
        <f t="shared" si="6"/>
        <v>1</v>
      </c>
      <c r="J157">
        <f t="shared" si="6"/>
        <v>1</v>
      </c>
      <c r="K157">
        <f t="shared" si="6"/>
        <v>5</v>
      </c>
      <c r="L157">
        <f t="shared" si="6"/>
        <v>0</v>
      </c>
      <c r="M157">
        <f t="shared" si="6"/>
        <v>0</v>
      </c>
      <c r="N157">
        <f t="shared" si="6"/>
        <v>0</v>
      </c>
      <c r="O157">
        <f t="shared" si="6"/>
        <v>2</v>
      </c>
      <c r="P157">
        <f t="shared" si="6"/>
        <v>0</v>
      </c>
      <c r="Q157">
        <f t="shared" si="6"/>
        <v>2</v>
      </c>
      <c r="R157">
        <f t="shared" si="6"/>
        <v>1</v>
      </c>
      <c r="S157">
        <f t="shared" si="6"/>
        <v>0</v>
      </c>
      <c r="T157">
        <f t="shared" si="6"/>
        <v>0</v>
      </c>
      <c r="U157">
        <f t="shared" si="6"/>
        <v>0</v>
      </c>
      <c r="V157">
        <f t="shared" si="6"/>
        <v>0</v>
      </c>
      <c r="W157">
        <f t="shared" si="6"/>
        <v>1</v>
      </c>
      <c r="X157">
        <f t="shared" si="6"/>
        <v>0</v>
      </c>
      <c r="Y157">
        <f t="shared" si="6"/>
        <v>1</v>
      </c>
      <c r="Z157">
        <f t="shared" si="6"/>
        <v>0</v>
      </c>
      <c r="AA157">
        <f t="shared" si="6"/>
        <v>2</v>
      </c>
      <c r="AB157">
        <f t="shared" si="6"/>
        <v>0</v>
      </c>
      <c r="AC157">
        <f t="shared" si="6"/>
        <v>0</v>
      </c>
      <c r="AD157">
        <f t="shared" si="6"/>
        <v>0</v>
      </c>
      <c r="AE157">
        <f t="shared" si="6"/>
        <v>1</v>
      </c>
      <c r="AF157">
        <f t="shared" si="6"/>
        <v>0</v>
      </c>
      <c r="AG157">
        <f t="shared" si="6"/>
        <v>0</v>
      </c>
      <c r="AH157">
        <f t="shared" si="6"/>
        <v>1</v>
      </c>
      <c r="AI157">
        <f t="shared" si="6"/>
        <v>0</v>
      </c>
      <c r="AJ157">
        <f t="shared" si="6"/>
        <v>0</v>
      </c>
      <c r="AK157">
        <f t="shared" si="6"/>
        <v>0</v>
      </c>
      <c r="AL157">
        <f t="shared" si="6"/>
        <v>0</v>
      </c>
      <c r="AM157">
        <f t="shared" si="6"/>
        <v>1</v>
      </c>
      <c r="AN157">
        <f t="shared" si="6"/>
        <v>0</v>
      </c>
      <c r="AO157">
        <f t="shared" si="6"/>
        <v>4</v>
      </c>
      <c r="AP157">
        <f t="shared" si="6"/>
        <v>0</v>
      </c>
      <c r="AQ157">
        <f t="shared" si="6"/>
        <v>0</v>
      </c>
      <c r="AR157">
        <f t="shared" si="6"/>
        <v>0</v>
      </c>
      <c r="AS157">
        <f t="shared" si="6"/>
        <v>0</v>
      </c>
      <c r="AT157">
        <f t="shared" si="6"/>
        <v>1</v>
      </c>
      <c r="AU157">
        <f t="shared" si="6"/>
        <v>0</v>
      </c>
      <c r="AV157">
        <f t="shared" si="6"/>
        <v>2</v>
      </c>
      <c r="AW157">
        <f t="shared" si="6"/>
        <v>4</v>
      </c>
      <c r="AX157">
        <f t="shared" si="6"/>
        <v>0</v>
      </c>
      <c r="AY157">
        <f t="shared" si="6"/>
        <v>0</v>
      </c>
      <c r="AZ157">
        <f t="shared" si="6"/>
        <v>0</v>
      </c>
      <c r="BA157">
        <f t="shared" si="6"/>
        <v>0</v>
      </c>
      <c r="BB157">
        <f t="shared" si="6"/>
        <v>3</v>
      </c>
      <c r="BC157">
        <f>SUM(BC2:BC155)</f>
        <v>6</v>
      </c>
      <c r="BD157">
        <f>SUM(BD2:BD156)</f>
        <v>16</v>
      </c>
      <c r="BE157">
        <f>SUM(BE2:BE156)</f>
        <v>24</v>
      </c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7" tint="0.39997558519241921"/>
  </sheetPr>
  <dimension ref="A1:BF157"/>
  <sheetViews>
    <sheetView workbookViewId="0">
      <selection activeCell="R24" sqref="R24"/>
    </sheetView>
  </sheetViews>
  <sheetFormatPr baseColWidth="10" defaultColWidth="8.83203125" defaultRowHeight="14"/>
  <cols>
    <col min="1" max="2" width="9.1640625" style="1"/>
    <col min="3" max="6" width="9.1640625" style="2"/>
  </cols>
  <sheetData>
    <row r="1" spans="1:58">
      <c r="G1" s="29" t="s">
        <v>164</v>
      </c>
      <c r="H1" s="30">
        <v>10000</v>
      </c>
      <c r="I1" s="31" t="s">
        <v>182</v>
      </c>
      <c r="J1" s="30">
        <v>25</v>
      </c>
    </row>
    <row r="2" spans="1:58">
      <c r="A2" s="1" t="s">
        <v>183</v>
      </c>
      <c r="B2" s="1" t="s">
        <v>184</v>
      </c>
      <c r="C2" s="2" t="s">
        <v>157</v>
      </c>
      <c r="D2" s="32" t="s">
        <v>161</v>
      </c>
      <c r="E2" s="33" t="s">
        <v>160</v>
      </c>
      <c r="F2" s="34" t="s">
        <v>156</v>
      </c>
      <c r="G2">
        <v>1961</v>
      </c>
      <c r="H2" s="11">
        <v>1962</v>
      </c>
      <c r="I2">
        <v>1963</v>
      </c>
      <c r="J2" s="11">
        <v>1964</v>
      </c>
      <c r="K2">
        <v>1965</v>
      </c>
      <c r="L2" s="11">
        <v>1966</v>
      </c>
      <c r="M2">
        <v>1967</v>
      </c>
      <c r="N2" s="11">
        <v>1968</v>
      </c>
      <c r="O2">
        <v>1969</v>
      </c>
      <c r="P2" s="11">
        <v>1970</v>
      </c>
      <c r="Q2">
        <v>1971</v>
      </c>
      <c r="R2" s="11">
        <v>1972</v>
      </c>
      <c r="S2">
        <v>1973</v>
      </c>
      <c r="T2" s="11">
        <v>1974</v>
      </c>
      <c r="U2">
        <v>1975</v>
      </c>
      <c r="V2" s="11">
        <v>1976</v>
      </c>
      <c r="W2">
        <v>1977</v>
      </c>
      <c r="X2" s="11">
        <v>1978</v>
      </c>
      <c r="Y2">
        <v>1979</v>
      </c>
      <c r="Z2" s="11">
        <v>1980</v>
      </c>
      <c r="AA2">
        <v>1981</v>
      </c>
      <c r="AB2" s="11">
        <v>1982</v>
      </c>
      <c r="AC2">
        <v>1983</v>
      </c>
      <c r="AD2" s="11">
        <v>1984</v>
      </c>
      <c r="AE2">
        <v>1985</v>
      </c>
      <c r="AF2" s="11">
        <v>1986</v>
      </c>
      <c r="AG2">
        <v>1987</v>
      </c>
      <c r="AH2" s="11">
        <v>1988</v>
      </c>
      <c r="AI2">
        <v>1989</v>
      </c>
      <c r="AJ2">
        <v>1990</v>
      </c>
      <c r="AK2" s="11">
        <v>1991</v>
      </c>
      <c r="AL2">
        <v>1992</v>
      </c>
      <c r="AM2" s="11">
        <v>1993</v>
      </c>
      <c r="AN2">
        <v>1994</v>
      </c>
      <c r="AO2">
        <v>1995</v>
      </c>
      <c r="AP2" s="11">
        <v>1996</v>
      </c>
      <c r="AQ2">
        <v>1997</v>
      </c>
      <c r="AR2" s="11">
        <v>1998</v>
      </c>
      <c r="AS2">
        <v>1999</v>
      </c>
      <c r="AT2">
        <v>2000</v>
      </c>
      <c r="AU2" s="11">
        <v>2001</v>
      </c>
      <c r="AV2">
        <v>2002</v>
      </c>
      <c r="AW2" s="11">
        <v>2003</v>
      </c>
      <c r="AX2">
        <v>2004</v>
      </c>
      <c r="AY2">
        <v>2005</v>
      </c>
      <c r="AZ2" s="11">
        <v>2006</v>
      </c>
      <c r="BA2">
        <v>2007</v>
      </c>
      <c r="BB2" s="11">
        <v>2008</v>
      </c>
      <c r="BC2">
        <v>2009</v>
      </c>
      <c r="BD2">
        <v>2010</v>
      </c>
      <c r="BE2" s="11">
        <v>2011</v>
      </c>
      <c r="BF2">
        <v>2012</v>
      </c>
    </row>
    <row r="3" spans="1:58">
      <c r="A3" s="3">
        <v>228</v>
      </c>
      <c r="B3" s="3" t="s">
        <v>9</v>
      </c>
      <c r="C3" s="2">
        <v>1</v>
      </c>
      <c r="D3" s="35">
        <v>0</v>
      </c>
      <c r="E3" s="2">
        <v>78.386933333333317</v>
      </c>
      <c r="F3" s="36">
        <v>84127.607050000006</v>
      </c>
      <c r="G3">
        <f>IF($D3=1,IF(GDP_per_cap!C147&gt;'all_1961-1990'!$H$1,0,IF(UrbanPopRate!C147&gt;=$J$1,0,1)),0)</f>
        <v>0</v>
      </c>
      <c r="H3">
        <f>IF($D3=1,IF(GDP_per_cap!D147&gt;'all_1961-1990'!$H$1,0,IF(UrbanPopRate!D147&gt;=$J$1,0,1)),0)</f>
        <v>0</v>
      </c>
      <c r="I3">
        <f>IF($D3=1,IF(GDP_per_cap!E147&gt;'all_1961-1990'!$H$1,0,IF(UrbanPopRate!E147&gt;=$J$1,0,1)),0)</f>
        <v>0</v>
      </c>
      <c r="J3">
        <f>IF($D3=1,IF(GDP_per_cap!F147&gt;'all_1961-1990'!$H$1,0,IF(UrbanPopRate!F147&gt;=$J$1,0,1)),0)</f>
        <v>0</v>
      </c>
      <c r="K3">
        <f>IF($D3=1,IF(GDP_per_cap!G147&gt;'all_1961-1990'!$H$1,0,IF(UrbanPopRate!G147&gt;=$J$1,0,1)),0)</f>
        <v>0</v>
      </c>
      <c r="L3">
        <f>IF($D3=1,IF(GDP_per_cap!H147&gt;'all_1961-1990'!$H$1,0,IF(UrbanPopRate!H147&gt;=$J$1,0,1)),0)</f>
        <v>0</v>
      </c>
      <c r="M3">
        <f>IF($D3=1,IF(GDP_per_cap!I147&gt;'all_1961-1990'!$H$1,0,IF(UrbanPopRate!I147&gt;=$J$1,0,1)),0)</f>
        <v>0</v>
      </c>
      <c r="N3">
        <f>IF($D3=1,IF(GDP_per_cap!J147&gt;'all_1961-1990'!$H$1,0,IF(UrbanPopRate!J147&gt;=$J$1,0,1)),0)</f>
        <v>0</v>
      </c>
      <c r="O3">
        <f>IF($D3=1,IF(GDP_per_cap!K147&gt;'all_1961-1990'!$H$1,0,IF(UrbanPopRate!K147&gt;=$J$1,0,1)),0)</f>
        <v>0</v>
      </c>
      <c r="P3">
        <f>IF($D3=1,IF(GDP_per_cap!L147&gt;'all_1961-1990'!$H$1,0,IF(UrbanPopRate!L147&gt;=$J$1,0,1)),0)</f>
        <v>0</v>
      </c>
      <c r="Q3">
        <f>IF($D3=1,IF(GDP_per_cap!M147&gt;'all_1961-1990'!$H$1,0,IF(UrbanPopRate!M147&gt;=$J$1,0,1)),0)</f>
        <v>0</v>
      </c>
      <c r="R3">
        <f>IF($D3=1,IF(GDP_per_cap!N147&gt;'all_1961-1990'!$H$1,0,IF(UrbanPopRate!N147&gt;=$J$1,0,1)),0)</f>
        <v>0</v>
      </c>
      <c r="S3">
        <f>IF($D3=1,IF(GDP_per_cap!O147&gt;'all_1961-1990'!$H$1,0,IF(UrbanPopRate!O147&gt;=$J$1,0,1)),0)</f>
        <v>0</v>
      </c>
      <c r="T3">
        <f>IF($D3=1,IF(GDP_per_cap!P147&gt;'all_1961-1990'!$H$1,0,IF(UrbanPopRate!P147&gt;=$J$1,0,1)),0)</f>
        <v>0</v>
      </c>
      <c r="U3">
        <f>IF($D3=1,IF(GDP_per_cap!Q147&gt;'all_1961-1990'!$H$1,0,IF(UrbanPopRate!Q147&gt;=$J$1,0,1)),0)</f>
        <v>0</v>
      </c>
      <c r="V3">
        <f>IF($D3=1,IF(GDP_per_cap!R147&gt;'all_1961-1990'!$H$1,0,IF(UrbanPopRate!R147&gt;=$J$1,0,1)),0)</f>
        <v>0</v>
      </c>
      <c r="W3">
        <f>IF($D3=1,IF(GDP_per_cap!S147&gt;'all_1961-1990'!$H$1,0,IF(UrbanPopRate!S147&gt;=$J$1,0,1)),0)</f>
        <v>0</v>
      </c>
      <c r="X3">
        <f>IF($D3=1,IF(GDP_per_cap!T147&gt;'all_1961-1990'!$H$1,0,IF(UrbanPopRate!T147&gt;=$J$1,0,1)),0)</f>
        <v>0</v>
      </c>
      <c r="Y3">
        <f>IF($D3=1,IF(GDP_per_cap!U147&gt;'all_1961-1990'!$H$1,0,IF(UrbanPopRate!U147&gt;=$J$1,0,1)),0)</f>
        <v>0</v>
      </c>
      <c r="Z3">
        <f>IF($D3=1,IF(GDP_per_cap!V147&gt;'all_1961-1990'!$H$1,0,IF(UrbanPopRate!V147&gt;=$J$1,0,1)),0)</f>
        <v>0</v>
      </c>
      <c r="AA3">
        <f>IF($D3=1,IF(GDP_per_cap!W147&gt;'all_1961-1990'!$H$1,0,IF(UrbanPopRate!W147&gt;=$J$1,0,1)),0)</f>
        <v>0</v>
      </c>
      <c r="AB3">
        <f>IF($D3=1,IF(GDP_per_cap!X147&gt;'all_1961-1990'!$H$1,0,IF(UrbanPopRate!X147&gt;=$J$1,0,1)),0)</f>
        <v>0</v>
      </c>
      <c r="AC3">
        <f>IF($D3=1,IF(GDP_per_cap!Y147&gt;'all_1961-1990'!$H$1,0,IF(UrbanPopRate!Y147&gt;=$J$1,0,1)),0)</f>
        <v>0</v>
      </c>
      <c r="AD3">
        <f>IF($D3=1,IF(GDP_per_cap!Z147&gt;'all_1961-1990'!$H$1,0,IF(UrbanPopRate!Z147&gt;=$J$1,0,1)),0)</f>
        <v>0</v>
      </c>
      <c r="AE3">
        <f>IF($D3=1,IF(GDP_per_cap!AA147&gt;'all_1961-1990'!$H$1,0,IF(UrbanPopRate!AA147&gt;=$J$1,0,1)),0)</f>
        <v>0</v>
      </c>
      <c r="AF3">
        <f>IF($D3=1,IF(GDP_per_cap!AB147&gt;'all_1961-1990'!$H$1,0,IF(UrbanPopRate!AB147&gt;=$J$1,0,1)),0)</f>
        <v>0</v>
      </c>
      <c r="AG3">
        <f>IF($D3=1,IF(GDP_per_cap!AC147&gt;'all_1961-1990'!$H$1,0,IF(UrbanPopRate!AC147&gt;=$J$1,0,1)),0)</f>
        <v>0</v>
      </c>
      <c r="AH3">
        <f>IF($D3=1,IF(GDP_per_cap!AD147&gt;'all_1961-1990'!$H$1,0,IF(UrbanPopRate!AD147&gt;=$J$1,0,1)),0)</f>
        <v>0</v>
      </c>
      <c r="AI3">
        <f>IF($D3=1,IF(GDP_per_cap!AE147&gt;'all_1961-1990'!$H$1,0,IF(UrbanPopRate!AE147&gt;=$J$1,0,1)),0)</f>
        <v>0</v>
      </c>
      <c r="AJ3">
        <f>IF($D3=1,IF(GDP_per_cap!AF147&gt;'all_1961-1990'!$H$1,0,IF(UrbanPopRate!AF147&gt;=$J$1,0,1)),0)</f>
        <v>0</v>
      </c>
      <c r="AK3">
        <f>IF($D3=1,IF(GDP_per_cap!AG147&gt;'all_1961-1990'!$H$1,0,IF(UrbanPopRate!AG147&gt;=$J$1,0,1)),0)</f>
        <v>0</v>
      </c>
      <c r="AL3">
        <f>IF($D3=1,IF(GDP_per_cap!AH147&gt;'all_1961-1990'!$H$1,0,IF(UrbanPopRate!AH147&gt;=$J$1,0,1)),0)</f>
        <v>0</v>
      </c>
      <c r="AM3">
        <f>IF($D3=1,IF(GDP_per_cap!AI147&gt;'all_1961-1990'!$H$1,0,IF(UrbanPopRate!AI147&gt;=$J$1,0,1)),0)</f>
        <v>0</v>
      </c>
      <c r="AN3">
        <f>IF($D3=1,IF(GDP_per_cap!AJ147&gt;'all_1961-1990'!$H$1,0,IF(UrbanPopRate!AJ147&gt;=$J$1,0,1)),0)</f>
        <v>0</v>
      </c>
      <c r="AO3">
        <f>IF($D3=1,IF(GDP_per_cap!AK147&gt;'all_1961-1990'!$H$1,0,IF(UrbanPopRate!AK147&gt;=$J$1,0,1)),0)</f>
        <v>0</v>
      </c>
      <c r="AP3">
        <f>IF($D3=1,IF(GDP_per_cap!AL147&gt;'all_1961-1990'!$H$1,0,IF(UrbanPopRate!AL147&gt;=$J$1,0,1)),0)</f>
        <v>0</v>
      </c>
      <c r="AQ3">
        <f>IF($D3=1,IF(GDP_per_cap!AM147&gt;'all_1961-1990'!$H$1,0,IF(UrbanPopRate!AM147&gt;=$J$1,0,1)),0)</f>
        <v>0</v>
      </c>
      <c r="AR3">
        <f>IF($D3=1,IF(GDP_per_cap!AN147&gt;'all_1961-1990'!$H$1,0,IF(UrbanPopRate!AN147&gt;=$J$1,0,1)),0)</f>
        <v>0</v>
      </c>
      <c r="AS3">
        <f>IF($D3=1,IF(GDP_per_cap!AO147&gt;'all_1961-1990'!$H$1,0,IF(UrbanPopRate!AO147&gt;=$J$1,0,1)),0)</f>
        <v>0</v>
      </c>
      <c r="AT3">
        <f>IF($D3=1,IF(GDP_per_cap!AP147&gt;'all_1961-1990'!$H$1,0,IF(UrbanPopRate!AP147&gt;=$J$1,0,1)),0)</f>
        <v>0</v>
      </c>
      <c r="AU3">
        <f>IF($D3=1,IF(GDP_per_cap!AQ147&gt;'all_1961-1990'!$H$1,0,IF(UrbanPopRate!AQ147&gt;=$J$1,0,1)),0)</f>
        <v>0</v>
      </c>
      <c r="AV3">
        <f>IF($D3=1,IF(GDP_per_cap!AR147&gt;'all_1961-1990'!$H$1,0,IF(UrbanPopRate!AR147&gt;=$J$1,0,1)),0)</f>
        <v>0</v>
      </c>
      <c r="AW3">
        <f>IF($D3=1,IF(GDP_per_cap!AS147&gt;'all_1961-1990'!$H$1,0,IF(UrbanPopRate!AS147&gt;=$J$1,0,1)),0)</f>
        <v>0</v>
      </c>
      <c r="AX3">
        <f>IF($D3=1,IF(GDP_per_cap!AT147&gt;'all_1961-1990'!$H$1,0,IF(UrbanPopRate!AT147&gt;=$J$1,0,1)),0)</f>
        <v>0</v>
      </c>
      <c r="AY3">
        <f>IF($D3=1,IF(GDP_per_cap!AU147&gt;'all_1961-1990'!$H$1,0,IF(UrbanPopRate!AU147&gt;=$J$1,0,1)),0)</f>
        <v>0</v>
      </c>
      <c r="AZ3">
        <f>IF($D3=1,IF(GDP_per_cap!AV147&gt;'all_1961-1990'!$H$1,0,IF(UrbanPopRate!AV147&gt;=$J$1,0,1)),0)</f>
        <v>0</v>
      </c>
      <c r="BA3">
        <f>IF($D3=1,IF(GDP_per_cap!AW147&gt;'all_1961-1990'!$H$1,0,IF(UrbanPopRate!AW147&gt;=$J$1,0,1)),0)</f>
        <v>0</v>
      </c>
      <c r="BB3">
        <f>IF($D3=1,IF(GDP_per_cap!AX147&gt;'all_1961-1990'!$H$1,0,IF(UrbanPopRate!AX147&gt;=$J$1,0,1)),0)</f>
        <v>0</v>
      </c>
      <c r="BC3">
        <f>IF($D3=1,IF(GDP_per_cap!AY147&gt;'all_1961-1990'!$H$1,0,IF(UrbanPopRate!AY147&gt;=$J$1,0,1)),0)</f>
        <v>0</v>
      </c>
      <c r="BD3">
        <f>IF($D3=1,IF(GDP_per_cap!AZ147&gt;'all_1961-1990'!$H$1,0,IF(UrbanPopRate!AZ147&gt;=$J$1,0,1)),0)</f>
        <v>0</v>
      </c>
      <c r="BE3">
        <f>IF($D3=1,IF(GDP_per_cap!BA147&gt;'all_1961-1990'!$H$1,0,IF(UrbanPopRate!BA147&gt;=$J$1,0,1)),0)</f>
        <v>0</v>
      </c>
      <c r="BF3">
        <f>IF($D3=1,IF(GDP_per_cap!BB147&gt;'all_1961-1990'!$H$1,0,IF(UrbanPopRate!BB147&gt;=$J$1,0,1)),0)</f>
        <v>0</v>
      </c>
    </row>
    <row r="4" spans="1:58">
      <c r="A4" s="3">
        <v>210</v>
      </c>
      <c r="B4" s="3" t="s">
        <v>22</v>
      </c>
      <c r="C4" s="2">
        <v>1</v>
      </c>
      <c r="D4" s="35">
        <v>0</v>
      </c>
      <c r="E4" s="2">
        <v>59.261000000000003</v>
      </c>
      <c r="F4" s="36">
        <v>30299.480240000001</v>
      </c>
      <c r="G4">
        <f>IF($D4=1,IF(GDP_per_cap!C134&gt;'all_1961-1990'!$H$1,0,IF(UrbanPopRate!C134&gt;=$J$1,0,1)),0)</f>
        <v>0</v>
      </c>
      <c r="H4">
        <f>IF($D4=1,IF(GDP_per_cap!D134&gt;'all_1961-1990'!$H$1,0,IF(UrbanPopRate!D134&gt;=$J$1,0,1)),0)</f>
        <v>0</v>
      </c>
      <c r="I4">
        <f>IF($D4=1,IF(GDP_per_cap!E134&gt;'all_1961-1990'!$H$1,0,IF(UrbanPopRate!E134&gt;=$J$1,0,1)),0)</f>
        <v>0</v>
      </c>
      <c r="J4">
        <f>IF($D4=1,IF(GDP_per_cap!F134&gt;'all_1961-1990'!$H$1,0,IF(UrbanPopRate!F134&gt;=$J$1,0,1)),0)</f>
        <v>0</v>
      </c>
      <c r="K4">
        <f>IF($D4=1,IF(GDP_per_cap!G134&gt;'all_1961-1990'!$H$1,0,IF(UrbanPopRate!G134&gt;=$J$1,0,1)),0)</f>
        <v>0</v>
      </c>
      <c r="L4">
        <f>IF($D4=1,IF(GDP_per_cap!H134&gt;'all_1961-1990'!$H$1,0,IF(UrbanPopRate!H134&gt;=$J$1,0,1)),0)</f>
        <v>0</v>
      </c>
      <c r="M4">
        <f>IF($D4=1,IF(GDP_per_cap!I134&gt;'all_1961-1990'!$H$1,0,IF(UrbanPopRate!I134&gt;=$J$1,0,1)),0)</f>
        <v>0</v>
      </c>
      <c r="N4">
        <f>IF($D4=1,IF(GDP_per_cap!J134&gt;'all_1961-1990'!$H$1,0,IF(UrbanPopRate!J134&gt;=$J$1,0,1)),0)</f>
        <v>0</v>
      </c>
      <c r="O4">
        <f>IF($D4=1,IF(GDP_per_cap!K134&gt;'all_1961-1990'!$H$1,0,IF(UrbanPopRate!K134&gt;=$J$1,0,1)),0)</f>
        <v>0</v>
      </c>
      <c r="P4">
        <f>IF($D4=1,IF(GDP_per_cap!L134&gt;'all_1961-1990'!$H$1,0,IF(UrbanPopRate!L134&gt;=$J$1,0,1)),0)</f>
        <v>0</v>
      </c>
      <c r="Q4">
        <f>IF($D4=1,IF(GDP_per_cap!M134&gt;'all_1961-1990'!$H$1,0,IF(UrbanPopRate!M134&gt;=$J$1,0,1)),0)</f>
        <v>0</v>
      </c>
      <c r="R4">
        <f>IF($D4=1,IF(GDP_per_cap!N134&gt;'all_1961-1990'!$H$1,0,IF(UrbanPopRate!N134&gt;=$J$1,0,1)),0)</f>
        <v>0</v>
      </c>
      <c r="S4">
        <f>IF($D4=1,IF(GDP_per_cap!O134&gt;'all_1961-1990'!$H$1,0,IF(UrbanPopRate!O134&gt;=$J$1,0,1)),0)</f>
        <v>0</v>
      </c>
      <c r="T4">
        <f>IF($D4=1,IF(GDP_per_cap!P134&gt;'all_1961-1990'!$H$1,0,IF(UrbanPopRate!P134&gt;=$J$1,0,1)),0)</f>
        <v>0</v>
      </c>
      <c r="U4">
        <f>IF($D4=1,IF(GDP_per_cap!Q134&gt;'all_1961-1990'!$H$1,0,IF(UrbanPopRate!Q134&gt;=$J$1,0,1)),0)</f>
        <v>0</v>
      </c>
      <c r="V4">
        <f>IF($D4=1,IF(GDP_per_cap!R134&gt;'all_1961-1990'!$H$1,0,IF(UrbanPopRate!R134&gt;=$J$1,0,1)),0)</f>
        <v>0</v>
      </c>
      <c r="W4">
        <f>IF($D4=1,IF(GDP_per_cap!S134&gt;'all_1961-1990'!$H$1,0,IF(UrbanPopRate!S134&gt;=$J$1,0,1)),0)</f>
        <v>0</v>
      </c>
      <c r="X4">
        <f>IF($D4=1,IF(GDP_per_cap!T134&gt;'all_1961-1990'!$H$1,0,IF(UrbanPopRate!T134&gt;=$J$1,0,1)),0)</f>
        <v>0</v>
      </c>
      <c r="Y4">
        <f>IF($D4=1,IF(GDP_per_cap!U134&gt;'all_1961-1990'!$H$1,0,IF(UrbanPopRate!U134&gt;=$J$1,0,1)),0)</f>
        <v>0</v>
      </c>
      <c r="Z4">
        <f>IF($D4=1,IF(GDP_per_cap!V134&gt;'all_1961-1990'!$H$1,0,IF(UrbanPopRate!V134&gt;=$J$1,0,1)),0)</f>
        <v>0</v>
      </c>
      <c r="AA4">
        <f>IF($D4=1,IF(GDP_per_cap!W134&gt;'all_1961-1990'!$H$1,0,IF(UrbanPopRate!W134&gt;=$J$1,0,1)),0)</f>
        <v>0</v>
      </c>
      <c r="AB4">
        <f>IF($D4=1,IF(GDP_per_cap!X134&gt;'all_1961-1990'!$H$1,0,IF(UrbanPopRate!X134&gt;=$J$1,0,1)),0)</f>
        <v>0</v>
      </c>
      <c r="AC4">
        <f>IF($D4=1,IF(GDP_per_cap!Y134&gt;'all_1961-1990'!$H$1,0,IF(UrbanPopRate!Y134&gt;=$J$1,0,1)),0)</f>
        <v>0</v>
      </c>
      <c r="AD4">
        <f>IF($D4=1,IF(GDP_per_cap!Z134&gt;'all_1961-1990'!$H$1,0,IF(UrbanPopRate!Z134&gt;=$J$1,0,1)),0)</f>
        <v>0</v>
      </c>
      <c r="AE4">
        <f>IF($D4=1,IF(GDP_per_cap!AA134&gt;'all_1961-1990'!$H$1,0,IF(UrbanPopRate!AA134&gt;=$J$1,0,1)),0)</f>
        <v>0</v>
      </c>
      <c r="AF4">
        <f>IF($D4=1,IF(GDP_per_cap!AB134&gt;'all_1961-1990'!$H$1,0,IF(UrbanPopRate!AB134&gt;=$J$1,0,1)),0)</f>
        <v>0</v>
      </c>
      <c r="AG4">
        <f>IF($D4=1,IF(GDP_per_cap!AC134&gt;'all_1961-1990'!$H$1,0,IF(UrbanPopRate!AC134&gt;=$J$1,0,1)),0)</f>
        <v>0</v>
      </c>
      <c r="AH4">
        <f>IF($D4=1,IF(GDP_per_cap!AD134&gt;'all_1961-1990'!$H$1,0,IF(UrbanPopRate!AD134&gt;=$J$1,0,1)),0)</f>
        <v>0</v>
      </c>
      <c r="AI4">
        <f>IF($D4=1,IF(GDP_per_cap!AE134&gt;'all_1961-1990'!$H$1,0,IF(UrbanPopRate!AE134&gt;=$J$1,0,1)),0)</f>
        <v>0</v>
      </c>
      <c r="AJ4">
        <f>IF($D4=1,IF(GDP_per_cap!AF134&gt;'all_1961-1990'!$H$1,0,IF(UrbanPopRate!AF134&gt;=$J$1,0,1)),0)</f>
        <v>0</v>
      </c>
      <c r="AK4">
        <f>IF($D4=1,IF(GDP_per_cap!AG134&gt;'all_1961-1990'!$H$1,0,IF(UrbanPopRate!AG134&gt;=$J$1,0,1)),0)</f>
        <v>0</v>
      </c>
      <c r="AL4">
        <f>IF($D4=1,IF(GDP_per_cap!AH134&gt;'all_1961-1990'!$H$1,0,IF(UrbanPopRate!AH134&gt;=$J$1,0,1)),0)</f>
        <v>0</v>
      </c>
      <c r="AM4">
        <f>IF($D4=1,IF(GDP_per_cap!AI134&gt;'all_1961-1990'!$H$1,0,IF(UrbanPopRate!AI134&gt;=$J$1,0,1)),0)</f>
        <v>0</v>
      </c>
      <c r="AN4">
        <f>IF($D4=1,IF(GDP_per_cap!AJ134&gt;'all_1961-1990'!$H$1,0,IF(UrbanPopRate!AJ134&gt;=$J$1,0,1)),0)</f>
        <v>0</v>
      </c>
      <c r="AO4">
        <f>IF($D4=1,IF(GDP_per_cap!AK134&gt;'all_1961-1990'!$H$1,0,IF(UrbanPopRate!AK134&gt;=$J$1,0,1)),0)</f>
        <v>0</v>
      </c>
      <c r="AP4">
        <f>IF($D4=1,IF(GDP_per_cap!AL134&gt;'all_1961-1990'!$H$1,0,IF(UrbanPopRate!AL134&gt;=$J$1,0,1)),0)</f>
        <v>0</v>
      </c>
      <c r="AQ4">
        <f>IF($D4=1,IF(GDP_per_cap!AM134&gt;'all_1961-1990'!$H$1,0,IF(UrbanPopRate!AM134&gt;=$J$1,0,1)),0)</f>
        <v>0</v>
      </c>
      <c r="AR4">
        <f>IF($D4=1,IF(GDP_per_cap!AN134&gt;'all_1961-1990'!$H$1,0,IF(UrbanPopRate!AN134&gt;=$J$1,0,1)),0)</f>
        <v>0</v>
      </c>
      <c r="AS4">
        <f>IF($D4=1,IF(GDP_per_cap!AO134&gt;'all_1961-1990'!$H$1,0,IF(UrbanPopRate!AO134&gt;=$J$1,0,1)),0)</f>
        <v>0</v>
      </c>
      <c r="AT4">
        <f>IF($D4=1,IF(GDP_per_cap!AP134&gt;'all_1961-1990'!$H$1,0,IF(UrbanPopRate!AP134&gt;=$J$1,0,1)),0)</f>
        <v>0</v>
      </c>
      <c r="AU4">
        <f>IF($D4=1,IF(GDP_per_cap!AQ134&gt;'all_1961-1990'!$H$1,0,IF(UrbanPopRate!AQ134&gt;=$J$1,0,1)),0)</f>
        <v>0</v>
      </c>
      <c r="AV4">
        <f>IF($D4=1,IF(GDP_per_cap!AR134&gt;'all_1961-1990'!$H$1,0,IF(UrbanPopRate!AR134&gt;=$J$1,0,1)),0)</f>
        <v>0</v>
      </c>
      <c r="AW4">
        <f>IF($D4=1,IF(GDP_per_cap!AS134&gt;'all_1961-1990'!$H$1,0,IF(UrbanPopRate!AS134&gt;=$J$1,0,1)),0)</f>
        <v>0</v>
      </c>
      <c r="AX4">
        <f>IF($D4=1,IF(GDP_per_cap!AT134&gt;'all_1961-1990'!$H$1,0,IF(UrbanPopRate!AT134&gt;=$J$1,0,1)),0)</f>
        <v>0</v>
      </c>
      <c r="AY4">
        <f>IF($D4=1,IF(GDP_per_cap!AU134&gt;'all_1961-1990'!$H$1,0,IF(UrbanPopRate!AU134&gt;=$J$1,0,1)),0)</f>
        <v>0</v>
      </c>
      <c r="AZ4">
        <f>IF($D4=1,IF(GDP_per_cap!AV134&gt;'all_1961-1990'!$H$1,0,IF(UrbanPopRate!AV134&gt;=$J$1,0,1)),0)</f>
        <v>0</v>
      </c>
      <c r="BA4">
        <f>IF($D4=1,IF(GDP_per_cap!AW134&gt;'all_1961-1990'!$H$1,0,IF(UrbanPopRate!AW134&gt;=$J$1,0,1)),0)</f>
        <v>0</v>
      </c>
      <c r="BB4">
        <f>IF($D4=1,IF(GDP_per_cap!AX134&gt;'all_1961-1990'!$H$1,0,IF(UrbanPopRate!AX134&gt;=$J$1,0,1)),0)</f>
        <v>0</v>
      </c>
      <c r="BC4">
        <f>IF($D4=1,IF(GDP_per_cap!AY134&gt;'all_1961-1990'!$H$1,0,IF(UrbanPopRate!AY134&gt;=$J$1,0,1)),0)</f>
        <v>0</v>
      </c>
      <c r="BD4">
        <f>IF($D4=1,IF(GDP_per_cap!AZ134&gt;'all_1961-1990'!$H$1,0,IF(UrbanPopRate!AZ134&gt;=$J$1,0,1)),0)</f>
        <v>0</v>
      </c>
      <c r="BE4">
        <f>IF($D4=1,IF(GDP_per_cap!BA134&gt;'all_1961-1990'!$H$1,0,IF(UrbanPopRate!BA134&gt;=$J$1,0,1)),0)</f>
        <v>0</v>
      </c>
      <c r="BF4">
        <f>IF($D4=1,IF(GDP_per_cap!BB134&gt;'all_1961-1990'!$H$1,0,IF(UrbanPopRate!BB134&gt;=$J$1,0,1)),0)</f>
        <v>0</v>
      </c>
    </row>
    <row r="5" spans="1:58">
      <c r="A5" s="3">
        <v>164</v>
      </c>
      <c r="B5" s="3" t="s">
        <v>51</v>
      </c>
      <c r="C5" s="2">
        <v>1</v>
      </c>
      <c r="D5" s="35">
        <v>0</v>
      </c>
      <c r="E5" s="2">
        <v>66.024599999999992</v>
      </c>
      <c r="F5" s="36">
        <v>29664.009900000001</v>
      </c>
      <c r="G5">
        <f>IF($D5=1,IF(GDP_per_cap!C105&gt;'all_1961-1990'!$H$1,0,IF(UrbanPopRate!C105&gt;=$J$1,0,1)),0)</f>
        <v>0</v>
      </c>
      <c r="H5">
        <f>IF($D5=1,IF(GDP_per_cap!D105&gt;'all_1961-1990'!$H$1,0,IF(UrbanPopRate!D105&gt;=$J$1,0,1)),0)</f>
        <v>0</v>
      </c>
      <c r="I5">
        <f>IF($D5=1,IF(GDP_per_cap!E105&gt;'all_1961-1990'!$H$1,0,IF(UrbanPopRate!E105&gt;=$J$1,0,1)),0)</f>
        <v>0</v>
      </c>
      <c r="J5">
        <f>IF($D5=1,IF(GDP_per_cap!F105&gt;'all_1961-1990'!$H$1,0,IF(UrbanPopRate!F105&gt;=$J$1,0,1)),0)</f>
        <v>0</v>
      </c>
      <c r="K5">
        <f>IF($D5=1,IF(GDP_per_cap!G105&gt;'all_1961-1990'!$H$1,0,IF(UrbanPopRate!G105&gt;=$J$1,0,1)),0)</f>
        <v>0</v>
      </c>
      <c r="L5">
        <f>IF($D5=1,IF(GDP_per_cap!H105&gt;'all_1961-1990'!$H$1,0,IF(UrbanPopRate!H105&gt;=$J$1,0,1)),0)</f>
        <v>0</v>
      </c>
      <c r="M5">
        <f>IF($D5=1,IF(GDP_per_cap!I105&gt;'all_1961-1990'!$H$1,0,IF(UrbanPopRate!I105&gt;=$J$1,0,1)),0)</f>
        <v>0</v>
      </c>
      <c r="N5">
        <f>IF($D5=1,IF(GDP_per_cap!J105&gt;'all_1961-1990'!$H$1,0,IF(UrbanPopRate!J105&gt;=$J$1,0,1)),0)</f>
        <v>0</v>
      </c>
      <c r="O5">
        <f>IF($D5=1,IF(GDP_per_cap!K105&gt;'all_1961-1990'!$H$1,0,IF(UrbanPopRate!K105&gt;=$J$1,0,1)),0)</f>
        <v>0</v>
      </c>
      <c r="P5">
        <f>IF($D5=1,IF(GDP_per_cap!L105&gt;'all_1961-1990'!$H$1,0,IF(UrbanPopRate!L105&gt;=$J$1,0,1)),0)</f>
        <v>0</v>
      </c>
      <c r="Q5">
        <f>IF($D5=1,IF(GDP_per_cap!M105&gt;'all_1961-1990'!$H$1,0,IF(UrbanPopRate!M105&gt;=$J$1,0,1)),0)</f>
        <v>0</v>
      </c>
      <c r="R5">
        <f>IF($D5=1,IF(GDP_per_cap!N105&gt;'all_1961-1990'!$H$1,0,IF(UrbanPopRate!N105&gt;=$J$1,0,1)),0)</f>
        <v>0</v>
      </c>
      <c r="S5">
        <f>IF($D5=1,IF(GDP_per_cap!O105&gt;'all_1961-1990'!$H$1,0,IF(UrbanPopRate!O105&gt;=$J$1,0,1)),0)</f>
        <v>0</v>
      </c>
      <c r="T5">
        <f>IF($D5=1,IF(GDP_per_cap!P105&gt;'all_1961-1990'!$H$1,0,IF(UrbanPopRate!P105&gt;=$J$1,0,1)),0)</f>
        <v>0</v>
      </c>
      <c r="U5">
        <f>IF($D5=1,IF(GDP_per_cap!Q105&gt;'all_1961-1990'!$H$1,0,IF(UrbanPopRate!Q105&gt;=$J$1,0,1)),0)</f>
        <v>0</v>
      </c>
      <c r="V5">
        <f>IF($D5=1,IF(GDP_per_cap!R105&gt;'all_1961-1990'!$H$1,0,IF(UrbanPopRate!R105&gt;=$J$1,0,1)),0)</f>
        <v>0</v>
      </c>
      <c r="W5">
        <f>IF($D5=1,IF(GDP_per_cap!S105&gt;'all_1961-1990'!$H$1,0,IF(UrbanPopRate!S105&gt;=$J$1,0,1)),0)</f>
        <v>0</v>
      </c>
      <c r="X5">
        <f>IF($D5=1,IF(GDP_per_cap!T105&gt;'all_1961-1990'!$H$1,0,IF(UrbanPopRate!T105&gt;=$J$1,0,1)),0)</f>
        <v>0</v>
      </c>
      <c r="Y5">
        <f>IF($D5=1,IF(GDP_per_cap!U105&gt;'all_1961-1990'!$H$1,0,IF(UrbanPopRate!U105&gt;=$J$1,0,1)),0)</f>
        <v>0</v>
      </c>
      <c r="Z5">
        <f>IF($D5=1,IF(GDP_per_cap!V105&gt;'all_1961-1990'!$H$1,0,IF(UrbanPopRate!V105&gt;=$J$1,0,1)),0)</f>
        <v>0</v>
      </c>
      <c r="AA5">
        <f>IF($D5=1,IF(GDP_per_cap!W105&gt;'all_1961-1990'!$H$1,0,IF(UrbanPopRate!W105&gt;=$J$1,0,1)),0)</f>
        <v>0</v>
      </c>
      <c r="AB5">
        <f>IF($D5=1,IF(GDP_per_cap!X105&gt;'all_1961-1990'!$H$1,0,IF(UrbanPopRate!X105&gt;=$J$1,0,1)),0)</f>
        <v>0</v>
      </c>
      <c r="AC5">
        <f>IF($D5=1,IF(GDP_per_cap!Y105&gt;'all_1961-1990'!$H$1,0,IF(UrbanPopRate!Y105&gt;=$J$1,0,1)),0)</f>
        <v>0</v>
      </c>
      <c r="AD5">
        <f>IF($D5=1,IF(GDP_per_cap!Z105&gt;'all_1961-1990'!$H$1,0,IF(UrbanPopRate!Z105&gt;=$J$1,0,1)),0)</f>
        <v>0</v>
      </c>
      <c r="AE5">
        <f>IF($D5=1,IF(GDP_per_cap!AA105&gt;'all_1961-1990'!$H$1,0,IF(UrbanPopRate!AA105&gt;=$J$1,0,1)),0)</f>
        <v>0</v>
      </c>
      <c r="AF5">
        <f>IF($D5=1,IF(GDP_per_cap!AB105&gt;'all_1961-1990'!$H$1,0,IF(UrbanPopRate!AB105&gt;=$J$1,0,1)),0)</f>
        <v>0</v>
      </c>
      <c r="AG5">
        <f>IF($D5=1,IF(GDP_per_cap!AC105&gt;'all_1961-1990'!$H$1,0,IF(UrbanPopRate!AC105&gt;=$J$1,0,1)),0)</f>
        <v>0</v>
      </c>
      <c r="AH5">
        <f>IF($D5=1,IF(GDP_per_cap!AD105&gt;'all_1961-1990'!$H$1,0,IF(UrbanPopRate!AD105&gt;=$J$1,0,1)),0)</f>
        <v>0</v>
      </c>
      <c r="AI5">
        <f>IF($D5=1,IF(GDP_per_cap!AE105&gt;'all_1961-1990'!$H$1,0,IF(UrbanPopRate!AE105&gt;=$J$1,0,1)),0)</f>
        <v>0</v>
      </c>
      <c r="AJ5">
        <f>IF($D5=1,IF(GDP_per_cap!AF105&gt;'all_1961-1990'!$H$1,0,IF(UrbanPopRate!AF105&gt;=$J$1,0,1)),0)</f>
        <v>0</v>
      </c>
      <c r="AK5">
        <f>IF($D5=1,IF(GDP_per_cap!AG105&gt;'all_1961-1990'!$H$1,0,IF(UrbanPopRate!AG105&gt;=$J$1,0,1)),0)</f>
        <v>0</v>
      </c>
      <c r="AL5">
        <f>IF($D5=1,IF(GDP_per_cap!AH105&gt;'all_1961-1990'!$H$1,0,IF(UrbanPopRate!AH105&gt;=$J$1,0,1)),0)</f>
        <v>0</v>
      </c>
      <c r="AM5">
        <f>IF($D5=1,IF(GDP_per_cap!AI105&gt;'all_1961-1990'!$H$1,0,IF(UrbanPopRate!AI105&gt;=$J$1,0,1)),0)</f>
        <v>0</v>
      </c>
      <c r="AN5">
        <f>IF($D5=1,IF(GDP_per_cap!AJ105&gt;'all_1961-1990'!$H$1,0,IF(UrbanPopRate!AJ105&gt;=$J$1,0,1)),0)</f>
        <v>0</v>
      </c>
      <c r="AO5">
        <f>IF($D5=1,IF(GDP_per_cap!AK105&gt;'all_1961-1990'!$H$1,0,IF(UrbanPopRate!AK105&gt;=$J$1,0,1)),0)</f>
        <v>0</v>
      </c>
      <c r="AP5">
        <f>IF($D5=1,IF(GDP_per_cap!AL105&gt;'all_1961-1990'!$H$1,0,IF(UrbanPopRate!AL105&gt;=$J$1,0,1)),0)</f>
        <v>0</v>
      </c>
      <c r="AQ5">
        <f>IF($D5=1,IF(GDP_per_cap!AM105&gt;'all_1961-1990'!$H$1,0,IF(UrbanPopRate!AM105&gt;=$J$1,0,1)),0)</f>
        <v>0</v>
      </c>
      <c r="AR5">
        <f>IF($D5=1,IF(GDP_per_cap!AN105&gt;'all_1961-1990'!$H$1,0,IF(UrbanPopRate!AN105&gt;=$J$1,0,1)),0)</f>
        <v>0</v>
      </c>
      <c r="AS5">
        <f>IF($D5=1,IF(GDP_per_cap!AO105&gt;'all_1961-1990'!$H$1,0,IF(UrbanPopRate!AO105&gt;=$J$1,0,1)),0)</f>
        <v>0</v>
      </c>
      <c r="AT5">
        <f>IF($D5=1,IF(GDP_per_cap!AP105&gt;'all_1961-1990'!$H$1,0,IF(UrbanPopRate!AP105&gt;=$J$1,0,1)),0)</f>
        <v>0</v>
      </c>
      <c r="AU5">
        <f>IF($D5=1,IF(GDP_per_cap!AQ105&gt;'all_1961-1990'!$H$1,0,IF(UrbanPopRate!AQ105&gt;=$J$1,0,1)),0)</f>
        <v>0</v>
      </c>
      <c r="AV5">
        <f>IF($D5=1,IF(GDP_per_cap!AR105&gt;'all_1961-1990'!$H$1,0,IF(UrbanPopRate!AR105&gt;=$J$1,0,1)),0)</f>
        <v>0</v>
      </c>
      <c r="AW5">
        <f>IF($D5=1,IF(GDP_per_cap!AS105&gt;'all_1961-1990'!$H$1,0,IF(UrbanPopRate!AS105&gt;=$J$1,0,1)),0)</f>
        <v>0</v>
      </c>
      <c r="AX5">
        <f>IF($D5=1,IF(GDP_per_cap!AT105&gt;'all_1961-1990'!$H$1,0,IF(UrbanPopRate!AT105&gt;=$J$1,0,1)),0)</f>
        <v>0</v>
      </c>
      <c r="AY5">
        <f>IF($D5=1,IF(GDP_per_cap!AU105&gt;'all_1961-1990'!$H$1,0,IF(UrbanPopRate!AU105&gt;=$J$1,0,1)),0)</f>
        <v>0</v>
      </c>
      <c r="AZ5">
        <f>IF($D5=1,IF(GDP_per_cap!AV105&gt;'all_1961-1990'!$H$1,0,IF(UrbanPopRate!AV105&gt;=$J$1,0,1)),0)</f>
        <v>0</v>
      </c>
      <c r="BA5">
        <f>IF($D5=1,IF(GDP_per_cap!AW105&gt;'all_1961-1990'!$H$1,0,IF(UrbanPopRate!AW105&gt;=$J$1,0,1)),0)</f>
        <v>0</v>
      </c>
      <c r="BB5">
        <f>IF($D5=1,IF(GDP_per_cap!AX105&gt;'all_1961-1990'!$H$1,0,IF(UrbanPopRate!AX105&gt;=$J$1,0,1)),0)</f>
        <v>0</v>
      </c>
      <c r="BC5">
        <f>IF($D5=1,IF(GDP_per_cap!AY105&gt;'all_1961-1990'!$H$1,0,IF(UrbanPopRate!AY105&gt;=$J$1,0,1)),0)</f>
        <v>0</v>
      </c>
      <c r="BD5">
        <f>IF($D5=1,IF(GDP_per_cap!AZ105&gt;'all_1961-1990'!$H$1,0,IF(UrbanPopRate!AZ105&gt;=$J$1,0,1)),0)</f>
        <v>0</v>
      </c>
      <c r="BE5">
        <f>IF($D5=1,IF(GDP_per_cap!BA105&gt;'all_1961-1990'!$H$1,0,IF(UrbanPopRate!BA105&gt;=$J$1,0,1)),0)</f>
        <v>0</v>
      </c>
      <c r="BF5">
        <f>IF($D5=1,IF(GDP_per_cap!BB105&gt;'all_1961-1990'!$H$1,0,IF(UrbanPopRate!BB105&gt;=$J$1,0,1)),0)</f>
        <v>0</v>
      </c>
    </row>
    <row r="6" spans="1:58">
      <c r="A6" s="3">
        <v>118</v>
      </c>
      <c r="B6" s="3" t="s">
        <v>80</v>
      </c>
      <c r="C6" s="2">
        <v>1</v>
      </c>
      <c r="D6" s="35">
        <v>0</v>
      </c>
      <c r="E6" s="2">
        <v>89.290600000000012</v>
      </c>
      <c r="F6" s="36">
        <v>26520.201880000001</v>
      </c>
      <c r="G6">
        <f>IF($D6=1,IF(GDP_per_cap!C76&gt;'all_1961-1990'!$H$1,0,IF(UrbanPopRate!C76&gt;=$J$1,0,1)),0)</f>
        <v>0</v>
      </c>
      <c r="H6">
        <f>IF($D6=1,IF(GDP_per_cap!D76&gt;'all_1961-1990'!$H$1,0,IF(UrbanPopRate!D76&gt;=$J$1,0,1)),0)</f>
        <v>0</v>
      </c>
      <c r="I6">
        <f>IF($D6=1,IF(GDP_per_cap!E76&gt;'all_1961-1990'!$H$1,0,IF(UrbanPopRate!E76&gt;=$J$1,0,1)),0)</f>
        <v>0</v>
      </c>
      <c r="J6">
        <f>IF($D6=1,IF(GDP_per_cap!F76&gt;'all_1961-1990'!$H$1,0,IF(UrbanPopRate!F76&gt;=$J$1,0,1)),0)</f>
        <v>0</v>
      </c>
      <c r="K6">
        <f>IF($D6=1,IF(GDP_per_cap!G76&gt;'all_1961-1990'!$H$1,0,IF(UrbanPopRate!G76&gt;=$J$1,0,1)),0)</f>
        <v>0</v>
      </c>
      <c r="L6">
        <f>IF($D6=1,IF(GDP_per_cap!H76&gt;'all_1961-1990'!$H$1,0,IF(UrbanPopRate!H76&gt;=$J$1,0,1)),0)</f>
        <v>0</v>
      </c>
      <c r="M6">
        <f>IF($D6=1,IF(GDP_per_cap!I76&gt;'all_1961-1990'!$H$1,0,IF(UrbanPopRate!I76&gt;=$J$1,0,1)),0)</f>
        <v>0</v>
      </c>
      <c r="N6">
        <f>IF($D6=1,IF(GDP_per_cap!J76&gt;'all_1961-1990'!$H$1,0,IF(UrbanPopRate!J76&gt;=$J$1,0,1)),0)</f>
        <v>0</v>
      </c>
      <c r="O6">
        <f>IF($D6=1,IF(GDP_per_cap!K76&gt;'all_1961-1990'!$H$1,0,IF(UrbanPopRate!K76&gt;=$J$1,0,1)),0)</f>
        <v>0</v>
      </c>
      <c r="P6">
        <f>IF($D6=1,IF(GDP_per_cap!L76&gt;'all_1961-1990'!$H$1,0,IF(UrbanPopRate!L76&gt;=$J$1,0,1)),0)</f>
        <v>0</v>
      </c>
      <c r="Q6">
        <f>IF($D6=1,IF(GDP_per_cap!M76&gt;'all_1961-1990'!$H$1,0,IF(UrbanPopRate!M76&gt;=$J$1,0,1)),0)</f>
        <v>0</v>
      </c>
      <c r="R6">
        <f>IF($D6=1,IF(GDP_per_cap!N76&gt;'all_1961-1990'!$H$1,0,IF(UrbanPopRate!N76&gt;=$J$1,0,1)),0)</f>
        <v>0</v>
      </c>
      <c r="S6">
        <f>IF($D6=1,IF(GDP_per_cap!O76&gt;'all_1961-1990'!$H$1,0,IF(UrbanPopRate!O76&gt;=$J$1,0,1)),0)</f>
        <v>0</v>
      </c>
      <c r="T6">
        <f>IF($D6=1,IF(GDP_per_cap!P76&gt;'all_1961-1990'!$H$1,0,IF(UrbanPopRate!P76&gt;=$J$1,0,1)),0)</f>
        <v>0</v>
      </c>
      <c r="U6">
        <f>IF($D6=1,IF(GDP_per_cap!Q76&gt;'all_1961-1990'!$H$1,0,IF(UrbanPopRate!Q76&gt;=$J$1,0,1)),0)</f>
        <v>0</v>
      </c>
      <c r="V6">
        <f>IF($D6=1,IF(GDP_per_cap!R76&gt;'all_1961-1990'!$H$1,0,IF(UrbanPopRate!R76&gt;=$J$1,0,1)),0)</f>
        <v>0</v>
      </c>
      <c r="W6">
        <f>IF($D6=1,IF(GDP_per_cap!S76&gt;'all_1961-1990'!$H$1,0,IF(UrbanPopRate!S76&gt;=$J$1,0,1)),0)</f>
        <v>0</v>
      </c>
      <c r="X6">
        <f>IF($D6=1,IF(GDP_per_cap!T76&gt;'all_1961-1990'!$H$1,0,IF(UrbanPopRate!T76&gt;=$J$1,0,1)),0)</f>
        <v>0</v>
      </c>
      <c r="Y6">
        <f>IF($D6=1,IF(GDP_per_cap!U76&gt;'all_1961-1990'!$H$1,0,IF(UrbanPopRate!U76&gt;=$J$1,0,1)),0)</f>
        <v>0</v>
      </c>
      <c r="Z6">
        <f>IF($D6=1,IF(GDP_per_cap!V76&gt;'all_1961-1990'!$H$1,0,IF(UrbanPopRate!V76&gt;=$J$1,0,1)),0)</f>
        <v>0</v>
      </c>
      <c r="AA6">
        <f>IF($D6=1,IF(GDP_per_cap!W76&gt;'all_1961-1990'!$H$1,0,IF(UrbanPopRate!W76&gt;=$J$1,0,1)),0)</f>
        <v>0</v>
      </c>
      <c r="AB6">
        <f>IF($D6=1,IF(GDP_per_cap!X76&gt;'all_1961-1990'!$H$1,0,IF(UrbanPopRate!X76&gt;=$J$1,0,1)),0)</f>
        <v>0</v>
      </c>
      <c r="AC6">
        <f>IF($D6=1,IF(GDP_per_cap!Y76&gt;'all_1961-1990'!$H$1,0,IF(UrbanPopRate!Y76&gt;=$J$1,0,1)),0)</f>
        <v>0</v>
      </c>
      <c r="AD6">
        <f>IF($D6=1,IF(GDP_per_cap!Z76&gt;'all_1961-1990'!$H$1,0,IF(UrbanPopRate!Z76&gt;=$J$1,0,1)),0)</f>
        <v>0</v>
      </c>
      <c r="AE6">
        <f>IF($D6=1,IF(GDP_per_cap!AA76&gt;'all_1961-1990'!$H$1,0,IF(UrbanPopRate!AA76&gt;=$J$1,0,1)),0)</f>
        <v>0</v>
      </c>
      <c r="AF6">
        <f>IF($D6=1,IF(GDP_per_cap!AB76&gt;'all_1961-1990'!$H$1,0,IF(UrbanPopRate!AB76&gt;=$J$1,0,1)),0)</f>
        <v>0</v>
      </c>
      <c r="AG6">
        <f>IF($D6=1,IF(GDP_per_cap!AC76&gt;'all_1961-1990'!$H$1,0,IF(UrbanPopRate!AC76&gt;=$J$1,0,1)),0)</f>
        <v>0</v>
      </c>
      <c r="AH6">
        <f>IF($D6=1,IF(GDP_per_cap!AD76&gt;'all_1961-1990'!$H$1,0,IF(UrbanPopRate!AD76&gt;=$J$1,0,1)),0)</f>
        <v>0</v>
      </c>
      <c r="AI6">
        <f>IF($D6=1,IF(GDP_per_cap!AE76&gt;'all_1961-1990'!$H$1,0,IF(UrbanPopRate!AE76&gt;=$J$1,0,1)),0)</f>
        <v>0</v>
      </c>
      <c r="AJ6">
        <f>IF($D6=1,IF(GDP_per_cap!AF76&gt;'all_1961-1990'!$H$1,0,IF(UrbanPopRate!AF76&gt;=$J$1,0,1)),0)</f>
        <v>0</v>
      </c>
      <c r="AK6">
        <f>IF($D6=1,IF(GDP_per_cap!AG76&gt;'all_1961-1990'!$H$1,0,IF(UrbanPopRate!AG76&gt;=$J$1,0,1)),0)</f>
        <v>0</v>
      </c>
      <c r="AL6">
        <f>IF($D6=1,IF(GDP_per_cap!AH76&gt;'all_1961-1990'!$H$1,0,IF(UrbanPopRate!AH76&gt;=$J$1,0,1)),0)</f>
        <v>0</v>
      </c>
      <c r="AM6">
        <f>IF($D6=1,IF(GDP_per_cap!AI76&gt;'all_1961-1990'!$H$1,0,IF(UrbanPopRate!AI76&gt;=$J$1,0,1)),0)</f>
        <v>0</v>
      </c>
      <c r="AN6">
        <f>IF($D6=1,IF(GDP_per_cap!AJ76&gt;'all_1961-1990'!$H$1,0,IF(UrbanPopRate!AJ76&gt;=$J$1,0,1)),0)</f>
        <v>0</v>
      </c>
      <c r="AO6">
        <f>IF($D6=1,IF(GDP_per_cap!AK76&gt;'all_1961-1990'!$H$1,0,IF(UrbanPopRate!AK76&gt;=$J$1,0,1)),0)</f>
        <v>0</v>
      </c>
      <c r="AP6">
        <f>IF($D6=1,IF(GDP_per_cap!AL76&gt;'all_1961-1990'!$H$1,0,IF(UrbanPopRate!AL76&gt;=$J$1,0,1)),0)</f>
        <v>0</v>
      </c>
      <c r="AQ6">
        <f>IF($D6=1,IF(GDP_per_cap!AM76&gt;'all_1961-1990'!$H$1,0,IF(UrbanPopRate!AM76&gt;=$J$1,0,1)),0)</f>
        <v>0</v>
      </c>
      <c r="AR6">
        <f>IF($D6=1,IF(GDP_per_cap!AN76&gt;'all_1961-1990'!$H$1,0,IF(UrbanPopRate!AN76&gt;=$J$1,0,1)),0)</f>
        <v>0</v>
      </c>
      <c r="AS6">
        <f>IF($D6=1,IF(GDP_per_cap!AO76&gt;'all_1961-1990'!$H$1,0,IF(UrbanPopRate!AO76&gt;=$J$1,0,1)),0)</f>
        <v>0</v>
      </c>
      <c r="AT6">
        <f>IF($D6=1,IF(GDP_per_cap!AP76&gt;'all_1961-1990'!$H$1,0,IF(UrbanPopRate!AP76&gt;=$J$1,0,1)),0)</f>
        <v>0</v>
      </c>
      <c r="AU6">
        <f>IF($D6=1,IF(GDP_per_cap!AQ76&gt;'all_1961-1990'!$H$1,0,IF(UrbanPopRate!AQ76&gt;=$J$1,0,1)),0)</f>
        <v>0</v>
      </c>
      <c r="AV6">
        <f>IF($D6=1,IF(GDP_per_cap!AR76&gt;'all_1961-1990'!$H$1,0,IF(UrbanPopRate!AR76&gt;=$J$1,0,1)),0)</f>
        <v>0</v>
      </c>
      <c r="AW6">
        <f>IF($D6=1,IF(GDP_per_cap!AS76&gt;'all_1961-1990'!$H$1,0,IF(UrbanPopRate!AS76&gt;=$J$1,0,1)),0)</f>
        <v>0</v>
      </c>
      <c r="AX6">
        <f>IF($D6=1,IF(GDP_per_cap!AT76&gt;'all_1961-1990'!$H$1,0,IF(UrbanPopRate!AT76&gt;=$J$1,0,1)),0)</f>
        <v>0</v>
      </c>
      <c r="AY6">
        <f>IF($D6=1,IF(GDP_per_cap!AU76&gt;'all_1961-1990'!$H$1,0,IF(UrbanPopRate!AU76&gt;=$J$1,0,1)),0)</f>
        <v>0</v>
      </c>
      <c r="AZ6">
        <f>IF($D6=1,IF(GDP_per_cap!AV76&gt;'all_1961-1990'!$H$1,0,IF(UrbanPopRate!AV76&gt;=$J$1,0,1)),0)</f>
        <v>0</v>
      </c>
      <c r="BA6">
        <f>IF($D6=1,IF(GDP_per_cap!AW76&gt;'all_1961-1990'!$H$1,0,IF(UrbanPopRate!AW76&gt;=$J$1,0,1)),0)</f>
        <v>0</v>
      </c>
      <c r="BB6">
        <f>IF($D6=1,IF(GDP_per_cap!AX76&gt;'all_1961-1990'!$H$1,0,IF(UrbanPopRate!AX76&gt;=$J$1,0,1)),0)</f>
        <v>0</v>
      </c>
      <c r="BC6">
        <f>IF($D6=1,IF(GDP_per_cap!AY76&gt;'all_1961-1990'!$H$1,0,IF(UrbanPopRate!AY76&gt;=$J$1,0,1)),0)</f>
        <v>0</v>
      </c>
      <c r="BD6">
        <f>IF($D6=1,IF(GDP_per_cap!AZ76&gt;'all_1961-1990'!$H$1,0,IF(UrbanPopRate!AZ76&gt;=$J$1,0,1)),0)</f>
        <v>0</v>
      </c>
      <c r="BE6">
        <f>IF($D6=1,IF(GDP_per_cap!BA76&gt;'all_1961-1990'!$H$1,0,IF(UrbanPopRate!BA76&gt;=$J$1,0,1)),0)</f>
        <v>0</v>
      </c>
      <c r="BF6">
        <f>IF($D6=1,IF(GDP_per_cap!BB76&gt;'all_1961-1990'!$H$1,0,IF(UrbanPopRate!BB76&gt;=$J$1,0,1)),0)</f>
        <v>0</v>
      </c>
    </row>
    <row r="7" spans="1:58">
      <c r="A7" s="3">
        <v>58</v>
      </c>
      <c r="B7" s="3" t="s">
        <v>118</v>
      </c>
      <c r="C7" s="2">
        <v>1</v>
      </c>
      <c r="D7" s="35">
        <v>0</v>
      </c>
      <c r="E7" s="2">
        <v>69.303033333333332</v>
      </c>
      <c r="F7" s="36">
        <v>25000</v>
      </c>
      <c r="G7">
        <f>IF($D7=1,IF(GDP_per_cap!C38&gt;'all_1961-1990'!$H$1,0,IF(UrbanPopRate!C38&gt;=$J$1,0,1)),0)</f>
        <v>0</v>
      </c>
      <c r="H7">
        <f>IF($D7=1,IF(GDP_per_cap!D38&gt;'all_1961-1990'!$H$1,0,IF(UrbanPopRate!D38&gt;=$J$1,0,1)),0)</f>
        <v>0</v>
      </c>
      <c r="I7">
        <f>IF($D7=1,IF(GDP_per_cap!E38&gt;'all_1961-1990'!$H$1,0,IF(UrbanPopRate!E38&gt;=$J$1,0,1)),0)</f>
        <v>0</v>
      </c>
      <c r="J7">
        <f>IF($D7=1,IF(GDP_per_cap!F38&gt;'all_1961-1990'!$H$1,0,IF(UrbanPopRate!F38&gt;=$J$1,0,1)),0)</f>
        <v>0</v>
      </c>
      <c r="K7">
        <f>IF($D7=1,IF(GDP_per_cap!G38&gt;'all_1961-1990'!$H$1,0,IF(UrbanPopRate!G38&gt;=$J$1,0,1)),0)</f>
        <v>0</v>
      </c>
      <c r="L7">
        <f>IF($D7=1,IF(GDP_per_cap!H38&gt;'all_1961-1990'!$H$1,0,IF(UrbanPopRate!H38&gt;=$J$1,0,1)),0)</f>
        <v>0</v>
      </c>
      <c r="M7">
        <f>IF($D7=1,IF(GDP_per_cap!I38&gt;'all_1961-1990'!$H$1,0,IF(UrbanPopRate!I38&gt;=$J$1,0,1)),0)</f>
        <v>0</v>
      </c>
      <c r="N7">
        <f>IF($D7=1,IF(GDP_per_cap!J38&gt;'all_1961-1990'!$H$1,0,IF(UrbanPopRate!J38&gt;=$J$1,0,1)),0)</f>
        <v>0</v>
      </c>
      <c r="O7">
        <f>IF($D7=1,IF(GDP_per_cap!K38&gt;'all_1961-1990'!$H$1,0,IF(UrbanPopRate!K38&gt;=$J$1,0,1)),0)</f>
        <v>0</v>
      </c>
      <c r="P7">
        <f>IF($D7=1,IF(GDP_per_cap!L38&gt;'all_1961-1990'!$H$1,0,IF(UrbanPopRate!L38&gt;=$J$1,0,1)),0)</f>
        <v>0</v>
      </c>
      <c r="Q7">
        <f>IF($D7=1,IF(GDP_per_cap!M38&gt;'all_1961-1990'!$H$1,0,IF(UrbanPopRate!M38&gt;=$J$1,0,1)),0)</f>
        <v>0</v>
      </c>
      <c r="R7">
        <f>IF($D7=1,IF(GDP_per_cap!N38&gt;'all_1961-1990'!$H$1,0,IF(UrbanPopRate!N38&gt;=$J$1,0,1)),0)</f>
        <v>0</v>
      </c>
      <c r="S7">
        <f>IF($D7=1,IF(GDP_per_cap!O38&gt;'all_1961-1990'!$H$1,0,IF(UrbanPopRate!O38&gt;=$J$1,0,1)),0)</f>
        <v>0</v>
      </c>
      <c r="T7">
        <f>IF($D7=1,IF(GDP_per_cap!P38&gt;'all_1961-1990'!$H$1,0,IF(UrbanPopRate!P38&gt;=$J$1,0,1)),0)</f>
        <v>0</v>
      </c>
      <c r="U7">
        <f>IF($D7=1,IF(GDP_per_cap!Q38&gt;'all_1961-1990'!$H$1,0,IF(UrbanPopRate!Q38&gt;=$J$1,0,1)),0)</f>
        <v>0</v>
      </c>
      <c r="V7">
        <f>IF($D7=1,IF(GDP_per_cap!R38&gt;'all_1961-1990'!$H$1,0,IF(UrbanPopRate!R38&gt;=$J$1,0,1)),0)</f>
        <v>0</v>
      </c>
      <c r="W7">
        <f>IF($D7=1,IF(GDP_per_cap!S38&gt;'all_1961-1990'!$H$1,0,IF(UrbanPopRate!S38&gt;=$J$1,0,1)),0)</f>
        <v>0</v>
      </c>
      <c r="X7">
        <f>IF($D7=1,IF(GDP_per_cap!T38&gt;'all_1961-1990'!$H$1,0,IF(UrbanPopRate!T38&gt;=$J$1,0,1)),0)</f>
        <v>0</v>
      </c>
      <c r="Y7">
        <f>IF($D7=1,IF(GDP_per_cap!U38&gt;'all_1961-1990'!$H$1,0,IF(UrbanPopRate!U38&gt;=$J$1,0,1)),0)</f>
        <v>0</v>
      </c>
      <c r="Z7">
        <f>IF($D7=1,IF(GDP_per_cap!V38&gt;'all_1961-1990'!$H$1,0,IF(UrbanPopRate!V38&gt;=$J$1,0,1)),0)</f>
        <v>0</v>
      </c>
      <c r="AA7">
        <f>IF($D7=1,IF(GDP_per_cap!W38&gt;'all_1961-1990'!$H$1,0,IF(UrbanPopRate!W38&gt;=$J$1,0,1)),0)</f>
        <v>0</v>
      </c>
      <c r="AB7">
        <f>IF($D7=1,IF(GDP_per_cap!X38&gt;'all_1961-1990'!$H$1,0,IF(UrbanPopRate!X38&gt;=$J$1,0,1)),0)</f>
        <v>0</v>
      </c>
      <c r="AC7">
        <f>IF($D7=1,IF(GDP_per_cap!Y38&gt;'all_1961-1990'!$H$1,0,IF(UrbanPopRate!Y38&gt;=$J$1,0,1)),0)</f>
        <v>0</v>
      </c>
      <c r="AD7">
        <f>IF($D7=1,IF(GDP_per_cap!Z38&gt;'all_1961-1990'!$H$1,0,IF(UrbanPopRate!Z38&gt;=$J$1,0,1)),0)</f>
        <v>0</v>
      </c>
      <c r="AE7">
        <f>IF($D7=1,IF(GDP_per_cap!AA38&gt;'all_1961-1990'!$H$1,0,IF(UrbanPopRate!AA38&gt;=$J$1,0,1)),0)</f>
        <v>0</v>
      </c>
      <c r="AF7">
        <f>IF($D7=1,IF(GDP_per_cap!AB38&gt;'all_1961-1990'!$H$1,0,IF(UrbanPopRate!AB38&gt;=$J$1,0,1)),0)</f>
        <v>0</v>
      </c>
      <c r="AG7">
        <f>IF($D7=1,IF(GDP_per_cap!AC38&gt;'all_1961-1990'!$H$1,0,IF(UrbanPopRate!AC38&gt;=$J$1,0,1)),0)</f>
        <v>0</v>
      </c>
      <c r="AH7">
        <f>IF($D7=1,IF(GDP_per_cap!AD38&gt;'all_1961-1990'!$H$1,0,IF(UrbanPopRate!AD38&gt;=$J$1,0,1)),0)</f>
        <v>0</v>
      </c>
      <c r="AI7">
        <f>IF($D7=1,IF(GDP_per_cap!AE38&gt;'all_1961-1990'!$H$1,0,IF(UrbanPopRate!AE38&gt;=$J$1,0,1)),0)</f>
        <v>0</v>
      </c>
      <c r="AJ7">
        <f>IF($D7=1,IF(GDP_per_cap!AF38&gt;'all_1961-1990'!$H$1,0,IF(UrbanPopRate!AF38&gt;=$J$1,0,1)),0)</f>
        <v>0</v>
      </c>
      <c r="AK7">
        <f>IF($D7=1,IF(GDP_per_cap!AG38&gt;'all_1961-1990'!$H$1,0,IF(UrbanPopRate!AG38&gt;=$J$1,0,1)),0)</f>
        <v>0</v>
      </c>
      <c r="AL7">
        <f>IF($D7=1,IF(GDP_per_cap!AH38&gt;'all_1961-1990'!$H$1,0,IF(UrbanPopRate!AH38&gt;=$J$1,0,1)),0)</f>
        <v>0</v>
      </c>
      <c r="AM7">
        <f>IF($D7=1,IF(GDP_per_cap!AI38&gt;'all_1961-1990'!$H$1,0,IF(UrbanPopRate!AI38&gt;=$J$1,0,1)),0)</f>
        <v>0</v>
      </c>
      <c r="AN7">
        <f>IF($D7=1,IF(GDP_per_cap!AJ38&gt;'all_1961-1990'!$H$1,0,IF(UrbanPopRate!AJ38&gt;=$J$1,0,1)),0)</f>
        <v>0</v>
      </c>
      <c r="AO7">
        <f>IF($D7=1,IF(GDP_per_cap!AK38&gt;'all_1961-1990'!$H$1,0,IF(UrbanPopRate!AK38&gt;=$J$1,0,1)),0)</f>
        <v>0</v>
      </c>
      <c r="AP7">
        <f>IF($D7=1,IF(GDP_per_cap!AL38&gt;'all_1961-1990'!$H$1,0,IF(UrbanPopRate!AL38&gt;=$J$1,0,1)),0)</f>
        <v>0</v>
      </c>
      <c r="AQ7">
        <f>IF($D7=1,IF(GDP_per_cap!AM38&gt;'all_1961-1990'!$H$1,0,IF(UrbanPopRate!AM38&gt;=$J$1,0,1)),0)</f>
        <v>0</v>
      </c>
      <c r="AR7">
        <f>IF($D7=1,IF(GDP_per_cap!AN38&gt;'all_1961-1990'!$H$1,0,IF(UrbanPopRate!AN38&gt;=$J$1,0,1)),0)</f>
        <v>0</v>
      </c>
      <c r="AS7">
        <f>IF($D7=1,IF(GDP_per_cap!AO38&gt;'all_1961-1990'!$H$1,0,IF(UrbanPopRate!AO38&gt;=$J$1,0,1)),0)</f>
        <v>0</v>
      </c>
      <c r="AT7">
        <f>IF($D7=1,IF(GDP_per_cap!AP38&gt;'all_1961-1990'!$H$1,0,IF(UrbanPopRate!AP38&gt;=$J$1,0,1)),0)</f>
        <v>0</v>
      </c>
      <c r="AU7">
        <f>IF($D7=1,IF(GDP_per_cap!AQ38&gt;'all_1961-1990'!$H$1,0,IF(UrbanPopRate!AQ38&gt;=$J$1,0,1)),0)</f>
        <v>0</v>
      </c>
      <c r="AV7">
        <f>IF($D7=1,IF(GDP_per_cap!AR38&gt;'all_1961-1990'!$H$1,0,IF(UrbanPopRate!AR38&gt;=$J$1,0,1)),0)</f>
        <v>0</v>
      </c>
      <c r="AW7">
        <f>IF($D7=1,IF(GDP_per_cap!AS38&gt;'all_1961-1990'!$H$1,0,IF(UrbanPopRate!AS38&gt;=$J$1,0,1)),0)</f>
        <v>0</v>
      </c>
      <c r="AX7">
        <f>IF($D7=1,IF(GDP_per_cap!AT38&gt;'all_1961-1990'!$H$1,0,IF(UrbanPopRate!AT38&gt;=$J$1,0,1)),0)</f>
        <v>0</v>
      </c>
      <c r="AY7">
        <f>IF($D7=1,IF(GDP_per_cap!AU38&gt;'all_1961-1990'!$H$1,0,IF(UrbanPopRate!AU38&gt;=$J$1,0,1)),0)</f>
        <v>0</v>
      </c>
      <c r="AZ7">
        <f>IF($D7=1,IF(GDP_per_cap!AV38&gt;'all_1961-1990'!$H$1,0,IF(UrbanPopRate!AV38&gt;=$J$1,0,1)),0)</f>
        <v>0</v>
      </c>
      <c r="BA7">
        <f>IF($D7=1,IF(GDP_per_cap!AW38&gt;'all_1961-1990'!$H$1,0,IF(UrbanPopRate!AW38&gt;=$J$1,0,1)),0)</f>
        <v>0</v>
      </c>
      <c r="BB7">
        <f>IF($D7=1,IF(GDP_per_cap!AX38&gt;'all_1961-1990'!$H$1,0,IF(UrbanPopRate!AX38&gt;=$J$1,0,1)),0)</f>
        <v>0</v>
      </c>
      <c r="BC7">
        <f>IF($D7=1,IF(GDP_per_cap!AY38&gt;'all_1961-1990'!$H$1,0,IF(UrbanPopRate!AY38&gt;=$J$1,0,1)),0)</f>
        <v>0</v>
      </c>
      <c r="BD7">
        <f>IF($D7=1,IF(GDP_per_cap!AZ38&gt;'all_1961-1990'!$H$1,0,IF(UrbanPopRate!AZ38&gt;=$J$1,0,1)),0)</f>
        <v>0</v>
      </c>
      <c r="BE7">
        <f>IF($D7=1,IF(GDP_per_cap!BA38&gt;'all_1961-1990'!$H$1,0,IF(UrbanPopRate!BA38&gt;=$J$1,0,1)),0)</f>
        <v>0</v>
      </c>
      <c r="BF7">
        <f>IF($D7=1,IF(GDP_per_cap!BB38&gt;'all_1961-1990'!$H$1,0,IF(UrbanPopRate!BB38&gt;=$J$1,0,1)),0)</f>
        <v>0</v>
      </c>
    </row>
    <row r="8" spans="1:58">
      <c r="A8" s="3">
        <v>15</v>
      </c>
      <c r="B8" s="3" t="s">
        <v>147</v>
      </c>
      <c r="C8" s="2">
        <v>1</v>
      </c>
      <c r="D8" s="35">
        <v>0</v>
      </c>
      <c r="E8" s="2">
        <v>65.319000000000031</v>
      </c>
      <c r="F8" s="36">
        <v>22919.096699999998</v>
      </c>
      <c r="G8">
        <f>IF($D8=1,IF(GDP_per_cap!C9&gt;'all_1961-1990'!$H$1,0,IF(UrbanPopRate!C9&gt;=$J$1,0,1)),0)</f>
        <v>0</v>
      </c>
      <c r="H8">
        <f>IF($D8=1,IF(GDP_per_cap!D9&gt;'all_1961-1990'!$H$1,0,IF(UrbanPopRate!D9&gt;=$J$1,0,1)),0)</f>
        <v>0</v>
      </c>
      <c r="I8">
        <f>IF($D8=1,IF(GDP_per_cap!E9&gt;'all_1961-1990'!$H$1,0,IF(UrbanPopRate!E9&gt;=$J$1,0,1)),0)</f>
        <v>0</v>
      </c>
      <c r="J8">
        <f>IF($D8=1,IF(GDP_per_cap!F9&gt;'all_1961-1990'!$H$1,0,IF(UrbanPopRate!F9&gt;=$J$1,0,1)),0)</f>
        <v>0</v>
      </c>
      <c r="K8">
        <f>IF($D8=1,IF(GDP_per_cap!G9&gt;'all_1961-1990'!$H$1,0,IF(UrbanPopRate!G9&gt;=$J$1,0,1)),0)</f>
        <v>0</v>
      </c>
      <c r="L8">
        <f>IF($D8=1,IF(GDP_per_cap!H9&gt;'all_1961-1990'!$H$1,0,IF(UrbanPopRate!H9&gt;=$J$1,0,1)),0)</f>
        <v>0</v>
      </c>
      <c r="M8">
        <f>IF($D8=1,IF(GDP_per_cap!I9&gt;'all_1961-1990'!$H$1,0,IF(UrbanPopRate!I9&gt;=$J$1,0,1)),0)</f>
        <v>0</v>
      </c>
      <c r="N8">
        <f>IF($D8=1,IF(GDP_per_cap!J9&gt;'all_1961-1990'!$H$1,0,IF(UrbanPopRate!J9&gt;=$J$1,0,1)),0)</f>
        <v>0</v>
      </c>
      <c r="O8">
        <f>IF($D8=1,IF(GDP_per_cap!K9&gt;'all_1961-1990'!$H$1,0,IF(UrbanPopRate!K9&gt;=$J$1,0,1)),0)</f>
        <v>0</v>
      </c>
      <c r="P8">
        <f>IF($D8=1,IF(GDP_per_cap!L9&gt;'all_1961-1990'!$H$1,0,IF(UrbanPopRate!L9&gt;=$J$1,0,1)),0)</f>
        <v>0</v>
      </c>
      <c r="Q8">
        <f>IF($D8=1,IF(GDP_per_cap!M9&gt;'all_1961-1990'!$H$1,0,IF(UrbanPopRate!M9&gt;=$J$1,0,1)),0)</f>
        <v>0</v>
      </c>
      <c r="R8">
        <f>IF($D8=1,IF(GDP_per_cap!N9&gt;'all_1961-1990'!$H$1,0,IF(UrbanPopRate!N9&gt;=$J$1,0,1)),0)</f>
        <v>0</v>
      </c>
      <c r="S8">
        <f>IF($D8=1,IF(GDP_per_cap!O9&gt;'all_1961-1990'!$H$1,0,IF(UrbanPopRate!O9&gt;=$J$1,0,1)),0)</f>
        <v>0</v>
      </c>
      <c r="T8">
        <f>IF($D8=1,IF(GDP_per_cap!P9&gt;'all_1961-1990'!$H$1,0,IF(UrbanPopRate!P9&gt;=$J$1,0,1)),0)</f>
        <v>0</v>
      </c>
      <c r="U8">
        <f>IF($D8=1,IF(GDP_per_cap!Q9&gt;'all_1961-1990'!$H$1,0,IF(UrbanPopRate!Q9&gt;=$J$1,0,1)),0)</f>
        <v>0</v>
      </c>
      <c r="V8">
        <f>IF($D8=1,IF(GDP_per_cap!R9&gt;'all_1961-1990'!$H$1,0,IF(UrbanPopRate!R9&gt;=$J$1,0,1)),0)</f>
        <v>0</v>
      </c>
      <c r="W8">
        <f>IF($D8=1,IF(GDP_per_cap!S9&gt;'all_1961-1990'!$H$1,0,IF(UrbanPopRate!S9&gt;=$J$1,0,1)),0)</f>
        <v>0</v>
      </c>
      <c r="X8">
        <f>IF($D8=1,IF(GDP_per_cap!T9&gt;'all_1961-1990'!$H$1,0,IF(UrbanPopRate!T9&gt;=$J$1,0,1)),0)</f>
        <v>0</v>
      </c>
      <c r="Y8">
        <f>IF($D8=1,IF(GDP_per_cap!U9&gt;'all_1961-1990'!$H$1,0,IF(UrbanPopRate!U9&gt;=$J$1,0,1)),0)</f>
        <v>0</v>
      </c>
      <c r="Z8">
        <f>IF($D8=1,IF(GDP_per_cap!V9&gt;'all_1961-1990'!$H$1,0,IF(UrbanPopRate!V9&gt;=$J$1,0,1)),0)</f>
        <v>0</v>
      </c>
      <c r="AA8">
        <f>IF($D8=1,IF(GDP_per_cap!W9&gt;'all_1961-1990'!$H$1,0,IF(UrbanPopRate!W9&gt;=$J$1,0,1)),0)</f>
        <v>0</v>
      </c>
      <c r="AB8">
        <f>IF($D8=1,IF(GDP_per_cap!X9&gt;'all_1961-1990'!$H$1,0,IF(UrbanPopRate!X9&gt;=$J$1,0,1)),0)</f>
        <v>0</v>
      </c>
      <c r="AC8">
        <f>IF($D8=1,IF(GDP_per_cap!Y9&gt;'all_1961-1990'!$H$1,0,IF(UrbanPopRate!Y9&gt;=$J$1,0,1)),0)</f>
        <v>0</v>
      </c>
      <c r="AD8">
        <f>IF($D8=1,IF(GDP_per_cap!Z9&gt;'all_1961-1990'!$H$1,0,IF(UrbanPopRate!Z9&gt;=$J$1,0,1)),0)</f>
        <v>0</v>
      </c>
      <c r="AE8">
        <f>IF($D8=1,IF(GDP_per_cap!AA9&gt;'all_1961-1990'!$H$1,0,IF(UrbanPopRate!AA9&gt;=$J$1,0,1)),0)</f>
        <v>0</v>
      </c>
      <c r="AF8">
        <f>IF($D8=1,IF(GDP_per_cap!AB9&gt;'all_1961-1990'!$H$1,0,IF(UrbanPopRate!AB9&gt;=$J$1,0,1)),0)</f>
        <v>0</v>
      </c>
      <c r="AG8">
        <f>IF($D8=1,IF(GDP_per_cap!AC9&gt;'all_1961-1990'!$H$1,0,IF(UrbanPopRate!AC9&gt;=$J$1,0,1)),0)</f>
        <v>0</v>
      </c>
      <c r="AH8">
        <f>IF($D8=1,IF(GDP_per_cap!AD9&gt;'all_1961-1990'!$H$1,0,IF(UrbanPopRate!AD9&gt;=$J$1,0,1)),0)</f>
        <v>0</v>
      </c>
      <c r="AI8">
        <f>IF($D8=1,IF(GDP_per_cap!AE9&gt;'all_1961-1990'!$H$1,0,IF(UrbanPopRate!AE9&gt;=$J$1,0,1)),0)</f>
        <v>0</v>
      </c>
      <c r="AJ8">
        <f>IF($D8=1,IF(GDP_per_cap!AF9&gt;'all_1961-1990'!$H$1,0,IF(UrbanPopRate!AF9&gt;=$J$1,0,1)),0)</f>
        <v>0</v>
      </c>
      <c r="AK8">
        <f>IF($D8=1,IF(GDP_per_cap!AG9&gt;'all_1961-1990'!$H$1,0,IF(UrbanPopRate!AG9&gt;=$J$1,0,1)),0)</f>
        <v>0</v>
      </c>
      <c r="AL8">
        <f>IF($D8=1,IF(GDP_per_cap!AH9&gt;'all_1961-1990'!$H$1,0,IF(UrbanPopRate!AH9&gt;=$J$1,0,1)),0)</f>
        <v>0</v>
      </c>
      <c r="AM8">
        <f>IF($D8=1,IF(GDP_per_cap!AI9&gt;'all_1961-1990'!$H$1,0,IF(UrbanPopRate!AI9&gt;=$J$1,0,1)),0)</f>
        <v>0</v>
      </c>
      <c r="AN8">
        <f>IF($D8=1,IF(GDP_per_cap!AJ9&gt;'all_1961-1990'!$H$1,0,IF(UrbanPopRate!AJ9&gt;=$J$1,0,1)),0)</f>
        <v>0</v>
      </c>
      <c r="AO8">
        <f>IF($D8=1,IF(GDP_per_cap!AK9&gt;'all_1961-1990'!$H$1,0,IF(UrbanPopRate!AK9&gt;=$J$1,0,1)),0)</f>
        <v>0</v>
      </c>
      <c r="AP8">
        <f>IF($D8=1,IF(GDP_per_cap!AL9&gt;'all_1961-1990'!$H$1,0,IF(UrbanPopRate!AL9&gt;=$J$1,0,1)),0)</f>
        <v>0</v>
      </c>
      <c r="AQ8">
        <f>IF($D8=1,IF(GDP_per_cap!AM9&gt;'all_1961-1990'!$H$1,0,IF(UrbanPopRate!AM9&gt;=$J$1,0,1)),0)</f>
        <v>0</v>
      </c>
      <c r="AR8">
        <f>IF($D8=1,IF(GDP_per_cap!AN9&gt;'all_1961-1990'!$H$1,0,IF(UrbanPopRate!AN9&gt;=$J$1,0,1)),0)</f>
        <v>0</v>
      </c>
      <c r="AS8">
        <f>IF($D8=1,IF(GDP_per_cap!AO9&gt;'all_1961-1990'!$H$1,0,IF(UrbanPopRate!AO9&gt;=$J$1,0,1)),0)</f>
        <v>0</v>
      </c>
      <c r="AT8">
        <f>IF($D8=1,IF(GDP_per_cap!AP9&gt;'all_1961-1990'!$H$1,0,IF(UrbanPopRate!AP9&gt;=$J$1,0,1)),0)</f>
        <v>0</v>
      </c>
      <c r="AU8">
        <f>IF($D8=1,IF(GDP_per_cap!AQ9&gt;'all_1961-1990'!$H$1,0,IF(UrbanPopRate!AQ9&gt;=$J$1,0,1)),0)</f>
        <v>0</v>
      </c>
      <c r="AV8">
        <f>IF($D8=1,IF(GDP_per_cap!AR9&gt;'all_1961-1990'!$H$1,0,IF(UrbanPopRate!AR9&gt;=$J$1,0,1)),0)</f>
        <v>0</v>
      </c>
      <c r="AW8">
        <f>IF($D8=1,IF(GDP_per_cap!AS9&gt;'all_1961-1990'!$H$1,0,IF(UrbanPopRate!AS9&gt;=$J$1,0,1)),0)</f>
        <v>0</v>
      </c>
      <c r="AX8">
        <f>IF($D8=1,IF(GDP_per_cap!AT9&gt;'all_1961-1990'!$H$1,0,IF(UrbanPopRate!AT9&gt;=$J$1,0,1)),0)</f>
        <v>0</v>
      </c>
      <c r="AY8">
        <f>IF($D8=1,IF(GDP_per_cap!AU9&gt;'all_1961-1990'!$H$1,0,IF(UrbanPopRate!AU9&gt;=$J$1,0,1)),0)</f>
        <v>0</v>
      </c>
      <c r="AZ8">
        <f>IF($D8=1,IF(GDP_per_cap!AV9&gt;'all_1961-1990'!$H$1,0,IF(UrbanPopRate!AV9&gt;=$J$1,0,1)),0)</f>
        <v>0</v>
      </c>
      <c r="BA8">
        <f>IF($D8=1,IF(GDP_per_cap!AW9&gt;'all_1961-1990'!$H$1,0,IF(UrbanPopRate!AW9&gt;=$J$1,0,1)),0)</f>
        <v>0</v>
      </c>
      <c r="BB8">
        <f>IF($D8=1,IF(GDP_per_cap!AX9&gt;'all_1961-1990'!$H$1,0,IF(UrbanPopRate!AX9&gt;=$J$1,0,1)),0)</f>
        <v>0</v>
      </c>
      <c r="BC8">
        <f>IF($D8=1,IF(GDP_per_cap!AY9&gt;'all_1961-1990'!$H$1,0,IF(UrbanPopRate!AY9&gt;=$J$1,0,1)),0)</f>
        <v>0</v>
      </c>
      <c r="BD8">
        <f>IF($D8=1,IF(GDP_per_cap!AZ9&gt;'all_1961-1990'!$H$1,0,IF(UrbanPopRate!AZ9&gt;=$J$1,0,1)),0)</f>
        <v>0</v>
      </c>
      <c r="BE8">
        <f>IF($D8=1,IF(GDP_per_cap!BA9&gt;'all_1961-1990'!$H$1,0,IF(UrbanPopRate!BA9&gt;=$J$1,0,1)),0)</f>
        <v>0</v>
      </c>
      <c r="BF8">
        <f>IF($D8=1,IF(GDP_per_cap!BB9&gt;'all_1961-1990'!$H$1,0,IF(UrbanPopRate!BB9&gt;=$J$1,0,1)),0)</f>
        <v>0</v>
      </c>
    </row>
    <row r="9" spans="1:58">
      <c r="A9" s="3">
        <v>81</v>
      </c>
      <c r="B9" s="3" t="s">
        <v>104</v>
      </c>
      <c r="C9" s="2">
        <v>1</v>
      </c>
      <c r="D9" s="35">
        <v>0</v>
      </c>
      <c r="E9" s="2">
        <v>72.461399999999998</v>
      </c>
      <c r="F9" s="36">
        <v>22853.3475</v>
      </c>
      <c r="G9">
        <f>IF($D9=1,IF(GDP_per_cap!C52&gt;'all_1961-1990'!$H$1,0,IF(UrbanPopRate!C52&gt;=$J$1,0,1)),0)</f>
        <v>0</v>
      </c>
      <c r="H9">
        <f>IF($D9=1,IF(GDP_per_cap!D52&gt;'all_1961-1990'!$H$1,0,IF(UrbanPopRate!D52&gt;=$J$1,0,1)),0)</f>
        <v>0</v>
      </c>
      <c r="I9">
        <f>IF($D9=1,IF(GDP_per_cap!E52&gt;'all_1961-1990'!$H$1,0,IF(UrbanPopRate!E52&gt;=$J$1,0,1)),0)</f>
        <v>0</v>
      </c>
      <c r="J9">
        <f>IF($D9=1,IF(GDP_per_cap!F52&gt;'all_1961-1990'!$H$1,0,IF(UrbanPopRate!F52&gt;=$J$1,0,1)),0)</f>
        <v>0</v>
      </c>
      <c r="K9">
        <f>IF($D9=1,IF(GDP_per_cap!G52&gt;'all_1961-1990'!$H$1,0,IF(UrbanPopRate!G52&gt;=$J$1,0,1)),0)</f>
        <v>0</v>
      </c>
      <c r="L9">
        <f>IF($D9=1,IF(GDP_per_cap!H52&gt;'all_1961-1990'!$H$1,0,IF(UrbanPopRate!H52&gt;=$J$1,0,1)),0)</f>
        <v>0</v>
      </c>
      <c r="M9">
        <f>IF($D9=1,IF(GDP_per_cap!I52&gt;'all_1961-1990'!$H$1,0,IF(UrbanPopRate!I52&gt;=$J$1,0,1)),0)</f>
        <v>0</v>
      </c>
      <c r="N9">
        <f>IF($D9=1,IF(GDP_per_cap!J52&gt;'all_1961-1990'!$H$1,0,IF(UrbanPopRate!J52&gt;=$J$1,0,1)),0)</f>
        <v>0</v>
      </c>
      <c r="O9">
        <f>IF($D9=1,IF(GDP_per_cap!K52&gt;'all_1961-1990'!$H$1,0,IF(UrbanPopRate!K52&gt;=$J$1,0,1)),0)</f>
        <v>0</v>
      </c>
      <c r="P9">
        <f>IF($D9=1,IF(GDP_per_cap!L52&gt;'all_1961-1990'!$H$1,0,IF(UrbanPopRate!L52&gt;=$J$1,0,1)),0)</f>
        <v>0</v>
      </c>
      <c r="Q9">
        <f>IF($D9=1,IF(GDP_per_cap!M52&gt;'all_1961-1990'!$H$1,0,IF(UrbanPopRate!M52&gt;=$J$1,0,1)),0)</f>
        <v>0</v>
      </c>
      <c r="R9">
        <f>IF($D9=1,IF(GDP_per_cap!N52&gt;'all_1961-1990'!$H$1,0,IF(UrbanPopRate!N52&gt;=$J$1,0,1)),0)</f>
        <v>0</v>
      </c>
      <c r="S9">
        <f>IF($D9=1,IF(GDP_per_cap!O52&gt;'all_1961-1990'!$H$1,0,IF(UrbanPopRate!O52&gt;=$J$1,0,1)),0)</f>
        <v>0</v>
      </c>
      <c r="T9">
        <f>IF($D9=1,IF(GDP_per_cap!P52&gt;'all_1961-1990'!$H$1,0,IF(UrbanPopRate!P52&gt;=$J$1,0,1)),0)</f>
        <v>0</v>
      </c>
      <c r="U9">
        <f>IF($D9=1,IF(GDP_per_cap!Q52&gt;'all_1961-1990'!$H$1,0,IF(UrbanPopRate!Q52&gt;=$J$1,0,1)),0)</f>
        <v>0</v>
      </c>
      <c r="V9">
        <f>IF($D9=1,IF(GDP_per_cap!R52&gt;'all_1961-1990'!$H$1,0,IF(UrbanPopRate!R52&gt;=$J$1,0,1)),0)</f>
        <v>0</v>
      </c>
      <c r="W9">
        <f>IF($D9=1,IF(GDP_per_cap!S52&gt;'all_1961-1990'!$H$1,0,IF(UrbanPopRate!S52&gt;=$J$1,0,1)),0)</f>
        <v>0</v>
      </c>
      <c r="X9">
        <f>IF($D9=1,IF(GDP_per_cap!T52&gt;'all_1961-1990'!$H$1,0,IF(UrbanPopRate!T52&gt;=$J$1,0,1)),0)</f>
        <v>0</v>
      </c>
      <c r="Y9">
        <f>IF($D9=1,IF(GDP_per_cap!U52&gt;'all_1961-1990'!$H$1,0,IF(UrbanPopRate!U52&gt;=$J$1,0,1)),0)</f>
        <v>0</v>
      </c>
      <c r="Z9">
        <f>IF($D9=1,IF(GDP_per_cap!V52&gt;'all_1961-1990'!$H$1,0,IF(UrbanPopRate!V52&gt;=$J$1,0,1)),0)</f>
        <v>0</v>
      </c>
      <c r="AA9">
        <f>IF($D9=1,IF(GDP_per_cap!W52&gt;'all_1961-1990'!$H$1,0,IF(UrbanPopRate!W52&gt;=$J$1,0,1)),0)</f>
        <v>0</v>
      </c>
      <c r="AB9">
        <f>IF($D9=1,IF(GDP_per_cap!X52&gt;'all_1961-1990'!$H$1,0,IF(UrbanPopRate!X52&gt;=$J$1,0,1)),0)</f>
        <v>0</v>
      </c>
      <c r="AC9">
        <f>IF($D9=1,IF(GDP_per_cap!Y52&gt;'all_1961-1990'!$H$1,0,IF(UrbanPopRate!Y52&gt;=$J$1,0,1)),0)</f>
        <v>0</v>
      </c>
      <c r="AD9">
        <f>IF($D9=1,IF(GDP_per_cap!Z52&gt;'all_1961-1990'!$H$1,0,IF(UrbanPopRate!Z52&gt;=$J$1,0,1)),0)</f>
        <v>0</v>
      </c>
      <c r="AE9">
        <f>IF($D9=1,IF(GDP_per_cap!AA52&gt;'all_1961-1990'!$H$1,0,IF(UrbanPopRate!AA52&gt;=$J$1,0,1)),0)</f>
        <v>0</v>
      </c>
      <c r="AF9">
        <f>IF($D9=1,IF(GDP_per_cap!AB52&gt;'all_1961-1990'!$H$1,0,IF(UrbanPopRate!AB52&gt;=$J$1,0,1)),0)</f>
        <v>0</v>
      </c>
      <c r="AG9">
        <f>IF($D9=1,IF(GDP_per_cap!AC52&gt;'all_1961-1990'!$H$1,0,IF(UrbanPopRate!AC52&gt;=$J$1,0,1)),0)</f>
        <v>0</v>
      </c>
      <c r="AH9">
        <f>IF($D9=1,IF(GDP_per_cap!AD52&gt;'all_1961-1990'!$H$1,0,IF(UrbanPopRate!AD52&gt;=$J$1,0,1)),0)</f>
        <v>0</v>
      </c>
      <c r="AI9">
        <f>IF($D9=1,IF(GDP_per_cap!AE52&gt;'all_1961-1990'!$H$1,0,IF(UrbanPopRate!AE52&gt;=$J$1,0,1)),0)</f>
        <v>0</v>
      </c>
      <c r="AJ9">
        <f>IF($D9=1,IF(GDP_per_cap!AF52&gt;'all_1961-1990'!$H$1,0,IF(UrbanPopRate!AF52&gt;=$J$1,0,1)),0)</f>
        <v>0</v>
      </c>
      <c r="AK9">
        <f>IF($D9=1,IF(GDP_per_cap!AG52&gt;'all_1961-1990'!$H$1,0,IF(UrbanPopRate!AG52&gt;=$J$1,0,1)),0)</f>
        <v>0</v>
      </c>
      <c r="AL9">
        <f>IF($D9=1,IF(GDP_per_cap!AH52&gt;'all_1961-1990'!$H$1,0,IF(UrbanPopRate!AH52&gt;=$J$1,0,1)),0)</f>
        <v>0</v>
      </c>
      <c r="AM9">
        <f>IF($D9=1,IF(GDP_per_cap!AI52&gt;'all_1961-1990'!$H$1,0,IF(UrbanPopRate!AI52&gt;=$J$1,0,1)),0)</f>
        <v>0</v>
      </c>
      <c r="AN9">
        <f>IF($D9=1,IF(GDP_per_cap!AJ52&gt;'all_1961-1990'!$H$1,0,IF(UrbanPopRate!AJ52&gt;=$J$1,0,1)),0)</f>
        <v>0</v>
      </c>
      <c r="AO9">
        <f>IF($D9=1,IF(GDP_per_cap!AK52&gt;'all_1961-1990'!$H$1,0,IF(UrbanPopRate!AK52&gt;=$J$1,0,1)),0)</f>
        <v>0</v>
      </c>
      <c r="AP9">
        <f>IF($D9=1,IF(GDP_per_cap!AL52&gt;'all_1961-1990'!$H$1,0,IF(UrbanPopRate!AL52&gt;=$J$1,0,1)),0)</f>
        <v>0</v>
      </c>
      <c r="AQ9">
        <f>IF($D9=1,IF(GDP_per_cap!AM52&gt;'all_1961-1990'!$H$1,0,IF(UrbanPopRate!AM52&gt;=$J$1,0,1)),0)</f>
        <v>0</v>
      </c>
      <c r="AR9">
        <f>IF($D9=1,IF(GDP_per_cap!AN52&gt;'all_1961-1990'!$H$1,0,IF(UrbanPopRate!AN52&gt;=$J$1,0,1)),0)</f>
        <v>0</v>
      </c>
      <c r="AS9">
        <f>IF($D9=1,IF(GDP_per_cap!AO52&gt;'all_1961-1990'!$H$1,0,IF(UrbanPopRate!AO52&gt;=$J$1,0,1)),0)</f>
        <v>0</v>
      </c>
      <c r="AT9">
        <f>IF($D9=1,IF(GDP_per_cap!AP52&gt;'all_1961-1990'!$H$1,0,IF(UrbanPopRate!AP52&gt;=$J$1,0,1)),0)</f>
        <v>0</v>
      </c>
      <c r="AU9">
        <f>IF($D9=1,IF(GDP_per_cap!AQ52&gt;'all_1961-1990'!$H$1,0,IF(UrbanPopRate!AQ52&gt;=$J$1,0,1)),0)</f>
        <v>0</v>
      </c>
      <c r="AV9">
        <f>IF($D9=1,IF(GDP_per_cap!AR52&gt;'all_1961-1990'!$H$1,0,IF(UrbanPopRate!AR52&gt;=$J$1,0,1)),0)</f>
        <v>0</v>
      </c>
      <c r="AW9">
        <f>IF($D9=1,IF(GDP_per_cap!AS52&gt;'all_1961-1990'!$H$1,0,IF(UrbanPopRate!AS52&gt;=$J$1,0,1)),0)</f>
        <v>0</v>
      </c>
      <c r="AX9">
        <f>IF($D9=1,IF(GDP_per_cap!AT52&gt;'all_1961-1990'!$H$1,0,IF(UrbanPopRate!AT52&gt;=$J$1,0,1)),0)</f>
        <v>0</v>
      </c>
      <c r="AY9">
        <f>IF($D9=1,IF(GDP_per_cap!AU52&gt;'all_1961-1990'!$H$1,0,IF(UrbanPopRate!AU52&gt;=$J$1,0,1)),0)</f>
        <v>0</v>
      </c>
      <c r="AZ9">
        <f>IF($D9=1,IF(GDP_per_cap!AV52&gt;'all_1961-1990'!$H$1,0,IF(UrbanPopRate!AV52&gt;=$J$1,0,1)),0)</f>
        <v>0</v>
      </c>
      <c r="BA9">
        <f>IF($D9=1,IF(GDP_per_cap!AW52&gt;'all_1961-1990'!$H$1,0,IF(UrbanPopRate!AW52&gt;=$J$1,0,1)),0)</f>
        <v>0</v>
      </c>
      <c r="BB9">
        <f>IF($D9=1,IF(GDP_per_cap!AX52&gt;'all_1961-1990'!$H$1,0,IF(UrbanPopRate!AX52&gt;=$J$1,0,1)),0)</f>
        <v>0</v>
      </c>
      <c r="BC9">
        <f>IF($D9=1,IF(GDP_per_cap!AY52&gt;'all_1961-1990'!$H$1,0,IF(UrbanPopRate!AY52&gt;=$J$1,0,1)),0)</f>
        <v>0</v>
      </c>
      <c r="BD9">
        <f>IF($D9=1,IF(GDP_per_cap!AZ52&gt;'all_1961-1990'!$H$1,0,IF(UrbanPopRate!AZ52&gt;=$J$1,0,1)),0)</f>
        <v>0</v>
      </c>
      <c r="BE9">
        <f>IF($D9=1,IF(GDP_per_cap!BA52&gt;'all_1961-1990'!$H$1,0,IF(UrbanPopRate!BA52&gt;=$J$1,0,1)),0)</f>
        <v>0</v>
      </c>
      <c r="BF9">
        <f>IF($D9=1,IF(GDP_per_cap!BB52&gt;'all_1961-1990'!$H$1,0,IF(UrbanPopRate!BB52&gt;=$J$1,0,1)),0)</f>
        <v>0</v>
      </c>
    </row>
    <row r="10" spans="1:58">
      <c r="A10" s="3">
        <v>209</v>
      </c>
      <c r="B10" s="3" t="s">
        <v>23</v>
      </c>
      <c r="C10" s="2">
        <v>1</v>
      </c>
      <c r="D10" s="35">
        <v>0</v>
      </c>
      <c r="E10" s="2">
        <v>80.977166666666648</v>
      </c>
      <c r="F10" s="36">
        <v>22502.77347</v>
      </c>
      <c r="G10">
        <f>IF($D10=1,IF(GDP_per_cap!C133&gt;'all_1961-1990'!$H$1,0,IF(UrbanPopRate!C133&gt;=$J$1,0,1)),0)</f>
        <v>0</v>
      </c>
      <c r="H10">
        <f>IF($D10=1,IF(GDP_per_cap!D133&gt;'all_1961-1990'!$H$1,0,IF(UrbanPopRate!D133&gt;=$J$1,0,1)),0)</f>
        <v>0</v>
      </c>
      <c r="I10">
        <f>IF($D10=1,IF(GDP_per_cap!E133&gt;'all_1961-1990'!$H$1,0,IF(UrbanPopRate!E133&gt;=$J$1,0,1)),0)</f>
        <v>0</v>
      </c>
      <c r="J10">
        <f>IF($D10=1,IF(GDP_per_cap!F133&gt;'all_1961-1990'!$H$1,0,IF(UrbanPopRate!F133&gt;=$J$1,0,1)),0)</f>
        <v>0</v>
      </c>
      <c r="K10">
        <f>IF($D10=1,IF(GDP_per_cap!G133&gt;'all_1961-1990'!$H$1,0,IF(UrbanPopRate!G133&gt;=$J$1,0,1)),0)</f>
        <v>0</v>
      </c>
      <c r="L10">
        <f>IF($D10=1,IF(GDP_per_cap!H133&gt;'all_1961-1990'!$H$1,0,IF(UrbanPopRate!H133&gt;=$J$1,0,1)),0)</f>
        <v>0</v>
      </c>
      <c r="M10">
        <f>IF($D10=1,IF(GDP_per_cap!I133&gt;'all_1961-1990'!$H$1,0,IF(UrbanPopRate!I133&gt;=$J$1,0,1)),0)</f>
        <v>0</v>
      </c>
      <c r="N10">
        <f>IF($D10=1,IF(GDP_per_cap!J133&gt;'all_1961-1990'!$H$1,0,IF(UrbanPopRate!J133&gt;=$J$1,0,1)),0)</f>
        <v>0</v>
      </c>
      <c r="O10">
        <f>IF($D10=1,IF(GDP_per_cap!K133&gt;'all_1961-1990'!$H$1,0,IF(UrbanPopRate!K133&gt;=$J$1,0,1)),0)</f>
        <v>0</v>
      </c>
      <c r="P10">
        <f>IF($D10=1,IF(GDP_per_cap!L133&gt;'all_1961-1990'!$H$1,0,IF(UrbanPopRate!L133&gt;=$J$1,0,1)),0)</f>
        <v>0</v>
      </c>
      <c r="Q10">
        <f>IF($D10=1,IF(GDP_per_cap!M133&gt;'all_1961-1990'!$H$1,0,IF(UrbanPopRate!M133&gt;=$J$1,0,1)),0)</f>
        <v>0</v>
      </c>
      <c r="R10">
        <f>IF($D10=1,IF(GDP_per_cap!N133&gt;'all_1961-1990'!$H$1,0,IF(UrbanPopRate!N133&gt;=$J$1,0,1)),0)</f>
        <v>0</v>
      </c>
      <c r="S10">
        <f>IF($D10=1,IF(GDP_per_cap!O133&gt;'all_1961-1990'!$H$1,0,IF(UrbanPopRate!O133&gt;=$J$1,0,1)),0)</f>
        <v>0</v>
      </c>
      <c r="T10">
        <f>IF($D10=1,IF(GDP_per_cap!P133&gt;'all_1961-1990'!$H$1,0,IF(UrbanPopRate!P133&gt;=$J$1,0,1)),0)</f>
        <v>0</v>
      </c>
      <c r="U10">
        <f>IF($D10=1,IF(GDP_per_cap!Q133&gt;'all_1961-1990'!$H$1,0,IF(UrbanPopRate!Q133&gt;=$J$1,0,1)),0)</f>
        <v>0</v>
      </c>
      <c r="V10">
        <f>IF($D10=1,IF(GDP_per_cap!R133&gt;'all_1961-1990'!$H$1,0,IF(UrbanPopRate!R133&gt;=$J$1,0,1)),0)</f>
        <v>0</v>
      </c>
      <c r="W10">
        <f>IF($D10=1,IF(GDP_per_cap!S133&gt;'all_1961-1990'!$H$1,0,IF(UrbanPopRate!S133&gt;=$J$1,0,1)),0)</f>
        <v>0</v>
      </c>
      <c r="X10">
        <f>IF($D10=1,IF(GDP_per_cap!T133&gt;'all_1961-1990'!$H$1,0,IF(UrbanPopRate!T133&gt;=$J$1,0,1)),0)</f>
        <v>0</v>
      </c>
      <c r="Y10">
        <f>IF($D10=1,IF(GDP_per_cap!U133&gt;'all_1961-1990'!$H$1,0,IF(UrbanPopRate!U133&gt;=$J$1,0,1)),0)</f>
        <v>0</v>
      </c>
      <c r="Z10">
        <f>IF($D10=1,IF(GDP_per_cap!V133&gt;'all_1961-1990'!$H$1,0,IF(UrbanPopRate!V133&gt;=$J$1,0,1)),0)</f>
        <v>0</v>
      </c>
      <c r="AA10">
        <f>IF($D10=1,IF(GDP_per_cap!W133&gt;'all_1961-1990'!$H$1,0,IF(UrbanPopRate!W133&gt;=$J$1,0,1)),0)</f>
        <v>0</v>
      </c>
      <c r="AB10">
        <f>IF($D10=1,IF(GDP_per_cap!X133&gt;'all_1961-1990'!$H$1,0,IF(UrbanPopRate!X133&gt;=$J$1,0,1)),0)</f>
        <v>0</v>
      </c>
      <c r="AC10">
        <f>IF($D10=1,IF(GDP_per_cap!Y133&gt;'all_1961-1990'!$H$1,0,IF(UrbanPopRate!Y133&gt;=$J$1,0,1)),0)</f>
        <v>0</v>
      </c>
      <c r="AD10">
        <f>IF($D10=1,IF(GDP_per_cap!Z133&gt;'all_1961-1990'!$H$1,0,IF(UrbanPopRate!Z133&gt;=$J$1,0,1)),0)</f>
        <v>0</v>
      </c>
      <c r="AE10">
        <f>IF($D10=1,IF(GDP_per_cap!AA133&gt;'all_1961-1990'!$H$1,0,IF(UrbanPopRate!AA133&gt;=$J$1,0,1)),0)</f>
        <v>0</v>
      </c>
      <c r="AF10">
        <f>IF($D10=1,IF(GDP_per_cap!AB133&gt;'all_1961-1990'!$H$1,0,IF(UrbanPopRate!AB133&gt;=$J$1,0,1)),0)</f>
        <v>0</v>
      </c>
      <c r="AG10">
        <f>IF($D10=1,IF(GDP_per_cap!AC133&gt;'all_1961-1990'!$H$1,0,IF(UrbanPopRate!AC133&gt;=$J$1,0,1)),0)</f>
        <v>0</v>
      </c>
      <c r="AH10">
        <f>IF($D10=1,IF(GDP_per_cap!AD133&gt;'all_1961-1990'!$H$1,0,IF(UrbanPopRate!AD133&gt;=$J$1,0,1)),0)</f>
        <v>0</v>
      </c>
      <c r="AI10">
        <f>IF($D10=1,IF(GDP_per_cap!AE133&gt;'all_1961-1990'!$H$1,0,IF(UrbanPopRate!AE133&gt;=$J$1,0,1)),0)</f>
        <v>0</v>
      </c>
      <c r="AJ10">
        <f>IF($D10=1,IF(GDP_per_cap!AF133&gt;'all_1961-1990'!$H$1,0,IF(UrbanPopRate!AF133&gt;=$J$1,0,1)),0)</f>
        <v>0</v>
      </c>
      <c r="AK10">
        <f>IF($D10=1,IF(GDP_per_cap!AG133&gt;'all_1961-1990'!$H$1,0,IF(UrbanPopRate!AG133&gt;=$J$1,0,1)),0)</f>
        <v>0</v>
      </c>
      <c r="AL10">
        <f>IF($D10=1,IF(GDP_per_cap!AH133&gt;'all_1961-1990'!$H$1,0,IF(UrbanPopRate!AH133&gt;=$J$1,0,1)),0)</f>
        <v>0</v>
      </c>
      <c r="AM10">
        <f>IF($D10=1,IF(GDP_per_cap!AI133&gt;'all_1961-1990'!$H$1,0,IF(UrbanPopRate!AI133&gt;=$J$1,0,1)),0)</f>
        <v>0</v>
      </c>
      <c r="AN10">
        <f>IF($D10=1,IF(GDP_per_cap!AJ133&gt;'all_1961-1990'!$H$1,0,IF(UrbanPopRate!AJ133&gt;=$J$1,0,1)),0)</f>
        <v>0</v>
      </c>
      <c r="AO10">
        <f>IF($D10=1,IF(GDP_per_cap!AK133&gt;'all_1961-1990'!$H$1,0,IF(UrbanPopRate!AK133&gt;=$J$1,0,1)),0)</f>
        <v>0</v>
      </c>
      <c r="AP10">
        <f>IF($D10=1,IF(GDP_per_cap!AL133&gt;'all_1961-1990'!$H$1,0,IF(UrbanPopRate!AL133&gt;=$J$1,0,1)),0)</f>
        <v>0</v>
      </c>
      <c r="AQ10">
        <f>IF($D10=1,IF(GDP_per_cap!AM133&gt;'all_1961-1990'!$H$1,0,IF(UrbanPopRate!AM133&gt;=$J$1,0,1)),0)</f>
        <v>0</v>
      </c>
      <c r="AR10">
        <f>IF($D10=1,IF(GDP_per_cap!AN133&gt;'all_1961-1990'!$H$1,0,IF(UrbanPopRate!AN133&gt;=$J$1,0,1)),0)</f>
        <v>0</v>
      </c>
      <c r="AS10">
        <f>IF($D10=1,IF(GDP_per_cap!AO133&gt;'all_1961-1990'!$H$1,0,IF(UrbanPopRate!AO133&gt;=$J$1,0,1)),0)</f>
        <v>0</v>
      </c>
      <c r="AT10">
        <f>IF($D10=1,IF(GDP_per_cap!AP133&gt;'all_1961-1990'!$H$1,0,IF(UrbanPopRate!AP133&gt;=$J$1,0,1)),0)</f>
        <v>0</v>
      </c>
      <c r="AU10">
        <f>IF($D10=1,IF(GDP_per_cap!AQ133&gt;'all_1961-1990'!$H$1,0,IF(UrbanPopRate!AQ133&gt;=$J$1,0,1)),0)</f>
        <v>0</v>
      </c>
      <c r="AV10">
        <f>IF($D10=1,IF(GDP_per_cap!AR133&gt;'all_1961-1990'!$H$1,0,IF(UrbanPopRate!AR133&gt;=$J$1,0,1)),0)</f>
        <v>0</v>
      </c>
      <c r="AW10">
        <f>IF($D10=1,IF(GDP_per_cap!AS133&gt;'all_1961-1990'!$H$1,0,IF(UrbanPopRate!AS133&gt;=$J$1,0,1)),0)</f>
        <v>0</v>
      </c>
      <c r="AX10">
        <f>IF($D10=1,IF(GDP_per_cap!AT133&gt;'all_1961-1990'!$H$1,0,IF(UrbanPopRate!AT133&gt;=$J$1,0,1)),0)</f>
        <v>0</v>
      </c>
      <c r="AY10">
        <f>IF($D10=1,IF(GDP_per_cap!AU133&gt;'all_1961-1990'!$H$1,0,IF(UrbanPopRate!AU133&gt;=$J$1,0,1)),0)</f>
        <v>0</v>
      </c>
      <c r="AZ10">
        <f>IF($D10=1,IF(GDP_per_cap!AV133&gt;'all_1961-1990'!$H$1,0,IF(UrbanPopRate!AV133&gt;=$J$1,0,1)),0)</f>
        <v>0</v>
      </c>
      <c r="BA10">
        <f>IF($D10=1,IF(GDP_per_cap!AW133&gt;'all_1961-1990'!$H$1,0,IF(UrbanPopRate!AW133&gt;=$J$1,0,1)),0)</f>
        <v>0</v>
      </c>
      <c r="BB10">
        <f>IF($D10=1,IF(GDP_per_cap!AX133&gt;'all_1961-1990'!$H$1,0,IF(UrbanPopRate!AX133&gt;=$J$1,0,1)),0)</f>
        <v>0</v>
      </c>
      <c r="BC10">
        <f>IF($D10=1,IF(GDP_per_cap!AY133&gt;'all_1961-1990'!$H$1,0,IF(UrbanPopRate!AY133&gt;=$J$1,0,1)),0)</f>
        <v>0</v>
      </c>
      <c r="BD10">
        <f>IF($D10=1,IF(GDP_per_cap!AZ133&gt;'all_1961-1990'!$H$1,0,IF(UrbanPopRate!AZ133&gt;=$J$1,0,1)),0)</f>
        <v>0</v>
      </c>
      <c r="BE10">
        <f>IF($D10=1,IF(GDP_per_cap!BA133&gt;'all_1961-1990'!$H$1,0,IF(UrbanPopRate!BA133&gt;=$J$1,0,1)),0)</f>
        <v>0</v>
      </c>
      <c r="BF10">
        <f>IF($D10=1,IF(GDP_per_cap!BB133&gt;'all_1961-1990'!$H$1,0,IF(UrbanPopRate!BB133&gt;=$J$1,0,1)),0)</f>
        <v>0</v>
      </c>
    </row>
    <row r="11" spans="1:58">
      <c r="A11" s="3">
        <v>191</v>
      </c>
      <c r="B11" s="3" t="s">
        <v>35</v>
      </c>
      <c r="C11" s="2">
        <v>1</v>
      </c>
      <c r="D11" s="35">
        <v>0</v>
      </c>
      <c r="E11" s="2">
        <v>57.123966666666661</v>
      </c>
      <c r="F11" s="36">
        <v>22209.258890000001</v>
      </c>
      <c r="G11">
        <f>IF($D11=1,IF(GDP_per_cap!C121&gt;'all_1961-1990'!$H$1,0,IF(UrbanPopRate!C121&gt;=$J$1,0,1)),0)</f>
        <v>0</v>
      </c>
      <c r="H11">
        <f>IF($D11=1,IF(GDP_per_cap!D121&gt;'all_1961-1990'!$H$1,0,IF(UrbanPopRate!D121&gt;=$J$1,0,1)),0)</f>
        <v>0</v>
      </c>
      <c r="I11">
        <f>IF($D11=1,IF(GDP_per_cap!E121&gt;'all_1961-1990'!$H$1,0,IF(UrbanPopRate!E121&gt;=$J$1,0,1)),0)</f>
        <v>0</v>
      </c>
      <c r="J11">
        <f>IF($D11=1,IF(GDP_per_cap!F121&gt;'all_1961-1990'!$H$1,0,IF(UrbanPopRate!F121&gt;=$J$1,0,1)),0)</f>
        <v>0</v>
      </c>
      <c r="K11">
        <f>IF($D11=1,IF(GDP_per_cap!G121&gt;'all_1961-1990'!$H$1,0,IF(UrbanPopRate!G121&gt;=$J$1,0,1)),0)</f>
        <v>0</v>
      </c>
      <c r="L11">
        <f>IF($D11=1,IF(GDP_per_cap!H121&gt;'all_1961-1990'!$H$1,0,IF(UrbanPopRate!H121&gt;=$J$1,0,1)),0)</f>
        <v>0</v>
      </c>
      <c r="M11">
        <f>IF($D11=1,IF(GDP_per_cap!I121&gt;'all_1961-1990'!$H$1,0,IF(UrbanPopRate!I121&gt;=$J$1,0,1)),0)</f>
        <v>0</v>
      </c>
      <c r="N11">
        <f>IF($D11=1,IF(GDP_per_cap!J121&gt;'all_1961-1990'!$H$1,0,IF(UrbanPopRate!J121&gt;=$J$1,0,1)),0)</f>
        <v>0</v>
      </c>
      <c r="O11">
        <f>IF($D11=1,IF(GDP_per_cap!K121&gt;'all_1961-1990'!$H$1,0,IF(UrbanPopRate!K121&gt;=$J$1,0,1)),0)</f>
        <v>0</v>
      </c>
      <c r="P11">
        <f>IF($D11=1,IF(GDP_per_cap!L121&gt;'all_1961-1990'!$H$1,0,IF(UrbanPopRate!L121&gt;=$J$1,0,1)),0)</f>
        <v>0</v>
      </c>
      <c r="Q11">
        <f>IF($D11=1,IF(GDP_per_cap!M121&gt;'all_1961-1990'!$H$1,0,IF(UrbanPopRate!M121&gt;=$J$1,0,1)),0)</f>
        <v>0</v>
      </c>
      <c r="R11">
        <f>IF($D11=1,IF(GDP_per_cap!N121&gt;'all_1961-1990'!$H$1,0,IF(UrbanPopRate!N121&gt;=$J$1,0,1)),0)</f>
        <v>0</v>
      </c>
      <c r="S11">
        <f>IF($D11=1,IF(GDP_per_cap!O121&gt;'all_1961-1990'!$H$1,0,IF(UrbanPopRate!O121&gt;=$J$1,0,1)),0)</f>
        <v>0</v>
      </c>
      <c r="T11">
        <f>IF($D11=1,IF(GDP_per_cap!P121&gt;'all_1961-1990'!$H$1,0,IF(UrbanPopRate!P121&gt;=$J$1,0,1)),0)</f>
        <v>0</v>
      </c>
      <c r="U11">
        <f>IF($D11=1,IF(GDP_per_cap!Q121&gt;'all_1961-1990'!$H$1,0,IF(UrbanPopRate!Q121&gt;=$J$1,0,1)),0)</f>
        <v>0</v>
      </c>
      <c r="V11">
        <f>IF($D11=1,IF(GDP_per_cap!R121&gt;'all_1961-1990'!$H$1,0,IF(UrbanPopRate!R121&gt;=$J$1,0,1)),0)</f>
        <v>0</v>
      </c>
      <c r="W11">
        <f>IF($D11=1,IF(GDP_per_cap!S121&gt;'all_1961-1990'!$H$1,0,IF(UrbanPopRate!S121&gt;=$J$1,0,1)),0)</f>
        <v>0</v>
      </c>
      <c r="X11">
        <f>IF($D11=1,IF(GDP_per_cap!T121&gt;'all_1961-1990'!$H$1,0,IF(UrbanPopRate!T121&gt;=$J$1,0,1)),0)</f>
        <v>0</v>
      </c>
      <c r="Y11">
        <f>IF($D11=1,IF(GDP_per_cap!U121&gt;'all_1961-1990'!$H$1,0,IF(UrbanPopRate!U121&gt;=$J$1,0,1)),0)</f>
        <v>0</v>
      </c>
      <c r="Z11">
        <f>IF($D11=1,IF(GDP_per_cap!V121&gt;'all_1961-1990'!$H$1,0,IF(UrbanPopRate!V121&gt;=$J$1,0,1)),0)</f>
        <v>0</v>
      </c>
      <c r="AA11">
        <f>IF($D11=1,IF(GDP_per_cap!W121&gt;'all_1961-1990'!$H$1,0,IF(UrbanPopRate!W121&gt;=$J$1,0,1)),0)</f>
        <v>0</v>
      </c>
      <c r="AB11">
        <f>IF($D11=1,IF(GDP_per_cap!X121&gt;'all_1961-1990'!$H$1,0,IF(UrbanPopRate!X121&gt;=$J$1,0,1)),0)</f>
        <v>0</v>
      </c>
      <c r="AC11">
        <f>IF($D11=1,IF(GDP_per_cap!Y121&gt;'all_1961-1990'!$H$1,0,IF(UrbanPopRate!Y121&gt;=$J$1,0,1)),0)</f>
        <v>0</v>
      </c>
      <c r="AD11">
        <f>IF($D11=1,IF(GDP_per_cap!Z121&gt;'all_1961-1990'!$H$1,0,IF(UrbanPopRate!Z121&gt;=$J$1,0,1)),0)</f>
        <v>0</v>
      </c>
      <c r="AE11">
        <f>IF($D11=1,IF(GDP_per_cap!AA121&gt;'all_1961-1990'!$H$1,0,IF(UrbanPopRate!AA121&gt;=$J$1,0,1)),0)</f>
        <v>0</v>
      </c>
      <c r="AF11">
        <f>IF($D11=1,IF(GDP_per_cap!AB121&gt;'all_1961-1990'!$H$1,0,IF(UrbanPopRate!AB121&gt;=$J$1,0,1)),0)</f>
        <v>0</v>
      </c>
      <c r="AG11">
        <f>IF($D11=1,IF(GDP_per_cap!AC121&gt;'all_1961-1990'!$H$1,0,IF(UrbanPopRate!AC121&gt;=$J$1,0,1)),0)</f>
        <v>0</v>
      </c>
      <c r="AH11">
        <f>IF($D11=1,IF(GDP_per_cap!AD121&gt;'all_1961-1990'!$H$1,0,IF(UrbanPopRate!AD121&gt;=$J$1,0,1)),0)</f>
        <v>0</v>
      </c>
      <c r="AI11">
        <f>IF($D11=1,IF(GDP_per_cap!AE121&gt;'all_1961-1990'!$H$1,0,IF(UrbanPopRate!AE121&gt;=$J$1,0,1)),0)</f>
        <v>0</v>
      </c>
      <c r="AJ11">
        <f>IF($D11=1,IF(GDP_per_cap!AF121&gt;'all_1961-1990'!$H$1,0,IF(UrbanPopRate!AF121&gt;=$J$1,0,1)),0)</f>
        <v>0</v>
      </c>
      <c r="AK11">
        <f>IF($D11=1,IF(GDP_per_cap!AG121&gt;'all_1961-1990'!$H$1,0,IF(UrbanPopRate!AG121&gt;=$J$1,0,1)),0)</f>
        <v>0</v>
      </c>
      <c r="AL11">
        <f>IF($D11=1,IF(GDP_per_cap!AH121&gt;'all_1961-1990'!$H$1,0,IF(UrbanPopRate!AH121&gt;=$J$1,0,1)),0)</f>
        <v>0</v>
      </c>
      <c r="AM11">
        <f>IF($D11=1,IF(GDP_per_cap!AI121&gt;'all_1961-1990'!$H$1,0,IF(UrbanPopRate!AI121&gt;=$J$1,0,1)),0)</f>
        <v>0</v>
      </c>
      <c r="AN11">
        <f>IF($D11=1,IF(GDP_per_cap!AJ121&gt;'all_1961-1990'!$H$1,0,IF(UrbanPopRate!AJ121&gt;=$J$1,0,1)),0)</f>
        <v>0</v>
      </c>
      <c r="AO11">
        <f>IF($D11=1,IF(GDP_per_cap!AK121&gt;'all_1961-1990'!$H$1,0,IF(UrbanPopRate!AK121&gt;=$J$1,0,1)),0)</f>
        <v>0</v>
      </c>
      <c r="AP11">
        <f>IF($D11=1,IF(GDP_per_cap!AL121&gt;'all_1961-1990'!$H$1,0,IF(UrbanPopRate!AL121&gt;=$J$1,0,1)),0)</f>
        <v>0</v>
      </c>
      <c r="AQ11">
        <f>IF($D11=1,IF(GDP_per_cap!AM121&gt;'all_1961-1990'!$H$1,0,IF(UrbanPopRate!AM121&gt;=$J$1,0,1)),0)</f>
        <v>0</v>
      </c>
      <c r="AR11">
        <f>IF($D11=1,IF(GDP_per_cap!AN121&gt;'all_1961-1990'!$H$1,0,IF(UrbanPopRate!AN121&gt;=$J$1,0,1)),0)</f>
        <v>0</v>
      </c>
      <c r="AS11">
        <f>IF($D11=1,IF(GDP_per_cap!AO121&gt;'all_1961-1990'!$H$1,0,IF(UrbanPopRate!AO121&gt;=$J$1,0,1)),0)</f>
        <v>0</v>
      </c>
      <c r="AT11">
        <f>IF($D11=1,IF(GDP_per_cap!AP121&gt;'all_1961-1990'!$H$1,0,IF(UrbanPopRate!AP121&gt;=$J$1,0,1)),0)</f>
        <v>0</v>
      </c>
      <c r="AU11">
        <f>IF($D11=1,IF(GDP_per_cap!AQ121&gt;'all_1961-1990'!$H$1,0,IF(UrbanPopRate!AQ121&gt;=$J$1,0,1)),0)</f>
        <v>0</v>
      </c>
      <c r="AV11">
        <f>IF($D11=1,IF(GDP_per_cap!AR121&gt;'all_1961-1990'!$H$1,0,IF(UrbanPopRate!AR121&gt;=$J$1,0,1)),0)</f>
        <v>0</v>
      </c>
      <c r="AW11">
        <f>IF($D11=1,IF(GDP_per_cap!AS121&gt;'all_1961-1990'!$H$1,0,IF(UrbanPopRate!AS121&gt;=$J$1,0,1)),0)</f>
        <v>0</v>
      </c>
      <c r="AX11">
        <f>IF($D11=1,IF(GDP_per_cap!AT121&gt;'all_1961-1990'!$H$1,0,IF(UrbanPopRate!AT121&gt;=$J$1,0,1)),0)</f>
        <v>0</v>
      </c>
      <c r="AY11">
        <f>IF($D11=1,IF(GDP_per_cap!AU121&gt;'all_1961-1990'!$H$1,0,IF(UrbanPopRate!AU121&gt;=$J$1,0,1)),0)</f>
        <v>0</v>
      </c>
      <c r="AZ11">
        <f>IF($D11=1,IF(GDP_per_cap!AV121&gt;'all_1961-1990'!$H$1,0,IF(UrbanPopRate!AV121&gt;=$J$1,0,1)),0)</f>
        <v>0</v>
      </c>
      <c r="BA11">
        <f>IF($D11=1,IF(GDP_per_cap!AW121&gt;'all_1961-1990'!$H$1,0,IF(UrbanPopRate!AW121&gt;=$J$1,0,1)),0)</f>
        <v>0</v>
      </c>
      <c r="BB11">
        <f>IF($D11=1,IF(GDP_per_cap!AX121&gt;'all_1961-1990'!$H$1,0,IF(UrbanPopRate!AX121&gt;=$J$1,0,1)),0)</f>
        <v>0</v>
      </c>
      <c r="BC11">
        <f>IF($D11=1,IF(GDP_per_cap!AY121&gt;'all_1961-1990'!$H$1,0,IF(UrbanPopRate!AY121&gt;=$J$1,0,1)),0)</f>
        <v>0</v>
      </c>
      <c r="BD11">
        <f>IF($D11=1,IF(GDP_per_cap!AZ121&gt;'all_1961-1990'!$H$1,0,IF(UrbanPopRate!AZ121&gt;=$J$1,0,1)),0)</f>
        <v>0</v>
      </c>
      <c r="BE11">
        <f>IF($D11=1,IF(GDP_per_cap!BA121&gt;'all_1961-1990'!$H$1,0,IF(UrbanPopRate!BA121&gt;=$J$1,0,1)),0)</f>
        <v>0</v>
      </c>
      <c r="BF11">
        <f>IF($D11=1,IF(GDP_per_cap!BB121&gt;'all_1961-1990'!$H$1,0,IF(UrbanPopRate!BB121&gt;=$J$1,0,1)),0)</f>
        <v>0</v>
      </c>
    </row>
    <row r="12" spans="1:58">
      <c r="A12" s="3">
        <v>74</v>
      </c>
      <c r="B12" s="3" t="s">
        <v>108</v>
      </c>
      <c r="C12" s="2">
        <v>1</v>
      </c>
      <c r="D12" s="35">
        <v>0</v>
      </c>
      <c r="E12" s="2">
        <v>71.194933333333353</v>
      </c>
      <c r="F12" s="36">
        <v>21928.429629999999</v>
      </c>
      <c r="G12">
        <f>IF($D12=1,IF(GDP_per_cap!C48&gt;'all_1961-1990'!$H$1,0,IF(UrbanPopRate!C48&gt;=$J$1,0,1)),0)</f>
        <v>0</v>
      </c>
      <c r="H12">
        <f>IF($D12=1,IF(GDP_per_cap!D48&gt;'all_1961-1990'!$H$1,0,IF(UrbanPopRate!D48&gt;=$J$1,0,1)),0)</f>
        <v>0</v>
      </c>
      <c r="I12">
        <f>IF($D12=1,IF(GDP_per_cap!E48&gt;'all_1961-1990'!$H$1,0,IF(UrbanPopRate!E48&gt;=$J$1,0,1)),0)</f>
        <v>0</v>
      </c>
      <c r="J12">
        <f>IF($D12=1,IF(GDP_per_cap!F48&gt;'all_1961-1990'!$H$1,0,IF(UrbanPopRate!F48&gt;=$J$1,0,1)),0)</f>
        <v>0</v>
      </c>
      <c r="K12">
        <f>IF($D12=1,IF(GDP_per_cap!G48&gt;'all_1961-1990'!$H$1,0,IF(UrbanPopRate!G48&gt;=$J$1,0,1)),0)</f>
        <v>0</v>
      </c>
      <c r="L12">
        <f>IF($D12=1,IF(GDP_per_cap!H48&gt;'all_1961-1990'!$H$1,0,IF(UrbanPopRate!H48&gt;=$J$1,0,1)),0)</f>
        <v>0</v>
      </c>
      <c r="M12">
        <f>IF($D12=1,IF(GDP_per_cap!I48&gt;'all_1961-1990'!$H$1,0,IF(UrbanPopRate!I48&gt;=$J$1,0,1)),0)</f>
        <v>0</v>
      </c>
      <c r="N12">
        <f>IF($D12=1,IF(GDP_per_cap!J48&gt;'all_1961-1990'!$H$1,0,IF(UrbanPopRate!J48&gt;=$J$1,0,1)),0)</f>
        <v>0</v>
      </c>
      <c r="O12">
        <f>IF($D12=1,IF(GDP_per_cap!K48&gt;'all_1961-1990'!$H$1,0,IF(UrbanPopRate!K48&gt;=$J$1,0,1)),0)</f>
        <v>0</v>
      </c>
      <c r="P12">
        <f>IF($D12=1,IF(GDP_per_cap!L48&gt;'all_1961-1990'!$H$1,0,IF(UrbanPopRate!L48&gt;=$J$1,0,1)),0)</f>
        <v>0</v>
      </c>
      <c r="Q12">
        <f>IF($D12=1,IF(GDP_per_cap!M48&gt;'all_1961-1990'!$H$1,0,IF(UrbanPopRate!M48&gt;=$J$1,0,1)),0)</f>
        <v>0</v>
      </c>
      <c r="R12">
        <f>IF($D12=1,IF(GDP_per_cap!N48&gt;'all_1961-1990'!$H$1,0,IF(UrbanPopRate!N48&gt;=$J$1,0,1)),0)</f>
        <v>0</v>
      </c>
      <c r="S12">
        <f>IF($D12=1,IF(GDP_per_cap!O48&gt;'all_1961-1990'!$H$1,0,IF(UrbanPopRate!O48&gt;=$J$1,0,1)),0)</f>
        <v>0</v>
      </c>
      <c r="T12">
        <f>IF($D12=1,IF(GDP_per_cap!P48&gt;'all_1961-1990'!$H$1,0,IF(UrbanPopRate!P48&gt;=$J$1,0,1)),0)</f>
        <v>0</v>
      </c>
      <c r="U12">
        <f>IF($D12=1,IF(GDP_per_cap!Q48&gt;'all_1961-1990'!$H$1,0,IF(UrbanPopRate!Q48&gt;=$J$1,0,1)),0)</f>
        <v>0</v>
      </c>
      <c r="V12">
        <f>IF($D12=1,IF(GDP_per_cap!R48&gt;'all_1961-1990'!$H$1,0,IF(UrbanPopRate!R48&gt;=$J$1,0,1)),0)</f>
        <v>0</v>
      </c>
      <c r="W12">
        <f>IF($D12=1,IF(GDP_per_cap!S48&gt;'all_1961-1990'!$H$1,0,IF(UrbanPopRate!S48&gt;=$J$1,0,1)),0)</f>
        <v>0</v>
      </c>
      <c r="X12">
        <f>IF($D12=1,IF(GDP_per_cap!T48&gt;'all_1961-1990'!$H$1,0,IF(UrbanPopRate!T48&gt;=$J$1,0,1)),0)</f>
        <v>0</v>
      </c>
      <c r="Y12">
        <f>IF($D12=1,IF(GDP_per_cap!U48&gt;'all_1961-1990'!$H$1,0,IF(UrbanPopRate!U48&gt;=$J$1,0,1)),0)</f>
        <v>0</v>
      </c>
      <c r="Z12">
        <f>IF($D12=1,IF(GDP_per_cap!V48&gt;'all_1961-1990'!$H$1,0,IF(UrbanPopRate!V48&gt;=$J$1,0,1)),0)</f>
        <v>0</v>
      </c>
      <c r="AA12">
        <f>IF($D12=1,IF(GDP_per_cap!W48&gt;'all_1961-1990'!$H$1,0,IF(UrbanPopRate!W48&gt;=$J$1,0,1)),0)</f>
        <v>0</v>
      </c>
      <c r="AB12">
        <f>IF($D12=1,IF(GDP_per_cap!X48&gt;'all_1961-1990'!$H$1,0,IF(UrbanPopRate!X48&gt;=$J$1,0,1)),0)</f>
        <v>0</v>
      </c>
      <c r="AC12">
        <f>IF($D12=1,IF(GDP_per_cap!Y48&gt;'all_1961-1990'!$H$1,0,IF(UrbanPopRate!Y48&gt;=$J$1,0,1)),0)</f>
        <v>0</v>
      </c>
      <c r="AD12">
        <f>IF($D12=1,IF(GDP_per_cap!Z48&gt;'all_1961-1990'!$H$1,0,IF(UrbanPopRate!Z48&gt;=$J$1,0,1)),0)</f>
        <v>0</v>
      </c>
      <c r="AE12">
        <f>IF($D12=1,IF(GDP_per_cap!AA48&gt;'all_1961-1990'!$H$1,0,IF(UrbanPopRate!AA48&gt;=$J$1,0,1)),0)</f>
        <v>0</v>
      </c>
      <c r="AF12">
        <f>IF($D12=1,IF(GDP_per_cap!AB48&gt;'all_1961-1990'!$H$1,0,IF(UrbanPopRate!AB48&gt;=$J$1,0,1)),0)</f>
        <v>0</v>
      </c>
      <c r="AG12">
        <f>IF($D12=1,IF(GDP_per_cap!AC48&gt;'all_1961-1990'!$H$1,0,IF(UrbanPopRate!AC48&gt;=$J$1,0,1)),0)</f>
        <v>0</v>
      </c>
      <c r="AH12">
        <f>IF($D12=1,IF(GDP_per_cap!AD48&gt;'all_1961-1990'!$H$1,0,IF(UrbanPopRate!AD48&gt;=$J$1,0,1)),0)</f>
        <v>0</v>
      </c>
      <c r="AI12">
        <f>IF($D12=1,IF(GDP_per_cap!AE48&gt;'all_1961-1990'!$H$1,0,IF(UrbanPopRate!AE48&gt;=$J$1,0,1)),0)</f>
        <v>0</v>
      </c>
      <c r="AJ12">
        <f>IF($D12=1,IF(GDP_per_cap!AF48&gt;'all_1961-1990'!$H$1,0,IF(UrbanPopRate!AF48&gt;=$J$1,0,1)),0)</f>
        <v>0</v>
      </c>
      <c r="AK12">
        <f>IF($D12=1,IF(GDP_per_cap!AG48&gt;'all_1961-1990'!$H$1,0,IF(UrbanPopRate!AG48&gt;=$J$1,0,1)),0)</f>
        <v>0</v>
      </c>
      <c r="AL12">
        <f>IF($D12=1,IF(GDP_per_cap!AH48&gt;'all_1961-1990'!$H$1,0,IF(UrbanPopRate!AH48&gt;=$J$1,0,1)),0)</f>
        <v>0</v>
      </c>
      <c r="AM12">
        <f>IF($D12=1,IF(GDP_per_cap!AI48&gt;'all_1961-1990'!$H$1,0,IF(UrbanPopRate!AI48&gt;=$J$1,0,1)),0)</f>
        <v>0</v>
      </c>
      <c r="AN12">
        <f>IF($D12=1,IF(GDP_per_cap!AJ48&gt;'all_1961-1990'!$H$1,0,IF(UrbanPopRate!AJ48&gt;=$J$1,0,1)),0)</f>
        <v>0</v>
      </c>
      <c r="AO12">
        <f>IF($D12=1,IF(GDP_per_cap!AK48&gt;'all_1961-1990'!$H$1,0,IF(UrbanPopRate!AK48&gt;=$J$1,0,1)),0)</f>
        <v>0</v>
      </c>
      <c r="AP12">
        <f>IF($D12=1,IF(GDP_per_cap!AL48&gt;'all_1961-1990'!$H$1,0,IF(UrbanPopRate!AL48&gt;=$J$1,0,1)),0)</f>
        <v>0</v>
      </c>
      <c r="AQ12">
        <f>IF($D12=1,IF(GDP_per_cap!AM48&gt;'all_1961-1990'!$H$1,0,IF(UrbanPopRate!AM48&gt;=$J$1,0,1)),0)</f>
        <v>0</v>
      </c>
      <c r="AR12">
        <f>IF($D12=1,IF(GDP_per_cap!AN48&gt;'all_1961-1990'!$H$1,0,IF(UrbanPopRate!AN48&gt;=$J$1,0,1)),0)</f>
        <v>0</v>
      </c>
      <c r="AS12">
        <f>IF($D12=1,IF(GDP_per_cap!AO48&gt;'all_1961-1990'!$H$1,0,IF(UrbanPopRate!AO48&gt;=$J$1,0,1)),0)</f>
        <v>0</v>
      </c>
      <c r="AT12">
        <f>IF($D12=1,IF(GDP_per_cap!AP48&gt;'all_1961-1990'!$H$1,0,IF(UrbanPopRate!AP48&gt;=$J$1,0,1)),0)</f>
        <v>0</v>
      </c>
      <c r="AU12">
        <f>IF($D12=1,IF(GDP_per_cap!AQ48&gt;'all_1961-1990'!$H$1,0,IF(UrbanPopRate!AQ48&gt;=$J$1,0,1)),0)</f>
        <v>0</v>
      </c>
      <c r="AV12">
        <f>IF($D12=1,IF(GDP_per_cap!AR48&gt;'all_1961-1990'!$H$1,0,IF(UrbanPopRate!AR48&gt;=$J$1,0,1)),0)</f>
        <v>0</v>
      </c>
      <c r="AW12">
        <f>IF($D12=1,IF(GDP_per_cap!AS48&gt;'all_1961-1990'!$H$1,0,IF(UrbanPopRate!AS48&gt;=$J$1,0,1)),0)</f>
        <v>0</v>
      </c>
      <c r="AX12">
        <f>IF($D12=1,IF(GDP_per_cap!AT48&gt;'all_1961-1990'!$H$1,0,IF(UrbanPopRate!AT48&gt;=$J$1,0,1)),0)</f>
        <v>0</v>
      </c>
      <c r="AY12">
        <f>IF($D12=1,IF(GDP_per_cap!AU48&gt;'all_1961-1990'!$H$1,0,IF(UrbanPopRate!AU48&gt;=$J$1,0,1)),0)</f>
        <v>0</v>
      </c>
      <c r="AZ12">
        <f>IF($D12=1,IF(GDP_per_cap!AV48&gt;'all_1961-1990'!$H$1,0,IF(UrbanPopRate!AV48&gt;=$J$1,0,1)),0)</f>
        <v>0</v>
      </c>
      <c r="BA12">
        <f>IF($D12=1,IF(GDP_per_cap!AW48&gt;'all_1961-1990'!$H$1,0,IF(UrbanPopRate!AW48&gt;=$J$1,0,1)),0)</f>
        <v>0</v>
      </c>
      <c r="BB12">
        <f>IF($D12=1,IF(GDP_per_cap!AX48&gt;'all_1961-1990'!$H$1,0,IF(UrbanPopRate!AX48&gt;=$J$1,0,1)),0)</f>
        <v>0</v>
      </c>
      <c r="BC12">
        <f>IF($D12=1,IF(GDP_per_cap!AY48&gt;'all_1961-1990'!$H$1,0,IF(UrbanPopRate!AY48&gt;=$J$1,0,1)),0)</f>
        <v>0</v>
      </c>
      <c r="BD12">
        <f>IF($D12=1,IF(GDP_per_cap!AZ48&gt;'all_1961-1990'!$H$1,0,IF(UrbanPopRate!AZ48&gt;=$J$1,0,1)),0)</f>
        <v>0</v>
      </c>
      <c r="BE12">
        <f>IF($D12=1,IF(GDP_per_cap!BA48&gt;'all_1961-1990'!$H$1,0,IF(UrbanPopRate!BA48&gt;=$J$1,0,1)),0)</f>
        <v>0</v>
      </c>
      <c r="BF12">
        <f>IF($D12=1,IF(GDP_per_cap!BB48&gt;'all_1961-1990'!$H$1,0,IF(UrbanPopRate!BB48&gt;=$J$1,0,1)),0)</f>
        <v>0</v>
      </c>
    </row>
    <row r="13" spans="1:58">
      <c r="A13" s="3">
        <v>110</v>
      </c>
      <c r="B13" s="3" t="s">
        <v>86</v>
      </c>
      <c r="C13" s="2">
        <v>1</v>
      </c>
      <c r="D13" s="35">
        <v>0</v>
      </c>
      <c r="E13" s="2">
        <v>73.343033333333324</v>
      </c>
      <c r="F13" s="36">
        <v>21875.399990000002</v>
      </c>
      <c r="G13">
        <f>IF($D13=1,IF(GDP_per_cap!C70&gt;'all_1961-1990'!$H$1,0,IF(UrbanPopRate!C70&gt;=$J$1,0,1)),0)</f>
        <v>0</v>
      </c>
      <c r="H13">
        <f>IF($D13=1,IF(GDP_per_cap!D70&gt;'all_1961-1990'!$H$1,0,IF(UrbanPopRate!D70&gt;=$J$1,0,1)),0)</f>
        <v>0</v>
      </c>
      <c r="I13">
        <f>IF($D13=1,IF(GDP_per_cap!E70&gt;'all_1961-1990'!$H$1,0,IF(UrbanPopRate!E70&gt;=$J$1,0,1)),0)</f>
        <v>0</v>
      </c>
      <c r="J13">
        <f>IF($D13=1,IF(GDP_per_cap!F70&gt;'all_1961-1990'!$H$1,0,IF(UrbanPopRate!F70&gt;=$J$1,0,1)),0)</f>
        <v>0</v>
      </c>
      <c r="K13">
        <f>IF($D13=1,IF(GDP_per_cap!G70&gt;'all_1961-1990'!$H$1,0,IF(UrbanPopRate!G70&gt;=$J$1,0,1)),0)</f>
        <v>0</v>
      </c>
      <c r="L13">
        <f>IF($D13=1,IF(GDP_per_cap!H70&gt;'all_1961-1990'!$H$1,0,IF(UrbanPopRate!H70&gt;=$J$1,0,1)),0)</f>
        <v>0</v>
      </c>
      <c r="M13">
        <f>IF($D13=1,IF(GDP_per_cap!I70&gt;'all_1961-1990'!$H$1,0,IF(UrbanPopRate!I70&gt;=$J$1,0,1)),0)</f>
        <v>0</v>
      </c>
      <c r="N13">
        <f>IF($D13=1,IF(GDP_per_cap!J70&gt;'all_1961-1990'!$H$1,0,IF(UrbanPopRate!J70&gt;=$J$1,0,1)),0)</f>
        <v>0</v>
      </c>
      <c r="O13">
        <f>IF($D13=1,IF(GDP_per_cap!K70&gt;'all_1961-1990'!$H$1,0,IF(UrbanPopRate!K70&gt;=$J$1,0,1)),0)</f>
        <v>0</v>
      </c>
      <c r="P13">
        <f>IF($D13=1,IF(GDP_per_cap!L70&gt;'all_1961-1990'!$H$1,0,IF(UrbanPopRate!L70&gt;=$J$1,0,1)),0)</f>
        <v>0</v>
      </c>
      <c r="Q13">
        <f>IF($D13=1,IF(GDP_per_cap!M70&gt;'all_1961-1990'!$H$1,0,IF(UrbanPopRate!M70&gt;=$J$1,0,1)),0)</f>
        <v>0</v>
      </c>
      <c r="R13">
        <f>IF($D13=1,IF(GDP_per_cap!N70&gt;'all_1961-1990'!$H$1,0,IF(UrbanPopRate!N70&gt;=$J$1,0,1)),0)</f>
        <v>0</v>
      </c>
      <c r="S13">
        <f>IF($D13=1,IF(GDP_per_cap!O70&gt;'all_1961-1990'!$H$1,0,IF(UrbanPopRate!O70&gt;=$J$1,0,1)),0)</f>
        <v>0</v>
      </c>
      <c r="T13">
        <f>IF($D13=1,IF(GDP_per_cap!P70&gt;'all_1961-1990'!$H$1,0,IF(UrbanPopRate!P70&gt;=$J$1,0,1)),0)</f>
        <v>0</v>
      </c>
      <c r="U13">
        <f>IF($D13=1,IF(GDP_per_cap!Q70&gt;'all_1961-1990'!$H$1,0,IF(UrbanPopRate!Q70&gt;=$J$1,0,1)),0)</f>
        <v>0</v>
      </c>
      <c r="V13">
        <f>IF($D13=1,IF(GDP_per_cap!R70&gt;'all_1961-1990'!$H$1,0,IF(UrbanPopRate!R70&gt;=$J$1,0,1)),0)</f>
        <v>0</v>
      </c>
      <c r="W13">
        <f>IF($D13=1,IF(GDP_per_cap!S70&gt;'all_1961-1990'!$H$1,0,IF(UrbanPopRate!S70&gt;=$J$1,0,1)),0)</f>
        <v>0</v>
      </c>
      <c r="X13">
        <f>IF($D13=1,IF(GDP_per_cap!T70&gt;'all_1961-1990'!$H$1,0,IF(UrbanPopRate!T70&gt;=$J$1,0,1)),0)</f>
        <v>0</v>
      </c>
      <c r="Y13">
        <f>IF($D13=1,IF(GDP_per_cap!U70&gt;'all_1961-1990'!$H$1,0,IF(UrbanPopRate!U70&gt;=$J$1,0,1)),0)</f>
        <v>0</v>
      </c>
      <c r="Z13">
        <f>IF($D13=1,IF(GDP_per_cap!V70&gt;'all_1961-1990'!$H$1,0,IF(UrbanPopRate!V70&gt;=$J$1,0,1)),0)</f>
        <v>0</v>
      </c>
      <c r="AA13">
        <f>IF($D13=1,IF(GDP_per_cap!W70&gt;'all_1961-1990'!$H$1,0,IF(UrbanPopRate!W70&gt;=$J$1,0,1)),0)</f>
        <v>0</v>
      </c>
      <c r="AB13">
        <f>IF($D13=1,IF(GDP_per_cap!X70&gt;'all_1961-1990'!$H$1,0,IF(UrbanPopRate!X70&gt;=$J$1,0,1)),0)</f>
        <v>0</v>
      </c>
      <c r="AC13">
        <f>IF($D13=1,IF(GDP_per_cap!Y70&gt;'all_1961-1990'!$H$1,0,IF(UrbanPopRate!Y70&gt;=$J$1,0,1)),0)</f>
        <v>0</v>
      </c>
      <c r="AD13">
        <f>IF($D13=1,IF(GDP_per_cap!Z70&gt;'all_1961-1990'!$H$1,0,IF(UrbanPopRate!Z70&gt;=$J$1,0,1)),0)</f>
        <v>0</v>
      </c>
      <c r="AE13">
        <f>IF($D13=1,IF(GDP_per_cap!AA70&gt;'all_1961-1990'!$H$1,0,IF(UrbanPopRate!AA70&gt;=$J$1,0,1)),0)</f>
        <v>0</v>
      </c>
      <c r="AF13">
        <f>IF($D13=1,IF(GDP_per_cap!AB70&gt;'all_1961-1990'!$H$1,0,IF(UrbanPopRate!AB70&gt;=$J$1,0,1)),0)</f>
        <v>0</v>
      </c>
      <c r="AG13">
        <f>IF($D13=1,IF(GDP_per_cap!AC70&gt;'all_1961-1990'!$H$1,0,IF(UrbanPopRate!AC70&gt;=$J$1,0,1)),0)</f>
        <v>0</v>
      </c>
      <c r="AH13">
        <f>IF($D13=1,IF(GDP_per_cap!AD70&gt;'all_1961-1990'!$H$1,0,IF(UrbanPopRate!AD70&gt;=$J$1,0,1)),0)</f>
        <v>0</v>
      </c>
      <c r="AI13">
        <f>IF($D13=1,IF(GDP_per_cap!AE70&gt;'all_1961-1990'!$H$1,0,IF(UrbanPopRate!AE70&gt;=$J$1,0,1)),0)</f>
        <v>0</v>
      </c>
      <c r="AJ13">
        <f>IF($D13=1,IF(GDP_per_cap!AF70&gt;'all_1961-1990'!$H$1,0,IF(UrbanPopRate!AF70&gt;=$J$1,0,1)),0)</f>
        <v>0</v>
      </c>
      <c r="AK13">
        <f>IF($D13=1,IF(GDP_per_cap!AG70&gt;'all_1961-1990'!$H$1,0,IF(UrbanPopRate!AG70&gt;=$J$1,0,1)),0)</f>
        <v>0</v>
      </c>
      <c r="AL13">
        <f>IF($D13=1,IF(GDP_per_cap!AH70&gt;'all_1961-1990'!$H$1,0,IF(UrbanPopRate!AH70&gt;=$J$1,0,1)),0)</f>
        <v>0</v>
      </c>
      <c r="AM13">
        <f>IF($D13=1,IF(GDP_per_cap!AI70&gt;'all_1961-1990'!$H$1,0,IF(UrbanPopRate!AI70&gt;=$J$1,0,1)),0)</f>
        <v>0</v>
      </c>
      <c r="AN13">
        <f>IF($D13=1,IF(GDP_per_cap!AJ70&gt;'all_1961-1990'!$H$1,0,IF(UrbanPopRate!AJ70&gt;=$J$1,0,1)),0)</f>
        <v>0</v>
      </c>
      <c r="AO13">
        <f>IF($D13=1,IF(GDP_per_cap!AK70&gt;'all_1961-1990'!$H$1,0,IF(UrbanPopRate!AK70&gt;=$J$1,0,1)),0)</f>
        <v>0</v>
      </c>
      <c r="AP13">
        <f>IF($D13=1,IF(GDP_per_cap!AL70&gt;'all_1961-1990'!$H$1,0,IF(UrbanPopRate!AL70&gt;=$J$1,0,1)),0)</f>
        <v>0</v>
      </c>
      <c r="AQ13">
        <f>IF($D13=1,IF(GDP_per_cap!AM70&gt;'all_1961-1990'!$H$1,0,IF(UrbanPopRate!AM70&gt;=$J$1,0,1)),0)</f>
        <v>0</v>
      </c>
      <c r="AR13">
        <f>IF($D13=1,IF(GDP_per_cap!AN70&gt;'all_1961-1990'!$H$1,0,IF(UrbanPopRate!AN70&gt;=$J$1,0,1)),0)</f>
        <v>0</v>
      </c>
      <c r="AS13">
        <f>IF($D13=1,IF(GDP_per_cap!AO70&gt;'all_1961-1990'!$H$1,0,IF(UrbanPopRate!AO70&gt;=$J$1,0,1)),0)</f>
        <v>0</v>
      </c>
      <c r="AT13">
        <f>IF($D13=1,IF(GDP_per_cap!AP70&gt;'all_1961-1990'!$H$1,0,IF(UrbanPopRate!AP70&gt;=$J$1,0,1)),0)</f>
        <v>0</v>
      </c>
      <c r="AU13">
        <f>IF($D13=1,IF(GDP_per_cap!AQ70&gt;'all_1961-1990'!$H$1,0,IF(UrbanPopRate!AQ70&gt;=$J$1,0,1)),0)</f>
        <v>0</v>
      </c>
      <c r="AV13">
        <f>IF($D13=1,IF(GDP_per_cap!AR70&gt;'all_1961-1990'!$H$1,0,IF(UrbanPopRate!AR70&gt;=$J$1,0,1)),0)</f>
        <v>0</v>
      </c>
      <c r="AW13">
        <f>IF($D13=1,IF(GDP_per_cap!AS70&gt;'all_1961-1990'!$H$1,0,IF(UrbanPopRate!AS70&gt;=$J$1,0,1)),0)</f>
        <v>0</v>
      </c>
      <c r="AX13">
        <f>IF($D13=1,IF(GDP_per_cap!AT70&gt;'all_1961-1990'!$H$1,0,IF(UrbanPopRate!AT70&gt;=$J$1,0,1)),0)</f>
        <v>0</v>
      </c>
      <c r="AY13">
        <f>IF($D13=1,IF(GDP_per_cap!AU70&gt;'all_1961-1990'!$H$1,0,IF(UrbanPopRate!AU70&gt;=$J$1,0,1)),0)</f>
        <v>0</v>
      </c>
      <c r="AZ13">
        <f>IF($D13=1,IF(GDP_per_cap!AV70&gt;'all_1961-1990'!$H$1,0,IF(UrbanPopRate!AV70&gt;=$J$1,0,1)),0)</f>
        <v>0</v>
      </c>
      <c r="BA13">
        <f>IF($D13=1,IF(GDP_per_cap!AW70&gt;'all_1961-1990'!$H$1,0,IF(UrbanPopRate!AW70&gt;=$J$1,0,1)),0)</f>
        <v>0</v>
      </c>
      <c r="BB13">
        <f>IF($D13=1,IF(GDP_per_cap!AX70&gt;'all_1961-1990'!$H$1,0,IF(UrbanPopRate!AX70&gt;=$J$1,0,1)),0)</f>
        <v>0</v>
      </c>
      <c r="BC13">
        <f>IF($D13=1,IF(GDP_per_cap!AY70&gt;'all_1961-1990'!$H$1,0,IF(UrbanPopRate!AY70&gt;=$J$1,0,1)),0)</f>
        <v>0</v>
      </c>
      <c r="BD13">
        <f>IF($D13=1,IF(GDP_per_cap!AZ70&gt;'all_1961-1990'!$H$1,0,IF(UrbanPopRate!AZ70&gt;=$J$1,0,1)),0)</f>
        <v>0</v>
      </c>
      <c r="BE13">
        <f>IF($D13=1,IF(GDP_per_cap!BA70&gt;'all_1961-1990'!$H$1,0,IF(UrbanPopRate!BA70&gt;=$J$1,0,1)),0)</f>
        <v>0</v>
      </c>
      <c r="BF13">
        <f>IF($D13=1,IF(GDP_per_cap!BB70&gt;'all_1961-1990'!$H$1,0,IF(UrbanPopRate!BB70&gt;=$J$1,0,1)),0)</f>
        <v>0</v>
      </c>
    </row>
    <row r="14" spans="1:58">
      <c r="A14" s="3">
        <v>73</v>
      </c>
      <c r="B14" s="3" t="s">
        <v>109</v>
      </c>
      <c r="C14" s="2">
        <v>1</v>
      </c>
      <c r="D14" s="35">
        <v>0</v>
      </c>
      <c r="E14" s="2">
        <v>68.077366666666663</v>
      </c>
      <c r="F14" s="36">
        <v>20449.50517</v>
      </c>
      <c r="G14">
        <f>IF($D14=1,IF(GDP_per_cap!C47&gt;'all_1961-1990'!$H$1,0,IF(UrbanPopRate!C47&gt;=$J$1,0,1)),0)</f>
        <v>0</v>
      </c>
      <c r="H14">
        <f>IF($D14=1,IF(GDP_per_cap!D47&gt;'all_1961-1990'!$H$1,0,IF(UrbanPopRate!D47&gt;=$J$1,0,1)),0)</f>
        <v>0</v>
      </c>
      <c r="I14">
        <f>IF($D14=1,IF(GDP_per_cap!E47&gt;'all_1961-1990'!$H$1,0,IF(UrbanPopRate!E47&gt;=$J$1,0,1)),0)</f>
        <v>0</v>
      </c>
      <c r="J14">
        <f>IF($D14=1,IF(GDP_per_cap!F47&gt;'all_1961-1990'!$H$1,0,IF(UrbanPopRate!F47&gt;=$J$1,0,1)),0)</f>
        <v>0</v>
      </c>
      <c r="K14">
        <f>IF($D14=1,IF(GDP_per_cap!G47&gt;'all_1961-1990'!$H$1,0,IF(UrbanPopRate!G47&gt;=$J$1,0,1)),0)</f>
        <v>0</v>
      </c>
      <c r="L14">
        <f>IF($D14=1,IF(GDP_per_cap!H47&gt;'all_1961-1990'!$H$1,0,IF(UrbanPopRate!H47&gt;=$J$1,0,1)),0)</f>
        <v>0</v>
      </c>
      <c r="M14">
        <f>IF($D14=1,IF(GDP_per_cap!I47&gt;'all_1961-1990'!$H$1,0,IF(UrbanPopRate!I47&gt;=$J$1,0,1)),0)</f>
        <v>0</v>
      </c>
      <c r="N14">
        <f>IF($D14=1,IF(GDP_per_cap!J47&gt;'all_1961-1990'!$H$1,0,IF(UrbanPopRate!J47&gt;=$J$1,0,1)),0)</f>
        <v>0</v>
      </c>
      <c r="O14">
        <f>IF($D14=1,IF(GDP_per_cap!K47&gt;'all_1961-1990'!$H$1,0,IF(UrbanPopRate!K47&gt;=$J$1,0,1)),0)</f>
        <v>0</v>
      </c>
      <c r="P14">
        <f>IF($D14=1,IF(GDP_per_cap!L47&gt;'all_1961-1990'!$H$1,0,IF(UrbanPopRate!L47&gt;=$J$1,0,1)),0)</f>
        <v>0</v>
      </c>
      <c r="Q14">
        <f>IF($D14=1,IF(GDP_per_cap!M47&gt;'all_1961-1990'!$H$1,0,IF(UrbanPopRate!M47&gt;=$J$1,0,1)),0)</f>
        <v>0</v>
      </c>
      <c r="R14">
        <f>IF($D14=1,IF(GDP_per_cap!N47&gt;'all_1961-1990'!$H$1,0,IF(UrbanPopRate!N47&gt;=$J$1,0,1)),0)</f>
        <v>0</v>
      </c>
      <c r="S14">
        <f>IF($D14=1,IF(GDP_per_cap!O47&gt;'all_1961-1990'!$H$1,0,IF(UrbanPopRate!O47&gt;=$J$1,0,1)),0)</f>
        <v>0</v>
      </c>
      <c r="T14">
        <f>IF($D14=1,IF(GDP_per_cap!P47&gt;'all_1961-1990'!$H$1,0,IF(UrbanPopRate!P47&gt;=$J$1,0,1)),0)</f>
        <v>0</v>
      </c>
      <c r="U14">
        <f>IF($D14=1,IF(GDP_per_cap!Q47&gt;'all_1961-1990'!$H$1,0,IF(UrbanPopRate!Q47&gt;=$J$1,0,1)),0)</f>
        <v>0</v>
      </c>
      <c r="V14">
        <f>IF($D14=1,IF(GDP_per_cap!R47&gt;'all_1961-1990'!$H$1,0,IF(UrbanPopRate!R47&gt;=$J$1,0,1)),0)</f>
        <v>0</v>
      </c>
      <c r="W14">
        <f>IF($D14=1,IF(GDP_per_cap!S47&gt;'all_1961-1990'!$H$1,0,IF(UrbanPopRate!S47&gt;=$J$1,0,1)),0)</f>
        <v>0</v>
      </c>
      <c r="X14">
        <f>IF($D14=1,IF(GDP_per_cap!T47&gt;'all_1961-1990'!$H$1,0,IF(UrbanPopRate!T47&gt;=$J$1,0,1)),0)</f>
        <v>0</v>
      </c>
      <c r="Y14">
        <f>IF($D14=1,IF(GDP_per_cap!U47&gt;'all_1961-1990'!$H$1,0,IF(UrbanPopRate!U47&gt;=$J$1,0,1)),0)</f>
        <v>0</v>
      </c>
      <c r="Z14">
        <f>IF($D14=1,IF(GDP_per_cap!V47&gt;'all_1961-1990'!$H$1,0,IF(UrbanPopRate!V47&gt;=$J$1,0,1)),0)</f>
        <v>0</v>
      </c>
      <c r="AA14">
        <f>IF($D14=1,IF(GDP_per_cap!W47&gt;'all_1961-1990'!$H$1,0,IF(UrbanPopRate!W47&gt;=$J$1,0,1)),0)</f>
        <v>0</v>
      </c>
      <c r="AB14">
        <f>IF($D14=1,IF(GDP_per_cap!X47&gt;'all_1961-1990'!$H$1,0,IF(UrbanPopRate!X47&gt;=$J$1,0,1)),0)</f>
        <v>0</v>
      </c>
      <c r="AC14">
        <f>IF($D14=1,IF(GDP_per_cap!Y47&gt;'all_1961-1990'!$H$1,0,IF(UrbanPopRate!Y47&gt;=$J$1,0,1)),0)</f>
        <v>0</v>
      </c>
      <c r="AD14">
        <f>IF($D14=1,IF(GDP_per_cap!Z47&gt;'all_1961-1990'!$H$1,0,IF(UrbanPopRate!Z47&gt;=$J$1,0,1)),0)</f>
        <v>0</v>
      </c>
      <c r="AE14">
        <f>IF($D14=1,IF(GDP_per_cap!AA47&gt;'all_1961-1990'!$H$1,0,IF(UrbanPopRate!AA47&gt;=$J$1,0,1)),0)</f>
        <v>0</v>
      </c>
      <c r="AF14">
        <f>IF($D14=1,IF(GDP_per_cap!AB47&gt;'all_1961-1990'!$H$1,0,IF(UrbanPopRate!AB47&gt;=$J$1,0,1)),0)</f>
        <v>0</v>
      </c>
      <c r="AG14">
        <f>IF($D14=1,IF(GDP_per_cap!AC47&gt;'all_1961-1990'!$H$1,0,IF(UrbanPopRate!AC47&gt;=$J$1,0,1)),0)</f>
        <v>0</v>
      </c>
      <c r="AH14">
        <f>IF($D14=1,IF(GDP_per_cap!AD47&gt;'all_1961-1990'!$H$1,0,IF(UrbanPopRate!AD47&gt;=$J$1,0,1)),0)</f>
        <v>0</v>
      </c>
      <c r="AI14">
        <f>IF($D14=1,IF(GDP_per_cap!AE47&gt;'all_1961-1990'!$H$1,0,IF(UrbanPopRate!AE47&gt;=$J$1,0,1)),0)</f>
        <v>0</v>
      </c>
      <c r="AJ14">
        <f>IF($D14=1,IF(GDP_per_cap!AF47&gt;'all_1961-1990'!$H$1,0,IF(UrbanPopRate!AF47&gt;=$J$1,0,1)),0)</f>
        <v>0</v>
      </c>
      <c r="AK14">
        <f>IF($D14=1,IF(GDP_per_cap!AG47&gt;'all_1961-1990'!$H$1,0,IF(UrbanPopRate!AG47&gt;=$J$1,0,1)),0)</f>
        <v>0</v>
      </c>
      <c r="AL14">
        <f>IF($D14=1,IF(GDP_per_cap!AH47&gt;'all_1961-1990'!$H$1,0,IF(UrbanPopRate!AH47&gt;=$J$1,0,1)),0)</f>
        <v>0</v>
      </c>
      <c r="AM14">
        <f>IF($D14=1,IF(GDP_per_cap!AI47&gt;'all_1961-1990'!$H$1,0,IF(UrbanPopRate!AI47&gt;=$J$1,0,1)),0)</f>
        <v>0</v>
      </c>
      <c r="AN14">
        <f>IF($D14=1,IF(GDP_per_cap!AJ47&gt;'all_1961-1990'!$H$1,0,IF(UrbanPopRate!AJ47&gt;=$J$1,0,1)),0)</f>
        <v>0</v>
      </c>
      <c r="AO14">
        <f>IF($D14=1,IF(GDP_per_cap!AK47&gt;'all_1961-1990'!$H$1,0,IF(UrbanPopRate!AK47&gt;=$J$1,0,1)),0)</f>
        <v>0</v>
      </c>
      <c r="AP14">
        <f>IF($D14=1,IF(GDP_per_cap!AL47&gt;'all_1961-1990'!$H$1,0,IF(UrbanPopRate!AL47&gt;=$J$1,0,1)),0)</f>
        <v>0</v>
      </c>
      <c r="AQ14">
        <f>IF($D14=1,IF(GDP_per_cap!AM47&gt;'all_1961-1990'!$H$1,0,IF(UrbanPopRate!AM47&gt;=$J$1,0,1)),0)</f>
        <v>0</v>
      </c>
      <c r="AR14">
        <f>IF($D14=1,IF(GDP_per_cap!AN47&gt;'all_1961-1990'!$H$1,0,IF(UrbanPopRate!AN47&gt;=$J$1,0,1)),0)</f>
        <v>0</v>
      </c>
      <c r="AS14">
        <f>IF($D14=1,IF(GDP_per_cap!AO47&gt;'all_1961-1990'!$H$1,0,IF(UrbanPopRate!AO47&gt;=$J$1,0,1)),0)</f>
        <v>0</v>
      </c>
      <c r="AT14">
        <f>IF($D14=1,IF(GDP_per_cap!AP47&gt;'all_1961-1990'!$H$1,0,IF(UrbanPopRate!AP47&gt;=$J$1,0,1)),0)</f>
        <v>0</v>
      </c>
      <c r="AU14">
        <f>IF($D14=1,IF(GDP_per_cap!AQ47&gt;'all_1961-1990'!$H$1,0,IF(UrbanPopRate!AQ47&gt;=$J$1,0,1)),0)</f>
        <v>0</v>
      </c>
      <c r="AV14">
        <f>IF($D14=1,IF(GDP_per_cap!AR47&gt;'all_1961-1990'!$H$1,0,IF(UrbanPopRate!AR47&gt;=$J$1,0,1)),0)</f>
        <v>0</v>
      </c>
      <c r="AW14">
        <f>IF($D14=1,IF(GDP_per_cap!AS47&gt;'all_1961-1990'!$H$1,0,IF(UrbanPopRate!AS47&gt;=$J$1,0,1)),0)</f>
        <v>0</v>
      </c>
      <c r="AX14">
        <f>IF($D14=1,IF(GDP_per_cap!AT47&gt;'all_1961-1990'!$H$1,0,IF(UrbanPopRate!AT47&gt;=$J$1,0,1)),0)</f>
        <v>0</v>
      </c>
      <c r="AY14">
        <f>IF($D14=1,IF(GDP_per_cap!AU47&gt;'all_1961-1990'!$H$1,0,IF(UrbanPopRate!AU47&gt;=$J$1,0,1)),0)</f>
        <v>0</v>
      </c>
      <c r="AZ14">
        <f>IF($D14=1,IF(GDP_per_cap!AV47&gt;'all_1961-1990'!$H$1,0,IF(UrbanPopRate!AV47&gt;=$J$1,0,1)),0)</f>
        <v>0</v>
      </c>
      <c r="BA14">
        <f>IF($D14=1,IF(GDP_per_cap!AW47&gt;'all_1961-1990'!$H$1,0,IF(UrbanPopRate!AW47&gt;=$J$1,0,1)),0)</f>
        <v>0</v>
      </c>
      <c r="BB14">
        <f>IF($D14=1,IF(GDP_per_cap!AX47&gt;'all_1961-1990'!$H$1,0,IF(UrbanPopRate!AX47&gt;=$J$1,0,1)),0)</f>
        <v>0</v>
      </c>
      <c r="BC14">
        <f>IF($D14=1,IF(GDP_per_cap!AY47&gt;'all_1961-1990'!$H$1,0,IF(UrbanPopRate!AY47&gt;=$J$1,0,1)),0)</f>
        <v>0</v>
      </c>
      <c r="BD14">
        <f>IF($D14=1,IF(GDP_per_cap!AZ47&gt;'all_1961-1990'!$H$1,0,IF(UrbanPopRate!AZ47&gt;=$J$1,0,1)),0)</f>
        <v>0</v>
      </c>
      <c r="BE14">
        <f>IF($D14=1,IF(GDP_per_cap!BA47&gt;'all_1961-1990'!$H$1,0,IF(UrbanPopRate!BA47&gt;=$J$1,0,1)),0)</f>
        <v>0</v>
      </c>
      <c r="BF14">
        <f>IF($D14=1,IF(GDP_per_cap!BB47&gt;'all_1961-1990'!$H$1,0,IF(UrbanPopRate!BB47&gt;=$J$1,0,1)),0)</f>
        <v>0</v>
      </c>
    </row>
    <row r="15" spans="1:58">
      <c r="A15" s="3">
        <v>157</v>
      </c>
      <c r="B15" s="3" t="s">
        <v>55</v>
      </c>
      <c r="C15" s="2">
        <v>1</v>
      </c>
      <c r="D15" s="35">
        <v>0</v>
      </c>
      <c r="E15" s="2">
        <v>81.852733333333362</v>
      </c>
      <c r="F15" s="36">
        <v>18754.85917</v>
      </c>
      <c r="G15">
        <f>IF($D15=1,IF(GDP_per_cap!C101&gt;'all_1961-1990'!$H$1,0,IF(UrbanPopRate!C101&gt;=$J$1,0,1)),0)</f>
        <v>0</v>
      </c>
      <c r="H15">
        <f>IF($D15=1,IF(GDP_per_cap!D101&gt;'all_1961-1990'!$H$1,0,IF(UrbanPopRate!D101&gt;=$J$1,0,1)),0)</f>
        <v>0</v>
      </c>
      <c r="I15">
        <f>IF($D15=1,IF(GDP_per_cap!E101&gt;'all_1961-1990'!$H$1,0,IF(UrbanPopRate!E101&gt;=$J$1,0,1)),0)</f>
        <v>0</v>
      </c>
      <c r="J15">
        <f>IF($D15=1,IF(GDP_per_cap!F101&gt;'all_1961-1990'!$H$1,0,IF(UrbanPopRate!F101&gt;=$J$1,0,1)),0)</f>
        <v>0</v>
      </c>
      <c r="K15">
        <f>IF($D15=1,IF(GDP_per_cap!G101&gt;'all_1961-1990'!$H$1,0,IF(UrbanPopRate!G101&gt;=$J$1,0,1)),0)</f>
        <v>0</v>
      </c>
      <c r="L15">
        <f>IF($D15=1,IF(GDP_per_cap!H101&gt;'all_1961-1990'!$H$1,0,IF(UrbanPopRate!H101&gt;=$J$1,0,1)),0)</f>
        <v>0</v>
      </c>
      <c r="M15">
        <f>IF($D15=1,IF(GDP_per_cap!I101&gt;'all_1961-1990'!$H$1,0,IF(UrbanPopRate!I101&gt;=$J$1,0,1)),0)</f>
        <v>0</v>
      </c>
      <c r="N15">
        <f>IF($D15=1,IF(GDP_per_cap!J101&gt;'all_1961-1990'!$H$1,0,IF(UrbanPopRate!J101&gt;=$J$1,0,1)),0)</f>
        <v>0</v>
      </c>
      <c r="O15">
        <f>IF($D15=1,IF(GDP_per_cap!K101&gt;'all_1961-1990'!$H$1,0,IF(UrbanPopRate!K101&gt;=$J$1,0,1)),0)</f>
        <v>0</v>
      </c>
      <c r="P15">
        <f>IF($D15=1,IF(GDP_per_cap!L101&gt;'all_1961-1990'!$H$1,0,IF(UrbanPopRate!L101&gt;=$J$1,0,1)),0)</f>
        <v>0</v>
      </c>
      <c r="Q15">
        <f>IF($D15=1,IF(GDP_per_cap!M101&gt;'all_1961-1990'!$H$1,0,IF(UrbanPopRate!M101&gt;=$J$1,0,1)),0)</f>
        <v>0</v>
      </c>
      <c r="R15">
        <f>IF($D15=1,IF(GDP_per_cap!N101&gt;'all_1961-1990'!$H$1,0,IF(UrbanPopRate!N101&gt;=$J$1,0,1)),0)</f>
        <v>0</v>
      </c>
      <c r="S15">
        <f>IF($D15=1,IF(GDP_per_cap!O101&gt;'all_1961-1990'!$H$1,0,IF(UrbanPopRate!O101&gt;=$J$1,0,1)),0)</f>
        <v>0</v>
      </c>
      <c r="T15">
        <f>IF($D15=1,IF(GDP_per_cap!P101&gt;'all_1961-1990'!$H$1,0,IF(UrbanPopRate!P101&gt;=$J$1,0,1)),0)</f>
        <v>0</v>
      </c>
      <c r="U15">
        <f>IF($D15=1,IF(GDP_per_cap!Q101&gt;'all_1961-1990'!$H$1,0,IF(UrbanPopRate!Q101&gt;=$J$1,0,1)),0)</f>
        <v>0</v>
      </c>
      <c r="V15">
        <f>IF($D15=1,IF(GDP_per_cap!R101&gt;'all_1961-1990'!$H$1,0,IF(UrbanPopRate!R101&gt;=$J$1,0,1)),0)</f>
        <v>0</v>
      </c>
      <c r="W15">
        <f>IF($D15=1,IF(GDP_per_cap!S101&gt;'all_1961-1990'!$H$1,0,IF(UrbanPopRate!S101&gt;=$J$1,0,1)),0)</f>
        <v>0</v>
      </c>
      <c r="X15">
        <f>IF($D15=1,IF(GDP_per_cap!T101&gt;'all_1961-1990'!$H$1,0,IF(UrbanPopRate!T101&gt;=$J$1,0,1)),0)</f>
        <v>0</v>
      </c>
      <c r="Y15">
        <f>IF($D15=1,IF(GDP_per_cap!U101&gt;'all_1961-1990'!$H$1,0,IF(UrbanPopRate!U101&gt;=$J$1,0,1)),0)</f>
        <v>0</v>
      </c>
      <c r="Z15">
        <f>IF($D15=1,IF(GDP_per_cap!V101&gt;'all_1961-1990'!$H$1,0,IF(UrbanPopRate!V101&gt;=$J$1,0,1)),0)</f>
        <v>0</v>
      </c>
      <c r="AA15">
        <f>IF($D15=1,IF(GDP_per_cap!W101&gt;'all_1961-1990'!$H$1,0,IF(UrbanPopRate!W101&gt;=$J$1,0,1)),0)</f>
        <v>0</v>
      </c>
      <c r="AB15">
        <f>IF($D15=1,IF(GDP_per_cap!X101&gt;'all_1961-1990'!$H$1,0,IF(UrbanPopRate!X101&gt;=$J$1,0,1)),0)</f>
        <v>0</v>
      </c>
      <c r="AC15">
        <f>IF($D15=1,IF(GDP_per_cap!Y101&gt;'all_1961-1990'!$H$1,0,IF(UrbanPopRate!Y101&gt;=$J$1,0,1)),0)</f>
        <v>0</v>
      </c>
      <c r="AD15">
        <f>IF($D15=1,IF(GDP_per_cap!Z101&gt;'all_1961-1990'!$H$1,0,IF(UrbanPopRate!Z101&gt;=$J$1,0,1)),0)</f>
        <v>0</v>
      </c>
      <c r="AE15">
        <f>IF($D15=1,IF(GDP_per_cap!AA101&gt;'all_1961-1990'!$H$1,0,IF(UrbanPopRate!AA101&gt;=$J$1,0,1)),0)</f>
        <v>0</v>
      </c>
      <c r="AF15">
        <f>IF($D15=1,IF(GDP_per_cap!AB101&gt;'all_1961-1990'!$H$1,0,IF(UrbanPopRate!AB101&gt;=$J$1,0,1)),0)</f>
        <v>0</v>
      </c>
      <c r="AG15">
        <f>IF($D15=1,IF(GDP_per_cap!AC101&gt;'all_1961-1990'!$H$1,0,IF(UrbanPopRate!AC101&gt;=$J$1,0,1)),0)</f>
        <v>0</v>
      </c>
      <c r="AH15">
        <f>IF($D15=1,IF(GDP_per_cap!AD101&gt;'all_1961-1990'!$H$1,0,IF(UrbanPopRate!AD101&gt;=$J$1,0,1)),0)</f>
        <v>0</v>
      </c>
      <c r="AI15">
        <f>IF($D15=1,IF(GDP_per_cap!AE101&gt;'all_1961-1990'!$H$1,0,IF(UrbanPopRate!AE101&gt;=$J$1,0,1)),0)</f>
        <v>0</v>
      </c>
      <c r="AJ15">
        <f>IF($D15=1,IF(GDP_per_cap!AF101&gt;'all_1961-1990'!$H$1,0,IF(UrbanPopRate!AF101&gt;=$J$1,0,1)),0)</f>
        <v>0</v>
      </c>
      <c r="AK15">
        <f>IF($D15=1,IF(GDP_per_cap!AG101&gt;'all_1961-1990'!$H$1,0,IF(UrbanPopRate!AG101&gt;=$J$1,0,1)),0)</f>
        <v>0</v>
      </c>
      <c r="AL15">
        <f>IF($D15=1,IF(GDP_per_cap!AH101&gt;'all_1961-1990'!$H$1,0,IF(UrbanPopRate!AH101&gt;=$J$1,0,1)),0)</f>
        <v>0</v>
      </c>
      <c r="AM15">
        <f>IF($D15=1,IF(GDP_per_cap!AI101&gt;'all_1961-1990'!$H$1,0,IF(UrbanPopRate!AI101&gt;=$J$1,0,1)),0)</f>
        <v>0</v>
      </c>
      <c r="AN15">
        <f>IF($D15=1,IF(GDP_per_cap!AJ101&gt;'all_1961-1990'!$H$1,0,IF(UrbanPopRate!AJ101&gt;=$J$1,0,1)),0)</f>
        <v>0</v>
      </c>
      <c r="AO15">
        <f>IF($D15=1,IF(GDP_per_cap!AK101&gt;'all_1961-1990'!$H$1,0,IF(UrbanPopRate!AK101&gt;=$J$1,0,1)),0)</f>
        <v>0</v>
      </c>
      <c r="AP15">
        <f>IF($D15=1,IF(GDP_per_cap!AL101&gt;'all_1961-1990'!$H$1,0,IF(UrbanPopRate!AL101&gt;=$J$1,0,1)),0)</f>
        <v>0</v>
      </c>
      <c r="AQ15">
        <f>IF($D15=1,IF(GDP_per_cap!AM101&gt;'all_1961-1990'!$H$1,0,IF(UrbanPopRate!AM101&gt;=$J$1,0,1)),0)</f>
        <v>0</v>
      </c>
      <c r="AR15">
        <f>IF($D15=1,IF(GDP_per_cap!AN101&gt;'all_1961-1990'!$H$1,0,IF(UrbanPopRate!AN101&gt;=$J$1,0,1)),0)</f>
        <v>0</v>
      </c>
      <c r="AS15">
        <f>IF($D15=1,IF(GDP_per_cap!AO101&gt;'all_1961-1990'!$H$1,0,IF(UrbanPopRate!AO101&gt;=$J$1,0,1)),0)</f>
        <v>0</v>
      </c>
      <c r="AT15">
        <f>IF($D15=1,IF(GDP_per_cap!AP101&gt;'all_1961-1990'!$H$1,0,IF(UrbanPopRate!AP101&gt;=$J$1,0,1)),0)</f>
        <v>0</v>
      </c>
      <c r="AU15">
        <f>IF($D15=1,IF(GDP_per_cap!AQ101&gt;'all_1961-1990'!$H$1,0,IF(UrbanPopRate!AQ101&gt;=$J$1,0,1)),0)</f>
        <v>0</v>
      </c>
      <c r="AV15">
        <f>IF($D15=1,IF(GDP_per_cap!AR101&gt;'all_1961-1990'!$H$1,0,IF(UrbanPopRate!AR101&gt;=$J$1,0,1)),0)</f>
        <v>0</v>
      </c>
      <c r="AW15">
        <f>IF($D15=1,IF(GDP_per_cap!AS101&gt;'all_1961-1990'!$H$1,0,IF(UrbanPopRate!AS101&gt;=$J$1,0,1)),0)</f>
        <v>0</v>
      </c>
      <c r="AX15">
        <f>IF($D15=1,IF(GDP_per_cap!AT101&gt;'all_1961-1990'!$H$1,0,IF(UrbanPopRate!AT101&gt;=$J$1,0,1)),0)</f>
        <v>0</v>
      </c>
      <c r="AY15">
        <f>IF($D15=1,IF(GDP_per_cap!AU101&gt;'all_1961-1990'!$H$1,0,IF(UrbanPopRate!AU101&gt;=$J$1,0,1)),0)</f>
        <v>0</v>
      </c>
      <c r="AZ15">
        <f>IF($D15=1,IF(GDP_per_cap!AV101&gt;'all_1961-1990'!$H$1,0,IF(UrbanPopRate!AV101&gt;=$J$1,0,1)),0)</f>
        <v>0</v>
      </c>
      <c r="BA15">
        <f>IF($D15=1,IF(GDP_per_cap!AW101&gt;'all_1961-1990'!$H$1,0,IF(UrbanPopRate!AW101&gt;=$J$1,0,1)),0)</f>
        <v>0</v>
      </c>
      <c r="BB15">
        <f>IF($D15=1,IF(GDP_per_cap!AX101&gt;'all_1961-1990'!$H$1,0,IF(UrbanPopRate!AX101&gt;=$J$1,0,1)),0)</f>
        <v>0</v>
      </c>
      <c r="BC15">
        <f>IF($D15=1,IF(GDP_per_cap!AY101&gt;'all_1961-1990'!$H$1,0,IF(UrbanPopRate!AY101&gt;=$J$1,0,1)),0)</f>
        <v>0</v>
      </c>
      <c r="BD15">
        <f>IF($D15=1,IF(GDP_per_cap!AZ101&gt;'all_1961-1990'!$H$1,0,IF(UrbanPopRate!AZ101&gt;=$J$1,0,1)),0)</f>
        <v>0</v>
      </c>
      <c r="BE15">
        <f>IF($D15=1,IF(GDP_per_cap!BA101&gt;'all_1961-1990'!$H$1,0,IF(UrbanPopRate!BA101&gt;=$J$1,0,1)),0)</f>
        <v>0</v>
      </c>
      <c r="BF15">
        <f>IF($D15=1,IF(GDP_per_cap!BB101&gt;'all_1961-1990'!$H$1,0,IF(UrbanPopRate!BB101&gt;=$J$1,0,1)),0)</f>
        <v>0</v>
      </c>
    </row>
    <row r="16" spans="1:58">
      <c r="A16" s="3">
        <v>203</v>
      </c>
      <c r="B16" s="3" t="s">
        <v>27</v>
      </c>
      <c r="C16" s="2">
        <v>1</v>
      </c>
      <c r="D16" s="35">
        <v>0</v>
      </c>
      <c r="E16" s="2">
        <v>68.620899999999992</v>
      </c>
      <c r="F16" s="36">
        <v>16883.63193</v>
      </c>
      <c r="G16">
        <f>IF($D16=1,IF(GDP_per_cap!C129&gt;'all_1961-1990'!$H$1,0,IF(UrbanPopRate!C129&gt;=$J$1,0,1)),0)</f>
        <v>0</v>
      </c>
      <c r="H16">
        <f>IF($D16=1,IF(GDP_per_cap!D129&gt;'all_1961-1990'!$H$1,0,IF(UrbanPopRate!D129&gt;=$J$1,0,1)),0)</f>
        <v>0</v>
      </c>
      <c r="I16">
        <f>IF($D16=1,IF(GDP_per_cap!E129&gt;'all_1961-1990'!$H$1,0,IF(UrbanPopRate!E129&gt;=$J$1,0,1)),0)</f>
        <v>0</v>
      </c>
      <c r="J16">
        <f>IF($D16=1,IF(GDP_per_cap!F129&gt;'all_1961-1990'!$H$1,0,IF(UrbanPopRate!F129&gt;=$J$1,0,1)),0)</f>
        <v>0</v>
      </c>
      <c r="K16">
        <f>IF($D16=1,IF(GDP_per_cap!G129&gt;'all_1961-1990'!$H$1,0,IF(UrbanPopRate!G129&gt;=$J$1,0,1)),0)</f>
        <v>0</v>
      </c>
      <c r="L16">
        <f>IF($D16=1,IF(GDP_per_cap!H129&gt;'all_1961-1990'!$H$1,0,IF(UrbanPopRate!H129&gt;=$J$1,0,1)),0)</f>
        <v>0</v>
      </c>
      <c r="M16">
        <f>IF($D16=1,IF(GDP_per_cap!I129&gt;'all_1961-1990'!$H$1,0,IF(UrbanPopRate!I129&gt;=$J$1,0,1)),0)</f>
        <v>0</v>
      </c>
      <c r="N16">
        <f>IF($D16=1,IF(GDP_per_cap!J129&gt;'all_1961-1990'!$H$1,0,IF(UrbanPopRate!J129&gt;=$J$1,0,1)),0)</f>
        <v>0</v>
      </c>
      <c r="O16">
        <f>IF($D16=1,IF(GDP_per_cap!K129&gt;'all_1961-1990'!$H$1,0,IF(UrbanPopRate!K129&gt;=$J$1,0,1)),0)</f>
        <v>0</v>
      </c>
      <c r="P16">
        <f>IF($D16=1,IF(GDP_per_cap!L129&gt;'all_1961-1990'!$H$1,0,IF(UrbanPopRate!L129&gt;=$J$1,0,1)),0)</f>
        <v>0</v>
      </c>
      <c r="Q16">
        <f>IF($D16=1,IF(GDP_per_cap!M129&gt;'all_1961-1990'!$H$1,0,IF(UrbanPopRate!M129&gt;=$J$1,0,1)),0)</f>
        <v>0</v>
      </c>
      <c r="R16">
        <f>IF($D16=1,IF(GDP_per_cap!N129&gt;'all_1961-1990'!$H$1,0,IF(UrbanPopRate!N129&gt;=$J$1,0,1)),0)</f>
        <v>0</v>
      </c>
      <c r="S16">
        <f>IF($D16=1,IF(GDP_per_cap!O129&gt;'all_1961-1990'!$H$1,0,IF(UrbanPopRate!O129&gt;=$J$1,0,1)),0)</f>
        <v>0</v>
      </c>
      <c r="T16">
        <f>IF($D16=1,IF(GDP_per_cap!P129&gt;'all_1961-1990'!$H$1,0,IF(UrbanPopRate!P129&gt;=$J$1,0,1)),0)</f>
        <v>0</v>
      </c>
      <c r="U16">
        <f>IF($D16=1,IF(GDP_per_cap!Q129&gt;'all_1961-1990'!$H$1,0,IF(UrbanPopRate!Q129&gt;=$J$1,0,1)),0)</f>
        <v>0</v>
      </c>
      <c r="V16">
        <f>IF($D16=1,IF(GDP_per_cap!R129&gt;'all_1961-1990'!$H$1,0,IF(UrbanPopRate!R129&gt;=$J$1,0,1)),0)</f>
        <v>0</v>
      </c>
      <c r="W16">
        <f>IF($D16=1,IF(GDP_per_cap!S129&gt;'all_1961-1990'!$H$1,0,IF(UrbanPopRate!S129&gt;=$J$1,0,1)),0)</f>
        <v>0</v>
      </c>
      <c r="X16">
        <f>IF($D16=1,IF(GDP_per_cap!T129&gt;'all_1961-1990'!$H$1,0,IF(UrbanPopRate!T129&gt;=$J$1,0,1)),0)</f>
        <v>0</v>
      </c>
      <c r="Y16">
        <f>IF($D16=1,IF(GDP_per_cap!U129&gt;'all_1961-1990'!$H$1,0,IF(UrbanPopRate!U129&gt;=$J$1,0,1)),0)</f>
        <v>0</v>
      </c>
      <c r="Z16">
        <f>IF($D16=1,IF(GDP_per_cap!V129&gt;'all_1961-1990'!$H$1,0,IF(UrbanPopRate!V129&gt;=$J$1,0,1)),0)</f>
        <v>0</v>
      </c>
      <c r="AA16">
        <f>IF($D16=1,IF(GDP_per_cap!W129&gt;'all_1961-1990'!$H$1,0,IF(UrbanPopRate!W129&gt;=$J$1,0,1)),0)</f>
        <v>0</v>
      </c>
      <c r="AB16">
        <f>IF($D16=1,IF(GDP_per_cap!X129&gt;'all_1961-1990'!$H$1,0,IF(UrbanPopRate!X129&gt;=$J$1,0,1)),0)</f>
        <v>0</v>
      </c>
      <c r="AC16">
        <f>IF($D16=1,IF(GDP_per_cap!Y129&gt;'all_1961-1990'!$H$1,0,IF(UrbanPopRate!Y129&gt;=$J$1,0,1)),0)</f>
        <v>0</v>
      </c>
      <c r="AD16">
        <f>IF($D16=1,IF(GDP_per_cap!Z129&gt;'all_1961-1990'!$H$1,0,IF(UrbanPopRate!Z129&gt;=$J$1,0,1)),0)</f>
        <v>0</v>
      </c>
      <c r="AE16">
        <f>IF($D16=1,IF(GDP_per_cap!AA129&gt;'all_1961-1990'!$H$1,0,IF(UrbanPopRate!AA129&gt;=$J$1,0,1)),0)</f>
        <v>0</v>
      </c>
      <c r="AF16">
        <f>IF($D16=1,IF(GDP_per_cap!AB129&gt;'all_1961-1990'!$H$1,0,IF(UrbanPopRate!AB129&gt;=$J$1,0,1)),0)</f>
        <v>0</v>
      </c>
      <c r="AG16">
        <f>IF($D16=1,IF(GDP_per_cap!AC129&gt;'all_1961-1990'!$H$1,0,IF(UrbanPopRate!AC129&gt;=$J$1,0,1)),0)</f>
        <v>0</v>
      </c>
      <c r="AH16">
        <f>IF($D16=1,IF(GDP_per_cap!AD129&gt;'all_1961-1990'!$H$1,0,IF(UrbanPopRate!AD129&gt;=$J$1,0,1)),0)</f>
        <v>0</v>
      </c>
      <c r="AI16">
        <f>IF($D16=1,IF(GDP_per_cap!AE129&gt;'all_1961-1990'!$H$1,0,IF(UrbanPopRate!AE129&gt;=$J$1,0,1)),0)</f>
        <v>0</v>
      </c>
      <c r="AJ16">
        <f>IF($D16=1,IF(GDP_per_cap!AF129&gt;'all_1961-1990'!$H$1,0,IF(UrbanPopRate!AF129&gt;=$J$1,0,1)),0)</f>
        <v>0</v>
      </c>
      <c r="AK16">
        <f>IF($D16=1,IF(GDP_per_cap!AG129&gt;'all_1961-1990'!$H$1,0,IF(UrbanPopRate!AG129&gt;=$J$1,0,1)),0)</f>
        <v>0</v>
      </c>
      <c r="AL16">
        <f>IF($D16=1,IF(GDP_per_cap!AH129&gt;'all_1961-1990'!$H$1,0,IF(UrbanPopRate!AH129&gt;=$J$1,0,1)),0)</f>
        <v>0</v>
      </c>
      <c r="AM16">
        <f>IF($D16=1,IF(GDP_per_cap!AI129&gt;'all_1961-1990'!$H$1,0,IF(UrbanPopRate!AI129&gt;=$J$1,0,1)),0)</f>
        <v>0</v>
      </c>
      <c r="AN16">
        <f>IF($D16=1,IF(GDP_per_cap!AJ129&gt;'all_1961-1990'!$H$1,0,IF(UrbanPopRate!AJ129&gt;=$J$1,0,1)),0)</f>
        <v>0</v>
      </c>
      <c r="AO16">
        <f>IF($D16=1,IF(GDP_per_cap!AK129&gt;'all_1961-1990'!$H$1,0,IF(UrbanPopRate!AK129&gt;=$J$1,0,1)),0)</f>
        <v>0</v>
      </c>
      <c r="AP16">
        <f>IF($D16=1,IF(GDP_per_cap!AL129&gt;'all_1961-1990'!$H$1,0,IF(UrbanPopRate!AL129&gt;=$J$1,0,1)),0)</f>
        <v>0</v>
      </c>
      <c r="AQ16">
        <f>IF($D16=1,IF(GDP_per_cap!AM129&gt;'all_1961-1990'!$H$1,0,IF(UrbanPopRate!AM129&gt;=$J$1,0,1)),0)</f>
        <v>0</v>
      </c>
      <c r="AR16">
        <f>IF($D16=1,IF(GDP_per_cap!AN129&gt;'all_1961-1990'!$H$1,0,IF(UrbanPopRate!AN129&gt;=$J$1,0,1)),0)</f>
        <v>0</v>
      </c>
      <c r="AS16">
        <f>IF($D16=1,IF(GDP_per_cap!AO129&gt;'all_1961-1990'!$H$1,0,IF(UrbanPopRate!AO129&gt;=$J$1,0,1)),0)</f>
        <v>0</v>
      </c>
      <c r="AT16">
        <f>IF($D16=1,IF(GDP_per_cap!AP129&gt;'all_1961-1990'!$H$1,0,IF(UrbanPopRate!AP129&gt;=$J$1,0,1)),0)</f>
        <v>0</v>
      </c>
      <c r="AU16">
        <f>IF($D16=1,IF(GDP_per_cap!AQ129&gt;'all_1961-1990'!$H$1,0,IF(UrbanPopRate!AQ129&gt;=$J$1,0,1)),0)</f>
        <v>0</v>
      </c>
      <c r="AV16">
        <f>IF($D16=1,IF(GDP_per_cap!AR129&gt;'all_1961-1990'!$H$1,0,IF(UrbanPopRate!AR129&gt;=$J$1,0,1)),0)</f>
        <v>0</v>
      </c>
      <c r="AW16">
        <f>IF($D16=1,IF(GDP_per_cap!AS129&gt;'all_1961-1990'!$H$1,0,IF(UrbanPopRate!AS129&gt;=$J$1,0,1)),0)</f>
        <v>0</v>
      </c>
      <c r="AX16">
        <f>IF($D16=1,IF(GDP_per_cap!AT129&gt;'all_1961-1990'!$H$1,0,IF(UrbanPopRate!AT129&gt;=$J$1,0,1)),0)</f>
        <v>0</v>
      </c>
      <c r="AY16">
        <f>IF($D16=1,IF(GDP_per_cap!AU129&gt;'all_1961-1990'!$H$1,0,IF(UrbanPopRate!AU129&gt;=$J$1,0,1)),0)</f>
        <v>0</v>
      </c>
      <c r="AZ16">
        <f>IF($D16=1,IF(GDP_per_cap!AV129&gt;'all_1961-1990'!$H$1,0,IF(UrbanPopRate!AV129&gt;=$J$1,0,1)),0)</f>
        <v>0</v>
      </c>
      <c r="BA16">
        <f>IF($D16=1,IF(GDP_per_cap!AW129&gt;'all_1961-1990'!$H$1,0,IF(UrbanPopRate!AW129&gt;=$J$1,0,1)),0)</f>
        <v>0</v>
      </c>
      <c r="BB16">
        <f>IF($D16=1,IF(GDP_per_cap!AX129&gt;'all_1961-1990'!$H$1,0,IF(UrbanPopRate!AX129&gt;=$J$1,0,1)),0)</f>
        <v>0</v>
      </c>
      <c r="BC16">
        <f>IF($D16=1,IF(GDP_per_cap!AY129&gt;'all_1961-1990'!$H$1,0,IF(UrbanPopRate!AY129&gt;=$J$1,0,1)),0)</f>
        <v>0</v>
      </c>
      <c r="BD16">
        <f>IF($D16=1,IF(GDP_per_cap!AZ129&gt;'all_1961-1990'!$H$1,0,IF(UrbanPopRate!AZ129&gt;=$J$1,0,1)),0)</f>
        <v>0</v>
      </c>
      <c r="BE16">
        <f>IF($D16=1,IF(GDP_per_cap!BA129&gt;'all_1961-1990'!$H$1,0,IF(UrbanPopRate!BA129&gt;=$J$1,0,1)),0)</f>
        <v>0</v>
      </c>
      <c r="BF16">
        <f>IF($D16=1,IF(GDP_per_cap!BB129&gt;'all_1961-1990'!$H$1,0,IF(UrbanPopRate!BB129&gt;=$J$1,0,1)),0)</f>
        <v>0</v>
      </c>
    </row>
    <row r="17" spans="1:58">
      <c r="A17" s="3">
        <v>84</v>
      </c>
      <c r="B17" s="3" t="s">
        <v>102</v>
      </c>
      <c r="C17" s="2">
        <v>1</v>
      </c>
      <c r="D17" s="35">
        <v>0</v>
      </c>
      <c r="E17" s="2">
        <v>53.996200000000009</v>
      </c>
      <c r="F17" s="36">
        <v>16659.471799999999</v>
      </c>
      <c r="G17">
        <f>IF($D17=1,IF(GDP_per_cap!C54&gt;'all_1961-1990'!$H$1,0,IF(UrbanPopRate!C54&gt;=$J$1,0,1)),0)</f>
        <v>0</v>
      </c>
      <c r="H17">
        <f>IF($D17=1,IF(GDP_per_cap!D54&gt;'all_1961-1990'!$H$1,0,IF(UrbanPopRate!D54&gt;=$J$1,0,1)),0)</f>
        <v>0</v>
      </c>
      <c r="I17">
        <f>IF($D17=1,IF(GDP_per_cap!E54&gt;'all_1961-1990'!$H$1,0,IF(UrbanPopRate!E54&gt;=$J$1,0,1)),0)</f>
        <v>0</v>
      </c>
      <c r="J17">
        <f>IF($D17=1,IF(GDP_per_cap!F54&gt;'all_1961-1990'!$H$1,0,IF(UrbanPopRate!F54&gt;=$J$1,0,1)),0)</f>
        <v>0</v>
      </c>
      <c r="K17">
        <f>IF($D17=1,IF(GDP_per_cap!G54&gt;'all_1961-1990'!$H$1,0,IF(UrbanPopRate!G54&gt;=$J$1,0,1)),0)</f>
        <v>0</v>
      </c>
      <c r="L17">
        <f>IF($D17=1,IF(GDP_per_cap!H54&gt;'all_1961-1990'!$H$1,0,IF(UrbanPopRate!H54&gt;=$J$1,0,1)),0)</f>
        <v>0</v>
      </c>
      <c r="M17">
        <f>IF($D17=1,IF(GDP_per_cap!I54&gt;'all_1961-1990'!$H$1,0,IF(UrbanPopRate!I54&gt;=$J$1,0,1)),0)</f>
        <v>0</v>
      </c>
      <c r="N17">
        <f>IF($D17=1,IF(GDP_per_cap!J54&gt;'all_1961-1990'!$H$1,0,IF(UrbanPopRate!J54&gt;=$J$1,0,1)),0)</f>
        <v>0</v>
      </c>
      <c r="O17">
        <f>IF($D17=1,IF(GDP_per_cap!K54&gt;'all_1961-1990'!$H$1,0,IF(UrbanPopRate!K54&gt;=$J$1,0,1)),0)</f>
        <v>0</v>
      </c>
      <c r="P17">
        <f>IF($D17=1,IF(GDP_per_cap!L54&gt;'all_1961-1990'!$H$1,0,IF(UrbanPopRate!L54&gt;=$J$1,0,1)),0)</f>
        <v>0</v>
      </c>
      <c r="Q17">
        <f>IF($D17=1,IF(GDP_per_cap!M54&gt;'all_1961-1990'!$H$1,0,IF(UrbanPopRate!M54&gt;=$J$1,0,1)),0)</f>
        <v>0</v>
      </c>
      <c r="R17">
        <f>IF($D17=1,IF(GDP_per_cap!N54&gt;'all_1961-1990'!$H$1,0,IF(UrbanPopRate!N54&gt;=$J$1,0,1)),0)</f>
        <v>0</v>
      </c>
      <c r="S17">
        <f>IF($D17=1,IF(GDP_per_cap!O54&gt;'all_1961-1990'!$H$1,0,IF(UrbanPopRate!O54&gt;=$J$1,0,1)),0)</f>
        <v>0</v>
      </c>
      <c r="T17">
        <f>IF($D17=1,IF(GDP_per_cap!P54&gt;'all_1961-1990'!$H$1,0,IF(UrbanPopRate!P54&gt;=$J$1,0,1)),0)</f>
        <v>0</v>
      </c>
      <c r="U17">
        <f>IF($D17=1,IF(GDP_per_cap!Q54&gt;'all_1961-1990'!$H$1,0,IF(UrbanPopRate!Q54&gt;=$J$1,0,1)),0)</f>
        <v>0</v>
      </c>
      <c r="V17">
        <f>IF($D17=1,IF(GDP_per_cap!R54&gt;'all_1961-1990'!$H$1,0,IF(UrbanPopRate!R54&gt;=$J$1,0,1)),0)</f>
        <v>0</v>
      </c>
      <c r="W17">
        <f>IF($D17=1,IF(GDP_per_cap!S54&gt;'all_1961-1990'!$H$1,0,IF(UrbanPopRate!S54&gt;=$J$1,0,1)),0)</f>
        <v>0</v>
      </c>
      <c r="X17">
        <f>IF($D17=1,IF(GDP_per_cap!T54&gt;'all_1961-1990'!$H$1,0,IF(UrbanPopRate!T54&gt;=$J$1,0,1)),0)</f>
        <v>0</v>
      </c>
      <c r="Y17">
        <f>IF($D17=1,IF(GDP_per_cap!U54&gt;'all_1961-1990'!$H$1,0,IF(UrbanPopRate!U54&gt;=$J$1,0,1)),0)</f>
        <v>0</v>
      </c>
      <c r="Z17">
        <f>IF($D17=1,IF(GDP_per_cap!V54&gt;'all_1961-1990'!$H$1,0,IF(UrbanPopRate!V54&gt;=$J$1,0,1)),0)</f>
        <v>0</v>
      </c>
      <c r="AA17">
        <f>IF($D17=1,IF(GDP_per_cap!W54&gt;'all_1961-1990'!$H$1,0,IF(UrbanPopRate!W54&gt;=$J$1,0,1)),0)</f>
        <v>0</v>
      </c>
      <c r="AB17">
        <f>IF($D17=1,IF(GDP_per_cap!X54&gt;'all_1961-1990'!$H$1,0,IF(UrbanPopRate!X54&gt;=$J$1,0,1)),0)</f>
        <v>0</v>
      </c>
      <c r="AC17">
        <f>IF($D17=1,IF(GDP_per_cap!Y54&gt;'all_1961-1990'!$H$1,0,IF(UrbanPopRate!Y54&gt;=$J$1,0,1)),0)</f>
        <v>0</v>
      </c>
      <c r="AD17">
        <f>IF($D17=1,IF(GDP_per_cap!Z54&gt;'all_1961-1990'!$H$1,0,IF(UrbanPopRate!Z54&gt;=$J$1,0,1)),0)</f>
        <v>0</v>
      </c>
      <c r="AE17">
        <f>IF($D17=1,IF(GDP_per_cap!AA54&gt;'all_1961-1990'!$H$1,0,IF(UrbanPopRate!AA54&gt;=$J$1,0,1)),0)</f>
        <v>0</v>
      </c>
      <c r="AF17">
        <f>IF($D17=1,IF(GDP_per_cap!AB54&gt;'all_1961-1990'!$H$1,0,IF(UrbanPopRate!AB54&gt;=$J$1,0,1)),0)</f>
        <v>0</v>
      </c>
      <c r="AG17">
        <f>IF($D17=1,IF(GDP_per_cap!AC54&gt;'all_1961-1990'!$H$1,0,IF(UrbanPopRate!AC54&gt;=$J$1,0,1)),0)</f>
        <v>0</v>
      </c>
      <c r="AH17">
        <f>IF($D17=1,IF(GDP_per_cap!AD54&gt;'all_1961-1990'!$H$1,0,IF(UrbanPopRate!AD54&gt;=$J$1,0,1)),0)</f>
        <v>0</v>
      </c>
      <c r="AI17">
        <f>IF($D17=1,IF(GDP_per_cap!AE54&gt;'all_1961-1990'!$H$1,0,IF(UrbanPopRate!AE54&gt;=$J$1,0,1)),0)</f>
        <v>0</v>
      </c>
      <c r="AJ17">
        <f>IF($D17=1,IF(GDP_per_cap!AF54&gt;'all_1961-1990'!$H$1,0,IF(UrbanPopRate!AF54&gt;=$J$1,0,1)),0)</f>
        <v>0</v>
      </c>
      <c r="AK17">
        <f>IF($D17=1,IF(GDP_per_cap!AG54&gt;'all_1961-1990'!$H$1,0,IF(UrbanPopRate!AG54&gt;=$J$1,0,1)),0)</f>
        <v>0</v>
      </c>
      <c r="AL17">
        <f>IF($D17=1,IF(GDP_per_cap!AH54&gt;'all_1961-1990'!$H$1,0,IF(UrbanPopRate!AH54&gt;=$J$1,0,1)),0)</f>
        <v>0</v>
      </c>
      <c r="AM17">
        <f>IF($D17=1,IF(GDP_per_cap!AI54&gt;'all_1961-1990'!$H$1,0,IF(UrbanPopRate!AI54&gt;=$J$1,0,1)),0)</f>
        <v>0</v>
      </c>
      <c r="AN17">
        <f>IF($D17=1,IF(GDP_per_cap!AJ54&gt;'all_1961-1990'!$H$1,0,IF(UrbanPopRate!AJ54&gt;=$J$1,0,1)),0)</f>
        <v>0</v>
      </c>
      <c r="AO17">
        <f>IF($D17=1,IF(GDP_per_cap!AK54&gt;'all_1961-1990'!$H$1,0,IF(UrbanPopRate!AK54&gt;=$J$1,0,1)),0)</f>
        <v>0</v>
      </c>
      <c r="AP17">
        <f>IF($D17=1,IF(GDP_per_cap!AL54&gt;'all_1961-1990'!$H$1,0,IF(UrbanPopRate!AL54&gt;=$J$1,0,1)),0)</f>
        <v>0</v>
      </c>
      <c r="AQ17">
        <f>IF($D17=1,IF(GDP_per_cap!AM54&gt;'all_1961-1990'!$H$1,0,IF(UrbanPopRate!AM54&gt;=$J$1,0,1)),0)</f>
        <v>0</v>
      </c>
      <c r="AR17">
        <f>IF($D17=1,IF(GDP_per_cap!AN54&gt;'all_1961-1990'!$H$1,0,IF(UrbanPopRate!AN54&gt;=$J$1,0,1)),0)</f>
        <v>0</v>
      </c>
      <c r="AS17">
        <f>IF($D17=1,IF(GDP_per_cap!AO54&gt;'all_1961-1990'!$H$1,0,IF(UrbanPopRate!AO54&gt;=$J$1,0,1)),0)</f>
        <v>0</v>
      </c>
      <c r="AT17">
        <f>IF($D17=1,IF(GDP_per_cap!AP54&gt;'all_1961-1990'!$H$1,0,IF(UrbanPopRate!AP54&gt;=$J$1,0,1)),0)</f>
        <v>0</v>
      </c>
      <c r="AU17">
        <f>IF($D17=1,IF(GDP_per_cap!AQ54&gt;'all_1961-1990'!$H$1,0,IF(UrbanPopRate!AQ54&gt;=$J$1,0,1)),0)</f>
        <v>0</v>
      </c>
      <c r="AV17">
        <f>IF($D17=1,IF(GDP_per_cap!AR54&gt;'all_1961-1990'!$H$1,0,IF(UrbanPopRate!AR54&gt;=$J$1,0,1)),0)</f>
        <v>0</v>
      </c>
      <c r="AW17">
        <f>IF($D17=1,IF(GDP_per_cap!AS54&gt;'all_1961-1990'!$H$1,0,IF(UrbanPopRate!AS54&gt;=$J$1,0,1)),0)</f>
        <v>0</v>
      </c>
      <c r="AX17">
        <f>IF($D17=1,IF(GDP_per_cap!AT54&gt;'all_1961-1990'!$H$1,0,IF(UrbanPopRate!AT54&gt;=$J$1,0,1)),0)</f>
        <v>0</v>
      </c>
      <c r="AY17">
        <f>IF($D17=1,IF(GDP_per_cap!AU54&gt;'all_1961-1990'!$H$1,0,IF(UrbanPopRate!AU54&gt;=$J$1,0,1)),0)</f>
        <v>0</v>
      </c>
      <c r="AZ17">
        <f>IF($D17=1,IF(GDP_per_cap!AV54&gt;'all_1961-1990'!$H$1,0,IF(UrbanPopRate!AV54&gt;=$J$1,0,1)),0)</f>
        <v>0</v>
      </c>
      <c r="BA17">
        <f>IF($D17=1,IF(GDP_per_cap!AW54&gt;'all_1961-1990'!$H$1,0,IF(UrbanPopRate!AW54&gt;=$J$1,0,1)),0)</f>
        <v>0</v>
      </c>
      <c r="BB17">
        <f>IF($D17=1,IF(GDP_per_cap!AX54&gt;'all_1961-1990'!$H$1,0,IF(UrbanPopRate!AX54&gt;=$J$1,0,1)),0)</f>
        <v>0</v>
      </c>
      <c r="BC17">
        <f>IF($D17=1,IF(GDP_per_cap!AY54&gt;'all_1961-1990'!$H$1,0,IF(UrbanPopRate!AY54&gt;=$J$1,0,1)),0)</f>
        <v>0</v>
      </c>
      <c r="BD17">
        <f>IF($D17=1,IF(GDP_per_cap!AZ54&gt;'all_1961-1990'!$H$1,0,IF(UrbanPopRate!AZ54&gt;=$J$1,0,1)),0)</f>
        <v>0</v>
      </c>
      <c r="BE17">
        <f>IF($D17=1,IF(GDP_per_cap!BA54&gt;'all_1961-1990'!$H$1,0,IF(UrbanPopRate!BA54&gt;=$J$1,0,1)),0)</f>
        <v>0</v>
      </c>
      <c r="BF17">
        <f>IF($D17=1,IF(GDP_per_cap!BB54&gt;'all_1961-1990'!$H$1,0,IF(UrbanPopRate!BB54&gt;=$J$1,0,1)),0)</f>
        <v>0</v>
      </c>
    </row>
    <row r="18" spans="1:58">
      <c r="A18" s="3">
        <v>107</v>
      </c>
      <c r="B18" s="3" t="s">
        <v>89</v>
      </c>
      <c r="C18" s="2">
        <v>1</v>
      </c>
      <c r="D18" s="35">
        <v>0</v>
      </c>
      <c r="E18" s="2">
        <v>85.857266666666661</v>
      </c>
      <c r="F18" s="36">
        <v>16454.964189999999</v>
      </c>
      <c r="G18">
        <f>IF($D18=1,IF(GDP_per_cap!C67&gt;'all_1961-1990'!$H$1,0,IF(UrbanPopRate!C67&gt;=$J$1,0,1)),0)</f>
        <v>0</v>
      </c>
      <c r="H18">
        <f>IF($D18=1,IF(GDP_per_cap!D67&gt;'all_1961-1990'!$H$1,0,IF(UrbanPopRate!D67&gt;=$J$1,0,1)),0)</f>
        <v>0</v>
      </c>
      <c r="I18">
        <f>IF($D18=1,IF(GDP_per_cap!E67&gt;'all_1961-1990'!$H$1,0,IF(UrbanPopRate!E67&gt;=$J$1,0,1)),0)</f>
        <v>0</v>
      </c>
      <c r="J18">
        <f>IF($D18=1,IF(GDP_per_cap!F67&gt;'all_1961-1990'!$H$1,0,IF(UrbanPopRate!F67&gt;=$J$1,0,1)),0)</f>
        <v>0</v>
      </c>
      <c r="K18">
        <f>IF($D18=1,IF(GDP_per_cap!G67&gt;'all_1961-1990'!$H$1,0,IF(UrbanPopRate!G67&gt;=$J$1,0,1)),0)</f>
        <v>0</v>
      </c>
      <c r="L18">
        <f>IF($D18=1,IF(GDP_per_cap!H67&gt;'all_1961-1990'!$H$1,0,IF(UrbanPopRate!H67&gt;=$J$1,0,1)),0)</f>
        <v>0</v>
      </c>
      <c r="M18">
        <f>IF($D18=1,IF(GDP_per_cap!I67&gt;'all_1961-1990'!$H$1,0,IF(UrbanPopRate!I67&gt;=$J$1,0,1)),0)</f>
        <v>0</v>
      </c>
      <c r="N18">
        <f>IF($D18=1,IF(GDP_per_cap!J67&gt;'all_1961-1990'!$H$1,0,IF(UrbanPopRate!J67&gt;=$J$1,0,1)),0)</f>
        <v>0</v>
      </c>
      <c r="O18">
        <f>IF($D18=1,IF(GDP_per_cap!K67&gt;'all_1961-1990'!$H$1,0,IF(UrbanPopRate!K67&gt;=$J$1,0,1)),0)</f>
        <v>0</v>
      </c>
      <c r="P18">
        <f>IF($D18=1,IF(GDP_per_cap!L67&gt;'all_1961-1990'!$H$1,0,IF(UrbanPopRate!L67&gt;=$J$1,0,1)),0)</f>
        <v>0</v>
      </c>
      <c r="Q18">
        <f>IF($D18=1,IF(GDP_per_cap!M67&gt;'all_1961-1990'!$H$1,0,IF(UrbanPopRate!M67&gt;=$J$1,0,1)),0)</f>
        <v>0</v>
      </c>
      <c r="R18">
        <f>IF($D18=1,IF(GDP_per_cap!N67&gt;'all_1961-1990'!$H$1,0,IF(UrbanPopRate!N67&gt;=$J$1,0,1)),0)</f>
        <v>0</v>
      </c>
      <c r="S18">
        <f>IF($D18=1,IF(GDP_per_cap!O67&gt;'all_1961-1990'!$H$1,0,IF(UrbanPopRate!O67&gt;=$J$1,0,1)),0)</f>
        <v>0</v>
      </c>
      <c r="T18">
        <f>IF($D18=1,IF(GDP_per_cap!P67&gt;'all_1961-1990'!$H$1,0,IF(UrbanPopRate!P67&gt;=$J$1,0,1)),0)</f>
        <v>0</v>
      </c>
      <c r="U18">
        <f>IF($D18=1,IF(GDP_per_cap!Q67&gt;'all_1961-1990'!$H$1,0,IF(UrbanPopRate!Q67&gt;=$J$1,0,1)),0)</f>
        <v>0</v>
      </c>
      <c r="V18">
        <f>IF($D18=1,IF(GDP_per_cap!R67&gt;'all_1961-1990'!$H$1,0,IF(UrbanPopRate!R67&gt;=$J$1,0,1)),0)</f>
        <v>0</v>
      </c>
      <c r="W18">
        <f>IF($D18=1,IF(GDP_per_cap!S67&gt;'all_1961-1990'!$H$1,0,IF(UrbanPopRate!S67&gt;=$J$1,0,1)),0)</f>
        <v>0</v>
      </c>
      <c r="X18">
        <f>IF($D18=1,IF(GDP_per_cap!T67&gt;'all_1961-1990'!$H$1,0,IF(UrbanPopRate!T67&gt;=$J$1,0,1)),0)</f>
        <v>0</v>
      </c>
      <c r="Y18">
        <f>IF($D18=1,IF(GDP_per_cap!U67&gt;'all_1961-1990'!$H$1,0,IF(UrbanPopRate!U67&gt;=$J$1,0,1)),0)</f>
        <v>0</v>
      </c>
      <c r="Z18">
        <f>IF($D18=1,IF(GDP_per_cap!V67&gt;'all_1961-1990'!$H$1,0,IF(UrbanPopRate!V67&gt;=$J$1,0,1)),0)</f>
        <v>0</v>
      </c>
      <c r="AA18">
        <f>IF($D18=1,IF(GDP_per_cap!W67&gt;'all_1961-1990'!$H$1,0,IF(UrbanPopRate!W67&gt;=$J$1,0,1)),0)</f>
        <v>0</v>
      </c>
      <c r="AB18">
        <f>IF($D18=1,IF(GDP_per_cap!X67&gt;'all_1961-1990'!$H$1,0,IF(UrbanPopRate!X67&gt;=$J$1,0,1)),0)</f>
        <v>0</v>
      </c>
      <c r="AC18">
        <f>IF($D18=1,IF(GDP_per_cap!Y67&gt;'all_1961-1990'!$H$1,0,IF(UrbanPopRate!Y67&gt;=$J$1,0,1)),0)</f>
        <v>0</v>
      </c>
      <c r="AD18">
        <f>IF($D18=1,IF(GDP_per_cap!Z67&gt;'all_1961-1990'!$H$1,0,IF(UrbanPopRate!Z67&gt;=$J$1,0,1)),0)</f>
        <v>0</v>
      </c>
      <c r="AE18">
        <f>IF($D18=1,IF(GDP_per_cap!AA67&gt;'all_1961-1990'!$H$1,0,IF(UrbanPopRate!AA67&gt;=$J$1,0,1)),0)</f>
        <v>0</v>
      </c>
      <c r="AF18">
        <f>IF($D18=1,IF(GDP_per_cap!AB67&gt;'all_1961-1990'!$H$1,0,IF(UrbanPopRate!AB67&gt;=$J$1,0,1)),0)</f>
        <v>0</v>
      </c>
      <c r="AG18">
        <f>IF($D18=1,IF(GDP_per_cap!AC67&gt;'all_1961-1990'!$H$1,0,IF(UrbanPopRate!AC67&gt;=$J$1,0,1)),0)</f>
        <v>0</v>
      </c>
      <c r="AH18">
        <f>IF($D18=1,IF(GDP_per_cap!AD67&gt;'all_1961-1990'!$H$1,0,IF(UrbanPopRate!AD67&gt;=$J$1,0,1)),0)</f>
        <v>0</v>
      </c>
      <c r="AI18">
        <f>IF($D18=1,IF(GDP_per_cap!AE67&gt;'all_1961-1990'!$H$1,0,IF(UrbanPopRate!AE67&gt;=$J$1,0,1)),0)</f>
        <v>0</v>
      </c>
      <c r="AJ18">
        <f>IF($D18=1,IF(GDP_per_cap!AF67&gt;'all_1961-1990'!$H$1,0,IF(UrbanPopRate!AF67&gt;=$J$1,0,1)),0)</f>
        <v>0</v>
      </c>
      <c r="AK18">
        <f>IF($D18=1,IF(GDP_per_cap!AG67&gt;'all_1961-1990'!$H$1,0,IF(UrbanPopRate!AG67&gt;=$J$1,0,1)),0)</f>
        <v>0</v>
      </c>
      <c r="AL18">
        <f>IF($D18=1,IF(GDP_per_cap!AH67&gt;'all_1961-1990'!$H$1,0,IF(UrbanPopRate!AH67&gt;=$J$1,0,1)),0)</f>
        <v>0</v>
      </c>
      <c r="AM18">
        <f>IF($D18=1,IF(GDP_per_cap!AI67&gt;'all_1961-1990'!$H$1,0,IF(UrbanPopRate!AI67&gt;=$J$1,0,1)),0)</f>
        <v>0</v>
      </c>
      <c r="AN18">
        <f>IF($D18=1,IF(GDP_per_cap!AJ67&gt;'all_1961-1990'!$H$1,0,IF(UrbanPopRate!AJ67&gt;=$J$1,0,1)),0)</f>
        <v>0</v>
      </c>
      <c r="AO18">
        <f>IF($D18=1,IF(GDP_per_cap!AK67&gt;'all_1961-1990'!$H$1,0,IF(UrbanPopRate!AK67&gt;=$J$1,0,1)),0)</f>
        <v>0</v>
      </c>
      <c r="AP18">
        <f>IF($D18=1,IF(GDP_per_cap!AL67&gt;'all_1961-1990'!$H$1,0,IF(UrbanPopRate!AL67&gt;=$J$1,0,1)),0)</f>
        <v>0</v>
      </c>
      <c r="AQ18">
        <f>IF($D18=1,IF(GDP_per_cap!AM67&gt;'all_1961-1990'!$H$1,0,IF(UrbanPopRate!AM67&gt;=$J$1,0,1)),0)</f>
        <v>0</v>
      </c>
      <c r="AR18">
        <f>IF($D18=1,IF(GDP_per_cap!AN67&gt;'all_1961-1990'!$H$1,0,IF(UrbanPopRate!AN67&gt;=$J$1,0,1)),0)</f>
        <v>0</v>
      </c>
      <c r="AS18">
        <f>IF($D18=1,IF(GDP_per_cap!AO67&gt;'all_1961-1990'!$H$1,0,IF(UrbanPopRate!AO67&gt;=$J$1,0,1)),0)</f>
        <v>0</v>
      </c>
      <c r="AT18">
        <f>IF($D18=1,IF(GDP_per_cap!AP67&gt;'all_1961-1990'!$H$1,0,IF(UrbanPopRate!AP67&gt;=$J$1,0,1)),0)</f>
        <v>0</v>
      </c>
      <c r="AU18">
        <f>IF($D18=1,IF(GDP_per_cap!AQ67&gt;'all_1961-1990'!$H$1,0,IF(UrbanPopRate!AQ67&gt;=$J$1,0,1)),0)</f>
        <v>0</v>
      </c>
      <c r="AV18">
        <f>IF($D18=1,IF(GDP_per_cap!AR67&gt;'all_1961-1990'!$H$1,0,IF(UrbanPopRate!AR67&gt;=$J$1,0,1)),0)</f>
        <v>0</v>
      </c>
      <c r="AW18">
        <f>IF($D18=1,IF(GDP_per_cap!AS67&gt;'all_1961-1990'!$H$1,0,IF(UrbanPopRate!AS67&gt;=$J$1,0,1)),0)</f>
        <v>0</v>
      </c>
      <c r="AX18">
        <f>IF($D18=1,IF(GDP_per_cap!AT67&gt;'all_1961-1990'!$H$1,0,IF(UrbanPopRate!AT67&gt;=$J$1,0,1)),0)</f>
        <v>0</v>
      </c>
      <c r="AY18">
        <f>IF($D18=1,IF(GDP_per_cap!AU67&gt;'all_1961-1990'!$H$1,0,IF(UrbanPopRate!AU67&gt;=$J$1,0,1)),0)</f>
        <v>0</v>
      </c>
      <c r="AZ18">
        <f>IF($D18=1,IF(GDP_per_cap!AV67&gt;'all_1961-1990'!$H$1,0,IF(UrbanPopRate!AV67&gt;=$J$1,0,1)),0)</f>
        <v>0</v>
      </c>
      <c r="BA18">
        <f>IF($D18=1,IF(GDP_per_cap!AW67&gt;'all_1961-1990'!$H$1,0,IF(UrbanPopRate!AW67&gt;=$J$1,0,1)),0)</f>
        <v>0</v>
      </c>
      <c r="BB18">
        <f>IF($D18=1,IF(GDP_per_cap!AX67&gt;'all_1961-1990'!$H$1,0,IF(UrbanPopRate!AX67&gt;=$J$1,0,1)),0)</f>
        <v>0</v>
      </c>
      <c r="BC18">
        <f>IF($D18=1,IF(GDP_per_cap!AY67&gt;'all_1961-1990'!$H$1,0,IF(UrbanPopRate!AY67&gt;=$J$1,0,1)),0)</f>
        <v>0</v>
      </c>
      <c r="BD18">
        <f>IF($D18=1,IF(GDP_per_cap!AZ67&gt;'all_1961-1990'!$H$1,0,IF(UrbanPopRate!AZ67&gt;=$J$1,0,1)),0)</f>
        <v>0</v>
      </c>
      <c r="BE18">
        <f>IF($D18=1,IF(GDP_per_cap!BA67&gt;'all_1961-1990'!$H$1,0,IF(UrbanPopRate!BA67&gt;=$J$1,0,1)),0)</f>
        <v>0</v>
      </c>
      <c r="BF18">
        <f>IF($D18=1,IF(GDP_per_cap!BB67&gt;'all_1961-1990'!$H$1,0,IF(UrbanPopRate!BB67&gt;=$J$1,0,1)),0)</f>
        <v>0</v>
      </c>
    </row>
    <row r="19" spans="1:58">
      <c r="A19" s="3">
        <v>78</v>
      </c>
      <c r="B19" s="3" t="s">
        <v>107</v>
      </c>
      <c r="C19" s="2">
        <v>1</v>
      </c>
      <c r="D19" s="35">
        <v>0</v>
      </c>
      <c r="E19" s="2">
        <v>44.045833333333334</v>
      </c>
      <c r="F19" s="36">
        <v>15656.95959</v>
      </c>
      <c r="G19">
        <f>IF($D19=1,IF(GDP_per_cap!C49&gt;'all_1961-1990'!$H$1,0,IF(UrbanPopRate!C49&gt;=$J$1,0,1)),0)</f>
        <v>0</v>
      </c>
      <c r="H19">
        <f>IF($D19=1,IF(GDP_per_cap!D49&gt;'all_1961-1990'!$H$1,0,IF(UrbanPopRate!D49&gt;=$J$1,0,1)),0)</f>
        <v>0</v>
      </c>
      <c r="I19">
        <f>IF($D19=1,IF(GDP_per_cap!E49&gt;'all_1961-1990'!$H$1,0,IF(UrbanPopRate!E49&gt;=$J$1,0,1)),0)</f>
        <v>0</v>
      </c>
      <c r="J19">
        <f>IF($D19=1,IF(GDP_per_cap!F49&gt;'all_1961-1990'!$H$1,0,IF(UrbanPopRate!F49&gt;=$J$1,0,1)),0)</f>
        <v>0</v>
      </c>
      <c r="K19">
        <f>IF($D19=1,IF(GDP_per_cap!G49&gt;'all_1961-1990'!$H$1,0,IF(UrbanPopRate!G49&gt;=$J$1,0,1)),0)</f>
        <v>0</v>
      </c>
      <c r="L19">
        <f>IF($D19=1,IF(GDP_per_cap!H49&gt;'all_1961-1990'!$H$1,0,IF(UrbanPopRate!H49&gt;=$J$1,0,1)),0)</f>
        <v>0</v>
      </c>
      <c r="M19">
        <f>IF($D19=1,IF(GDP_per_cap!I49&gt;'all_1961-1990'!$H$1,0,IF(UrbanPopRate!I49&gt;=$J$1,0,1)),0)</f>
        <v>0</v>
      </c>
      <c r="N19">
        <f>IF($D19=1,IF(GDP_per_cap!J49&gt;'all_1961-1990'!$H$1,0,IF(UrbanPopRate!J49&gt;=$J$1,0,1)),0)</f>
        <v>0</v>
      </c>
      <c r="O19">
        <f>IF($D19=1,IF(GDP_per_cap!K49&gt;'all_1961-1990'!$H$1,0,IF(UrbanPopRate!K49&gt;=$J$1,0,1)),0)</f>
        <v>0</v>
      </c>
      <c r="P19">
        <f>IF($D19=1,IF(GDP_per_cap!L49&gt;'all_1961-1990'!$H$1,0,IF(UrbanPopRate!L49&gt;=$J$1,0,1)),0)</f>
        <v>0</v>
      </c>
      <c r="Q19">
        <f>IF($D19=1,IF(GDP_per_cap!M49&gt;'all_1961-1990'!$H$1,0,IF(UrbanPopRate!M49&gt;=$J$1,0,1)),0)</f>
        <v>0</v>
      </c>
      <c r="R19">
        <f>IF($D19=1,IF(GDP_per_cap!N49&gt;'all_1961-1990'!$H$1,0,IF(UrbanPopRate!N49&gt;=$J$1,0,1)),0)</f>
        <v>0</v>
      </c>
      <c r="S19">
        <f>IF($D19=1,IF(GDP_per_cap!O49&gt;'all_1961-1990'!$H$1,0,IF(UrbanPopRate!O49&gt;=$J$1,0,1)),0)</f>
        <v>0</v>
      </c>
      <c r="T19">
        <f>IF($D19=1,IF(GDP_per_cap!P49&gt;'all_1961-1990'!$H$1,0,IF(UrbanPopRate!P49&gt;=$J$1,0,1)),0)</f>
        <v>0</v>
      </c>
      <c r="U19">
        <f>IF($D19=1,IF(GDP_per_cap!Q49&gt;'all_1961-1990'!$H$1,0,IF(UrbanPopRate!Q49&gt;=$J$1,0,1)),0)</f>
        <v>0</v>
      </c>
      <c r="V19">
        <f>IF($D19=1,IF(GDP_per_cap!R49&gt;'all_1961-1990'!$H$1,0,IF(UrbanPopRate!R49&gt;=$J$1,0,1)),0)</f>
        <v>0</v>
      </c>
      <c r="W19">
        <f>IF($D19=1,IF(GDP_per_cap!S49&gt;'all_1961-1990'!$H$1,0,IF(UrbanPopRate!S49&gt;=$J$1,0,1)),0)</f>
        <v>0</v>
      </c>
      <c r="X19">
        <f>IF($D19=1,IF(GDP_per_cap!T49&gt;'all_1961-1990'!$H$1,0,IF(UrbanPopRate!T49&gt;=$J$1,0,1)),0)</f>
        <v>0</v>
      </c>
      <c r="Y19">
        <f>IF($D19=1,IF(GDP_per_cap!U49&gt;'all_1961-1990'!$H$1,0,IF(UrbanPopRate!U49&gt;=$J$1,0,1)),0)</f>
        <v>0</v>
      </c>
      <c r="Z19">
        <f>IF($D19=1,IF(GDP_per_cap!V49&gt;'all_1961-1990'!$H$1,0,IF(UrbanPopRate!V49&gt;=$J$1,0,1)),0)</f>
        <v>0</v>
      </c>
      <c r="AA19">
        <f>IF($D19=1,IF(GDP_per_cap!W49&gt;'all_1961-1990'!$H$1,0,IF(UrbanPopRate!W49&gt;=$J$1,0,1)),0)</f>
        <v>0</v>
      </c>
      <c r="AB19">
        <f>IF($D19=1,IF(GDP_per_cap!X49&gt;'all_1961-1990'!$H$1,0,IF(UrbanPopRate!X49&gt;=$J$1,0,1)),0)</f>
        <v>0</v>
      </c>
      <c r="AC19">
        <f>IF($D19=1,IF(GDP_per_cap!Y49&gt;'all_1961-1990'!$H$1,0,IF(UrbanPopRate!Y49&gt;=$J$1,0,1)),0)</f>
        <v>0</v>
      </c>
      <c r="AD19">
        <f>IF($D19=1,IF(GDP_per_cap!Z49&gt;'all_1961-1990'!$H$1,0,IF(UrbanPopRate!Z49&gt;=$J$1,0,1)),0)</f>
        <v>0</v>
      </c>
      <c r="AE19">
        <f>IF($D19=1,IF(GDP_per_cap!AA49&gt;'all_1961-1990'!$H$1,0,IF(UrbanPopRate!AA49&gt;=$J$1,0,1)),0)</f>
        <v>0</v>
      </c>
      <c r="AF19">
        <f>IF($D19=1,IF(GDP_per_cap!AB49&gt;'all_1961-1990'!$H$1,0,IF(UrbanPopRate!AB49&gt;=$J$1,0,1)),0)</f>
        <v>0</v>
      </c>
      <c r="AG19">
        <f>IF($D19=1,IF(GDP_per_cap!AC49&gt;'all_1961-1990'!$H$1,0,IF(UrbanPopRate!AC49&gt;=$J$1,0,1)),0)</f>
        <v>0</v>
      </c>
      <c r="AH19">
        <f>IF($D19=1,IF(GDP_per_cap!AD49&gt;'all_1961-1990'!$H$1,0,IF(UrbanPopRate!AD49&gt;=$J$1,0,1)),0)</f>
        <v>0</v>
      </c>
      <c r="AI19">
        <f>IF($D19=1,IF(GDP_per_cap!AE49&gt;'all_1961-1990'!$H$1,0,IF(UrbanPopRate!AE49&gt;=$J$1,0,1)),0)</f>
        <v>0</v>
      </c>
      <c r="AJ19">
        <f>IF($D19=1,IF(GDP_per_cap!AF49&gt;'all_1961-1990'!$H$1,0,IF(UrbanPopRate!AF49&gt;=$J$1,0,1)),0)</f>
        <v>0</v>
      </c>
      <c r="AK19">
        <f>IF($D19=1,IF(GDP_per_cap!AG49&gt;'all_1961-1990'!$H$1,0,IF(UrbanPopRate!AG49&gt;=$J$1,0,1)),0)</f>
        <v>0</v>
      </c>
      <c r="AL19">
        <f>IF($D19=1,IF(GDP_per_cap!AH49&gt;'all_1961-1990'!$H$1,0,IF(UrbanPopRate!AH49&gt;=$J$1,0,1)),0)</f>
        <v>0</v>
      </c>
      <c r="AM19">
        <f>IF($D19=1,IF(GDP_per_cap!AI49&gt;'all_1961-1990'!$H$1,0,IF(UrbanPopRate!AI49&gt;=$J$1,0,1)),0)</f>
        <v>0</v>
      </c>
      <c r="AN19">
        <f>IF($D19=1,IF(GDP_per_cap!AJ49&gt;'all_1961-1990'!$H$1,0,IF(UrbanPopRate!AJ49&gt;=$J$1,0,1)),0)</f>
        <v>0</v>
      </c>
      <c r="AO19">
        <f>IF($D19=1,IF(GDP_per_cap!AK49&gt;'all_1961-1990'!$H$1,0,IF(UrbanPopRate!AK49&gt;=$J$1,0,1)),0)</f>
        <v>0</v>
      </c>
      <c r="AP19">
        <f>IF($D19=1,IF(GDP_per_cap!AL49&gt;'all_1961-1990'!$H$1,0,IF(UrbanPopRate!AL49&gt;=$J$1,0,1)),0)</f>
        <v>0</v>
      </c>
      <c r="AQ19">
        <f>IF($D19=1,IF(GDP_per_cap!AM49&gt;'all_1961-1990'!$H$1,0,IF(UrbanPopRate!AM49&gt;=$J$1,0,1)),0)</f>
        <v>0</v>
      </c>
      <c r="AR19">
        <f>IF($D19=1,IF(GDP_per_cap!AN49&gt;'all_1961-1990'!$H$1,0,IF(UrbanPopRate!AN49&gt;=$J$1,0,1)),0)</f>
        <v>0</v>
      </c>
      <c r="AS19">
        <f>IF($D19=1,IF(GDP_per_cap!AO49&gt;'all_1961-1990'!$H$1,0,IF(UrbanPopRate!AO49&gt;=$J$1,0,1)),0)</f>
        <v>0</v>
      </c>
      <c r="AT19">
        <f>IF($D19=1,IF(GDP_per_cap!AP49&gt;'all_1961-1990'!$H$1,0,IF(UrbanPopRate!AP49&gt;=$J$1,0,1)),0)</f>
        <v>0</v>
      </c>
      <c r="AU19">
        <f>IF($D19=1,IF(GDP_per_cap!AQ49&gt;'all_1961-1990'!$H$1,0,IF(UrbanPopRate!AQ49&gt;=$J$1,0,1)),0)</f>
        <v>0</v>
      </c>
      <c r="AV19">
        <f>IF($D19=1,IF(GDP_per_cap!AR49&gt;'all_1961-1990'!$H$1,0,IF(UrbanPopRate!AR49&gt;=$J$1,0,1)),0)</f>
        <v>0</v>
      </c>
      <c r="AW19">
        <f>IF($D19=1,IF(GDP_per_cap!AS49&gt;'all_1961-1990'!$H$1,0,IF(UrbanPopRate!AS49&gt;=$J$1,0,1)),0)</f>
        <v>0</v>
      </c>
      <c r="AX19">
        <f>IF($D19=1,IF(GDP_per_cap!AT49&gt;'all_1961-1990'!$H$1,0,IF(UrbanPopRate!AT49&gt;=$J$1,0,1)),0)</f>
        <v>0</v>
      </c>
      <c r="AY19">
        <f>IF($D19=1,IF(GDP_per_cap!AU49&gt;'all_1961-1990'!$H$1,0,IF(UrbanPopRate!AU49&gt;=$J$1,0,1)),0)</f>
        <v>0</v>
      </c>
      <c r="AZ19">
        <f>IF($D19=1,IF(GDP_per_cap!AV49&gt;'all_1961-1990'!$H$1,0,IF(UrbanPopRate!AV49&gt;=$J$1,0,1)),0)</f>
        <v>0</v>
      </c>
      <c r="BA19">
        <f>IF($D19=1,IF(GDP_per_cap!AW49&gt;'all_1961-1990'!$H$1,0,IF(UrbanPopRate!AW49&gt;=$J$1,0,1)),0)</f>
        <v>0</v>
      </c>
      <c r="BB19">
        <f>IF($D19=1,IF(GDP_per_cap!AX49&gt;'all_1961-1990'!$H$1,0,IF(UrbanPopRate!AX49&gt;=$J$1,0,1)),0)</f>
        <v>0</v>
      </c>
      <c r="BC19">
        <f>IF($D19=1,IF(GDP_per_cap!AY49&gt;'all_1961-1990'!$H$1,0,IF(UrbanPopRate!AY49&gt;=$J$1,0,1)),0)</f>
        <v>0</v>
      </c>
      <c r="BD19">
        <f>IF($D19=1,IF(GDP_per_cap!AZ49&gt;'all_1961-1990'!$H$1,0,IF(UrbanPopRate!AZ49&gt;=$J$1,0,1)),0)</f>
        <v>0</v>
      </c>
      <c r="BE19">
        <f>IF($D19=1,IF(GDP_per_cap!BA49&gt;'all_1961-1990'!$H$1,0,IF(UrbanPopRate!BA49&gt;=$J$1,0,1)),0)</f>
        <v>0</v>
      </c>
      <c r="BF19">
        <f>IF($D19=1,IF(GDP_per_cap!BB49&gt;'all_1961-1990'!$H$1,0,IF(UrbanPopRate!BB49&gt;=$J$1,0,1)),0)</f>
        <v>0</v>
      </c>
    </row>
    <row r="20" spans="1:58">
      <c r="A20" s="3">
        <v>105</v>
      </c>
      <c r="B20" s="3" t="s">
        <v>90</v>
      </c>
      <c r="C20" s="2">
        <v>1</v>
      </c>
      <c r="D20" s="35">
        <v>0</v>
      </c>
      <c r="E20" s="2">
        <v>53.024233333333349</v>
      </c>
      <c r="F20" s="36">
        <v>14370.90199</v>
      </c>
      <c r="G20">
        <f>IF($D20=1,IF(GDP_per_cap!C66&gt;'all_1961-1990'!$H$1,0,IF(UrbanPopRate!C66&gt;=$J$1,0,1)),0)</f>
        <v>0</v>
      </c>
      <c r="H20">
        <f>IF($D20=1,IF(GDP_per_cap!D66&gt;'all_1961-1990'!$H$1,0,IF(UrbanPopRate!D66&gt;=$J$1,0,1)),0)</f>
        <v>0</v>
      </c>
      <c r="I20">
        <f>IF($D20=1,IF(GDP_per_cap!E66&gt;'all_1961-1990'!$H$1,0,IF(UrbanPopRate!E66&gt;=$J$1,0,1)),0)</f>
        <v>0</v>
      </c>
      <c r="J20">
        <f>IF($D20=1,IF(GDP_per_cap!F66&gt;'all_1961-1990'!$H$1,0,IF(UrbanPopRate!F66&gt;=$J$1,0,1)),0)</f>
        <v>0</v>
      </c>
      <c r="K20">
        <f>IF($D20=1,IF(GDP_per_cap!G66&gt;'all_1961-1990'!$H$1,0,IF(UrbanPopRate!G66&gt;=$J$1,0,1)),0)</f>
        <v>0</v>
      </c>
      <c r="L20">
        <f>IF($D20=1,IF(GDP_per_cap!H66&gt;'all_1961-1990'!$H$1,0,IF(UrbanPopRate!H66&gt;=$J$1,0,1)),0)</f>
        <v>0</v>
      </c>
      <c r="M20">
        <f>IF($D20=1,IF(GDP_per_cap!I66&gt;'all_1961-1990'!$H$1,0,IF(UrbanPopRate!I66&gt;=$J$1,0,1)),0)</f>
        <v>0</v>
      </c>
      <c r="N20">
        <f>IF($D20=1,IF(GDP_per_cap!J66&gt;'all_1961-1990'!$H$1,0,IF(UrbanPopRate!J66&gt;=$J$1,0,1)),0)</f>
        <v>0</v>
      </c>
      <c r="O20">
        <f>IF($D20=1,IF(GDP_per_cap!K66&gt;'all_1961-1990'!$H$1,0,IF(UrbanPopRate!K66&gt;=$J$1,0,1)),0)</f>
        <v>0</v>
      </c>
      <c r="P20">
        <f>IF($D20=1,IF(GDP_per_cap!L66&gt;'all_1961-1990'!$H$1,0,IF(UrbanPopRate!L66&gt;=$J$1,0,1)),0)</f>
        <v>0</v>
      </c>
      <c r="Q20">
        <f>IF($D20=1,IF(GDP_per_cap!M66&gt;'all_1961-1990'!$H$1,0,IF(UrbanPopRate!M66&gt;=$J$1,0,1)),0)</f>
        <v>0</v>
      </c>
      <c r="R20">
        <f>IF($D20=1,IF(GDP_per_cap!N66&gt;'all_1961-1990'!$H$1,0,IF(UrbanPopRate!N66&gt;=$J$1,0,1)),0)</f>
        <v>0</v>
      </c>
      <c r="S20">
        <f>IF($D20=1,IF(GDP_per_cap!O66&gt;'all_1961-1990'!$H$1,0,IF(UrbanPopRate!O66&gt;=$J$1,0,1)),0)</f>
        <v>0</v>
      </c>
      <c r="T20">
        <f>IF($D20=1,IF(GDP_per_cap!P66&gt;'all_1961-1990'!$H$1,0,IF(UrbanPopRate!P66&gt;=$J$1,0,1)),0)</f>
        <v>0</v>
      </c>
      <c r="U20">
        <f>IF($D20=1,IF(GDP_per_cap!Q66&gt;'all_1961-1990'!$H$1,0,IF(UrbanPopRate!Q66&gt;=$J$1,0,1)),0)</f>
        <v>0</v>
      </c>
      <c r="V20">
        <f>IF($D20=1,IF(GDP_per_cap!R66&gt;'all_1961-1990'!$H$1,0,IF(UrbanPopRate!R66&gt;=$J$1,0,1)),0)</f>
        <v>0</v>
      </c>
      <c r="W20">
        <f>IF($D20=1,IF(GDP_per_cap!S66&gt;'all_1961-1990'!$H$1,0,IF(UrbanPopRate!S66&gt;=$J$1,0,1)),0)</f>
        <v>0</v>
      </c>
      <c r="X20">
        <f>IF($D20=1,IF(GDP_per_cap!T66&gt;'all_1961-1990'!$H$1,0,IF(UrbanPopRate!T66&gt;=$J$1,0,1)),0)</f>
        <v>0</v>
      </c>
      <c r="Y20">
        <f>IF($D20=1,IF(GDP_per_cap!U66&gt;'all_1961-1990'!$H$1,0,IF(UrbanPopRate!U66&gt;=$J$1,0,1)),0)</f>
        <v>0</v>
      </c>
      <c r="Z20">
        <f>IF($D20=1,IF(GDP_per_cap!V66&gt;'all_1961-1990'!$H$1,0,IF(UrbanPopRate!V66&gt;=$J$1,0,1)),0)</f>
        <v>0</v>
      </c>
      <c r="AA20">
        <f>IF($D20=1,IF(GDP_per_cap!W66&gt;'all_1961-1990'!$H$1,0,IF(UrbanPopRate!W66&gt;=$J$1,0,1)),0)</f>
        <v>0</v>
      </c>
      <c r="AB20">
        <f>IF($D20=1,IF(GDP_per_cap!X66&gt;'all_1961-1990'!$H$1,0,IF(UrbanPopRate!X66&gt;=$J$1,0,1)),0)</f>
        <v>0</v>
      </c>
      <c r="AC20">
        <f>IF($D20=1,IF(GDP_per_cap!Y66&gt;'all_1961-1990'!$H$1,0,IF(UrbanPopRate!Y66&gt;=$J$1,0,1)),0)</f>
        <v>0</v>
      </c>
      <c r="AD20">
        <f>IF($D20=1,IF(GDP_per_cap!Z66&gt;'all_1961-1990'!$H$1,0,IF(UrbanPopRate!Z66&gt;=$J$1,0,1)),0)</f>
        <v>0</v>
      </c>
      <c r="AE20">
        <f>IF($D20=1,IF(GDP_per_cap!AA66&gt;'all_1961-1990'!$H$1,0,IF(UrbanPopRate!AA66&gt;=$J$1,0,1)),0)</f>
        <v>0</v>
      </c>
      <c r="AF20">
        <f>IF($D20=1,IF(GDP_per_cap!AB66&gt;'all_1961-1990'!$H$1,0,IF(UrbanPopRate!AB66&gt;=$J$1,0,1)),0)</f>
        <v>0</v>
      </c>
      <c r="AG20">
        <f>IF($D20=1,IF(GDP_per_cap!AC66&gt;'all_1961-1990'!$H$1,0,IF(UrbanPopRate!AC66&gt;=$J$1,0,1)),0)</f>
        <v>0</v>
      </c>
      <c r="AH20">
        <f>IF($D20=1,IF(GDP_per_cap!AD66&gt;'all_1961-1990'!$H$1,0,IF(UrbanPopRate!AD66&gt;=$J$1,0,1)),0)</f>
        <v>0</v>
      </c>
      <c r="AI20">
        <f>IF($D20=1,IF(GDP_per_cap!AE66&gt;'all_1961-1990'!$H$1,0,IF(UrbanPopRate!AE66&gt;=$J$1,0,1)),0)</f>
        <v>0</v>
      </c>
      <c r="AJ20">
        <f>IF($D20=1,IF(GDP_per_cap!AF66&gt;'all_1961-1990'!$H$1,0,IF(UrbanPopRate!AF66&gt;=$J$1,0,1)),0)</f>
        <v>0</v>
      </c>
      <c r="AK20">
        <f>IF($D20=1,IF(GDP_per_cap!AG66&gt;'all_1961-1990'!$H$1,0,IF(UrbanPopRate!AG66&gt;=$J$1,0,1)),0)</f>
        <v>0</v>
      </c>
      <c r="AL20">
        <f>IF($D20=1,IF(GDP_per_cap!AH66&gt;'all_1961-1990'!$H$1,0,IF(UrbanPopRate!AH66&gt;=$J$1,0,1)),0)</f>
        <v>0</v>
      </c>
      <c r="AM20">
        <f>IF($D20=1,IF(GDP_per_cap!AI66&gt;'all_1961-1990'!$H$1,0,IF(UrbanPopRate!AI66&gt;=$J$1,0,1)),0)</f>
        <v>0</v>
      </c>
      <c r="AN20">
        <f>IF($D20=1,IF(GDP_per_cap!AJ66&gt;'all_1961-1990'!$H$1,0,IF(UrbanPopRate!AJ66&gt;=$J$1,0,1)),0)</f>
        <v>0</v>
      </c>
      <c r="AO20">
        <f>IF($D20=1,IF(GDP_per_cap!AK66&gt;'all_1961-1990'!$H$1,0,IF(UrbanPopRate!AK66&gt;=$J$1,0,1)),0)</f>
        <v>0</v>
      </c>
      <c r="AP20">
        <f>IF($D20=1,IF(GDP_per_cap!AL66&gt;'all_1961-1990'!$H$1,0,IF(UrbanPopRate!AL66&gt;=$J$1,0,1)),0)</f>
        <v>0</v>
      </c>
      <c r="AQ20">
        <f>IF($D20=1,IF(GDP_per_cap!AM66&gt;'all_1961-1990'!$H$1,0,IF(UrbanPopRate!AM66&gt;=$J$1,0,1)),0)</f>
        <v>0</v>
      </c>
      <c r="AR20">
        <f>IF($D20=1,IF(GDP_per_cap!AN66&gt;'all_1961-1990'!$H$1,0,IF(UrbanPopRate!AN66&gt;=$J$1,0,1)),0)</f>
        <v>0</v>
      </c>
      <c r="AS20">
        <f>IF($D20=1,IF(GDP_per_cap!AO66&gt;'all_1961-1990'!$H$1,0,IF(UrbanPopRate!AO66&gt;=$J$1,0,1)),0)</f>
        <v>0</v>
      </c>
      <c r="AT20">
        <f>IF($D20=1,IF(GDP_per_cap!AP66&gt;'all_1961-1990'!$H$1,0,IF(UrbanPopRate!AP66&gt;=$J$1,0,1)),0)</f>
        <v>0</v>
      </c>
      <c r="AU20">
        <f>IF($D20=1,IF(GDP_per_cap!AQ66&gt;'all_1961-1990'!$H$1,0,IF(UrbanPopRate!AQ66&gt;=$J$1,0,1)),0)</f>
        <v>0</v>
      </c>
      <c r="AV20">
        <f>IF($D20=1,IF(GDP_per_cap!AR66&gt;'all_1961-1990'!$H$1,0,IF(UrbanPopRate!AR66&gt;=$J$1,0,1)),0)</f>
        <v>0</v>
      </c>
      <c r="AW20">
        <f>IF($D20=1,IF(GDP_per_cap!AS66&gt;'all_1961-1990'!$H$1,0,IF(UrbanPopRate!AS66&gt;=$J$1,0,1)),0)</f>
        <v>0</v>
      </c>
      <c r="AX20">
        <f>IF($D20=1,IF(GDP_per_cap!AT66&gt;'all_1961-1990'!$H$1,0,IF(UrbanPopRate!AT66&gt;=$J$1,0,1)),0)</f>
        <v>0</v>
      </c>
      <c r="AY20">
        <f>IF($D20=1,IF(GDP_per_cap!AU66&gt;'all_1961-1990'!$H$1,0,IF(UrbanPopRate!AU66&gt;=$J$1,0,1)),0)</f>
        <v>0</v>
      </c>
      <c r="AZ20">
        <f>IF($D20=1,IF(GDP_per_cap!AV66&gt;'all_1961-1990'!$H$1,0,IF(UrbanPopRate!AV66&gt;=$J$1,0,1)),0)</f>
        <v>0</v>
      </c>
      <c r="BA20">
        <f>IF($D20=1,IF(GDP_per_cap!AW66&gt;'all_1961-1990'!$H$1,0,IF(UrbanPopRate!AW66&gt;=$J$1,0,1)),0)</f>
        <v>0</v>
      </c>
      <c r="BB20">
        <f>IF($D20=1,IF(GDP_per_cap!AX66&gt;'all_1961-1990'!$H$1,0,IF(UrbanPopRate!AX66&gt;=$J$1,0,1)),0)</f>
        <v>0</v>
      </c>
      <c r="BC20">
        <f>IF($D20=1,IF(GDP_per_cap!AY66&gt;'all_1961-1990'!$H$1,0,IF(UrbanPopRate!AY66&gt;=$J$1,0,1)),0)</f>
        <v>0</v>
      </c>
      <c r="BD20">
        <f>IF($D20=1,IF(GDP_per_cap!AZ66&gt;'all_1961-1990'!$H$1,0,IF(UrbanPopRate!AZ66&gt;=$J$1,0,1)),0)</f>
        <v>0</v>
      </c>
      <c r="BE20">
        <f>IF($D20=1,IF(GDP_per_cap!BA66&gt;'all_1961-1990'!$H$1,0,IF(UrbanPopRate!BA66&gt;=$J$1,0,1)),0)</f>
        <v>0</v>
      </c>
      <c r="BF20">
        <f>IF($D20=1,IF(GDP_per_cap!BB66&gt;'all_1961-1990'!$H$1,0,IF(UrbanPopRate!BB66&gt;=$J$1,0,1)),0)</f>
        <v>0</v>
      </c>
    </row>
    <row r="21" spans="1:58">
      <c r="A21" s="3">
        <v>176</v>
      </c>
      <c r="B21" s="3" t="s">
        <v>41</v>
      </c>
      <c r="C21" s="2">
        <v>1</v>
      </c>
      <c r="D21" s="35">
        <v>0</v>
      </c>
      <c r="E21" s="2">
        <v>41.210500000000003</v>
      </c>
      <c r="F21" s="36">
        <v>13353.04428</v>
      </c>
      <c r="G21">
        <f>IF($D21=1,IF(GDP_per_cap!C115&gt;'all_1961-1990'!$H$1,0,IF(UrbanPopRate!C115&gt;=$J$1,0,1)),0)</f>
        <v>0</v>
      </c>
      <c r="H21">
        <f>IF($D21=1,IF(GDP_per_cap!D115&gt;'all_1961-1990'!$H$1,0,IF(UrbanPopRate!D115&gt;=$J$1,0,1)),0)</f>
        <v>0</v>
      </c>
      <c r="I21">
        <f>IF($D21=1,IF(GDP_per_cap!E115&gt;'all_1961-1990'!$H$1,0,IF(UrbanPopRate!E115&gt;=$J$1,0,1)),0)</f>
        <v>0</v>
      </c>
      <c r="J21">
        <f>IF($D21=1,IF(GDP_per_cap!F115&gt;'all_1961-1990'!$H$1,0,IF(UrbanPopRate!F115&gt;=$J$1,0,1)),0)</f>
        <v>0</v>
      </c>
      <c r="K21">
        <f>IF($D21=1,IF(GDP_per_cap!G115&gt;'all_1961-1990'!$H$1,0,IF(UrbanPopRate!G115&gt;=$J$1,0,1)),0)</f>
        <v>0</v>
      </c>
      <c r="L21">
        <f>IF($D21=1,IF(GDP_per_cap!H115&gt;'all_1961-1990'!$H$1,0,IF(UrbanPopRate!H115&gt;=$J$1,0,1)),0)</f>
        <v>0</v>
      </c>
      <c r="M21">
        <f>IF($D21=1,IF(GDP_per_cap!I115&gt;'all_1961-1990'!$H$1,0,IF(UrbanPopRate!I115&gt;=$J$1,0,1)),0)</f>
        <v>0</v>
      </c>
      <c r="N21">
        <f>IF($D21=1,IF(GDP_per_cap!J115&gt;'all_1961-1990'!$H$1,0,IF(UrbanPopRate!J115&gt;=$J$1,0,1)),0)</f>
        <v>0</v>
      </c>
      <c r="O21">
        <f>IF($D21=1,IF(GDP_per_cap!K115&gt;'all_1961-1990'!$H$1,0,IF(UrbanPopRate!K115&gt;=$J$1,0,1)),0)</f>
        <v>0</v>
      </c>
      <c r="P21">
        <f>IF($D21=1,IF(GDP_per_cap!L115&gt;'all_1961-1990'!$H$1,0,IF(UrbanPopRate!L115&gt;=$J$1,0,1)),0)</f>
        <v>0</v>
      </c>
      <c r="Q21">
        <f>IF($D21=1,IF(GDP_per_cap!M115&gt;'all_1961-1990'!$H$1,0,IF(UrbanPopRate!M115&gt;=$J$1,0,1)),0)</f>
        <v>0</v>
      </c>
      <c r="R21">
        <f>IF($D21=1,IF(GDP_per_cap!N115&gt;'all_1961-1990'!$H$1,0,IF(UrbanPopRate!N115&gt;=$J$1,0,1)),0)</f>
        <v>0</v>
      </c>
      <c r="S21">
        <f>IF($D21=1,IF(GDP_per_cap!O115&gt;'all_1961-1990'!$H$1,0,IF(UrbanPopRate!O115&gt;=$J$1,0,1)),0)</f>
        <v>0</v>
      </c>
      <c r="T21">
        <f>IF($D21=1,IF(GDP_per_cap!P115&gt;'all_1961-1990'!$H$1,0,IF(UrbanPopRate!P115&gt;=$J$1,0,1)),0)</f>
        <v>0</v>
      </c>
      <c r="U21">
        <f>IF($D21=1,IF(GDP_per_cap!Q115&gt;'all_1961-1990'!$H$1,0,IF(UrbanPopRate!Q115&gt;=$J$1,0,1)),0)</f>
        <v>0</v>
      </c>
      <c r="V21">
        <f>IF($D21=1,IF(GDP_per_cap!R115&gt;'all_1961-1990'!$H$1,0,IF(UrbanPopRate!R115&gt;=$J$1,0,1)),0)</f>
        <v>0</v>
      </c>
      <c r="W21">
        <f>IF($D21=1,IF(GDP_per_cap!S115&gt;'all_1961-1990'!$H$1,0,IF(UrbanPopRate!S115&gt;=$J$1,0,1)),0)</f>
        <v>0</v>
      </c>
      <c r="X21">
        <f>IF($D21=1,IF(GDP_per_cap!T115&gt;'all_1961-1990'!$H$1,0,IF(UrbanPopRate!T115&gt;=$J$1,0,1)),0)</f>
        <v>0</v>
      </c>
      <c r="Y21">
        <f>IF($D21=1,IF(GDP_per_cap!U115&gt;'all_1961-1990'!$H$1,0,IF(UrbanPopRate!U115&gt;=$J$1,0,1)),0)</f>
        <v>0</v>
      </c>
      <c r="Z21">
        <f>IF($D21=1,IF(GDP_per_cap!V115&gt;'all_1961-1990'!$H$1,0,IF(UrbanPopRate!V115&gt;=$J$1,0,1)),0)</f>
        <v>0</v>
      </c>
      <c r="AA21">
        <f>IF($D21=1,IF(GDP_per_cap!W115&gt;'all_1961-1990'!$H$1,0,IF(UrbanPopRate!W115&gt;=$J$1,0,1)),0)</f>
        <v>0</v>
      </c>
      <c r="AB21">
        <f>IF($D21=1,IF(GDP_per_cap!X115&gt;'all_1961-1990'!$H$1,0,IF(UrbanPopRate!X115&gt;=$J$1,0,1)),0)</f>
        <v>0</v>
      </c>
      <c r="AC21">
        <f>IF($D21=1,IF(GDP_per_cap!Y115&gt;'all_1961-1990'!$H$1,0,IF(UrbanPopRate!Y115&gt;=$J$1,0,1)),0)</f>
        <v>0</v>
      </c>
      <c r="AD21">
        <f>IF($D21=1,IF(GDP_per_cap!Z115&gt;'all_1961-1990'!$H$1,0,IF(UrbanPopRate!Z115&gt;=$J$1,0,1)),0)</f>
        <v>0</v>
      </c>
      <c r="AE21">
        <f>IF($D21=1,IF(GDP_per_cap!AA115&gt;'all_1961-1990'!$H$1,0,IF(UrbanPopRate!AA115&gt;=$J$1,0,1)),0)</f>
        <v>0</v>
      </c>
      <c r="AF21">
        <f>IF($D21=1,IF(GDP_per_cap!AB115&gt;'all_1961-1990'!$H$1,0,IF(UrbanPopRate!AB115&gt;=$J$1,0,1)),0)</f>
        <v>0</v>
      </c>
      <c r="AG21">
        <f>IF($D21=1,IF(GDP_per_cap!AC115&gt;'all_1961-1990'!$H$1,0,IF(UrbanPopRate!AC115&gt;=$J$1,0,1)),0)</f>
        <v>0</v>
      </c>
      <c r="AH21">
        <f>IF($D21=1,IF(GDP_per_cap!AD115&gt;'all_1961-1990'!$H$1,0,IF(UrbanPopRate!AD115&gt;=$J$1,0,1)),0)</f>
        <v>0</v>
      </c>
      <c r="AI21">
        <f>IF($D21=1,IF(GDP_per_cap!AE115&gt;'all_1961-1990'!$H$1,0,IF(UrbanPopRate!AE115&gt;=$J$1,0,1)),0)</f>
        <v>0</v>
      </c>
      <c r="AJ21">
        <f>IF($D21=1,IF(GDP_per_cap!AF115&gt;'all_1961-1990'!$H$1,0,IF(UrbanPopRate!AF115&gt;=$J$1,0,1)),0)</f>
        <v>0</v>
      </c>
      <c r="AK21">
        <f>IF($D21=1,IF(GDP_per_cap!AG115&gt;'all_1961-1990'!$H$1,0,IF(UrbanPopRate!AG115&gt;=$J$1,0,1)),0)</f>
        <v>0</v>
      </c>
      <c r="AL21">
        <f>IF($D21=1,IF(GDP_per_cap!AH115&gt;'all_1961-1990'!$H$1,0,IF(UrbanPopRate!AH115&gt;=$J$1,0,1)),0)</f>
        <v>0</v>
      </c>
      <c r="AM21">
        <f>IF($D21=1,IF(GDP_per_cap!AI115&gt;'all_1961-1990'!$H$1,0,IF(UrbanPopRate!AI115&gt;=$J$1,0,1)),0)</f>
        <v>0</v>
      </c>
      <c r="AN21">
        <f>IF($D21=1,IF(GDP_per_cap!AJ115&gt;'all_1961-1990'!$H$1,0,IF(UrbanPopRate!AJ115&gt;=$J$1,0,1)),0)</f>
        <v>0</v>
      </c>
      <c r="AO21">
        <f>IF($D21=1,IF(GDP_per_cap!AK115&gt;'all_1961-1990'!$H$1,0,IF(UrbanPopRate!AK115&gt;=$J$1,0,1)),0)</f>
        <v>0</v>
      </c>
      <c r="AP21">
        <f>IF($D21=1,IF(GDP_per_cap!AL115&gt;'all_1961-1990'!$H$1,0,IF(UrbanPopRate!AL115&gt;=$J$1,0,1)),0)</f>
        <v>0</v>
      </c>
      <c r="AQ21">
        <f>IF($D21=1,IF(GDP_per_cap!AM115&gt;'all_1961-1990'!$H$1,0,IF(UrbanPopRate!AM115&gt;=$J$1,0,1)),0)</f>
        <v>0</v>
      </c>
      <c r="AR21">
        <f>IF($D21=1,IF(GDP_per_cap!AN115&gt;'all_1961-1990'!$H$1,0,IF(UrbanPopRate!AN115&gt;=$J$1,0,1)),0)</f>
        <v>0</v>
      </c>
      <c r="AS21">
        <f>IF($D21=1,IF(GDP_per_cap!AO115&gt;'all_1961-1990'!$H$1,0,IF(UrbanPopRate!AO115&gt;=$J$1,0,1)),0)</f>
        <v>0</v>
      </c>
      <c r="AT21">
        <f>IF($D21=1,IF(GDP_per_cap!AP115&gt;'all_1961-1990'!$H$1,0,IF(UrbanPopRate!AP115&gt;=$J$1,0,1)),0)</f>
        <v>0</v>
      </c>
      <c r="AU21">
        <f>IF($D21=1,IF(GDP_per_cap!AQ115&gt;'all_1961-1990'!$H$1,0,IF(UrbanPopRate!AQ115&gt;=$J$1,0,1)),0)</f>
        <v>0</v>
      </c>
      <c r="AV21">
        <f>IF($D21=1,IF(GDP_per_cap!AR115&gt;'all_1961-1990'!$H$1,0,IF(UrbanPopRate!AR115&gt;=$J$1,0,1)),0)</f>
        <v>0</v>
      </c>
      <c r="AW21">
        <f>IF($D21=1,IF(GDP_per_cap!AS115&gt;'all_1961-1990'!$H$1,0,IF(UrbanPopRate!AS115&gt;=$J$1,0,1)),0)</f>
        <v>0</v>
      </c>
      <c r="AX21">
        <f>IF($D21=1,IF(GDP_per_cap!AT115&gt;'all_1961-1990'!$H$1,0,IF(UrbanPopRate!AT115&gt;=$J$1,0,1)),0)</f>
        <v>0</v>
      </c>
      <c r="AY21">
        <f>IF($D21=1,IF(GDP_per_cap!AU115&gt;'all_1961-1990'!$H$1,0,IF(UrbanPopRate!AU115&gt;=$J$1,0,1)),0)</f>
        <v>0</v>
      </c>
      <c r="AZ21">
        <f>IF($D21=1,IF(GDP_per_cap!AV115&gt;'all_1961-1990'!$H$1,0,IF(UrbanPopRate!AV115&gt;=$J$1,0,1)),0)</f>
        <v>0</v>
      </c>
      <c r="BA21">
        <f>IF($D21=1,IF(GDP_per_cap!AW115&gt;'all_1961-1990'!$H$1,0,IF(UrbanPopRate!AW115&gt;=$J$1,0,1)),0)</f>
        <v>0</v>
      </c>
      <c r="BB21">
        <f>IF($D21=1,IF(GDP_per_cap!AX115&gt;'all_1961-1990'!$H$1,0,IF(UrbanPopRate!AX115&gt;=$J$1,0,1)),0)</f>
        <v>0</v>
      </c>
      <c r="BC21">
        <f>IF($D21=1,IF(GDP_per_cap!AY115&gt;'all_1961-1990'!$H$1,0,IF(UrbanPopRate!AY115&gt;=$J$1,0,1)),0)</f>
        <v>0</v>
      </c>
      <c r="BD21">
        <f>IF($D21=1,IF(GDP_per_cap!AZ115&gt;'all_1961-1990'!$H$1,0,IF(UrbanPopRate!AZ115&gt;=$J$1,0,1)),0)</f>
        <v>0</v>
      </c>
      <c r="BE21">
        <f>IF($D21=1,IF(GDP_per_cap!BA115&gt;'all_1961-1990'!$H$1,0,IF(UrbanPopRate!BA115&gt;=$J$1,0,1)),0)</f>
        <v>0</v>
      </c>
      <c r="BF21">
        <f>IF($D21=1,IF(GDP_per_cap!BB115&gt;'all_1961-1990'!$H$1,0,IF(UrbanPopRate!BB115&gt;=$J$1,0,1)),0)</f>
        <v>0</v>
      </c>
    </row>
    <row r="22" spans="1:58">
      <c r="A22" s="3">
        <v>125</v>
      </c>
      <c r="B22" s="3" t="s">
        <v>73</v>
      </c>
      <c r="C22" s="2">
        <v>1</v>
      </c>
      <c r="D22" s="35">
        <v>0</v>
      </c>
      <c r="E22" s="2">
        <v>58.00483333333333</v>
      </c>
      <c r="F22" s="36">
        <v>13000</v>
      </c>
      <c r="G22">
        <f>IF($D22=1,IF(GDP_per_cap!C83&gt;'all_1961-1990'!$H$1,0,IF(UrbanPopRate!C83&gt;=$J$1,0,1)),0)</f>
        <v>0</v>
      </c>
      <c r="H22">
        <f>IF($D22=1,IF(GDP_per_cap!D83&gt;'all_1961-1990'!$H$1,0,IF(UrbanPopRate!D83&gt;=$J$1,0,1)),0)</f>
        <v>0</v>
      </c>
      <c r="I22">
        <f>IF($D22=1,IF(GDP_per_cap!E83&gt;'all_1961-1990'!$H$1,0,IF(UrbanPopRate!E83&gt;=$J$1,0,1)),0)</f>
        <v>0</v>
      </c>
      <c r="J22">
        <f>IF($D22=1,IF(GDP_per_cap!F83&gt;'all_1961-1990'!$H$1,0,IF(UrbanPopRate!F83&gt;=$J$1,0,1)),0)</f>
        <v>0</v>
      </c>
      <c r="K22">
        <f>IF($D22=1,IF(GDP_per_cap!G83&gt;'all_1961-1990'!$H$1,0,IF(UrbanPopRate!G83&gt;=$J$1,0,1)),0)</f>
        <v>0</v>
      </c>
      <c r="L22">
        <f>IF($D22=1,IF(GDP_per_cap!H83&gt;'all_1961-1990'!$H$1,0,IF(UrbanPopRate!H83&gt;=$J$1,0,1)),0)</f>
        <v>0</v>
      </c>
      <c r="M22">
        <f>IF($D22=1,IF(GDP_per_cap!I83&gt;'all_1961-1990'!$H$1,0,IF(UrbanPopRate!I83&gt;=$J$1,0,1)),0)</f>
        <v>0</v>
      </c>
      <c r="N22">
        <f>IF($D22=1,IF(GDP_per_cap!J83&gt;'all_1961-1990'!$H$1,0,IF(UrbanPopRate!J83&gt;=$J$1,0,1)),0)</f>
        <v>0</v>
      </c>
      <c r="O22">
        <f>IF($D22=1,IF(GDP_per_cap!K83&gt;'all_1961-1990'!$H$1,0,IF(UrbanPopRate!K83&gt;=$J$1,0,1)),0)</f>
        <v>0</v>
      </c>
      <c r="P22">
        <f>IF($D22=1,IF(GDP_per_cap!L83&gt;'all_1961-1990'!$H$1,0,IF(UrbanPopRate!L83&gt;=$J$1,0,1)),0)</f>
        <v>0</v>
      </c>
      <c r="Q22">
        <f>IF($D22=1,IF(GDP_per_cap!M83&gt;'all_1961-1990'!$H$1,0,IF(UrbanPopRate!M83&gt;=$J$1,0,1)),0)</f>
        <v>0</v>
      </c>
      <c r="R22">
        <f>IF($D22=1,IF(GDP_per_cap!N83&gt;'all_1961-1990'!$H$1,0,IF(UrbanPopRate!N83&gt;=$J$1,0,1)),0)</f>
        <v>0</v>
      </c>
      <c r="S22">
        <f>IF($D22=1,IF(GDP_per_cap!O83&gt;'all_1961-1990'!$H$1,0,IF(UrbanPopRate!O83&gt;=$J$1,0,1)),0)</f>
        <v>0</v>
      </c>
      <c r="T22">
        <f>IF($D22=1,IF(GDP_per_cap!P83&gt;'all_1961-1990'!$H$1,0,IF(UrbanPopRate!P83&gt;=$J$1,0,1)),0)</f>
        <v>0</v>
      </c>
      <c r="U22">
        <f>IF($D22=1,IF(GDP_per_cap!Q83&gt;'all_1961-1990'!$H$1,0,IF(UrbanPopRate!Q83&gt;=$J$1,0,1)),0)</f>
        <v>0</v>
      </c>
      <c r="V22">
        <f>IF($D22=1,IF(GDP_per_cap!R83&gt;'all_1961-1990'!$H$1,0,IF(UrbanPopRate!R83&gt;=$J$1,0,1)),0)</f>
        <v>0</v>
      </c>
      <c r="W22">
        <f>IF($D22=1,IF(GDP_per_cap!S83&gt;'all_1961-1990'!$H$1,0,IF(UrbanPopRate!S83&gt;=$J$1,0,1)),0)</f>
        <v>0</v>
      </c>
      <c r="X22">
        <f>IF($D22=1,IF(GDP_per_cap!T83&gt;'all_1961-1990'!$H$1,0,IF(UrbanPopRate!T83&gt;=$J$1,0,1)),0)</f>
        <v>0</v>
      </c>
      <c r="Y22">
        <f>IF($D22=1,IF(GDP_per_cap!U83&gt;'all_1961-1990'!$H$1,0,IF(UrbanPopRate!U83&gt;=$J$1,0,1)),0)</f>
        <v>0</v>
      </c>
      <c r="Z22">
        <f>IF($D22=1,IF(GDP_per_cap!V83&gt;'all_1961-1990'!$H$1,0,IF(UrbanPopRate!V83&gt;=$J$1,0,1)),0)</f>
        <v>0</v>
      </c>
      <c r="AA22">
        <f>IF($D22=1,IF(GDP_per_cap!W83&gt;'all_1961-1990'!$H$1,0,IF(UrbanPopRate!W83&gt;=$J$1,0,1)),0)</f>
        <v>0</v>
      </c>
      <c r="AB22">
        <f>IF($D22=1,IF(GDP_per_cap!X83&gt;'all_1961-1990'!$H$1,0,IF(UrbanPopRate!X83&gt;=$J$1,0,1)),0)</f>
        <v>0</v>
      </c>
      <c r="AC22">
        <f>IF($D22=1,IF(GDP_per_cap!Y83&gt;'all_1961-1990'!$H$1,0,IF(UrbanPopRate!Y83&gt;=$J$1,0,1)),0)</f>
        <v>0</v>
      </c>
      <c r="AD22">
        <f>IF($D22=1,IF(GDP_per_cap!Z83&gt;'all_1961-1990'!$H$1,0,IF(UrbanPopRate!Z83&gt;=$J$1,0,1)),0)</f>
        <v>0</v>
      </c>
      <c r="AE22">
        <f>IF($D22=1,IF(GDP_per_cap!AA83&gt;'all_1961-1990'!$H$1,0,IF(UrbanPopRate!AA83&gt;=$J$1,0,1)),0)</f>
        <v>0</v>
      </c>
      <c r="AF22">
        <f>IF($D22=1,IF(GDP_per_cap!AB83&gt;'all_1961-1990'!$H$1,0,IF(UrbanPopRate!AB83&gt;=$J$1,0,1)),0)</f>
        <v>0</v>
      </c>
      <c r="AG22">
        <f>IF($D22=1,IF(GDP_per_cap!AC83&gt;'all_1961-1990'!$H$1,0,IF(UrbanPopRate!AC83&gt;=$J$1,0,1)),0)</f>
        <v>0</v>
      </c>
      <c r="AH22">
        <f>IF($D22=1,IF(GDP_per_cap!AD83&gt;'all_1961-1990'!$H$1,0,IF(UrbanPopRate!AD83&gt;=$J$1,0,1)),0)</f>
        <v>0</v>
      </c>
      <c r="AI22">
        <f>IF($D22=1,IF(GDP_per_cap!AE83&gt;'all_1961-1990'!$H$1,0,IF(UrbanPopRate!AE83&gt;=$J$1,0,1)),0)</f>
        <v>0</v>
      </c>
      <c r="AJ22">
        <f>IF($D22=1,IF(GDP_per_cap!AF83&gt;'all_1961-1990'!$H$1,0,IF(UrbanPopRate!AF83&gt;=$J$1,0,1)),0)</f>
        <v>0</v>
      </c>
      <c r="AK22">
        <f>IF($D22=1,IF(GDP_per_cap!AG83&gt;'all_1961-1990'!$H$1,0,IF(UrbanPopRate!AG83&gt;=$J$1,0,1)),0)</f>
        <v>0</v>
      </c>
      <c r="AL22">
        <f>IF($D22=1,IF(GDP_per_cap!AH83&gt;'all_1961-1990'!$H$1,0,IF(UrbanPopRate!AH83&gt;=$J$1,0,1)),0)</f>
        <v>0</v>
      </c>
      <c r="AM22">
        <f>IF($D22=1,IF(GDP_per_cap!AI83&gt;'all_1961-1990'!$H$1,0,IF(UrbanPopRate!AI83&gt;=$J$1,0,1)),0)</f>
        <v>0</v>
      </c>
      <c r="AN22">
        <f>IF($D22=1,IF(GDP_per_cap!AJ83&gt;'all_1961-1990'!$H$1,0,IF(UrbanPopRate!AJ83&gt;=$J$1,0,1)),0)</f>
        <v>0</v>
      </c>
      <c r="AO22">
        <f>IF($D22=1,IF(GDP_per_cap!AK83&gt;'all_1961-1990'!$H$1,0,IF(UrbanPopRate!AK83&gt;=$J$1,0,1)),0)</f>
        <v>0</v>
      </c>
      <c r="AP22">
        <f>IF($D22=1,IF(GDP_per_cap!AL83&gt;'all_1961-1990'!$H$1,0,IF(UrbanPopRate!AL83&gt;=$J$1,0,1)),0)</f>
        <v>0</v>
      </c>
      <c r="AQ22">
        <f>IF($D22=1,IF(GDP_per_cap!AM83&gt;'all_1961-1990'!$H$1,0,IF(UrbanPopRate!AM83&gt;=$J$1,0,1)),0)</f>
        <v>0</v>
      </c>
      <c r="AR22">
        <f>IF($D22=1,IF(GDP_per_cap!AN83&gt;'all_1961-1990'!$H$1,0,IF(UrbanPopRate!AN83&gt;=$J$1,0,1)),0)</f>
        <v>0</v>
      </c>
      <c r="AS22">
        <f>IF($D22=1,IF(GDP_per_cap!AO83&gt;'all_1961-1990'!$H$1,0,IF(UrbanPopRate!AO83&gt;=$J$1,0,1)),0)</f>
        <v>0</v>
      </c>
      <c r="AT22">
        <f>IF($D22=1,IF(GDP_per_cap!AP83&gt;'all_1961-1990'!$H$1,0,IF(UrbanPopRate!AP83&gt;=$J$1,0,1)),0)</f>
        <v>0</v>
      </c>
      <c r="AU22">
        <f>IF($D22=1,IF(GDP_per_cap!AQ83&gt;'all_1961-1990'!$H$1,0,IF(UrbanPopRate!AQ83&gt;=$J$1,0,1)),0)</f>
        <v>0</v>
      </c>
      <c r="AV22">
        <f>IF($D22=1,IF(GDP_per_cap!AR83&gt;'all_1961-1990'!$H$1,0,IF(UrbanPopRate!AR83&gt;=$J$1,0,1)),0)</f>
        <v>0</v>
      </c>
      <c r="AW22">
        <f>IF($D22=1,IF(GDP_per_cap!AS83&gt;'all_1961-1990'!$H$1,0,IF(UrbanPopRate!AS83&gt;=$J$1,0,1)),0)</f>
        <v>0</v>
      </c>
      <c r="AX22">
        <f>IF($D22=1,IF(GDP_per_cap!AT83&gt;'all_1961-1990'!$H$1,0,IF(UrbanPopRate!AT83&gt;=$J$1,0,1)),0)</f>
        <v>0</v>
      </c>
      <c r="AY22">
        <f>IF($D22=1,IF(GDP_per_cap!AU83&gt;'all_1961-1990'!$H$1,0,IF(UrbanPopRate!AU83&gt;=$J$1,0,1)),0)</f>
        <v>0</v>
      </c>
      <c r="AZ22">
        <f>IF($D22=1,IF(GDP_per_cap!AV83&gt;'all_1961-1990'!$H$1,0,IF(UrbanPopRate!AV83&gt;=$J$1,0,1)),0)</f>
        <v>0</v>
      </c>
      <c r="BA22">
        <f>IF($D22=1,IF(GDP_per_cap!AW83&gt;'all_1961-1990'!$H$1,0,IF(UrbanPopRate!AW83&gt;=$J$1,0,1)),0)</f>
        <v>0</v>
      </c>
      <c r="BB22">
        <f>IF($D22=1,IF(GDP_per_cap!AX83&gt;'all_1961-1990'!$H$1,0,IF(UrbanPopRate!AX83&gt;=$J$1,0,1)),0)</f>
        <v>0</v>
      </c>
      <c r="BC22">
        <f>IF($D22=1,IF(GDP_per_cap!AY83&gt;'all_1961-1990'!$H$1,0,IF(UrbanPopRate!AY83&gt;=$J$1,0,1)),0)</f>
        <v>0</v>
      </c>
      <c r="BD22">
        <f>IF($D22=1,IF(GDP_per_cap!AZ83&gt;'all_1961-1990'!$H$1,0,IF(UrbanPopRate!AZ83&gt;=$J$1,0,1)),0)</f>
        <v>0</v>
      </c>
      <c r="BE22">
        <f>IF($D22=1,IF(GDP_per_cap!BA83&gt;'all_1961-1990'!$H$1,0,IF(UrbanPopRate!BA83&gt;=$J$1,0,1)),0)</f>
        <v>0</v>
      </c>
      <c r="BF22">
        <f>IF($D22=1,IF(GDP_per_cap!BB83&gt;'all_1961-1990'!$H$1,0,IF(UrbanPopRate!BB83&gt;=$J$1,0,1)),0)</f>
        <v>0</v>
      </c>
    </row>
    <row r="23" spans="1:58">
      <c r="A23" s="3">
        <v>220</v>
      </c>
      <c r="B23" s="3" t="s">
        <v>15</v>
      </c>
      <c r="C23" s="2">
        <v>1</v>
      </c>
      <c r="D23" s="35">
        <v>0</v>
      </c>
      <c r="E23" s="2">
        <v>11.685833333333335</v>
      </c>
      <c r="F23" s="36">
        <v>12779.409589999999</v>
      </c>
      <c r="G23">
        <f>IF($D23=1,IF(GDP_per_cap!C141&gt;'all_1961-1990'!$H$1,0,IF(UrbanPopRate!C141&gt;=$J$1,0,1)),0)</f>
        <v>0</v>
      </c>
      <c r="H23">
        <f>IF($D23=1,IF(GDP_per_cap!D141&gt;'all_1961-1990'!$H$1,0,IF(UrbanPopRate!D141&gt;=$J$1,0,1)),0)</f>
        <v>0</v>
      </c>
      <c r="I23">
        <f>IF($D23=1,IF(GDP_per_cap!E141&gt;'all_1961-1990'!$H$1,0,IF(UrbanPopRate!E141&gt;=$J$1,0,1)),0)</f>
        <v>0</v>
      </c>
      <c r="J23">
        <f>IF($D23=1,IF(GDP_per_cap!F141&gt;'all_1961-1990'!$H$1,0,IF(UrbanPopRate!F141&gt;=$J$1,0,1)),0)</f>
        <v>0</v>
      </c>
      <c r="K23">
        <f>IF($D23=1,IF(GDP_per_cap!G141&gt;'all_1961-1990'!$H$1,0,IF(UrbanPopRate!G141&gt;=$J$1,0,1)),0)</f>
        <v>0</v>
      </c>
      <c r="L23">
        <f>IF($D23=1,IF(GDP_per_cap!H141&gt;'all_1961-1990'!$H$1,0,IF(UrbanPopRate!H141&gt;=$J$1,0,1)),0)</f>
        <v>0</v>
      </c>
      <c r="M23">
        <f>IF($D23=1,IF(GDP_per_cap!I141&gt;'all_1961-1990'!$H$1,0,IF(UrbanPopRate!I141&gt;=$J$1,0,1)),0)</f>
        <v>0</v>
      </c>
      <c r="N23">
        <f>IF($D23=1,IF(GDP_per_cap!J141&gt;'all_1961-1990'!$H$1,0,IF(UrbanPopRate!J141&gt;=$J$1,0,1)),0)</f>
        <v>0</v>
      </c>
      <c r="O23">
        <f>IF($D23=1,IF(GDP_per_cap!K141&gt;'all_1961-1990'!$H$1,0,IF(UrbanPopRate!K141&gt;=$J$1,0,1)),0)</f>
        <v>0</v>
      </c>
      <c r="P23">
        <f>IF($D23=1,IF(GDP_per_cap!L141&gt;'all_1961-1990'!$H$1,0,IF(UrbanPopRate!L141&gt;=$J$1,0,1)),0)</f>
        <v>0</v>
      </c>
      <c r="Q23">
        <f>IF($D23=1,IF(GDP_per_cap!M141&gt;'all_1961-1990'!$H$1,0,IF(UrbanPopRate!M141&gt;=$J$1,0,1)),0)</f>
        <v>0</v>
      </c>
      <c r="R23">
        <f>IF($D23=1,IF(GDP_per_cap!N141&gt;'all_1961-1990'!$H$1,0,IF(UrbanPopRate!N141&gt;=$J$1,0,1)),0)</f>
        <v>0</v>
      </c>
      <c r="S23">
        <f>IF($D23=1,IF(GDP_per_cap!O141&gt;'all_1961-1990'!$H$1,0,IF(UrbanPopRate!O141&gt;=$J$1,0,1)),0)</f>
        <v>0</v>
      </c>
      <c r="T23">
        <f>IF($D23=1,IF(GDP_per_cap!P141&gt;'all_1961-1990'!$H$1,0,IF(UrbanPopRate!P141&gt;=$J$1,0,1)),0)</f>
        <v>0</v>
      </c>
      <c r="U23">
        <f>IF($D23=1,IF(GDP_per_cap!Q141&gt;'all_1961-1990'!$H$1,0,IF(UrbanPopRate!Q141&gt;=$J$1,0,1)),0)</f>
        <v>0</v>
      </c>
      <c r="V23">
        <f>IF($D23=1,IF(GDP_per_cap!R141&gt;'all_1961-1990'!$H$1,0,IF(UrbanPopRate!R141&gt;=$J$1,0,1)),0)</f>
        <v>0</v>
      </c>
      <c r="W23">
        <f>IF($D23=1,IF(GDP_per_cap!S141&gt;'all_1961-1990'!$H$1,0,IF(UrbanPopRate!S141&gt;=$J$1,0,1)),0)</f>
        <v>0</v>
      </c>
      <c r="X23">
        <f>IF($D23=1,IF(GDP_per_cap!T141&gt;'all_1961-1990'!$H$1,0,IF(UrbanPopRate!T141&gt;=$J$1,0,1)),0)</f>
        <v>0</v>
      </c>
      <c r="Y23">
        <f>IF($D23=1,IF(GDP_per_cap!U141&gt;'all_1961-1990'!$H$1,0,IF(UrbanPopRate!U141&gt;=$J$1,0,1)),0)</f>
        <v>0</v>
      </c>
      <c r="Z23">
        <f>IF($D23=1,IF(GDP_per_cap!V141&gt;'all_1961-1990'!$H$1,0,IF(UrbanPopRate!V141&gt;=$J$1,0,1)),0)</f>
        <v>0</v>
      </c>
      <c r="AA23">
        <f>IF($D23=1,IF(GDP_per_cap!W141&gt;'all_1961-1990'!$H$1,0,IF(UrbanPopRate!W141&gt;=$J$1,0,1)),0)</f>
        <v>0</v>
      </c>
      <c r="AB23">
        <f>IF($D23=1,IF(GDP_per_cap!X141&gt;'all_1961-1990'!$H$1,0,IF(UrbanPopRate!X141&gt;=$J$1,0,1)),0)</f>
        <v>0</v>
      </c>
      <c r="AC23">
        <f>IF($D23=1,IF(GDP_per_cap!Y141&gt;'all_1961-1990'!$H$1,0,IF(UrbanPopRate!Y141&gt;=$J$1,0,1)),0)</f>
        <v>0</v>
      </c>
      <c r="AD23">
        <f>IF($D23=1,IF(GDP_per_cap!Z141&gt;'all_1961-1990'!$H$1,0,IF(UrbanPopRate!Z141&gt;=$J$1,0,1)),0)</f>
        <v>0</v>
      </c>
      <c r="AE23">
        <f>IF($D23=1,IF(GDP_per_cap!AA141&gt;'all_1961-1990'!$H$1,0,IF(UrbanPopRate!AA141&gt;=$J$1,0,1)),0)</f>
        <v>0</v>
      </c>
      <c r="AF23">
        <f>IF($D23=1,IF(GDP_per_cap!AB141&gt;'all_1961-1990'!$H$1,0,IF(UrbanPopRate!AB141&gt;=$J$1,0,1)),0)</f>
        <v>0</v>
      </c>
      <c r="AG23">
        <f>IF($D23=1,IF(GDP_per_cap!AC141&gt;'all_1961-1990'!$H$1,0,IF(UrbanPopRate!AC141&gt;=$J$1,0,1)),0)</f>
        <v>0</v>
      </c>
      <c r="AH23">
        <f>IF($D23=1,IF(GDP_per_cap!AD141&gt;'all_1961-1990'!$H$1,0,IF(UrbanPopRate!AD141&gt;=$J$1,0,1)),0)</f>
        <v>0</v>
      </c>
      <c r="AI23">
        <f>IF($D23=1,IF(GDP_per_cap!AE141&gt;'all_1961-1990'!$H$1,0,IF(UrbanPopRate!AE141&gt;=$J$1,0,1)),0)</f>
        <v>0</v>
      </c>
      <c r="AJ23">
        <f>IF($D23=1,IF(GDP_per_cap!AF141&gt;'all_1961-1990'!$H$1,0,IF(UrbanPopRate!AF141&gt;=$J$1,0,1)),0)</f>
        <v>0</v>
      </c>
      <c r="AK23">
        <f>IF($D23=1,IF(GDP_per_cap!AG141&gt;'all_1961-1990'!$H$1,0,IF(UrbanPopRate!AG141&gt;=$J$1,0,1)),0)</f>
        <v>0</v>
      </c>
      <c r="AL23">
        <f>IF($D23=1,IF(GDP_per_cap!AH141&gt;'all_1961-1990'!$H$1,0,IF(UrbanPopRate!AH141&gt;=$J$1,0,1)),0)</f>
        <v>0</v>
      </c>
      <c r="AM23">
        <f>IF($D23=1,IF(GDP_per_cap!AI141&gt;'all_1961-1990'!$H$1,0,IF(UrbanPopRate!AI141&gt;=$J$1,0,1)),0)</f>
        <v>0</v>
      </c>
      <c r="AN23">
        <f>IF($D23=1,IF(GDP_per_cap!AJ141&gt;'all_1961-1990'!$H$1,0,IF(UrbanPopRate!AJ141&gt;=$J$1,0,1)),0)</f>
        <v>0</v>
      </c>
      <c r="AO23">
        <f>IF($D23=1,IF(GDP_per_cap!AK141&gt;'all_1961-1990'!$H$1,0,IF(UrbanPopRate!AK141&gt;=$J$1,0,1)),0)</f>
        <v>0</v>
      </c>
      <c r="AP23">
        <f>IF($D23=1,IF(GDP_per_cap!AL141&gt;'all_1961-1990'!$H$1,0,IF(UrbanPopRate!AL141&gt;=$J$1,0,1)),0)</f>
        <v>0</v>
      </c>
      <c r="AQ23">
        <f>IF($D23=1,IF(GDP_per_cap!AM141&gt;'all_1961-1990'!$H$1,0,IF(UrbanPopRate!AM141&gt;=$J$1,0,1)),0)</f>
        <v>0</v>
      </c>
      <c r="AR23">
        <f>IF($D23=1,IF(GDP_per_cap!AN141&gt;'all_1961-1990'!$H$1,0,IF(UrbanPopRate!AN141&gt;=$J$1,0,1)),0)</f>
        <v>0</v>
      </c>
      <c r="AS23">
        <f>IF($D23=1,IF(GDP_per_cap!AO141&gt;'all_1961-1990'!$H$1,0,IF(UrbanPopRate!AO141&gt;=$J$1,0,1)),0)</f>
        <v>0</v>
      </c>
      <c r="AT23">
        <f>IF($D23=1,IF(GDP_per_cap!AP141&gt;'all_1961-1990'!$H$1,0,IF(UrbanPopRate!AP141&gt;=$J$1,0,1)),0)</f>
        <v>0</v>
      </c>
      <c r="AU23">
        <f>IF($D23=1,IF(GDP_per_cap!AQ141&gt;'all_1961-1990'!$H$1,0,IF(UrbanPopRate!AQ141&gt;=$J$1,0,1)),0)</f>
        <v>0</v>
      </c>
      <c r="AV23">
        <f>IF($D23=1,IF(GDP_per_cap!AR141&gt;'all_1961-1990'!$H$1,0,IF(UrbanPopRate!AR141&gt;=$J$1,0,1)),0)</f>
        <v>0</v>
      </c>
      <c r="AW23">
        <f>IF($D23=1,IF(GDP_per_cap!AS141&gt;'all_1961-1990'!$H$1,0,IF(UrbanPopRate!AS141&gt;=$J$1,0,1)),0)</f>
        <v>0</v>
      </c>
      <c r="AX23">
        <f>IF($D23=1,IF(GDP_per_cap!AT141&gt;'all_1961-1990'!$H$1,0,IF(UrbanPopRate!AT141&gt;=$J$1,0,1)),0)</f>
        <v>0</v>
      </c>
      <c r="AY23">
        <f>IF($D23=1,IF(GDP_per_cap!AU141&gt;'all_1961-1990'!$H$1,0,IF(UrbanPopRate!AU141&gt;=$J$1,0,1)),0)</f>
        <v>0</v>
      </c>
      <c r="AZ23">
        <f>IF($D23=1,IF(GDP_per_cap!AV141&gt;'all_1961-1990'!$H$1,0,IF(UrbanPopRate!AV141&gt;=$J$1,0,1)),0)</f>
        <v>0</v>
      </c>
      <c r="BA23">
        <f>IF($D23=1,IF(GDP_per_cap!AW141&gt;'all_1961-1990'!$H$1,0,IF(UrbanPopRate!AW141&gt;=$J$1,0,1)),0)</f>
        <v>0</v>
      </c>
      <c r="BB23">
        <f>IF($D23=1,IF(GDP_per_cap!AX141&gt;'all_1961-1990'!$H$1,0,IF(UrbanPopRate!AX141&gt;=$J$1,0,1)),0)</f>
        <v>0</v>
      </c>
      <c r="BC23">
        <f>IF($D23=1,IF(GDP_per_cap!AY141&gt;'all_1961-1990'!$H$1,0,IF(UrbanPopRate!AY141&gt;=$J$1,0,1)),0)</f>
        <v>0</v>
      </c>
      <c r="BD23">
        <f>IF($D23=1,IF(GDP_per_cap!AZ141&gt;'all_1961-1990'!$H$1,0,IF(UrbanPopRate!AZ141&gt;=$J$1,0,1)),0)</f>
        <v>0</v>
      </c>
      <c r="BE23">
        <f>IF($D23=1,IF(GDP_per_cap!BA141&gt;'all_1961-1990'!$H$1,0,IF(UrbanPopRate!BA141&gt;=$J$1,0,1)),0)</f>
        <v>0</v>
      </c>
      <c r="BF23">
        <f>IF($D23=1,IF(GDP_per_cap!BB141&gt;'all_1961-1990'!$H$1,0,IF(UrbanPopRate!BB141&gt;=$J$1,0,1)),0)</f>
        <v>0</v>
      </c>
    </row>
    <row r="24" spans="1:58">
      <c r="A24" s="3">
        <v>142</v>
      </c>
      <c r="B24" s="3" t="s">
        <v>64</v>
      </c>
      <c r="C24" s="2">
        <v>1</v>
      </c>
      <c r="D24" s="35">
        <v>0</v>
      </c>
      <c r="E24" s="2">
        <v>62.525433333333332</v>
      </c>
      <c r="F24" s="36">
        <v>10010.12811</v>
      </c>
      <c r="G24">
        <f>IF($D24=1,IF(GDP_per_cap!C92&gt;'all_1961-1990'!$H$1,0,IF(UrbanPopRate!C92&gt;=$J$1,0,1)),0)</f>
        <v>0</v>
      </c>
      <c r="H24">
        <f>IF($D24=1,IF(GDP_per_cap!D92&gt;'all_1961-1990'!$H$1,0,IF(UrbanPopRate!D92&gt;=$J$1,0,1)),0)</f>
        <v>0</v>
      </c>
      <c r="I24">
        <f>IF($D24=1,IF(GDP_per_cap!E92&gt;'all_1961-1990'!$H$1,0,IF(UrbanPopRate!E92&gt;=$J$1,0,1)),0)</f>
        <v>0</v>
      </c>
      <c r="J24">
        <f>IF($D24=1,IF(GDP_per_cap!F92&gt;'all_1961-1990'!$H$1,0,IF(UrbanPopRate!F92&gt;=$J$1,0,1)),0)</f>
        <v>0</v>
      </c>
      <c r="K24">
        <f>IF($D24=1,IF(GDP_per_cap!G92&gt;'all_1961-1990'!$H$1,0,IF(UrbanPopRate!G92&gt;=$J$1,0,1)),0)</f>
        <v>0</v>
      </c>
      <c r="L24">
        <f>IF($D24=1,IF(GDP_per_cap!H92&gt;'all_1961-1990'!$H$1,0,IF(UrbanPopRate!H92&gt;=$J$1,0,1)),0)</f>
        <v>0</v>
      </c>
      <c r="M24">
        <f>IF($D24=1,IF(GDP_per_cap!I92&gt;'all_1961-1990'!$H$1,0,IF(UrbanPopRate!I92&gt;=$J$1,0,1)),0)</f>
        <v>0</v>
      </c>
      <c r="N24">
        <f>IF($D24=1,IF(GDP_per_cap!J92&gt;'all_1961-1990'!$H$1,0,IF(UrbanPopRate!J92&gt;=$J$1,0,1)),0)</f>
        <v>0</v>
      </c>
      <c r="O24">
        <f>IF($D24=1,IF(GDP_per_cap!K92&gt;'all_1961-1990'!$H$1,0,IF(UrbanPopRate!K92&gt;=$J$1,0,1)),0)</f>
        <v>0</v>
      </c>
      <c r="P24">
        <f>IF($D24=1,IF(GDP_per_cap!L92&gt;'all_1961-1990'!$H$1,0,IF(UrbanPopRate!L92&gt;=$J$1,0,1)),0)</f>
        <v>0</v>
      </c>
      <c r="Q24">
        <f>IF($D24=1,IF(GDP_per_cap!M92&gt;'all_1961-1990'!$H$1,0,IF(UrbanPopRate!M92&gt;=$J$1,0,1)),0)</f>
        <v>0</v>
      </c>
      <c r="R24">
        <f>IF($D24=1,IF(GDP_per_cap!N92&gt;'all_1961-1990'!$H$1,0,IF(UrbanPopRate!N92&gt;=$J$1,0,1)),0)</f>
        <v>0</v>
      </c>
      <c r="S24">
        <f>IF($D24=1,IF(GDP_per_cap!O92&gt;'all_1961-1990'!$H$1,0,IF(UrbanPopRate!O92&gt;=$J$1,0,1)),0)</f>
        <v>0</v>
      </c>
      <c r="T24">
        <f>IF($D24=1,IF(GDP_per_cap!P92&gt;'all_1961-1990'!$H$1,0,IF(UrbanPopRate!P92&gt;=$J$1,0,1)),0)</f>
        <v>0</v>
      </c>
      <c r="U24">
        <f>IF($D24=1,IF(GDP_per_cap!Q92&gt;'all_1961-1990'!$H$1,0,IF(UrbanPopRate!Q92&gt;=$J$1,0,1)),0)</f>
        <v>0</v>
      </c>
      <c r="V24">
        <f>IF($D24=1,IF(GDP_per_cap!R92&gt;'all_1961-1990'!$H$1,0,IF(UrbanPopRate!R92&gt;=$J$1,0,1)),0)</f>
        <v>0</v>
      </c>
      <c r="W24">
        <f>IF($D24=1,IF(GDP_per_cap!S92&gt;'all_1961-1990'!$H$1,0,IF(UrbanPopRate!S92&gt;=$J$1,0,1)),0)</f>
        <v>0</v>
      </c>
      <c r="X24">
        <f>IF($D24=1,IF(GDP_per_cap!T92&gt;'all_1961-1990'!$H$1,0,IF(UrbanPopRate!T92&gt;=$J$1,0,1)),0)</f>
        <v>0</v>
      </c>
      <c r="Y24">
        <f>IF($D24=1,IF(GDP_per_cap!U92&gt;'all_1961-1990'!$H$1,0,IF(UrbanPopRate!U92&gt;=$J$1,0,1)),0)</f>
        <v>0</v>
      </c>
      <c r="Z24">
        <f>IF($D24=1,IF(GDP_per_cap!V92&gt;'all_1961-1990'!$H$1,0,IF(UrbanPopRate!V92&gt;=$J$1,0,1)),0)</f>
        <v>0</v>
      </c>
      <c r="AA24">
        <f>IF($D24=1,IF(GDP_per_cap!W92&gt;'all_1961-1990'!$H$1,0,IF(UrbanPopRate!W92&gt;=$J$1,0,1)),0)</f>
        <v>0</v>
      </c>
      <c r="AB24">
        <f>IF($D24=1,IF(GDP_per_cap!X92&gt;'all_1961-1990'!$H$1,0,IF(UrbanPopRate!X92&gt;=$J$1,0,1)),0)</f>
        <v>0</v>
      </c>
      <c r="AC24">
        <f>IF($D24=1,IF(GDP_per_cap!Y92&gt;'all_1961-1990'!$H$1,0,IF(UrbanPopRate!Y92&gt;=$J$1,0,1)),0)</f>
        <v>0</v>
      </c>
      <c r="AD24">
        <f>IF($D24=1,IF(GDP_per_cap!Z92&gt;'all_1961-1990'!$H$1,0,IF(UrbanPopRate!Z92&gt;=$J$1,0,1)),0)</f>
        <v>0</v>
      </c>
      <c r="AE24">
        <f>IF($D24=1,IF(GDP_per_cap!AA92&gt;'all_1961-1990'!$H$1,0,IF(UrbanPopRate!AA92&gt;=$J$1,0,1)),0)</f>
        <v>0</v>
      </c>
      <c r="AF24">
        <f>IF($D24=1,IF(GDP_per_cap!AB92&gt;'all_1961-1990'!$H$1,0,IF(UrbanPopRate!AB92&gt;=$J$1,0,1)),0)</f>
        <v>0</v>
      </c>
      <c r="AG24">
        <f>IF($D24=1,IF(GDP_per_cap!AC92&gt;'all_1961-1990'!$H$1,0,IF(UrbanPopRate!AC92&gt;=$J$1,0,1)),0)</f>
        <v>0</v>
      </c>
      <c r="AH24">
        <f>IF($D24=1,IF(GDP_per_cap!AD92&gt;'all_1961-1990'!$H$1,0,IF(UrbanPopRate!AD92&gt;=$J$1,0,1)),0)</f>
        <v>0</v>
      </c>
      <c r="AI24">
        <f>IF($D24=1,IF(GDP_per_cap!AE92&gt;'all_1961-1990'!$H$1,0,IF(UrbanPopRate!AE92&gt;=$J$1,0,1)),0)</f>
        <v>0</v>
      </c>
      <c r="AJ24">
        <f>IF($D24=1,IF(GDP_per_cap!AF92&gt;'all_1961-1990'!$H$1,0,IF(UrbanPopRate!AF92&gt;=$J$1,0,1)),0)</f>
        <v>0</v>
      </c>
      <c r="AK24">
        <f>IF($D24=1,IF(GDP_per_cap!AG92&gt;'all_1961-1990'!$H$1,0,IF(UrbanPopRate!AG92&gt;=$J$1,0,1)),0)</f>
        <v>0</v>
      </c>
      <c r="AL24">
        <f>IF($D24=1,IF(GDP_per_cap!AH92&gt;'all_1961-1990'!$H$1,0,IF(UrbanPopRate!AH92&gt;=$J$1,0,1)),0)</f>
        <v>0</v>
      </c>
      <c r="AM24">
        <f>IF($D24=1,IF(GDP_per_cap!AI92&gt;'all_1961-1990'!$H$1,0,IF(UrbanPopRate!AI92&gt;=$J$1,0,1)),0)</f>
        <v>0</v>
      </c>
      <c r="AN24">
        <f>IF($D24=1,IF(GDP_per_cap!AJ92&gt;'all_1961-1990'!$H$1,0,IF(UrbanPopRate!AJ92&gt;=$J$1,0,1)),0)</f>
        <v>0</v>
      </c>
      <c r="AO24">
        <f>IF($D24=1,IF(GDP_per_cap!AK92&gt;'all_1961-1990'!$H$1,0,IF(UrbanPopRate!AK92&gt;=$J$1,0,1)),0)</f>
        <v>0</v>
      </c>
      <c r="AP24">
        <f>IF($D24=1,IF(GDP_per_cap!AL92&gt;'all_1961-1990'!$H$1,0,IF(UrbanPopRate!AL92&gt;=$J$1,0,1)),0)</f>
        <v>0</v>
      </c>
      <c r="AQ24">
        <f>IF($D24=1,IF(GDP_per_cap!AM92&gt;'all_1961-1990'!$H$1,0,IF(UrbanPopRate!AM92&gt;=$J$1,0,1)),0)</f>
        <v>0</v>
      </c>
      <c r="AR24">
        <f>IF($D24=1,IF(GDP_per_cap!AN92&gt;'all_1961-1990'!$H$1,0,IF(UrbanPopRate!AN92&gt;=$J$1,0,1)),0)</f>
        <v>0</v>
      </c>
      <c r="AS24">
        <f>IF($D24=1,IF(GDP_per_cap!AO92&gt;'all_1961-1990'!$H$1,0,IF(UrbanPopRate!AO92&gt;=$J$1,0,1)),0)</f>
        <v>0</v>
      </c>
      <c r="AT24">
        <f>IF($D24=1,IF(GDP_per_cap!AP92&gt;'all_1961-1990'!$H$1,0,IF(UrbanPopRate!AP92&gt;=$J$1,0,1)),0)</f>
        <v>0</v>
      </c>
      <c r="AU24">
        <f>IF($D24=1,IF(GDP_per_cap!AQ92&gt;'all_1961-1990'!$H$1,0,IF(UrbanPopRate!AQ92&gt;=$J$1,0,1)),0)</f>
        <v>0</v>
      </c>
      <c r="AV24">
        <f>IF($D24=1,IF(GDP_per_cap!AR92&gt;'all_1961-1990'!$H$1,0,IF(UrbanPopRate!AR92&gt;=$J$1,0,1)),0)</f>
        <v>0</v>
      </c>
      <c r="AW24">
        <f>IF($D24=1,IF(GDP_per_cap!AS92&gt;'all_1961-1990'!$H$1,0,IF(UrbanPopRate!AS92&gt;=$J$1,0,1)),0)</f>
        <v>0</v>
      </c>
      <c r="AX24">
        <f>IF($D24=1,IF(GDP_per_cap!AT92&gt;'all_1961-1990'!$H$1,0,IF(UrbanPopRate!AT92&gt;=$J$1,0,1)),0)</f>
        <v>0</v>
      </c>
      <c r="AY24">
        <f>IF($D24=1,IF(GDP_per_cap!AU92&gt;'all_1961-1990'!$H$1,0,IF(UrbanPopRate!AU92&gt;=$J$1,0,1)),0)</f>
        <v>0</v>
      </c>
      <c r="AZ24">
        <f>IF($D24=1,IF(GDP_per_cap!AV92&gt;'all_1961-1990'!$H$1,0,IF(UrbanPopRate!AV92&gt;=$J$1,0,1)),0)</f>
        <v>0</v>
      </c>
      <c r="BA24">
        <f>IF($D24=1,IF(GDP_per_cap!AW92&gt;'all_1961-1990'!$H$1,0,IF(UrbanPopRate!AW92&gt;=$J$1,0,1)),0)</f>
        <v>0</v>
      </c>
      <c r="BB24">
        <f>IF($D24=1,IF(GDP_per_cap!AX92&gt;'all_1961-1990'!$H$1,0,IF(UrbanPopRate!AX92&gt;=$J$1,0,1)),0)</f>
        <v>0</v>
      </c>
      <c r="BC24">
        <f>IF($D24=1,IF(GDP_per_cap!AY92&gt;'all_1961-1990'!$H$1,0,IF(UrbanPopRate!AY92&gt;=$J$1,0,1)),0)</f>
        <v>0</v>
      </c>
      <c r="BD24">
        <f>IF($D24=1,IF(GDP_per_cap!AZ92&gt;'all_1961-1990'!$H$1,0,IF(UrbanPopRate!AZ92&gt;=$J$1,0,1)),0)</f>
        <v>0</v>
      </c>
      <c r="BE24">
        <f>IF($D24=1,IF(GDP_per_cap!BA92&gt;'all_1961-1990'!$H$1,0,IF(UrbanPopRate!BA92&gt;=$J$1,0,1)),0)</f>
        <v>0</v>
      </c>
      <c r="BF24">
        <f>IF($D24=1,IF(GDP_per_cap!BB92&gt;'all_1961-1990'!$H$1,0,IF(UrbanPopRate!BB92&gt;=$J$1,0,1)),0)</f>
        <v>0</v>
      </c>
    </row>
    <row r="25" spans="1:58">
      <c r="A25" s="3">
        <v>56</v>
      </c>
      <c r="B25" s="3" t="s">
        <v>120</v>
      </c>
      <c r="C25" s="2">
        <v>2</v>
      </c>
      <c r="D25" s="35">
        <v>0</v>
      </c>
      <c r="E25" s="2">
        <v>65.040800000000004</v>
      </c>
      <c r="F25" s="36">
        <v>9900</v>
      </c>
      <c r="G25">
        <f>IF($D25=1,IF(GDP_per_cap!C36&gt;'all_1961-1990'!$H$1,0,IF(UrbanPopRate!C36&gt;=$J$1,0,1)),0)</f>
        <v>0</v>
      </c>
      <c r="H25">
        <f>IF($D25=1,IF(GDP_per_cap!D36&gt;'all_1961-1990'!$H$1,0,IF(UrbanPopRate!D36&gt;=$J$1,0,1)),0)</f>
        <v>0</v>
      </c>
      <c r="I25">
        <f>IF($D25=1,IF(GDP_per_cap!E36&gt;'all_1961-1990'!$H$1,0,IF(UrbanPopRate!E36&gt;=$J$1,0,1)),0)</f>
        <v>0</v>
      </c>
      <c r="J25">
        <f>IF($D25=1,IF(GDP_per_cap!F36&gt;'all_1961-1990'!$H$1,0,IF(UrbanPopRate!F36&gt;=$J$1,0,1)),0)</f>
        <v>0</v>
      </c>
      <c r="K25">
        <f>IF($D25=1,IF(GDP_per_cap!G36&gt;'all_1961-1990'!$H$1,0,IF(UrbanPopRate!G36&gt;=$J$1,0,1)),0)</f>
        <v>0</v>
      </c>
      <c r="L25">
        <f>IF($D25=1,IF(GDP_per_cap!H36&gt;'all_1961-1990'!$H$1,0,IF(UrbanPopRate!H36&gt;=$J$1,0,1)),0)</f>
        <v>0</v>
      </c>
      <c r="M25">
        <f>IF($D25=1,IF(GDP_per_cap!I36&gt;'all_1961-1990'!$H$1,0,IF(UrbanPopRate!I36&gt;=$J$1,0,1)),0)</f>
        <v>0</v>
      </c>
      <c r="N25">
        <f>IF($D25=1,IF(GDP_per_cap!J36&gt;'all_1961-1990'!$H$1,0,IF(UrbanPopRate!J36&gt;=$J$1,0,1)),0)</f>
        <v>0</v>
      </c>
      <c r="O25">
        <f>IF($D25=1,IF(GDP_per_cap!K36&gt;'all_1961-1990'!$H$1,0,IF(UrbanPopRate!K36&gt;=$J$1,0,1)),0)</f>
        <v>0</v>
      </c>
      <c r="P25">
        <f>IF($D25=1,IF(GDP_per_cap!L36&gt;'all_1961-1990'!$H$1,0,IF(UrbanPopRate!L36&gt;=$J$1,0,1)),0)</f>
        <v>0</v>
      </c>
      <c r="Q25">
        <f>IF($D25=1,IF(GDP_per_cap!M36&gt;'all_1961-1990'!$H$1,0,IF(UrbanPopRate!M36&gt;=$J$1,0,1)),0)</f>
        <v>0</v>
      </c>
      <c r="R25">
        <f>IF($D25=1,IF(GDP_per_cap!N36&gt;'all_1961-1990'!$H$1,0,IF(UrbanPopRate!N36&gt;=$J$1,0,1)),0)</f>
        <v>0</v>
      </c>
      <c r="S25">
        <f>IF($D25=1,IF(GDP_per_cap!O36&gt;'all_1961-1990'!$H$1,0,IF(UrbanPopRate!O36&gt;=$J$1,0,1)),0)</f>
        <v>0</v>
      </c>
      <c r="T25">
        <f>IF($D25=1,IF(GDP_per_cap!P36&gt;'all_1961-1990'!$H$1,0,IF(UrbanPopRate!P36&gt;=$J$1,0,1)),0)</f>
        <v>0</v>
      </c>
      <c r="U25">
        <f>IF($D25=1,IF(GDP_per_cap!Q36&gt;'all_1961-1990'!$H$1,0,IF(UrbanPopRate!Q36&gt;=$J$1,0,1)),0)</f>
        <v>0</v>
      </c>
      <c r="V25">
        <f>IF($D25=1,IF(GDP_per_cap!R36&gt;'all_1961-1990'!$H$1,0,IF(UrbanPopRate!R36&gt;=$J$1,0,1)),0)</f>
        <v>0</v>
      </c>
      <c r="W25">
        <f>IF($D25=1,IF(GDP_per_cap!S36&gt;'all_1961-1990'!$H$1,0,IF(UrbanPopRate!S36&gt;=$J$1,0,1)),0)</f>
        <v>0</v>
      </c>
      <c r="X25">
        <f>IF($D25=1,IF(GDP_per_cap!T36&gt;'all_1961-1990'!$H$1,0,IF(UrbanPopRate!T36&gt;=$J$1,0,1)),0)</f>
        <v>0</v>
      </c>
      <c r="Y25">
        <f>IF($D25=1,IF(GDP_per_cap!U36&gt;'all_1961-1990'!$H$1,0,IF(UrbanPopRate!U36&gt;=$J$1,0,1)),0)</f>
        <v>0</v>
      </c>
      <c r="Z25">
        <f>IF($D25=1,IF(GDP_per_cap!V36&gt;'all_1961-1990'!$H$1,0,IF(UrbanPopRate!V36&gt;=$J$1,0,1)),0)</f>
        <v>0</v>
      </c>
      <c r="AA25">
        <f>IF($D25=1,IF(GDP_per_cap!W36&gt;'all_1961-1990'!$H$1,0,IF(UrbanPopRate!W36&gt;=$J$1,0,1)),0)</f>
        <v>0</v>
      </c>
      <c r="AB25">
        <f>IF($D25=1,IF(GDP_per_cap!X36&gt;'all_1961-1990'!$H$1,0,IF(UrbanPopRate!X36&gt;=$J$1,0,1)),0)</f>
        <v>0</v>
      </c>
      <c r="AC25">
        <f>IF($D25=1,IF(GDP_per_cap!Y36&gt;'all_1961-1990'!$H$1,0,IF(UrbanPopRate!Y36&gt;=$J$1,0,1)),0)</f>
        <v>0</v>
      </c>
      <c r="AD25">
        <f>IF($D25=1,IF(GDP_per_cap!Z36&gt;'all_1961-1990'!$H$1,0,IF(UrbanPopRate!Z36&gt;=$J$1,0,1)),0)</f>
        <v>0</v>
      </c>
      <c r="AE25">
        <f>IF($D25=1,IF(GDP_per_cap!AA36&gt;'all_1961-1990'!$H$1,0,IF(UrbanPopRate!AA36&gt;=$J$1,0,1)),0)</f>
        <v>0</v>
      </c>
      <c r="AF25">
        <f>IF($D25=1,IF(GDP_per_cap!AB36&gt;'all_1961-1990'!$H$1,0,IF(UrbanPopRate!AB36&gt;=$J$1,0,1)),0)</f>
        <v>0</v>
      </c>
      <c r="AG25">
        <f>IF($D25=1,IF(GDP_per_cap!AC36&gt;'all_1961-1990'!$H$1,0,IF(UrbanPopRate!AC36&gt;=$J$1,0,1)),0)</f>
        <v>0</v>
      </c>
      <c r="AH25">
        <f>IF($D25=1,IF(GDP_per_cap!AD36&gt;'all_1961-1990'!$H$1,0,IF(UrbanPopRate!AD36&gt;=$J$1,0,1)),0)</f>
        <v>0</v>
      </c>
      <c r="AI25">
        <f>IF($D25=1,IF(GDP_per_cap!AE36&gt;'all_1961-1990'!$H$1,0,IF(UrbanPopRate!AE36&gt;=$J$1,0,1)),0)</f>
        <v>0</v>
      </c>
      <c r="AJ25">
        <f>IF($D25=1,IF(GDP_per_cap!AF36&gt;'all_1961-1990'!$H$1,0,IF(UrbanPopRate!AF36&gt;=$J$1,0,1)),0)</f>
        <v>0</v>
      </c>
      <c r="AK25">
        <f>IF($D25=1,IF(GDP_per_cap!AG36&gt;'all_1961-1990'!$H$1,0,IF(UrbanPopRate!AG36&gt;=$J$1,0,1)),0)</f>
        <v>0</v>
      </c>
      <c r="AL25">
        <f>IF($D25=1,IF(GDP_per_cap!AH36&gt;'all_1961-1990'!$H$1,0,IF(UrbanPopRate!AH36&gt;=$J$1,0,1)),0)</f>
        <v>0</v>
      </c>
      <c r="AM25">
        <f>IF($D25=1,IF(GDP_per_cap!AI36&gt;'all_1961-1990'!$H$1,0,IF(UrbanPopRate!AI36&gt;=$J$1,0,1)),0)</f>
        <v>0</v>
      </c>
      <c r="AN25">
        <f>IF($D25=1,IF(GDP_per_cap!AJ36&gt;'all_1961-1990'!$H$1,0,IF(UrbanPopRate!AJ36&gt;=$J$1,0,1)),0)</f>
        <v>0</v>
      </c>
      <c r="AO25">
        <f>IF($D25=1,IF(GDP_per_cap!AK36&gt;'all_1961-1990'!$H$1,0,IF(UrbanPopRate!AK36&gt;=$J$1,0,1)),0)</f>
        <v>0</v>
      </c>
      <c r="AP25">
        <f>IF($D25=1,IF(GDP_per_cap!AL36&gt;'all_1961-1990'!$H$1,0,IF(UrbanPopRate!AL36&gt;=$J$1,0,1)),0)</f>
        <v>0</v>
      </c>
      <c r="AQ25">
        <f>IF($D25=1,IF(GDP_per_cap!AM36&gt;'all_1961-1990'!$H$1,0,IF(UrbanPopRate!AM36&gt;=$J$1,0,1)),0)</f>
        <v>0</v>
      </c>
      <c r="AR25">
        <f>IF($D25=1,IF(GDP_per_cap!AN36&gt;'all_1961-1990'!$H$1,0,IF(UrbanPopRate!AN36&gt;=$J$1,0,1)),0)</f>
        <v>0</v>
      </c>
      <c r="AS25">
        <f>IF($D25=1,IF(GDP_per_cap!AO36&gt;'all_1961-1990'!$H$1,0,IF(UrbanPopRate!AO36&gt;=$J$1,0,1)),0)</f>
        <v>0</v>
      </c>
      <c r="AT25">
        <f>IF($D25=1,IF(GDP_per_cap!AP36&gt;'all_1961-1990'!$H$1,0,IF(UrbanPopRate!AP36&gt;=$J$1,0,1)),0)</f>
        <v>0</v>
      </c>
      <c r="AU25">
        <f>IF($D25=1,IF(GDP_per_cap!AQ36&gt;'all_1961-1990'!$H$1,0,IF(UrbanPopRate!AQ36&gt;=$J$1,0,1)),0)</f>
        <v>0</v>
      </c>
      <c r="AV25">
        <f>IF($D25=1,IF(GDP_per_cap!AR36&gt;'all_1961-1990'!$H$1,0,IF(UrbanPopRate!AR36&gt;=$J$1,0,1)),0)</f>
        <v>0</v>
      </c>
      <c r="AW25">
        <f>IF($D25=1,IF(GDP_per_cap!AS36&gt;'all_1961-1990'!$H$1,0,IF(UrbanPopRate!AS36&gt;=$J$1,0,1)),0)</f>
        <v>0</v>
      </c>
      <c r="AX25">
        <f>IF($D25=1,IF(GDP_per_cap!AT36&gt;'all_1961-1990'!$H$1,0,IF(UrbanPopRate!AT36&gt;=$J$1,0,1)),0)</f>
        <v>0</v>
      </c>
      <c r="AY25">
        <f>IF($D25=1,IF(GDP_per_cap!AU36&gt;'all_1961-1990'!$H$1,0,IF(UrbanPopRate!AU36&gt;=$J$1,0,1)),0)</f>
        <v>0</v>
      </c>
      <c r="AZ25">
        <f>IF($D25=1,IF(GDP_per_cap!AV36&gt;'all_1961-1990'!$H$1,0,IF(UrbanPopRate!AV36&gt;=$J$1,0,1)),0)</f>
        <v>0</v>
      </c>
      <c r="BA25">
        <f>IF($D25=1,IF(GDP_per_cap!AW36&gt;'all_1961-1990'!$H$1,0,IF(UrbanPopRate!AW36&gt;=$J$1,0,1)),0)</f>
        <v>0</v>
      </c>
      <c r="BB25">
        <f>IF($D25=1,IF(GDP_per_cap!AX36&gt;'all_1961-1990'!$H$1,0,IF(UrbanPopRate!AX36&gt;=$J$1,0,1)),0)</f>
        <v>0</v>
      </c>
      <c r="BC25">
        <f>IF($D25=1,IF(GDP_per_cap!AY36&gt;'all_1961-1990'!$H$1,0,IF(UrbanPopRate!AY36&gt;=$J$1,0,1)),0)</f>
        <v>0</v>
      </c>
      <c r="BD25">
        <f>IF($D25=1,IF(GDP_per_cap!AZ36&gt;'all_1961-1990'!$H$1,0,IF(UrbanPopRate!AZ36&gt;=$J$1,0,1)),0)</f>
        <v>0</v>
      </c>
      <c r="BE25">
        <f>IF($D25=1,IF(GDP_per_cap!BA36&gt;'all_1961-1990'!$H$1,0,IF(UrbanPopRate!BA36&gt;=$J$1,0,1)),0)</f>
        <v>0</v>
      </c>
      <c r="BF25">
        <f>IF($D25=1,IF(GDP_per_cap!BB36&gt;'all_1961-1990'!$H$1,0,IF(UrbanPopRate!BB36&gt;=$J$1,0,1)),0)</f>
        <v>0</v>
      </c>
    </row>
    <row r="26" spans="1:58">
      <c r="A26" s="3">
        <v>11</v>
      </c>
      <c r="B26" s="3" t="s">
        <v>150</v>
      </c>
      <c r="C26" s="2">
        <v>2</v>
      </c>
      <c r="D26" s="35">
        <v>0</v>
      </c>
      <c r="E26" s="2">
        <v>80.962966666666659</v>
      </c>
      <c r="F26" s="36">
        <v>8559.8257470000008</v>
      </c>
      <c r="G26">
        <f>IF($D26=1,IF(GDP_per_cap!C6&gt;'all_1961-1990'!$H$1,0,IF(UrbanPopRate!C6&gt;=$J$1,0,1)),0)</f>
        <v>0</v>
      </c>
      <c r="H26">
        <f>IF($D26=1,IF(GDP_per_cap!D6&gt;'all_1961-1990'!$H$1,0,IF(UrbanPopRate!D6&gt;=$J$1,0,1)),0)</f>
        <v>0</v>
      </c>
      <c r="I26">
        <f>IF($D26=1,IF(GDP_per_cap!E6&gt;'all_1961-1990'!$H$1,0,IF(UrbanPopRate!E6&gt;=$J$1,0,1)),0)</f>
        <v>0</v>
      </c>
      <c r="J26">
        <f>IF($D26=1,IF(GDP_per_cap!F6&gt;'all_1961-1990'!$H$1,0,IF(UrbanPopRate!F6&gt;=$J$1,0,1)),0)</f>
        <v>0</v>
      </c>
      <c r="K26">
        <f>IF($D26=1,IF(GDP_per_cap!G6&gt;'all_1961-1990'!$H$1,0,IF(UrbanPopRate!G6&gt;=$J$1,0,1)),0)</f>
        <v>0</v>
      </c>
      <c r="L26">
        <f>IF($D26=1,IF(GDP_per_cap!H6&gt;'all_1961-1990'!$H$1,0,IF(UrbanPopRate!H6&gt;=$J$1,0,1)),0)</f>
        <v>0</v>
      </c>
      <c r="M26">
        <f>IF($D26=1,IF(GDP_per_cap!I6&gt;'all_1961-1990'!$H$1,0,IF(UrbanPopRate!I6&gt;=$J$1,0,1)),0)</f>
        <v>0</v>
      </c>
      <c r="N26">
        <f>IF($D26=1,IF(GDP_per_cap!J6&gt;'all_1961-1990'!$H$1,0,IF(UrbanPopRate!J6&gt;=$J$1,0,1)),0)</f>
        <v>0</v>
      </c>
      <c r="O26">
        <f>IF($D26=1,IF(GDP_per_cap!K6&gt;'all_1961-1990'!$H$1,0,IF(UrbanPopRate!K6&gt;=$J$1,0,1)),0)</f>
        <v>0</v>
      </c>
      <c r="P26">
        <f>IF($D26=1,IF(GDP_per_cap!L6&gt;'all_1961-1990'!$H$1,0,IF(UrbanPopRate!L6&gt;=$J$1,0,1)),0)</f>
        <v>0</v>
      </c>
      <c r="Q26">
        <f>IF($D26=1,IF(GDP_per_cap!M6&gt;'all_1961-1990'!$H$1,0,IF(UrbanPopRate!M6&gt;=$J$1,0,1)),0)</f>
        <v>0</v>
      </c>
      <c r="R26">
        <f>IF($D26=1,IF(GDP_per_cap!N6&gt;'all_1961-1990'!$H$1,0,IF(UrbanPopRate!N6&gt;=$J$1,0,1)),0)</f>
        <v>0</v>
      </c>
      <c r="S26">
        <f>IF($D26=1,IF(GDP_per_cap!O6&gt;'all_1961-1990'!$H$1,0,IF(UrbanPopRate!O6&gt;=$J$1,0,1)),0)</f>
        <v>0</v>
      </c>
      <c r="T26">
        <f>IF($D26=1,IF(GDP_per_cap!P6&gt;'all_1961-1990'!$H$1,0,IF(UrbanPopRate!P6&gt;=$J$1,0,1)),0)</f>
        <v>0</v>
      </c>
      <c r="U26">
        <f>IF($D26=1,IF(GDP_per_cap!Q6&gt;'all_1961-1990'!$H$1,0,IF(UrbanPopRate!Q6&gt;=$J$1,0,1)),0)</f>
        <v>0</v>
      </c>
      <c r="V26">
        <f>IF($D26=1,IF(GDP_per_cap!R6&gt;'all_1961-1990'!$H$1,0,IF(UrbanPopRate!R6&gt;=$J$1,0,1)),0)</f>
        <v>0</v>
      </c>
      <c r="W26">
        <f>IF($D26=1,IF(GDP_per_cap!S6&gt;'all_1961-1990'!$H$1,0,IF(UrbanPopRate!S6&gt;=$J$1,0,1)),0)</f>
        <v>0</v>
      </c>
      <c r="X26">
        <f>IF($D26=1,IF(GDP_per_cap!T6&gt;'all_1961-1990'!$H$1,0,IF(UrbanPopRate!T6&gt;=$J$1,0,1)),0)</f>
        <v>0</v>
      </c>
      <c r="Y26">
        <f>IF($D26=1,IF(GDP_per_cap!U6&gt;'all_1961-1990'!$H$1,0,IF(UrbanPopRate!U6&gt;=$J$1,0,1)),0)</f>
        <v>0</v>
      </c>
      <c r="Z26">
        <f>IF($D26=1,IF(GDP_per_cap!V6&gt;'all_1961-1990'!$H$1,0,IF(UrbanPopRate!V6&gt;=$J$1,0,1)),0)</f>
        <v>0</v>
      </c>
      <c r="AA26">
        <f>IF($D26=1,IF(GDP_per_cap!W6&gt;'all_1961-1990'!$H$1,0,IF(UrbanPopRate!W6&gt;=$J$1,0,1)),0)</f>
        <v>0</v>
      </c>
      <c r="AB26">
        <f>IF($D26=1,IF(GDP_per_cap!X6&gt;'all_1961-1990'!$H$1,0,IF(UrbanPopRate!X6&gt;=$J$1,0,1)),0)</f>
        <v>0</v>
      </c>
      <c r="AC26">
        <f>IF($D26=1,IF(GDP_per_cap!Y6&gt;'all_1961-1990'!$H$1,0,IF(UrbanPopRate!Y6&gt;=$J$1,0,1)),0)</f>
        <v>0</v>
      </c>
      <c r="AD26">
        <f>IF($D26=1,IF(GDP_per_cap!Z6&gt;'all_1961-1990'!$H$1,0,IF(UrbanPopRate!Z6&gt;=$J$1,0,1)),0)</f>
        <v>0</v>
      </c>
      <c r="AE26">
        <f>IF($D26=1,IF(GDP_per_cap!AA6&gt;'all_1961-1990'!$H$1,0,IF(UrbanPopRate!AA6&gt;=$J$1,0,1)),0)</f>
        <v>0</v>
      </c>
      <c r="AF26">
        <f>IF($D26=1,IF(GDP_per_cap!AB6&gt;'all_1961-1990'!$H$1,0,IF(UrbanPopRate!AB6&gt;=$J$1,0,1)),0)</f>
        <v>0</v>
      </c>
      <c r="AG26">
        <f>IF($D26=1,IF(GDP_per_cap!AC6&gt;'all_1961-1990'!$H$1,0,IF(UrbanPopRate!AC6&gt;=$J$1,0,1)),0)</f>
        <v>0</v>
      </c>
      <c r="AH26">
        <f>IF($D26=1,IF(GDP_per_cap!AD6&gt;'all_1961-1990'!$H$1,0,IF(UrbanPopRate!AD6&gt;=$J$1,0,1)),0)</f>
        <v>0</v>
      </c>
      <c r="AI26">
        <f>IF($D26=1,IF(GDP_per_cap!AE6&gt;'all_1961-1990'!$H$1,0,IF(UrbanPopRate!AE6&gt;=$J$1,0,1)),0)</f>
        <v>0</v>
      </c>
      <c r="AJ26">
        <f>IF($D26=1,IF(GDP_per_cap!AF6&gt;'all_1961-1990'!$H$1,0,IF(UrbanPopRate!AF6&gt;=$J$1,0,1)),0)</f>
        <v>0</v>
      </c>
      <c r="AK26">
        <f>IF($D26=1,IF(GDP_per_cap!AG6&gt;'all_1961-1990'!$H$1,0,IF(UrbanPopRate!AG6&gt;=$J$1,0,1)),0)</f>
        <v>0</v>
      </c>
      <c r="AL26">
        <f>IF($D26=1,IF(GDP_per_cap!AH6&gt;'all_1961-1990'!$H$1,0,IF(UrbanPopRate!AH6&gt;=$J$1,0,1)),0)</f>
        <v>0</v>
      </c>
      <c r="AM26">
        <f>IF($D26=1,IF(GDP_per_cap!AI6&gt;'all_1961-1990'!$H$1,0,IF(UrbanPopRate!AI6&gt;=$J$1,0,1)),0)</f>
        <v>0</v>
      </c>
      <c r="AN26">
        <f>IF($D26=1,IF(GDP_per_cap!AJ6&gt;'all_1961-1990'!$H$1,0,IF(UrbanPopRate!AJ6&gt;=$J$1,0,1)),0)</f>
        <v>0</v>
      </c>
      <c r="AO26">
        <f>IF($D26=1,IF(GDP_per_cap!AK6&gt;'all_1961-1990'!$H$1,0,IF(UrbanPopRate!AK6&gt;=$J$1,0,1)),0)</f>
        <v>0</v>
      </c>
      <c r="AP26">
        <f>IF($D26=1,IF(GDP_per_cap!AL6&gt;'all_1961-1990'!$H$1,0,IF(UrbanPopRate!AL6&gt;=$J$1,0,1)),0)</f>
        <v>0</v>
      </c>
      <c r="AQ26">
        <f>IF($D26=1,IF(GDP_per_cap!AM6&gt;'all_1961-1990'!$H$1,0,IF(UrbanPopRate!AM6&gt;=$J$1,0,1)),0)</f>
        <v>0</v>
      </c>
      <c r="AR26">
        <f>IF($D26=1,IF(GDP_per_cap!AN6&gt;'all_1961-1990'!$H$1,0,IF(UrbanPopRate!AN6&gt;=$J$1,0,1)),0)</f>
        <v>0</v>
      </c>
      <c r="AS26">
        <f>IF($D26=1,IF(GDP_per_cap!AO6&gt;'all_1961-1990'!$H$1,0,IF(UrbanPopRate!AO6&gt;=$J$1,0,1)),0)</f>
        <v>0</v>
      </c>
      <c r="AT26">
        <f>IF($D26=1,IF(GDP_per_cap!AP6&gt;'all_1961-1990'!$H$1,0,IF(UrbanPopRate!AP6&gt;=$J$1,0,1)),0)</f>
        <v>0</v>
      </c>
      <c r="AU26">
        <f>IF($D26=1,IF(GDP_per_cap!AQ6&gt;'all_1961-1990'!$H$1,0,IF(UrbanPopRate!AQ6&gt;=$J$1,0,1)),0)</f>
        <v>0</v>
      </c>
      <c r="AV26">
        <f>IF($D26=1,IF(GDP_per_cap!AR6&gt;'all_1961-1990'!$H$1,0,IF(UrbanPopRate!AR6&gt;=$J$1,0,1)),0)</f>
        <v>0</v>
      </c>
      <c r="AW26">
        <f>IF($D26=1,IF(GDP_per_cap!AS6&gt;'all_1961-1990'!$H$1,0,IF(UrbanPopRate!AS6&gt;=$J$1,0,1)),0)</f>
        <v>0</v>
      </c>
      <c r="AX26">
        <f>IF($D26=1,IF(GDP_per_cap!AT6&gt;'all_1961-1990'!$H$1,0,IF(UrbanPopRate!AT6&gt;=$J$1,0,1)),0)</f>
        <v>0</v>
      </c>
      <c r="AY26">
        <f>IF($D26=1,IF(GDP_per_cap!AU6&gt;'all_1961-1990'!$H$1,0,IF(UrbanPopRate!AU6&gt;=$J$1,0,1)),0)</f>
        <v>0</v>
      </c>
      <c r="AZ26">
        <f>IF($D26=1,IF(GDP_per_cap!AV6&gt;'all_1961-1990'!$H$1,0,IF(UrbanPopRate!AV6&gt;=$J$1,0,1)),0)</f>
        <v>0</v>
      </c>
      <c r="BA26">
        <f>IF($D26=1,IF(GDP_per_cap!AW6&gt;'all_1961-1990'!$H$1,0,IF(UrbanPopRate!AW6&gt;=$J$1,0,1)),0)</f>
        <v>0</v>
      </c>
      <c r="BB26">
        <f>IF($D26=1,IF(GDP_per_cap!AX6&gt;'all_1961-1990'!$H$1,0,IF(UrbanPopRate!AX6&gt;=$J$1,0,1)),0)</f>
        <v>0</v>
      </c>
      <c r="BC26">
        <f>IF($D26=1,IF(GDP_per_cap!AY6&gt;'all_1961-1990'!$H$1,0,IF(UrbanPopRate!AY6&gt;=$J$1,0,1)),0)</f>
        <v>0</v>
      </c>
      <c r="BD26">
        <f>IF($D26=1,IF(GDP_per_cap!AZ6&gt;'all_1961-1990'!$H$1,0,IF(UrbanPopRate!AZ6&gt;=$J$1,0,1)),0)</f>
        <v>0</v>
      </c>
      <c r="BE26">
        <f>IF($D26=1,IF(GDP_per_cap!BA6&gt;'all_1961-1990'!$H$1,0,IF(UrbanPopRate!BA6&gt;=$J$1,0,1)),0)</f>
        <v>0</v>
      </c>
      <c r="BF26">
        <f>IF($D26=1,IF(GDP_per_cap!BB6&gt;'all_1961-1990'!$H$1,0,IF(UrbanPopRate!BB6&gt;=$J$1,0,1)),0)</f>
        <v>0</v>
      </c>
    </row>
    <row r="27" spans="1:58">
      <c r="A27" s="3">
        <v>180</v>
      </c>
      <c r="B27" s="3" t="s">
        <v>38</v>
      </c>
      <c r="C27" s="2">
        <v>2</v>
      </c>
      <c r="D27" s="35">
        <v>0</v>
      </c>
      <c r="E27" s="2">
        <v>43.695299999999996</v>
      </c>
      <c r="F27" s="36">
        <v>8459.8775929999993</v>
      </c>
      <c r="G27">
        <f>IF($D27=1,IF(GDP_per_cap!C118&gt;'all_1961-1990'!$H$1,0,IF(UrbanPopRate!C118&gt;=$J$1,0,1)),0)</f>
        <v>0</v>
      </c>
      <c r="H27">
        <f>IF($D27=1,IF(GDP_per_cap!D118&gt;'all_1961-1990'!$H$1,0,IF(UrbanPopRate!D118&gt;=$J$1,0,1)),0)</f>
        <v>0</v>
      </c>
      <c r="I27">
        <f>IF($D27=1,IF(GDP_per_cap!E118&gt;'all_1961-1990'!$H$1,0,IF(UrbanPopRate!E118&gt;=$J$1,0,1)),0)</f>
        <v>0</v>
      </c>
      <c r="J27">
        <f>IF($D27=1,IF(GDP_per_cap!F118&gt;'all_1961-1990'!$H$1,0,IF(UrbanPopRate!F118&gt;=$J$1,0,1)),0)</f>
        <v>0</v>
      </c>
      <c r="K27">
        <f>IF($D27=1,IF(GDP_per_cap!G118&gt;'all_1961-1990'!$H$1,0,IF(UrbanPopRate!G118&gt;=$J$1,0,1)),0)</f>
        <v>0</v>
      </c>
      <c r="L27">
        <f>IF($D27=1,IF(GDP_per_cap!H118&gt;'all_1961-1990'!$H$1,0,IF(UrbanPopRate!H118&gt;=$J$1,0,1)),0)</f>
        <v>0</v>
      </c>
      <c r="M27">
        <f>IF($D27=1,IF(GDP_per_cap!I118&gt;'all_1961-1990'!$H$1,0,IF(UrbanPopRate!I118&gt;=$J$1,0,1)),0)</f>
        <v>0</v>
      </c>
      <c r="N27">
        <f>IF($D27=1,IF(GDP_per_cap!J118&gt;'all_1961-1990'!$H$1,0,IF(UrbanPopRate!J118&gt;=$J$1,0,1)),0)</f>
        <v>0</v>
      </c>
      <c r="O27">
        <f>IF($D27=1,IF(GDP_per_cap!K118&gt;'all_1961-1990'!$H$1,0,IF(UrbanPopRate!K118&gt;=$J$1,0,1)),0)</f>
        <v>0</v>
      </c>
      <c r="P27">
        <f>IF($D27=1,IF(GDP_per_cap!L118&gt;'all_1961-1990'!$H$1,0,IF(UrbanPopRate!L118&gt;=$J$1,0,1)),0)</f>
        <v>0</v>
      </c>
      <c r="Q27">
        <f>IF($D27=1,IF(GDP_per_cap!M118&gt;'all_1961-1990'!$H$1,0,IF(UrbanPopRate!M118&gt;=$J$1,0,1)),0)</f>
        <v>0</v>
      </c>
      <c r="R27">
        <f>IF($D27=1,IF(GDP_per_cap!N118&gt;'all_1961-1990'!$H$1,0,IF(UrbanPopRate!N118&gt;=$J$1,0,1)),0)</f>
        <v>0</v>
      </c>
      <c r="S27">
        <f>IF($D27=1,IF(GDP_per_cap!O118&gt;'all_1961-1990'!$H$1,0,IF(UrbanPopRate!O118&gt;=$J$1,0,1)),0)</f>
        <v>0</v>
      </c>
      <c r="T27">
        <f>IF($D27=1,IF(GDP_per_cap!P118&gt;'all_1961-1990'!$H$1,0,IF(UrbanPopRate!P118&gt;=$J$1,0,1)),0)</f>
        <v>0</v>
      </c>
      <c r="U27">
        <f>IF($D27=1,IF(GDP_per_cap!Q118&gt;'all_1961-1990'!$H$1,0,IF(UrbanPopRate!Q118&gt;=$J$1,0,1)),0)</f>
        <v>0</v>
      </c>
      <c r="V27">
        <f>IF($D27=1,IF(GDP_per_cap!R118&gt;'all_1961-1990'!$H$1,0,IF(UrbanPopRate!R118&gt;=$J$1,0,1)),0)</f>
        <v>0</v>
      </c>
      <c r="W27">
        <f>IF($D27=1,IF(GDP_per_cap!S118&gt;'all_1961-1990'!$H$1,0,IF(UrbanPopRate!S118&gt;=$J$1,0,1)),0)</f>
        <v>0</v>
      </c>
      <c r="X27">
        <f>IF($D27=1,IF(GDP_per_cap!T118&gt;'all_1961-1990'!$H$1,0,IF(UrbanPopRate!T118&gt;=$J$1,0,1)),0)</f>
        <v>0</v>
      </c>
      <c r="Y27">
        <f>IF($D27=1,IF(GDP_per_cap!U118&gt;'all_1961-1990'!$H$1,0,IF(UrbanPopRate!U118&gt;=$J$1,0,1)),0)</f>
        <v>0</v>
      </c>
      <c r="Z27">
        <f>IF($D27=1,IF(GDP_per_cap!V118&gt;'all_1961-1990'!$H$1,0,IF(UrbanPopRate!V118&gt;=$J$1,0,1)),0)</f>
        <v>0</v>
      </c>
      <c r="AA27">
        <f>IF($D27=1,IF(GDP_per_cap!W118&gt;'all_1961-1990'!$H$1,0,IF(UrbanPopRate!W118&gt;=$J$1,0,1)),0)</f>
        <v>0</v>
      </c>
      <c r="AB27">
        <f>IF($D27=1,IF(GDP_per_cap!X118&gt;'all_1961-1990'!$H$1,0,IF(UrbanPopRate!X118&gt;=$J$1,0,1)),0)</f>
        <v>0</v>
      </c>
      <c r="AC27">
        <f>IF($D27=1,IF(GDP_per_cap!Y118&gt;'all_1961-1990'!$H$1,0,IF(UrbanPopRate!Y118&gt;=$J$1,0,1)),0)</f>
        <v>0</v>
      </c>
      <c r="AD27">
        <f>IF($D27=1,IF(GDP_per_cap!Z118&gt;'all_1961-1990'!$H$1,0,IF(UrbanPopRate!Z118&gt;=$J$1,0,1)),0)</f>
        <v>0</v>
      </c>
      <c r="AE27">
        <f>IF($D27=1,IF(GDP_per_cap!AA118&gt;'all_1961-1990'!$H$1,0,IF(UrbanPopRate!AA118&gt;=$J$1,0,1)),0)</f>
        <v>0</v>
      </c>
      <c r="AF27">
        <f>IF($D27=1,IF(GDP_per_cap!AB118&gt;'all_1961-1990'!$H$1,0,IF(UrbanPopRate!AB118&gt;=$J$1,0,1)),0)</f>
        <v>0</v>
      </c>
      <c r="AG27">
        <f>IF($D27=1,IF(GDP_per_cap!AC118&gt;'all_1961-1990'!$H$1,0,IF(UrbanPopRate!AC118&gt;=$J$1,0,1)),0)</f>
        <v>0</v>
      </c>
      <c r="AH27">
        <f>IF($D27=1,IF(GDP_per_cap!AD118&gt;'all_1961-1990'!$H$1,0,IF(UrbanPopRate!AD118&gt;=$J$1,0,1)),0)</f>
        <v>0</v>
      </c>
      <c r="AI27">
        <f>IF($D27=1,IF(GDP_per_cap!AE118&gt;'all_1961-1990'!$H$1,0,IF(UrbanPopRate!AE118&gt;=$J$1,0,1)),0)</f>
        <v>0</v>
      </c>
      <c r="AJ27">
        <f>IF($D27=1,IF(GDP_per_cap!AF118&gt;'all_1961-1990'!$H$1,0,IF(UrbanPopRate!AF118&gt;=$J$1,0,1)),0)</f>
        <v>0</v>
      </c>
      <c r="AK27">
        <f>IF($D27=1,IF(GDP_per_cap!AG118&gt;'all_1961-1990'!$H$1,0,IF(UrbanPopRate!AG118&gt;=$J$1,0,1)),0)</f>
        <v>0</v>
      </c>
      <c r="AL27">
        <f>IF($D27=1,IF(GDP_per_cap!AH118&gt;'all_1961-1990'!$H$1,0,IF(UrbanPopRate!AH118&gt;=$J$1,0,1)),0)</f>
        <v>0</v>
      </c>
      <c r="AM27">
        <f>IF($D27=1,IF(GDP_per_cap!AI118&gt;'all_1961-1990'!$H$1,0,IF(UrbanPopRate!AI118&gt;=$J$1,0,1)),0)</f>
        <v>0</v>
      </c>
      <c r="AN27">
        <f>IF($D27=1,IF(GDP_per_cap!AJ118&gt;'all_1961-1990'!$H$1,0,IF(UrbanPopRate!AJ118&gt;=$J$1,0,1)),0)</f>
        <v>0</v>
      </c>
      <c r="AO27">
        <f>IF($D27=1,IF(GDP_per_cap!AK118&gt;'all_1961-1990'!$H$1,0,IF(UrbanPopRate!AK118&gt;=$J$1,0,1)),0)</f>
        <v>0</v>
      </c>
      <c r="AP27">
        <f>IF($D27=1,IF(GDP_per_cap!AL118&gt;'all_1961-1990'!$H$1,0,IF(UrbanPopRate!AL118&gt;=$J$1,0,1)),0)</f>
        <v>0</v>
      </c>
      <c r="AQ27">
        <f>IF($D27=1,IF(GDP_per_cap!AM118&gt;'all_1961-1990'!$H$1,0,IF(UrbanPopRate!AM118&gt;=$J$1,0,1)),0)</f>
        <v>0</v>
      </c>
      <c r="AR27">
        <f>IF($D27=1,IF(GDP_per_cap!AN118&gt;'all_1961-1990'!$H$1,0,IF(UrbanPopRate!AN118&gt;=$J$1,0,1)),0)</f>
        <v>0</v>
      </c>
      <c r="AS27">
        <f>IF($D27=1,IF(GDP_per_cap!AO118&gt;'all_1961-1990'!$H$1,0,IF(UrbanPopRate!AO118&gt;=$J$1,0,1)),0)</f>
        <v>0</v>
      </c>
      <c r="AT27">
        <f>IF($D27=1,IF(GDP_per_cap!AP118&gt;'all_1961-1990'!$H$1,0,IF(UrbanPopRate!AP118&gt;=$J$1,0,1)),0)</f>
        <v>0</v>
      </c>
      <c r="AU27">
        <f>IF($D27=1,IF(GDP_per_cap!AQ118&gt;'all_1961-1990'!$H$1,0,IF(UrbanPopRate!AQ118&gt;=$J$1,0,1)),0)</f>
        <v>0</v>
      </c>
      <c r="AV27">
        <f>IF($D27=1,IF(GDP_per_cap!AR118&gt;'all_1961-1990'!$H$1,0,IF(UrbanPopRate!AR118&gt;=$J$1,0,1)),0)</f>
        <v>0</v>
      </c>
      <c r="AW27">
        <f>IF($D27=1,IF(GDP_per_cap!AS118&gt;'all_1961-1990'!$H$1,0,IF(UrbanPopRate!AS118&gt;=$J$1,0,1)),0)</f>
        <v>0</v>
      </c>
      <c r="AX27">
        <f>IF($D27=1,IF(GDP_per_cap!AT118&gt;'all_1961-1990'!$H$1,0,IF(UrbanPopRate!AT118&gt;=$J$1,0,1)),0)</f>
        <v>0</v>
      </c>
      <c r="AY27">
        <f>IF($D27=1,IF(GDP_per_cap!AU118&gt;'all_1961-1990'!$H$1,0,IF(UrbanPopRate!AU118&gt;=$J$1,0,1)),0)</f>
        <v>0</v>
      </c>
      <c r="AZ27">
        <f>IF($D27=1,IF(GDP_per_cap!AV118&gt;'all_1961-1990'!$H$1,0,IF(UrbanPopRate!AV118&gt;=$J$1,0,1)),0)</f>
        <v>0</v>
      </c>
      <c r="BA27">
        <f>IF($D27=1,IF(GDP_per_cap!AW118&gt;'all_1961-1990'!$H$1,0,IF(UrbanPopRate!AW118&gt;=$J$1,0,1)),0)</f>
        <v>0</v>
      </c>
      <c r="BB27">
        <f>IF($D27=1,IF(GDP_per_cap!AX118&gt;'all_1961-1990'!$H$1,0,IF(UrbanPopRate!AX118&gt;=$J$1,0,1)),0)</f>
        <v>0</v>
      </c>
      <c r="BC27">
        <f>IF($D27=1,IF(GDP_per_cap!AY118&gt;'all_1961-1990'!$H$1,0,IF(UrbanPopRate!AY118&gt;=$J$1,0,1)),0)</f>
        <v>0</v>
      </c>
      <c r="BD27">
        <f>IF($D27=1,IF(GDP_per_cap!AZ118&gt;'all_1961-1990'!$H$1,0,IF(UrbanPopRate!AZ118&gt;=$J$1,0,1)),0)</f>
        <v>0</v>
      </c>
      <c r="BE27">
        <f>IF($D27=1,IF(GDP_per_cap!BA118&gt;'all_1961-1990'!$H$1,0,IF(UrbanPopRate!BA118&gt;=$J$1,0,1)),0)</f>
        <v>0</v>
      </c>
      <c r="BF27">
        <f>IF($D27=1,IF(GDP_per_cap!BB118&gt;'all_1961-1990'!$H$1,0,IF(UrbanPopRate!BB118&gt;=$J$1,0,1)),0)</f>
        <v>0</v>
      </c>
    </row>
    <row r="28" spans="1:58">
      <c r="A28" s="3">
        <v>201</v>
      </c>
      <c r="B28" s="3" t="s">
        <v>28</v>
      </c>
      <c r="C28" s="2">
        <v>2</v>
      </c>
      <c r="D28" s="35">
        <v>0</v>
      </c>
      <c r="E28" s="2">
        <v>48.472133333333332</v>
      </c>
      <c r="F28" s="36">
        <v>8332.619616</v>
      </c>
      <c r="G28">
        <f>IF($D28=1,IF(GDP_per_cap!C128&gt;'all_1961-1990'!$H$1,0,IF(UrbanPopRate!C128&gt;=$J$1,0,1)),0)</f>
        <v>0</v>
      </c>
      <c r="H28">
        <f>IF($D28=1,IF(GDP_per_cap!D128&gt;'all_1961-1990'!$H$1,0,IF(UrbanPopRate!D128&gt;=$J$1,0,1)),0)</f>
        <v>0</v>
      </c>
      <c r="I28">
        <f>IF($D28=1,IF(GDP_per_cap!E128&gt;'all_1961-1990'!$H$1,0,IF(UrbanPopRate!E128&gt;=$J$1,0,1)),0)</f>
        <v>0</v>
      </c>
      <c r="J28">
        <f>IF($D28=1,IF(GDP_per_cap!F128&gt;'all_1961-1990'!$H$1,0,IF(UrbanPopRate!F128&gt;=$J$1,0,1)),0)</f>
        <v>0</v>
      </c>
      <c r="K28">
        <f>IF($D28=1,IF(GDP_per_cap!G128&gt;'all_1961-1990'!$H$1,0,IF(UrbanPopRate!G128&gt;=$J$1,0,1)),0)</f>
        <v>0</v>
      </c>
      <c r="L28">
        <f>IF($D28=1,IF(GDP_per_cap!H128&gt;'all_1961-1990'!$H$1,0,IF(UrbanPopRate!H128&gt;=$J$1,0,1)),0)</f>
        <v>0</v>
      </c>
      <c r="M28">
        <f>IF($D28=1,IF(GDP_per_cap!I128&gt;'all_1961-1990'!$H$1,0,IF(UrbanPopRate!I128&gt;=$J$1,0,1)),0)</f>
        <v>0</v>
      </c>
      <c r="N28">
        <f>IF($D28=1,IF(GDP_per_cap!J128&gt;'all_1961-1990'!$H$1,0,IF(UrbanPopRate!J128&gt;=$J$1,0,1)),0)</f>
        <v>0</v>
      </c>
      <c r="O28">
        <f>IF($D28=1,IF(GDP_per_cap!K128&gt;'all_1961-1990'!$H$1,0,IF(UrbanPopRate!K128&gt;=$J$1,0,1)),0)</f>
        <v>0</v>
      </c>
      <c r="P28">
        <f>IF($D28=1,IF(GDP_per_cap!L128&gt;'all_1961-1990'!$H$1,0,IF(UrbanPopRate!L128&gt;=$J$1,0,1)),0)</f>
        <v>0</v>
      </c>
      <c r="Q28">
        <f>IF($D28=1,IF(GDP_per_cap!M128&gt;'all_1961-1990'!$H$1,0,IF(UrbanPopRate!M128&gt;=$J$1,0,1)),0)</f>
        <v>0</v>
      </c>
      <c r="R28">
        <f>IF($D28=1,IF(GDP_per_cap!N128&gt;'all_1961-1990'!$H$1,0,IF(UrbanPopRate!N128&gt;=$J$1,0,1)),0)</f>
        <v>0</v>
      </c>
      <c r="S28">
        <f>IF($D28=1,IF(GDP_per_cap!O128&gt;'all_1961-1990'!$H$1,0,IF(UrbanPopRate!O128&gt;=$J$1,0,1)),0)</f>
        <v>0</v>
      </c>
      <c r="T28">
        <f>IF($D28=1,IF(GDP_per_cap!P128&gt;'all_1961-1990'!$H$1,0,IF(UrbanPopRate!P128&gt;=$J$1,0,1)),0)</f>
        <v>0</v>
      </c>
      <c r="U28">
        <f>IF($D28=1,IF(GDP_per_cap!Q128&gt;'all_1961-1990'!$H$1,0,IF(UrbanPopRate!Q128&gt;=$J$1,0,1)),0)</f>
        <v>0</v>
      </c>
      <c r="V28">
        <f>IF($D28=1,IF(GDP_per_cap!R128&gt;'all_1961-1990'!$H$1,0,IF(UrbanPopRate!R128&gt;=$J$1,0,1)),0)</f>
        <v>0</v>
      </c>
      <c r="W28">
        <f>IF($D28=1,IF(GDP_per_cap!S128&gt;'all_1961-1990'!$H$1,0,IF(UrbanPopRate!S128&gt;=$J$1,0,1)),0)</f>
        <v>0</v>
      </c>
      <c r="X28">
        <f>IF($D28=1,IF(GDP_per_cap!T128&gt;'all_1961-1990'!$H$1,0,IF(UrbanPopRate!T128&gt;=$J$1,0,1)),0)</f>
        <v>0</v>
      </c>
      <c r="Y28">
        <f>IF($D28=1,IF(GDP_per_cap!U128&gt;'all_1961-1990'!$H$1,0,IF(UrbanPopRate!U128&gt;=$J$1,0,1)),0)</f>
        <v>0</v>
      </c>
      <c r="Z28">
        <f>IF($D28=1,IF(GDP_per_cap!V128&gt;'all_1961-1990'!$H$1,0,IF(UrbanPopRate!V128&gt;=$J$1,0,1)),0)</f>
        <v>0</v>
      </c>
      <c r="AA28">
        <f>IF($D28=1,IF(GDP_per_cap!W128&gt;'all_1961-1990'!$H$1,0,IF(UrbanPopRate!W128&gt;=$J$1,0,1)),0)</f>
        <v>0</v>
      </c>
      <c r="AB28">
        <f>IF($D28=1,IF(GDP_per_cap!X128&gt;'all_1961-1990'!$H$1,0,IF(UrbanPopRate!X128&gt;=$J$1,0,1)),0)</f>
        <v>0</v>
      </c>
      <c r="AC28">
        <f>IF($D28=1,IF(GDP_per_cap!Y128&gt;'all_1961-1990'!$H$1,0,IF(UrbanPopRate!Y128&gt;=$J$1,0,1)),0)</f>
        <v>0</v>
      </c>
      <c r="AD28">
        <f>IF($D28=1,IF(GDP_per_cap!Z128&gt;'all_1961-1990'!$H$1,0,IF(UrbanPopRate!Z128&gt;=$J$1,0,1)),0)</f>
        <v>0</v>
      </c>
      <c r="AE28">
        <f>IF($D28=1,IF(GDP_per_cap!AA128&gt;'all_1961-1990'!$H$1,0,IF(UrbanPopRate!AA128&gt;=$J$1,0,1)),0)</f>
        <v>0</v>
      </c>
      <c r="AF28">
        <f>IF($D28=1,IF(GDP_per_cap!AB128&gt;'all_1961-1990'!$H$1,0,IF(UrbanPopRate!AB128&gt;=$J$1,0,1)),0)</f>
        <v>0</v>
      </c>
      <c r="AG28">
        <f>IF($D28=1,IF(GDP_per_cap!AC128&gt;'all_1961-1990'!$H$1,0,IF(UrbanPopRate!AC128&gt;=$J$1,0,1)),0)</f>
        <v>0</v>
      </c>
      <c r="AH28">
        <f>IF($D28=1,IF(GDP_per_cap!AD128&gt;'all_1961-1990'!$H$1,0,IF(UrbanPopRate!AD128&gt;=$J$1,0,1)),0)</f>
        <v>0</v>
      </c>
      <c r="AI28">
        <f>IF($D28=1,IF(GDP_per_cap!AE128&gt;'all_1961-1990'!$H$1,0,IF(UrbanPopRate!AE128&gt;=$J$1,0,1)),0)</f>
        <v>0</v>
      </c>
      <c r="AJ28">
        <f>IF($D28=1,IF(GDP_per_cap!AF128&gt;'all_1961-1990'!$H$1,0,IF(UrbanPopRate!AF128&gt;=$J$1,0,1)),0)</f>
        <v>0</v>
      </c>
      <c r="AK28">
        <f>IF($D28=1,IF(GDP_per_cap!AG128&gt;'all_1961-1990'!$H$1,0,IF(UrbanPopRate!AG128&gt;=$J$1,0,1)),0)</f>
        <v>0</v>
      </c>
      <c r="AL28">
        <f>IF($D28=1,IF(GDP_per_cap!AH128&gt;'all_1961-1990'!$H$1,0,IF(UrbanPopRate!AH128&gt;=$J$1,0,1)),0)</f>
        <v>0</v>
      </c>
      <c r="AM28">
        <f>IF($D28=1,IF(GDP_per_cap!AI128&gt;'all_1961-1990'!$H$1,0,IF(UrbanPopRate!AI128&gt;=$J$1,0,1)),0)</f>
        <v>0</v>
      </c>
      <c r="AN28">
        <f>IF($D28=1,IF(GDP_per_cap!AJ128&gt;'all_1961-1990'!$H$1,0,IF(UrbanPopRate!AJ128&gt;=$J$1,0,1)),0)</f>
        <v>0</v>
      </c>
      <c r="AO28">
        <f>IF($D28=1,IF(GDP_per_cap!AK128&gt;'all_1961-1990'!$H$1,0,IF(UrbanPopRate!AK128&gt;=$J$1,0,1)),0)</f>
        <v>0</v>
      </c>
      <c r="AP28">
        <f>IF($D28=1,IF(GDP_per_cap!AL128&gt;'all_1961-1990'!$H$1,0,IF(UrbanPopRate!AL128&gt;=$J$1,0,1)),0)</f>
        <v>0</v>
      </c>
      <c r="AQ28">
        <f>IF($D28=1,IF(GDP_per_cap!AM128&gt;'all_1961-1990'!$H$1,0,IF(UrbanPopRate!AM128&gt;=$J$1,0,1)),0)</f>
        <v>0</v>
      </c>
      <c r="AR28">
        <f>IF($D28=1,IF(GDP_per_cap!AN128&gt;'all_1961-1990'!$H$1,0,IF(UrbanPopRate!AN128&gt;=$J$1,0,1)),0)</f>
        <v>0</v>
      </c>
      <c r="AS28">
        <f>IF($D28=1,IF(GDP_per_cap!AO128&gt;'all_1961-1990'!$H$1,0,IF(UrbanPopRate!AO128&gt;=$J$1,0,1)),0)</f>
        <v>0</v>
      </c>
      <c r="AT28">
        <f>IF($D28=1,IF(GDP_per_cap!AP128&gt;'all_1961-1990'!$H$1,0,IF(UrbanPopRate!AP128&gt;=$J$1,0,1)),0)</f>
        <v>0</v>
      </c>
      <c r="AU28">
        <f>IF($D28=1,IF(GDP_per_cap!AQ128&gt;'all_1961-1990'!$H$1,0,IF(UrbanPopRate!AQ128&gt;=$J$1,0,1)),0)</f>
        <v>0</v>
      </c>
      <c r="AV28">
        <f>IF($D28=1,IF(GDP_per_cap!AR128&gt;'all_1961-1990'!$H$1,0,IF(UrbanPopRate!AR128&gt;=$J$1,0,1)),0)</f>
        <v>0</v>
      </c>
      <c r="AW28">
        <f>IF($D28=1,IF(GDP_per_cap!AS128&gt;'all_1961-1990'!$H$1,0,IF(UrbanPopRate!AS128&gt;=$J$1,0,1)),0)</f>
        <v>0</v>
      </c>
      <c r="AX28">
        <f>IF($D28=1,IF(GDP_per_cap!AT128&gt;'all_1961-1990'!$H$1,0,IF(UrbanPopRate!AT128&gt;=$J$1,0,1)),0)</f>
        <v>0</v>
      </c>
      <c r="AY28">
        <f>IF($D28=1,IF(GDP_per_cap!AU128&gt;'all_1961-1990'!$H$1,0,IF(UrbanPopRate!AU128&gt;=$J$1,0,1)),0)</f>
        <v>0</v>
      </c>
      <c r="AZ28">
        <f>IF($D28=1,IF(GDP_per_cap!AV128&gt;'all_1961-1990'!$H$1,0,IF(UrbanPopRate!AV128&gt;=$J$1,0,1)),0)</f>
        <v>0</v>
      </c>
      <c r="BA28">
        <f>IF($D28=1,IF(GDP_per_cap!AW128&gt;'all_1961-1990'!$H$1,0,IF(UrbanPopRate!AW128&gt;=$J$1,0,1)),0)</f>
        <v>0</v>
      </c>
      <c r="BB28">
        <f>IF($D28=1,IF(GDP_per_cap!AX128&gt;'all_1961-1990'!$H$1,0,IF(UrbanPopRate!AX128&gt;=$J$1,0,1)),0)</f>
        <v>0</v>
      </c>
      <c r="BC28">
        <f>IF($D28=1,IF(GDP_per_cap!AY128&gt;'all_1961-1990'!$H$1,0,IF(UrbanPopRate!AY128&gt;=$J$1,0,1)),0)</f>
        <v>0</v>
      </c>
      <c r="BD28">
        <f>IF($D28=1,IF(GDP_per_cap!AZ128&gt;'all_1961-1990'!$H$1,0,IF(UrbanPopRate!AZ128&gt;=$J$1,0,1)),0)</f>
        <v>0</v>
      </c>
      <c r="BE28">
        <f>IF($D28=1,IF(GDP_per_cap!BA128&gt;'all_1961-1990'!$H$1,0,IF(UrbanPopRate!BA128&gt;=$J$1,0,1)),0)</f>
        <v>0</v>
      </c>
      <c r="BF28">
        <f>IF($D28=1,IF(GDP_per_cap!BB128&gt;'all_1961-1990'!$H$1,0,IF(UrbanPopRate!BB128&gt;=$J$1,0,1)),0)</f>
        <v>0</v>
      </c>
    </row>
    <row r="29" spans="1:58">
      <c r="A29" s="3">
        <v>175</v>
      </c>
      <c r="B29" s="3" t="s">
        <v>42</v>
      </c>
      <c r="C29" s="2">
        <v>2</v>
      </c>
      <c r="D29" s="35">
        <v>0</v>
      </c>
      <c r="E29" s="2">
        <v>55.246299999999998</v>
      </c>
      <c r="F29" s="36">
        <v>8180.373071</v>
      </c>
      <c r="G29">
        <f>IF($D29=1,IF(GDP_per_cap!C114&gt;'all_1961-1990'!$H$1,0,IF(UrbanPopRate!C114&gt;=$J$1,0,1)),0)</f>
        <v>0</v>
      </c>
      <c r="H29">
        <f>IF($D29=1,IF(GDP_per_cap!D114&gt;'all_1961-1990'!$H$1,0,IF(UrbanPopRate!D114&gt;=$J$1,0,1)),0)</f>
        <v>0</v>
      </c>
      <c r="I29">
        <f>IF($D29=1,IF(GDP_per_cap!E114&gt;'all_1961-1990'!$H$1,0,IF(UrbanPopRate!E114&gt;=$J$1,0,1)),0)</f>
        <v>0</v>
      </c>
      <c r="J29">
        <f>IF($D29=1,IF(GDP_per_cap!F114&gt;'all_1961-1990'!$H$1,0,IF(UrbanPopRate!F114&gt;=$J$1,0,1)),0)</f>
        <v>0</v>
      </c>
      <c r="K29">
        <f>IF($D29=1,IF(GDP_per_cap!G114&gt;'all_1961-1990'!$H$1,0,IF(UrbanPopRate!G114&gt;=$J$1,0,1)),0)</f>
        <v>0</v>
      </c>
      <c r="L29">
        <f>IF($D29=1,IF(GDP_per_cap!H114&gt;'all_1961-1990'!$H$1,0,IF(UrbanPopRate!H114&gt;=$J$1,0,1)),0)</f>
        <v>0</v>
      </c>
      <c r="M29">
        <f>IF($D29=1,IF(GDP_per_cap!I114&gt;'all_1961-1990'!$H$1,0,IF(UrbanPopRate!I114&gt;=$J$1,0,1)),0)</f>
        <v>0</v>
      </c>
      <c r="N29">
        <f>IF($D29=1,IF(GDP_per_cap!J114&gt;'all_1961-1990'!$H$1,0,IF(UrbanPopRate!J114&gt;=$J$1,0,1)),0)</f>
        <v>0</v>
      </c>
      <c r="O29">
        <f>IF($D29=1,IF(GDP_per_cap!K114&gt;'all_1961-1990'!$H$1,0,IF(UrbanPopRate!K114&gt;=$J$1,0,1)),0)</f>
        <v>0</v>
      </c>
      <c r="P29">
        <f>IF($D29=1,IF(GDP_per_cap!L114&gt;'all_1961-1990'!$H$1,0,IF(UrbanPopRate!L114&gt;=$J$1,0,1)),0)</f>
        <v>0</v>
      </c>
      <c r="Q29">
        <f>IF($D29=1,IF(GDP_per_cap!M114&gt;'all_1961-1990'!$H$1,0,IF(UrbanPopRate!M114&gt;=$J$1,0,1)),0)</f>
        <v>0</v>
      </c>
      <c r="R29">
        <f>IF($D29=1,IF(GDP_per_cap!N114&gt;'all_1961-1990'!$H$1,0,IF(UrbanPopRate!N114&gt;=$J$1,0,1)),0)</f>
        <v>0</v>
      </c>
      <c r="S29">
        <f>IF($D29=1,IF(GDP_per_cap!O114&gt;'all_1961-1990'!$H$1,0,IF(UrbanPopRate!O114&gt;=$J$1,0,1)),0)</f>
        <v>0</v>
      </c>
      <c r="T29">
        <f>IF($D29=1,IF(GDP_per_cap!P114&gt;'all_1961-1990'!$H$1,0,IF(UrbanPopRate!P114&gt;=$J$1,0,1)),0)</f>
        <v>0</v>
      </c>
      <c r="U29">
        <f>IF($D29=1,IF(GDP_per_cap!Q114&gt;'all_1961-1990'!$H$1,0,IF(UrbanPopRate!Q114&gt;=$J$1,0,1)),0)</f>
        <v>0</v>
      </c>
      <c r="V29">
        <f>IF($D29=1,IF(GDP_per_cap!R114&gt;'all_1961-1990'!$H$1,0,IF(UrbanPopRate!R114&gt;=$J$1,0,1)),0)</f>
        <v>0</v>
      </c>
      <c r="W29">
        <f>IF($D29=1,IF(GDP_per_cap!S114&gt;'all_1961-1990'!$H$1,0,IF(UrbanPopRate!S114&gt;=$J$1,0,1)),0)</f>
        <v>0</v>
      </c>
      <c r="X29">
        <f>IF($D29=1,IF(GDP_per_cap!T114&gt;'all_1961-1990'!$H$1,0,IF(UrbanPopRate!T114&gt;=$J$1,0,1)),0)</f>
        <v>0</v>
      </c>
      <c r="Y29">
        <f>IF($D29=1,IF(GDP_per_cap!U114&gt;'all_1961-1990'!$H$1,0,IF(UrbanPopRate!U114&gt;=$J$1,0,1)),0)</f>
        <v>0</v>
      </c>
      <c r="Z29">
        <f>IF($D29=1,IF(GDP_per_cap!V114&gt;'all_1961-1990'!$H$1,0,IF(UrbanPopRate!V114&gt;=$J$1,0,1)),0)</f>
        <v>0</v>
      </c>
      <c r="AA29">
        <f>IF($D29=1,IF(GDP_per_cap!W114&gt;'all_1961-1990'!$H$1,0,IF(UrbanPopRate!W114&gt;=$J$1,0,1)),0)</f>
        <v>0</v>
      </c>
      <c r="AB29">
        <f>IF($D29=1,IF(GDP_per_cap!X114&gt;'all_1961-1990'!$H$1,0,IF(UrbanPopRate!X114&gt;=$J$1,0,1)),0)</f>
        <v>0</v>
      </c>
      <c r="AC29">
        <f>IF($D29=1,IF(GDP_per_cap!Y114&gt;'all_1961-1990'!$H$1,0,IF(UrbanPopRate!Y114&gt;=$J$1,0,1)),0)</f>
        <v>0</v>
      </c>
      <c r="AD29">
        <f>IF($D29=1,IF(GDP_per_cap!Z114&gt;'all_1961-1990'!$H$1,0,IF(UrbanPopRate!Z114&gt;=$J$1,0,1)),0)</f>
        <v>0</v>
      </c>
      <c r="AE29">
        <f>IF($D29=1,IF(GDP_per_cap!AA114&gt;'all_1961-1990'!$H$1,0,IF(UrbanPopRate!AA114&gt;=$J$1,0,1)),0)</f>
        <v>0</v>
      </c>
      <c r="AF29">
        <f>IF($D29=1,IF(GDP_per_cap!AB114&gt;'all_1961-1990'!$H$1,0,IF(UrbanPopRate!AB114&gt;=$J$1,0,1)),0)</f>
        <v>0</v>
      </c>
      <c r="AG29">
        <f>IF($D29=1,IF(GDP_per_cap!AC114&gt;'all_1961-1990'!$H$1,0,IF(UrbanPopRate!AC114&gt;=$J$1,0,1)),0)</f>
        <v>0</v>
      </c>
      <c r="AH29">
        <f>IF($D29=1,IF(GDP_per_cap!AD114&gt;'all_1961-1990'!$H$1,0,IF(UrbanPopRate!AD114&gt;=$J$1,0,1)),0)</f>
        <v>0</v>
      </c>
      <c r="AI29">
        <f>IF($D29=1,IF(GDP_per_cap!AE114&gt;'all_1961-1990'!$H$1,0,IF(UrbanPopRate!AE114&gt;=$J$1,0,1)),0)</f>
        <v>0</v>
      </c>
      <c r="AJ29">
        <f>IF($D29=1,IF(GDP_per_cap!AF114&gt;'all_1961-1990'!$H$1,0,IF(UrbanPopRate!AF114&gt;=$J$1,0,1)),0)</f>
        <v>0</v>
      </c>
      <c r="AK29">
        <f>IF($D29=1,IF(GDP_per_cap!AG114&gt;'all_1961-1990'!$H$1,0,IF(UrbanPopRate!AG114&gt;=$J$1,0,1)),0)</f>
        <v>0</v>
      </c>
      <c r="AL29">
        <f>IF($D29=1,IF(GDP_per_cap!AH114&gt;'all_1961-1990'!$H$1,0,IF(UrbanPopRate!AH114&gt;=$J$1,0,1)),0)</f>
        <v>0</v>
      </c>
      <c r="AM29">
        <f>IF($D29=1,IF(GDP_per_cap!AI114&gt;'all_1961-1990'!$H$1,0,IF(UrbanPopRate!AI114&gt;=$J$1,0,1)),0)</f>
        <v>0</v>
      </c>
      <c r="AN29">
        <f>IF($D29=1,IF(GDP_per_cap!AJ114&gt;'all_1961-1990'!$H$1,0,IF(UrbanPopRate!AJ114&gt;=$J$1,0,1)),0)</f>
        <v>0</v>
      </c>
      <c r="AO29">
        <f>IF($D29=1,IF(GDP_per_cap!AK114&gt;'all_1961-1990'!$H$1,0,IF(UrbanPopRate!AK114&gt;=$J$1,0,1)),0)</f>
        <v>0</v>
      </c>
      <c r="AP29">
        <f>IF($D29=1,IF(GDP_per_cap!AL114&gt;'all_1961-1990'!$H$1,0,IF(UrbanPopRate!AL114&gt;=$J$1,0,1)),0)</f>
        <v>0</v>
      </c>
      <c r="AQ29">
        <f>IF($D29=1,IF(GDP_per_cap!AM114&gt;'all_1961-1990'!$H$1,0,IF(UrbanPopRate!AM114&gt;=$J$1,0,1)),0)</f>
        <v>0</v>
      </c>
      <c r="AR29">
        <f>IF($D29=1,IF(GDP_per_cap!AN114&gt;'all_1961-1990'!$H$1,0,IF(UrbanPopRate!AN114&gt;=$J$1,0,1)),0)</f>
        <v>0</v>
      </c>
      <c r="AS29">
        <f>IF($D29=1,IF(GDP_per_cap!AO114&gt;'all_1961-1990'!$H$1,0,IF(UrbanPopRate!AO114&gt;=$J$1,0,1)),0)</f>
        <v>0</v>
      </c>
      <c r="AT29">
        <f>IF($D29=1,IF(GDP_per_cap!AP114&gt;'all_1961-1990'!$H$1,0,IF(UrbanPopRate!AP114&gt;=$J$1,0,1)),0)</f>
        <v>0</v>
      </c>
      <c r="AU29">
        <f>IF($D29=1,IF(GDP_per_cap!AQ114&gt;'all_1961-1990'!$H$1,0,IF(UrbanPopRate!AQ114&gt;=$J$1,0,1)),0)</f>
        <v>0</v>
      </c>
      <c r="AV29">
        <f>IF($D29=1,IF(GDP_per_cap!AR114&gt;'all_1961-1990'!$H$1,0,IF(UrbanPopRate!AR114&gt;=$J$1,0,1)),0)</f>
        <v>0</v>
      </c>
      <c r="AW29">
        <f>IF($D29=1,IF(GDP_per_cap!AS114&gt;'all_1961-1990'!$H$1,0,IF(UrbanPopRate!AS114&gt;=$J$1,0,1)),0)</f>
        <v>0</v>
      </c>
      <c r="AX29">
        <f>IF($D29=1,IF(GDP_per_cap!AT114&gt;'all_1961-1990'!$H$1,0,IF(UrbanPopRate!AT114&gt;=$J$1,0,1)),0)</f>
        <v>0</v>
      </c>
      <c r="AY29">
        <f>IF($D29=1,IF(GDP_per_cap!AU114&gt;'all_1961-1990'!$H$1,0,IF(UrbanPopRate!AU114&gt;=$J$1,0,1)),0)</f>
        <v>0</v>
      </c>
      <c r="AZ29">
        <f>IF($D29=1,IF(GDP_per_cap!AV114&gt;'all_1961-1990'!$H$1,0,IF(UrbanPopRate!AV114&gt;=$J$1,0,1)),0)</f>
        <v>0</v>
      </c>
      <c r="BA29">
        <f>IF($D29=1,IF(GDP_per_cap!AW114&gt;'all_1961-1990'!$H$1,0,IF(UrbanPopRate!AW114&gt;=$J$1,0,1)),0)</f>
        <v>0</v>
      </c>
      <c r="BB29">
        <f>IF($D29=1,IF(GDP_per_cap!AX114&gt;'all_1961-1990'!$H$1,0,IF(UrbanPopRate!AX114&gt;=$J$1,0,1)),0)</f>
        <v>0</v>
      </c>
      <c r="BC29">
        <f>IF($D29=1,IF(GDP_per_cap!AY114&gt;'all_1961-1990'!$H$1,0,IF(UrbanPopRate!AY114&gt;=$J$1,0,1)),0)</f>
        <v>0</v>
      </c>
      <c r="BD29">
        <f>IF($D29=1,IF(GDP_per_cap!AZ114&gt;'all_1961-1990'!$H$1,0,IF(UrbanPopRate!AZ114&gt;=$J$1,0,1)),0)</f>
        <v>0</v>
      </c>
      <c r="BE29">
        <f>IF($D29=1,IF(GDP_per_cap!BA114&gt;'all_1961-1990'!$H$1,0,IF(UrbanPopRate!BA114&gt;=$J$1,0,1)),0)</f>
        <v>0</v>
      </c>
      <c r="BF29">
        <f>IF($D29=1,IF(GDP_per_cap!BB114&gt;'all_1961-1990'!$H$1,0,IF(UrbanPopRate!BB114&gt;=$J$1,0,1)),0)</f>
        <v>0</v>
      </c>
    </row>
    <row r="30" spans="1:58">
      <c r="A30" s="3">
        <v>117</v>
      </c>
      <c r="B30" s="3" t="s">
        <v>81</v>
      </c>
      <c r="C30" s="2">
        <v>2</v>
      </c>
      <c r="D30" s="35">
        <v>0</v>
      </c>
      <c r="E30" s="2">
        <v>49.679066666666664</v>
      </c>
      <c r="F30" s="36">
        <v>7909.6841000000004</v>
      </c>
      <c r="G30">
        <f>IF($D30=1,IF(GDP_per_cap!C75&gt;'all_1961-1990'!$H$1,0,IF(UrbanPopRate!C75&gt;=$J$1,0,1)),0)</f>
        <v>0</v>
      </c>
      <c r="H30">
        <f>IF($D30=1,IF(GDP_per_cap!D75&gt;'all_1961-1990'!$H$1,0,IF(UrbanPopRate!D75&gt;=$J$1,0,1)),0)</f>
        <v>0</v>
      </c>
      <c r="I30">
        <f>IF($D30=1,IF(GDP_per_cap!E75&gt;'all_1961-1990'!$H$1,0,IF(UrbanPopRate!E75&gt;=$J$1,0,1)),0)</f>
        <v>0</v>
      </c>
      <c r="J30">
        <f>IF($D30=1,IF(GDP_per_cap!F75&gt;'all_1961-1990'!$H$1,0,IF(UrbanPopRate!F75&gt;=$J$1,0,1)),0)</f>
        <v>0</v>
      </c>
      <c r="K30">
        <f>IF($D30=1,IF(GDP_per_cap!G75&gt;'all_1961-1990'!$H$1,0,IF(UrbanPopRate!G75&gt;=$J$1,0,1)),0)</f>
        <v>0</v>
      </c>
      <c r="L30">
        <f>IF($D30=1,IF(GDP_per_cap!H75&gt;'all_1961-1990'!$H$1,0,IF(UrbanPopRate!H75&gt;=$J$1,0,1)),0)</f>
        <v>0</v>
      </c>
      <c r="M30">
        <f>IF($D30=1,IF(GDP_per_cap!I75&gt;'all_1961-1990'!$H$1,0,IF(UrbanPopRate!I75&gt;=$J$1,0,1)),0)</f>
        <v>0</v>
      </c>
      <c r="N30">
        <f>IF($D30=1,IF(GDP_per_cap!J75&gt;'all_1961-1990'!$H$1,0,IF(UrbanPopRate!J75&gt;=$J$1,0,1)),0)</f>
        <v>0</v>
      </c>
      <c r="O30">
        <f>IF($D30=1,IF(GDP_per_cap!K75&gt;'all_1961-1990'!$H$1,0,IF(UrbanPopRate!K75&gt;=$J$1,0,1)),0)</f>
        <v>0</v>
      </c>
      <c r="P30">
        <f>IF($D30=1,IF(GDP_per_cap!L75&gt;'all_1961-1990'!$H$1,0,IF(UrbanPopRate!L75&gt;=$J$1,0,1)),0)</f>
        <v>0</v>
      </c>
      <c r="Q30">
        <f>IF($D30=1,IF(GDP_per_cap!M75&gt;'all_1961-1990'!$H$1,0,IF(UrbanPopRate!M75&gt;=$J$1,0,1)),0)</f>
        <v>0</v>
      </c>
      <c r="R30">
        <f>IF($D30=1,IF(GDP_per_cap!N75&gt;'all_1961-1990'!$H$1,0,IF(UrbanPopRate!N75&gt;=$J$1,0,1)),0)</f>
        <v>0</v>
      </c>
      <c r="S30">
        <f>IF($D30=1,IF(GDP_per_cap!O75&gt;'all_1961-1990'!$H$1,0,IF(UrbanPopRate!O75&gt;=$J$1,0,1)),0)</f>
        <v>0</v>
      </c>
      <c r="T30">
        <f>IF($D30=1,IF(GDP_per_cap!P75&gt;'all_1961-1990'!$H$1,0,IF(UrbanPopRate!P75&gt;=$J$1,0,1)),0)</f>
        <v>0</v>
      </c>
      <c r="U30">
        <f>IF($D30=1,IF(GDP_per_cap!Q75&gt;'all_1961-1990'!$H$1,0,IF(UrbanPopRate!Q75&gt;=$J$1,0,1)),0)</f>
        <v>0</v>
      </c>
      <c r="V30">
        <f>IF($D30=1,IF(GDP_per_cap!R75&gt;'all_1961-1990'!$H$1,0,IF(UrbanPopRate!R75&gt;=$J$1,0,1)),0)</f>
        <v>0</v>
      </c>
      <c r="W30">
        <f>IF($D30=1,IF(GDP_per_cap!S75&gt;'all_1961-1990'!$H$1,0,IF(UrbanPopRate!S75&gt;=$J$1,0,1)),0)</f>
        <v>0</v>
      </c>
      <c r="X30">
        <f>IF($D30=1,IF(GDP_per_cap!T75&gt;'all_1961-1990'!$H$1,0,IF(UrbanPopRate!T75&gt;=$J$1,0,1)),0)</f>
        <v>0</v>
      </c>
      <c r="Y30">
        <f>IF($D30=1,IF(GDP_per_cap!U75&gt;'all_1961-1990'!$H$1,0,IF(UrbanPopRate!U75&gt;=$J$1,0,1)),0)</f>
        <v>0</v>
      </c>
      <c r="Z30">
        <f>IF($D30=1,IF(GDP_per_cap!V75&gt;'all_1961-1990'!$H$1,0,IF(UrbanPopRate!V75&gt;=$J$1,0,1)),0)</f>
        <v>0</v>
      </c>
      <c r="AA30">
        <f>IF($D30=1,IF(GDP_per_cap!W75&gt;'all_1961-1990'!$H$1,0,IF(UrbanPopRate!W75&gt;=$J$1,0,1)),0)</f>
        <v>0</v>
      </c>
      <c r="AB30">
        <f>IF($D30=1,IF(GDP_per_cap!X75&gt;'all_1961-1990'!$H$1,0,IF(UrbanPopRate!X75&gt;=$J$1,0,1)),0)</f>
        <v>0</v>
      </c>
      <c r="AC30">
        <f>IF($D30=1,IF(GDP_per_cap!Y75&gt;'all_1961-1990'!$H$1,0,IF(UrbanPopRate!Y75&gt;=$J$1,0,1)),0)</f>
        <v>0</v>
      </c>
      <c r="AD30">
        <f>IF($D30=1,IF(GDP_per_cap!Z75&gt;'all_1961-1990'!$H$1,0,IF(UrbanPopRate!Z75&gt;=$J$1,0,1)),0)</f>
        <v>0</v>
      </c>
      <c r="AE30">
        <f>IF($D30=1,IF(GDP_per_cap!AA75&gt;'all_1961-1990'!$H$1,0,IF(UrbanPopRate!AA75&gt;=$J$1,0,1)),0)</f>
        <v>0</v>
      </c>
      <c r="AF30">
        <f>IF($D30=1,IF(GDP_per_cap!AB75&gt;'all_1961-1990'!$H$1,0,IF(UrbanPopRate!AB75&gt;=$J$1,0,1)),0)</f>
        <v>0</v>
      </c>
      <c r="AG30">
        <f>IF($D30=1,IF(GDP_per_cap!AC75&gt;'all_1961-1990'!$H$1,0,IF(UrbanPopRate!AC75&gt;=$J$1,0,1)),0)</f>
        <v>0</v>
      </c>
      <c r="AH30">
        <f>IF($D30=1,IF(GDP_per_cap!AD75&gt;'all_1961-1990'!$H$1,0,IF(UrbanPopRate!AD75&gt;=$J$1,0,1)),0)</f>
        <v>0</v>
      </c>
      <c r="AI30">
        <f>IF($D30=1,IF(GDP_per_cap!AE75&gt;'all_1961-1990'!$H$1,0,IF(UrbanPopRate!AE75&gt;=$J$1,0,1)),0)</f>
        <v>0</v>
      </c>
      <c r="AJ30">
        <f>IF($D30=1,IF(GDP_per_cap!AF75&gt;'all_1961-1990'!$H$1,0,IF(UrbanPopRate!AF75&gt;=$J$1,0,1)),0)</f>
        <v>0</v>
      </c>
      <c r="AK30">
        <f>IF($D30=1,IF(GDP_per_cap!AG75&gt;'all_1961-1990'!$H$1,0,IF(UrbanPopRate!AG75&gt;=$J$1,0,1)),0)</f>
        <v>0</v>
      </c>
      <c r="AL30">
        <f>IF($D30=1,IF(GDP_per_cap!AH75&gt;'all_1961-1990'!$H$1,0,IF(UrbanPopRate!AH75&gt;=$J$1,0,1)),0)</f>
        <v>0</v>
      </c>
      <c r="AM30">
        <f>IF($D30=1,IF(GDP_per_cap!AI75&gt;'all_1961-1990'!$H$1,0,IF(UrbanPopRate!AI75&gt;=$J$1,0,1)),0)</f>
        <v>0</v>
      </c>
      <c r="AN30">
        <f>IF($D30=1,IF(GDP_per_cap!AJ75&gt;'all_1961-1990'!$H$1,0,IF(UrbanPopRate!AJ75&gt;=$J$1,0,1)),0)</f>
        <v>0</v>
      </c>
      <c r="AO30">
        <f>IF($D30=1,IF(GDP_per_cap!AK75&gt;'all_1961-1990'!$H$1,0,IF(UrbanPopRate!AK75&gt;=$J$1,0,1)),0)</f>
        <v>0</v>
      </c>
      <c r="AP30">
        <f>IF($D30=1,IF(GDP_per_cap!AL75&gt;'all_1961-1990'!$H$1,0,IF(UrbanPopRate!AL75&gt;=$J$1,0,1)),0)</f>
        <v>0</v>
      </c>
      <c r="AQ30">
        <f>IF($D30=1,IF(GDP_per_cap!AM75&gt;'all_1961-1990'!$H$1,0,IF(UrbanPopRate!AM75&gt;=$J$1,0,1)),0)</f>
        <v>0</v>
      </c>
      <c r="AR30">
        <f>IF($D30=1,IF(GDP_per_cap!AN75&gt;'all_1961-1990'!$H$1,0,IF(UrbanPopRate!AN75&gt;=$J$1,0,1)),0)</f>
        <v>0</v>
      </c>
      <c r="AS30">
        <f>IF($D30=1,IF(GDP_per_cap!AO75&gt;'all_1961-1990'!$H$1,0,IF(UrbanPopRate!AO75&gt;=$J$1,0,1)),0)</f>
        <v>0</v>
      </c>
      <c r="AT30">
        <f>IF($D30=1,IF(GDP_per_cap!AP75&gt;'all_1961-1990'!$H$1,0,IF(UrbanPopRate!AP75&gt;=$J$1,0,1)),0)</f>
        <v>0</v>
      </c>
      <c r="AU30">
        <f>IF($D30=1,IF(GDP_per_cap!AQ75&gt;'all_1961-1990'!$H$1,0,IF(UrbanPopRate!AQ75&gt;=$J$1,0,1)),0)</f>
        <v>0</v>
      </c>
      <c r="AV30">
        <f>IF($D30=1,IF(GDP_per_cap!AR75&gt;'all_1961-1990'!$H$1,0,IF(UrbanPopRate!AR75&gt;=$J$1,0,1)),0)</f>
        <v>0</v>
      </c>
      <c r="AW30">
        <f>IF($D30=1,IF(GDP_per_cap!AS75&gt;'all_1961-1990'!$H$1,0,IF(UrbanPopRate!AS75&gt;=$J$1,0,1)),0)</f>
        <v>0</v>
      </c>
      <c r="AX30">
        <f>IF($D30=1,IF(GDP_per_cap!AT75&gt;'all_1961-1990'!$H$1,0,IF(UrbanPopRate!AT75&gt;=$J$1,0,1)),0)</f>
        <v>0</v>
      </c>
      <c r="AY30">
        <f>IF($D30=1,IF(GDP_per_cap!AU75&gt;'all_1961-1990'!$H$1,0,IF(UrbanPopRate!AU75&gt;=$J$1,0,1)),0)</f>
        <v>0</v>
      </c>
      <c r="AZ30">
        <f>IF($D30=1,IF(GDP_per_cap!AV75&gt;'all_1961-1990'!$H$1,0,IF(UrbanPopRate!AV75&gt;=$J$1,0,1)),0)</f>
        <v>0</v>
      </c>
      <c r="BA30">
        <f>IF($D30=1,IF(GDP_per_cap!AW75&gt;'all_1961-1990'!$H$1,0,IF(UrbanPopRate!AW75&gt;=$J$1,0,1)),0)</f>
        <v>0</v>
      </c>
      <c r="BB30">
        <f>IF($D30=1,IF(GDP_per_cap!AX75&gt;'all_1961-1990'!$H$1,0,IF(UrbanPopRate!AX75&gt;=$J$1,0,1)),0)</f>
        <v>0</v>
      </c>
      <c r="BC30">
        <f>IF($D30=1,IF(GDP_per_cap!AY75&gt;'all_1961-1990'!$H$1,0,IF(UrbanPopRate!AY75&gt;=$J$1,0,1)),0)</f>
        <v>0</v>
      </c>
      <c r="BD30">
        <f>IF($D30=1,IF(GDP_per_cap!AZ75&gt;'all_1961-1990'!$H$1,0,IF(UrbanPopRate!AZ75&gt;=$J$1,0,1)),0)</f>
        <v>0</v>
      </c>
      <c r="BE30">
        <f>IF($D30=1,IF(GDP_per_cap!BA75&gt;'all_1961-1990'!$H$1,0,IF(UrbanPopRate!BA75&gt;=$J$1,0,1)),0)</f>
        <v>0</v>
      </c>
      <c r="BF30">
        <f>IF($D30=1,IF(GDP_per_cap!BB75&gt;'all_1961-1990'!$H$1,0,IF(UrbanPopRate!BB75&gt;=$J$1,0,1)),0)</f>
        <v>0</v>
      </c>
    </row>
    <row r="31" spans="1:58">
      <c r="A31" s="3">
        <v>31</v>
      </c>
      <c r="B31" s="3" t="s">
        <v>137</v>
      </c>
      <c r="C31" s="2">
        <v>2</v>
      </c>
      <c r="D31" s="35">
        <v>0</v>
      </c>
      <c r="E31" s="2">
        <v>60.978966666666665</v>
      </c>
      <c r="F31" s="36">
        <v>7199.390187</v>
      </c>
      <c r="G31">
        <f>IF($D31=1,IF(GDP_per_cap!C19&gt;'all_1961-1990'!$H$1,0,IF(UrbanPopRate!C19&gt;=$J$1,0,1)),0)</f>
        <v>0</v>
      </c>
      <c r="H31">
        <f>IF($D31=1,IF(GDP_per_cap!D19&gt;'all_1961-1990'!$H$1,0,IF(UrbanPopRate!D19&gt;=$J$1,0,1)),0)</f>
        <v>0</v>
      </c>
      <c r="I31">
        <f>IF($D31=1,IF(GDP_per_cap!E19&gt;'all_1961-1990'!$H$1,0,IF(UrbanPopRate!E19&gt;=$J$1,0,1)),0)</f>
        <v>0</v>
      </c>
      <c r="J31">
        <f>IF($D31=1,IF(GDP_per_cap!F19&gt;'all_1961-1990'!$H$1,0,IF(UrbanPopRate!F19&gt;=$J$1,0,1)),0)</f>
        <v>0</v>
      </c>
      <c r="K31">
        <f>IF($D31=1,IF(GDP_per_cap!G19&gt;'all_1961-1990'!$H$1,0,IF(UrbanPopRate!G19&gt;=$J$1,0,1)),0)</f>
        <v>0</v>
      </c>
      <c r="L31">
        <f>IF($D31=1,IF(GDP_per_cap!H19&gt;'all_1961-1990'!$H$1,0,IF(UrbanPopRate!H19&gt;=$J$1,0,1)),0)</f>
        <v>0</v>
      </c>
      <c r="M31">
        <f>IF($D31=1,IF(GDP_per_cap!I19&gt;'all_1961-1990'!$H$1,0,IF(UrbanPopRate!I19&gt;=$J$1,0,1)),0)</f>
        <v>0</v>
      </c>
      <c r="N31">
        <f>IF($D31=1,IF(GDP_per_cap!J19&gt;'all_1961-1990'!$H$1,0,IF(UrbanPopRate!J19&gt;=$J$1,0,1)),0)</f>
        <v>0</v>
      </c>
      <c r="O31">
        <f>IF($D31=1,IF(GDP_per_cap!K19&gt;'all_1961-1990'!$H$1,0,IF(UrbanPopRate!K19&gt;=$J$1,0,1)),0)</f>
        <v>0</v>
      </c>
      <c r="P31">
        <f>IF($D31=1,IF(GDP_per_cap!L19&gt;'all_1961-1990'!$H$1,0,IF(UrbanPopRate!L19&gt;=$J$1,0,1)),0)</f>
        <v>0</v>
      </c>
      <c r="Q31">
        <f>IF($D31=1,IF(GDP_per_cap!M19&gt;'all_1961-1990'!$H$1,0,IF(UrbanPopRate!M19&gt;=$J$1,0,1)),0)</f>
        <v>0</v>
      </c>
      <c r="R31">
        <f>IF($D31=1,IF(GDP_per_cap!N19&gt;'all_1961-1990'!$H$1,0,IF(UrbanPopRate!N19&gt;=$J$1,0,1)),0)</f>
        <v>0</v>
      </c>
      <c r="S31">
        <f>IF($D31=1,IF(GDP_per_cap!O19&gt;'all_1961-1990'!$H$1,0,IF(UrbanPopRate!O19&gt;=$J$1,0,1)),0)</f>
        <v>0</v>
      </c>
      <c r="T31">
        <f>IF($D31=1,IF(GDP_per_cap!P19&gt;'all_1961-1990'!$H$1,0,IF(UrbanPopRate!P19&gt;=$J$1,0,1)),0)</f>
        <v>0</v>
      </c>
      <c r="U31">
        <f>IF($D31=1,IF(GDP_per_cap!Q19&gt;'all_1961-1990'!$H$1,0,IF(UrbanPopRate!Q19&gt;=$J$1,0,1)),0)</f>
        <v>0</v>
      </c>
      <c r="V31">
        <f>IF($D31=1,IF(GDP_per_cap!R19&gt;'all_1961-1990'!$H$1,0,IF(UrbanPopRate!R19&gt;=$J$1,0,1)),0)</f>
        <v>0</v>
      </c>
      <c r="W31">
        <f>IF($D31=1,IF(GDP_per_cap!S19&gt;'all_1961-1990'!$H$1,0,IF(UrbanPopRate!S19&gt;=$J$1,0,1)),0)</f>
        <v>0</v>
      </c>
      <c r="X31">
        <f>IF($D31=1,IF(GDP_per_cap!T19&gt;'all_1961-1990'!$H$1,0,IF(UrbanPopRate!T19&gt;=$J$1,0,1)),0)</f>
        <v>0</v>
      </c>
      <c r="Y31">
        <f>IF($D31=1,IF(GDP_per_cap!U19&gt;'all_1961-1990'!$H$1,0,IF(UrbanPopRate!U19&gt;=$J$1,0,1)),0)</f>
        <v>0</v>
      </c>
      <c r="Z31">
        <f>IF($D31=1,IF(GDP_per_cap!V19&gt;'all_1961-1990'!$H$1,0,IF(UrbanPopRate!V19&gt;=$J$1,0,1)),0)</f>
        <v>0</v>
      </c>
      <c r="AA31">
        <f>IF($D31=1,IF(GDP_per_cap!W19&gt;'all_1961-1990'!$H$1,0,IF(UrbanPopRate!W19&gt;=$J$1,0,1)),0)</f>
        <v>0</v>
      </c>
      <c r="AB31">
        <f>IF($D31=1,IF(GDP_per_cap!X19&gt;'all_1961-1990'!$H$1,0,IF(UrbanPopRate!X19&gt;=$J$1,0,1)),0)</f>
        <v>0</v>
      </c>
      <c r="AC31">
        <f>IF($D31=1,IF(GDP_per_cap!Y19&gt;'all_1961-1990'!$H$1,0,IF(UrbanPopRate!Y19&gt;=$J$1,0,1)),0)</f>
        <v>0</v>
      </c>
      <c r="AD31">
        <f>IF($D31=1,IF(GDP_per_cap!Z19&gt;'all_1961-1990'!$H$1,0,IF(UrbanPopRate!Z19&gt;=$J$1,0,1)),0)</f>
        <v>0</v>
      </c>
      <c r="AE31">
        <f>IF($D31=1,IF(GDP_per_cap!AA19&gt;'all_1961-1990'!$H$1,0,IF(UrbanPopRate!AA19&gt;=$J$1,0,1)),0)</f>
        <v>0</v>
      </c>
      <c r="AF31">
        <f>IF($D31=1,IF(GDP_per_cap!AB19&gt;'all_1961-1990'!$H$1,0,IF(UrbanPopRate!AB19&gt;=$J$1,0,1)),0)</f>
        <v>0</v>
      </c>
      <c r="AG31">
        <f>IF($D31=1,IF(GDP_per_cap!AC19&gt;'all_1961-1990'!$H$1,0,IF(UrbanPopRate!AC19&gt;=$J$1,0,1)),0)</f>
        <v>0</v>
      </c>
      <c r="AH31">
        <f>IF($D31=1,IF(GDP_per_cap!AD19&gt;'all_1961-1990'!$H$1,0,IF(UrbanPopRate!AD19&gt;=$J$1,0,1)),0)</f>
        <v>0</v>
      </c>
      <c r="AI31">
        <f>IF($D31=1,IF(GDP_per_cap!AE19&gt;'all_1961-1990'!$H$1,0,IF(UrbanPopRate!AE19&gt;=$J$1,0,1)),0)</f>
        <v>0</v>
      </c>
      <c r="AJ31">
        <f>IF($D31=1,IF(GDP_per_cap!AF19&gt;'all_1961-1990'!$H$1,0,IF(UrbanPopRate!AF19&gt;=$J$1,0,1)),0)</f>
        <v>0</v>
      </c>
      <c r="AK31">
        <f>IF($D31=1,IF(GDP_per_cap!AG19&gt;'all_1961-1990'!$H$1,0,IF(UrbanPopRate!AG19&gt;=$J$1,0,1)),0)</f>
        <v>0</v>
      </c>
      <c r="AL31">
        <f>IF($D31=1,IF(GDP_per_cap!AH19&gt;'all_1961-1990'!$H$1,0,IF(UrbanPopRate!AH19&gt;=$J$1,0,1)),0)</f>
        <v>0</v>
      </c>
      <c r="AM31">
        <f>IF($D31=1,IF(GDP_per_cap!AI19&gt;'all_1961-1990'!$H$1,0,IF(UrbanPopRate!AI19&gt;=$J$1,0,1)),0)</f>
        <v>0</v>
      </c>
      <c r="AN31">
        <f>IF($D31=1,IF(GDP_per_cap!AJ19&gt;'all_1961-1990'!$H$1,0,IF(UrbanPopRate!AJ19&gt;=$J$1,0,1)),0)</f>
        <v>0</v>
      </c>
      <c r="AO31">
        <f>IF($D31=1,IF(GDP_per_cap!AK19&gt;'all_1961-1990'!$H$1,0,IF(UrbanPopRate!AK19&gt;=$J$1,0,1)),0)</f>
        <v>0</v>
      </c>
      <c r="AP31">
        <f>IF($D31=1,IF(GDP_per_cap!AL19&gt;'all_1961-1990'!$H$1,0,IF(UrbanPopRate!AL19&gt;=$J$1,0,1)),0)</f>
        <v>0</v>
      </c>
      <c r="AQ31">
        <f>IF($D31=1,IF(GDP_per_cap!AM19&gt;'all_1961-1990'!$H$1,0,IF(UrbanPopRate!AM19&gt;=$J$1,0,1)),0)</f>
        <v>0</v>
      </c>
      <c r="AR31">
        <f>IF($D31=1,IF(GDP_per_cap!AN19&gt;'all_1961-1990'!$H$1,0,IF(UrbanPopRate!AN19&gt;=$J$1,0,1)),0)</f>
        <v>0</v>
      </c>
      <c r="AS31">
        <f>IF($D31=1,IF(GDP_per_cap!AO19&gt;'all_1961-1990'!$H$1,0,IF(UrbanPopRate!AO19&gt;=$J$1,0,1)),0)</f>
        <v>0</v>
      </c>
      <c r="AT31">
        <f>IF($D31=1,IF(GDP_per_cap!AP19&gt;'all_1961-1990'!$H$1,0,IF(UrbanPopRate!AP19&gt;=$J$1,0,1)),0)</f>
        <v>0</v>
      </c>
      <c r="AU31">
        <f>IF($D31=1,IF(GDP_per_cap!AQ19&gt;'all_1961-1990'!$H$1,0,IF(UrbanPopRate!AQ19&gt;=$J$1,0,1)),0)</f>
        <v>0</v>
      </c>
      <c r="AV31">
        <f>IF($D31=1,IF(GDP_per_cap!AR19&gt;'all_1961-1990'!$H$1,0,IF(UrbanPopRate!AR19&gt;=$J$1,0,1)),0)</f>
        <v>0</v>
      </c>
      <c r="AW31">
        <f>IF($D31=1,IF(GDP_per_cap!AS19&gt;'all_1961-1990'!$H$1,0,IF(UrbanPopRate!AS19&gt;=$J$1,0,1)),0)</f>
        <v>0</v>
      </c>
      <c r="AX31">
        <f>IF($D31=1,IF(GDP_per_cap!AT19&gt;'all_1961-1990'!$H$1,0,IF(UrbanPopRate!AT19&gt;=$J$1,0,1)),0)</f>
        <v>0</v>
      </c>
      <c r="AY31">
        <f>IF($D31=1,IF(GDP_per_cap!AU19&gt;'all_1961-1990'!$H$1,0,IF(UrbanPopRate!AU19&gt;=$J$1,0,1)),0)</f>
        <v>0</v>
      </c>
      <c r="AZ31">
        <f>IF($D31=1,IF(GDP_per_cap!AV19&gt;'all_1961-1990'!$H$1,0,IF(UrbanPopRate!AV19&gt;=$J$1,0,1)),0)</f>
        <v>0</v>
      </c>
      <c r="BA31">
        <f>IF($D31=1,IF(GDP_per_cap!AW19&gt;'all_1961-1990'!$H$1,0,IF(UrbanPopRate!AW19&gt;=$J$1,0,1)),0)</f>
        <v>0</v>
      </c>
      <c r="BB31">
        <f>IF($D31=1,IF(GDP_per_cap!AX19&gt;'all_1961-1990'!$H$1,0,IF(UrbanPopRate!AX19&gt;=$J$1,0,1)),0)</f>
        <v>0</v>
      </c>
      <c r="BC31">
        <f>IF($D31=1,IF(GDP_per_cap!AY19&gt;'all_1961-1990'!$H$1,0,IF(UrbanPopRate!AY19&gt;=$J$1,0,1)),0)</f>
        <v>0</v>
      </c>
      <c r="BD31">
        <f>IF($D31=1,IF(GDP_per_cap!AZ19&gt;'all_1961-1990'!$H$1,0,IF(UrbanPopRate!AZ19&gt;=$J$1,0,1)),0)</f>
        <v>0</v>
      </c>
      <c r="BE31">
        <f>IF($D31=1,IF(GDP_per_cap!BA19&gt;'all_1961-1990'!$H$1,0,IF(UrbanPopRate!BA19&gt;=$J$1,0,1)),0)</f>
        <v>0</v>
      </c>
      <c r="BF31">
        <f>IF($D31=1,IF(GDP_per_cap!BB19&gt;'all_1961-1990'!$H$1,0,IF(UrbanPopRate!BB19&gt;=$J$1,0,1)),0)</f>
        <v>0</v>
      </c>
    </row>
    <row r="32" spans="1:58">
      <c r="A32" s="3">
        <v>34</v>
      </c>
      <c r="B32" s="3" t="s">
        <v>136</v>
      </c>
      <c r="C32" s="2">
        <v>2</v>
      </c>
      <c r="D32" s="35">
        <v>0</v>
      </c>
      <c r="E32" s="2">
        <v>56.162200000000006</v>
      </c>
      <c r="F32" s="36">
        <v>7087.3317299999999</v>
      </c>
      <c r="G32">
        <f>IF($D32=1,IF(GDP_per_cap!C20&gt;'all_1961-1990'!$H$1,0,IF(UrbanPopRate!C20&gt;=$J$1,0,1)),0)</f>
        <v>0</v>
      </c>
      <c r="H32">
        <f>IF($D32=1,IF(GDP_per_cap!D20&gt;'all_1961-1990'!$H$1,0,IF(UrbanPopRate!D20&gt;=$J$1,0,1)),0)</f>
        <v>0</v>
      </c>
      <c r="I32">
        <f>IF($D32=1,IF(GDP_per_cap!E20&gt;'all_1961-1990'!$H$1,0,IF(UrbanPopRate!E20&gt;=$J$1,0,1)),0)</f>
        <v>0</v>
      </c>
      <c r="J32">
        <f>IF($D32=1,IF(GDP_per_cap!F20&gt;'all_1961-1990'!$H$1,0,IF(UrbanPopRate!F20&gt;=$J$1,0,1)),0)</f>
        <v>0</v>
      </c>
      <c r="K32">
        <f>IF($D32=1,IF(GDP_per_cap!G20&gt;'all_1961-1990'!$H$1,0,IF(UrbanPopRate!G20&gt;=$J$1,0,1)),0)</f>
        <v>0</v>
      </c>
      <c r="L32">
        <f>IF($D32=1,IF(GDP_per_cap!H20&gt;'all_1961-1990'!$H$1,0,IF(UrbanPopRate!H20&gt;=$J$1,0,1)),0)</f>
        <v>0</v>
      </c>
      <c r="M32">
        <f>IF($D32=1,IF(GDP_per_cap!I20&gt;'all_1961-1990'!$H$1,0,IF(UrbanPopRate!I20&gt;=$J$1,0,1)),0)</f>
        <v>0</v>
      </c>
      <c r="N32">
        <f>IF($D32=1,IF(GDP_per_cap!J20&gt;'all_1961-1990'!$H$1,0,IF(UrbanPopRate!J20&gt;=$J$1,0,1)),0)</f>
        <v>0</v>
      </c>
      <c r="O32">
        <f>IF($D32=1,IF(GDP_per_cap!K20&gt;'all_1961-1990'!$H$1,0,IF(UrbanPopRate!K20&gt;=$J$1,0,1)),0)</f>
        <v>0</v>
      </c>
      <c r="P32">
        <f>IF($D32=1,IF(GDP_per_cap!L20&gt;'all_1961-1990'!$H$1,0,IF(UrbanPopRate!L20&gt;=$J$1,0,1)),0)</f>
        <v>0</v>
      </c>
      <c r="Q32">
        <f>IF($D32=1,IF(GDP_per_cap!M20&gt;'all_1961-1990'!$H$1,0,IF(UrbanPopRate!M20&gt;=$J$1,0,1)),0)</f>
        <v>0</v>
      </c>
      <c r="R32">
        <f>IF($D32=1,IF(GDP_per_cap!N20&gt;'all_1961-1990'!$H$1,0,IF(UrbanPopRate!N20&gt;=$J$1,0,1)),0)</f>
        <v>0</v>
      </c>
      <c r="S32">
        <f>IF($D32=1,IF(GDP_per_cap!O20&gt;'all_1961-1990'!$H$1,0,IF(UrbanPopRate!O20&gt;=$J$1,0,1)),0)</f>
        <v>0</v>
      </c>
      <c r="T32">
        <f>IF($D32=1,IF(GDP_per_cap!P20&gt;'all_1961-1990'!$H$1,0,IF(UrbanPopRate!P20&gt;=$J$1,0,1)),0)</f>
        <v>0</v>
      </c>
      <c r="U32">
        <f>IF($D32=1,IF(GDP_per_cap!Q20&gt;'all_1961-1990'!$H$1,0,IF(UrbanPopRate!Q20&gt;=$J$1,0,1)),0)</f>
        <v>0</v>
      </c>
      <c r="V32">
        <f>IF($D32=1,IF(GDP_per_cap!R20&gt;'all_1961-1990'!$H$1,0,IF(UrbanPopRate!R20&gt;=$J$1,0,1)),0)</f>
        <v>0</v>
      </c>
      <c r="W32">
        <f>IF($D32=1,IF(GDP_per_cap!S20&gt;'all_1961-1990'!$H$1,0,IF(UrbanPopRate!S20&gt;=$J$1,0,1)),0)</f>
        <v>0</v>
      </c>
      <c r="X32">
        <f>IF($D32=1,IF(GDP_per_cap!T20&gt;'all_1961-1990'!$H$1,0,IF(UrbanPopRate!T20&gt;=$J$1,0,1)),0)</f>
        <v>0</v>
      </c>
      <c r="Y32">
        <f>IF($D32=1,IF(GDP_per_cap!U20&gt;'all_1961-1990'!$H$1,0,IF(UrbanPopRate!U20&gt;=$J$1,0,1)),0)</f>
        <v>0</v>
      </c>
      <c r="Z32">
        <f>IF($D32=1,IF(GDP_per_cap!V20&gt;'all_1961-1990'!$H$1,0,IF(UrbanPopRate!V20&gt;=$J$1,0,1)),0)</f>
        <v>0</v>
      </c>
      <c r="AA32">
        <f>IF($D32=1,IF(GDP_per_cap!W20&gt;'all_1961-1990'!$H$1,0,IF(UrbanPopRate!W20&gt;=$J$1,0,1)),0)</f>
        <v>0</v>
      </c>
      <c r="AB32">
        <f>IF($D32=1,IF(GDP_per_cap!X20&gt;'all_1961-1990'!$H$1,0,IF(UrbanPopRate!X20&gt;=$J$1,0,1)),0)</f>
        <v>0</v>
      </c>
      <c r="AC32">
        <f>IF($D32=1,IF(GDP_per_cap!Y20&gt;'all_1961-1990'!$H$1,0,IF(UrbanPopRate!Y20&gt;=$J$1,0,1)),0)</f>
        <v>0</v>
      </c>
      <c r="AD32">
        <f>IF($D32=1,IF(GDP_per_cap!Z20&gt;'all_1961-1990'!$H$1,0,IF(UrbanPopRate!Z20&gt;=$J$1,0,1)),0)</f>
        <v>0</v>
      </c>
      <c r="AE32">
        <f>IF($D32=1,IF(GDP_per_cap!AA20&gt;'all_1961-1990'!$H$1,0,IF(UrbanPopRate!AA20&gt;=$J$1,0,1)),0)</f>
        <v>0</v>
      </c>
      <c r="AF32">
        <f>IF($D32=1,IF(GDP_per_cap!AB20&gt;'all_1961-1990'!$H$1,0,IF(UrbanPopRate!AB20&gt;=$J$1,0,1)),0)</f>
        <v>0</v>
      </c>
      <c r="AG32">
        <f>IF($D32=1,IF(GDP_per_cap!AC20&gt;'all_1961-1990'!$H$1,0,IF(UrbanPopRate!AC20&gt;=$J$1,0,1)),0)</f>
        <v>0</v>
      </c>
      <c r="AH32">
        <f>IF($D32=1,IF(GDP_per_cap!AD20&gt;'all_1961-1990'!$H$1,0,IF(UrbanPopRate!AD20&gt;=$J$1,0,1)),0)</f>
        <v>0</v>
      </c>
      <c r="AI32">
        <f>IF($D32=1,IF(GDP_per_cap!AE20&gt;'all_1961-1990'!$H$1,0,IF(UrbanPopRate!AE20&gt;=$J$1,0,1)),0)</f>
        <v>0</v>
      </c>
      <c r="AJ32">
        <f>IF($D32=1,IF(GDP_per_cap!AF20&gt;'all_1961-1990'!$H$1,0,IF(UrbanPopRate!AF20&gt;=$J$1,0,1)),0)</f>
        <v>0</v>
      </c>
      <c r="AK32">
        <f>IF($D32=1,IF(GDP_per_cap!AG20&gt;'all_1961-1990'!$H$1,0,IF(UrbanPopRate!AG20&gt;=$J$1,0,1)),0)</f>
        <v>0</v>
      </c>
      <c r="AL32">
        <f>IF($D32=1,IF(GDP_per_cap!AH20&gt;'all_1961-1990'!$H$1,0,IF(UrbanPopRate!AH20&gt;=$J$1,0,1)),0)</f>
        <v>0</v>
      </c>
      <c r="AM32">
        <f>IF($D32=1,IF(GDP_per_cap!AI20&gt;'all_1961-1990'!$H$1,0,IF(UrbanPopRate!AI20&gt;=$J$1,0,1)),0)</f>
        <v>0</v>
      </c>
      <c r="AN32">
        <f>IF($D32=1,IF(GDP_per_cap!AJ20&gt;'all_1961-1990'!$H$1,0,IF(UrbanPopRate!AJ20&gt;=$J$1,0,1)),0)</f>
        <v>0</v>
      </c>
      <c r="AO32">
        <f>IF($D32=1,IF(GDP_per_cap!AK20&gt;'all_1961-1990'!$H$1,0,IF(UrbanPopRate!AK20&gt;=$J$1,0,1)),0)</f>
        <v>0</v>
      </c>
      <c r="AP32">
        <f>IF($D32=1,IF(GDP_per_cap!AL20&gt;'all_1961-1990'!$H$1,0,IF(UrbanPopRate!AL20&gt;=$J$1,0,1)),0)</f>
        <v>0</v>
      </c>
      <c r="AQ32">
        <f>IF($D32=1,IF(GDP_per_cap!AM20&gt;'all_1961-1990'!$H$1,0,IF(UrbanPopRate!AM20&gt;=$J$1,0,1)),0)</f>
        <v>0</v>
      </c>
      <c r="AR32">
        <f>IF($D32=1,IF(GDP_per_cap!AN20&gt;'all_1961-1990'!$H$1,0,IF(UrbanPopRate!AN20&gt;=$J$1,0,1)),0)</f>
        <v>0</v>
      </c>
      <c r="AS32">
        <f>IF($D32=1,IF(GDP_per_cap!AO20&gt;'all_1961-1990'!$H$1,0,IF(UrbanPopRate!AO20&gt;=$J$1,0,1)),0)</f>
        <v>0</v>
      </c>
      <c r="AT32">
        <f>IF($D32=1,IF(GDP_per_cap!AP20&gt;'all_1961-1990'!$H$1,0,IF(UrbanPopRate!AP20&gt;=$J$1,0,1)),0)</f>
        <v>0</v>
      </c>
      <c r="AU32">
        <f>IF($D32=1,IF(GDP_per_cap!AQ20&gt;'all_1961-1990'!$H$1,0,IF(UrbanPopRate!AQ20&gt;=$J$1,0,1)),0)</f>
        <v>0</v>
      </c>
      <c r="AV32">
        <f>IF($D32=1,IF(GDP_per_cap!AR20&gt;'all_1961-1990'!$H$1,0,IF(UrbanPopRate!AR20&gt;=$J$1,0,1)),0)</f>
        <v>0</v>
      </c>
      <c r="AW32">
        <f>IF($D32=1,IF(GDP_per_cap!AS20&gt;'all_1961-1990'!$H$1,0,IF(UrbanPopRate!AS20&gt;=$J$1,0,1)),0)</f>
        <v>0</v>
      </c>
      <c r="AX32">
        <f>IF($D32=1,IF(GDP_per_cap!AT20&gt;'all_1961-1990'!$H$1,0,IF(UrbanPopRate!AT20&gt;=$J$1,0,1)),0)</f>
        <v>0</v>
      </c>
      <c r="AY32">
        <f>IF($D32=1,IF(GDP_per_cap!AU20&gt;'all_1961-1990'!$H$1,0,IF(UrbanPopRate!AU20&gt;=$J$1,0,1)),0)</f>
        <v>0</v>
      </c>
      <c r="AZ32">
        <f>IF($D32=1,IF(GDP_per_cap!AV20&gt;'all_1961-1990'!$H$1,0,IF(UrbanPopRate!AV20&gt;=$J$1,0,1)),0)</f>
        <v>0</v>
      </c>
      <c r="BA32">
        <f>IF($D32=1,IF(GDP_per_cap!AW20&gt;'all_1961-1990'!$H$1,0,IF(UrbanPopRate!AW20&gt;=$J$1,0,1)),0)</f>
        <v>0</v>
      </c>
      <c r="BB32">
        <f>IF($D32=1,IF(GDP_per_cap!AX20&gt;'all_1961-1990'!$H$1,0,IF(UrbanPopRate!AX20&gt;=$J$1,0,1)),0)</f>
        <v>0</v>
      </c>
      <c r="BC32">
        <f>IF($D32=1,IF(GDP_per_cap!AY20&gt;'all_1961-1990'!$H$1,0,IF(UrbanPopRate!AY20&gt;=$J$1,0,1)),0)</f>
        <v>0</v>
      </c>
      <c r="BD32">
        <f>IF($D32=1,IF(GDP_per_cap!AZ20&gt;'all_1961-1990'!$H$1,0,IF(UrbanPopRate!AZ20&gt;=$J$1,0,1)),0)</f>
        <v>0</v>
      </c>
      <c r="BE32">
        <f>IF($D32=1,IF(GDP_per_cap!BA20&gt;'all_1961-1990'!$H$1,0,IF(UrbanPopRate!BA20&gt;=$J$1,0,1)),0)</f>
        <v>0</v>
      </c>
      <c r="BF32">
        <f>IF($D32=1,IF(GDP_per_cap!BB20&gt;'all_1961-1990'!$H$1,0,IF(UrbanPopRate!BB20&gt;=$J$1,0,1)),0)</f>
        <v>0</v>
      </c>
    </row>
    <row r="33" spans="1:58">
      <c r="A33" s="3">
        <v>232</v>
      </c>
      <c r="B33" s="3" t="s">
        <v>6</v>
      </c>
      <c r="C33" s="2">
        <v>2</v>
      </c>
      <c r="D33" s="35">
        <v>0</v>
      </c>
      <c r="E33" s="2">
        <v>84.191866666666641</v>
      </c>
      <c r="F33" s="36">
        <v>6956.3323010000004</v>
      </c>
      <c r="G33">
        <f>IF($D33=1,IF(GDP_per_cap!C150&gt;'all_1961-1990'!$H$1,0,IF(UrbanPopRate!C150&gt;=$J$1,0,1)),0)</f>
        <v>0</v>
      </c>
      <c r="H33">
        <f>IF($D33=1,IF(GDP_per_cap!D150&gt;'all_1961-1990'!$H$1,0,IF(UrbanPopRate!D150&gt;=$J$1,0,1)),0)</f>
        <v>0</v>
      </c>
      <c r="I33">
        <f>IF($D33=1,IF(GDP_per_cap!E150&gt;'all_1961-1990'!$H$1,0,IF(UrbanPopRate!E150&gt;=$J$1,0,1)),0)</f>
        <v>0</v>
      </c>
      <c r="J33">
        <f>IF($D33=1,IF(GDP_per_cap!F150&gt;'all_1961-1990'!$H$1,0,IF(UrbanPopRate!F150&gt;=$J$1,0,1)),0)</f>
        <v>0</v>
      </c>
      <c r="K33">
        <f>IF($D33=1,IF(GDP_per_cap!G150&gt;'all_1961-1990'!$H$1,0,IF(UrbanPopRate!G150&gt;=$J$1,0,1)),0)</f>
        <v>0</v>
      </c>
      <c r="L33">
        <f>IF($D33=1,IF(GDP_per_cap!H150&gt;'all_1961-1990'!$H$1,0,IF(UrbanPopRate!H150&gt;=$J$1,0,1)),0)</f>
        <v>0</v>
      </c>
      <c r="M33">
        <f>IF($D33=1,IF(GDP_per_cap!I150&gt;'all_1961-1990'!$H$1,0,IF(UrbanPopRate!I150&gt;=$J$1,0,1)),0)</f>
        <v>0</v>
      </c>
      <c r="N33">
        <f>IF($D33=1,IF(GDP_per_cap!J150&gt;'all_1961-1990'!$H$1,0,IF(UrbanPopRate!J150&gt;=$J$1,0,1)),0)</f>
        <v>0</v>
      </c>
      <c r="O33">
        <f>IF($D33=1,IF(GDP_per_cap!K150&gt;'all_1961-1990'!$H$1,0,IF(UrbanPopRate!K150&gt;=$J$1,0,1)),0)</f>
        <v>0</v>
      </c>
      <c r="P33">
        <f>IF($D33=1,IF(GDP_per_cap!L150&gt;'all_1961-1990'!$H$1,0,IF(UrbanPopRate!L150&gt;=$J$1,0,1)),0)</f>
        <v>0</v>
      </c>
      <c r="Q33">
        <f>IF($D33=1,IF(GDP_per_cap!M150&gt;'all_1961-1990'!$H$1,0,IF(UrbanPopRate!M150&gt;=$J$1,0,1)),0)</f>
        <v>0</v>
      </c>
      <c r="R33">
        <f>IF($D33=1,IF(GDP_per_cap!N150&gt;'all_1961-1990'!$H$1,0,IF(UrbanPopRate!N150&gt;=$J$1,0,1)),0)</f>
        <v>0</v>
      </c>
      <c r="S33">
        <f>IF($D33=1,IF(GDP_per_cap!O150&gt;'all_1961-1990'!$H$1,0,IF(UrbanPopRate!O150&gt;=$J$1,0,1)),0)</f>
        <v>0</v>
      </c>
      <c r="T33">
        <f>IF($D33=1,IF(GDP_per_cap!P150&gt;'all_1961-1990'!$H$1,0,IF(UrbanPopRate!P150&gt;=$J$1,0,1)),0)</f>
        <v>0</v>
      </c>
      <c r="U33">
        <f>IF($D33=1,IF(GDP_per_cap!Q150&gt;'all_1961-1990'!$H$1,0,IF(UrbanPopRate!Q150&gt;=$J$1,0,1)),0)</f>
        <v>0</v>
      </c>
      <c r="V33">
        <f>IF($D33=1,IF(GDP_per_cap!R150&gt;'all_1961-1990'!$H$1,0,IF(UrbanPopRate!R150&gt;=$J$1,0,1)),0)</f>
        <v>0</v>
      </c>
      <c r="W33">
        <f>IF($D33=1,IF(GDP_per_cap!S150&gt;'all_1961-1990'!$H$1,0,IF(UrbanPopRate!S150&gt;=$J$1,0,1)),0)</f>
        <v>0</v>
      </c>
      <c r="X33">
        <f>IF($D33=1,IF(GDP_per_cap!T150&gt;'all_1961-1990'!$H$1,0,IF(UrbanPopRate!T150&gt;=$J$1,0,1)),0)</f>
        <v>0</v>
      </c>
      <c r="Y33">
        <f>IF($D33=1,IF(GDP_per_cap!U150&gt;'all_1961-1990'!$H$1,0,IF(UrbanPopRate!U150&gt;=$J$1,0,1)),0)</f>
        <v>0</v>
      </c>
      <c r="Z33">
        <f>IF($D33=1,IF(GDP_per_cap!V150&gt;'all_1961-1990'!$H$1,0,IF(UrbanPopRate!V150&gt;=$J$1,0,1)),0)</f>
        <v>0</v>
      </c>
      <c r="AA33">
        <f>IF($D33=1,IF(GDP_per_cap!W150&gt;'all_1961-1990'!$H$1,0,IF(UrbanPopRate!W150&gt;=$J$1,0,1)),0)</f>
        <v>0</v>
      </c>
      <c r="AB33">
        <f>IF($D33=1,IF(GDP_per_cap!X150&gt;'all_1961-1990'!$H$1,0,IF(UrbanPopRate!X150&gt;=$J$1,0,1)),0)</f>
        <v>0</v>
      </c>
      <c r="AC33">
        <f>IF($D33=1,IF(GDP_per_cap!Y150&gt;'all_1961-1990'!$H$1,0,IF(UrbanPopRate!Y150&gt;=$J$1,0,1)),0)</f>
        <v>0</v>
      </c>
      <c r="AD33">
        <f>IF($D33=1,IF(GDP_per_cap!Z150&gt;'all_1961-1990'!$H$1,0,IF(UrbanPopRate!Z150&gt;=$J$1,0,1)),0)</f>
        <v>0</v>
      </c>
      <c r="AE33">
        <f>IF($D33=1,IF(GDP_per_cap!AA150&gt;'all_1961-1990'!$H$1,0,IF(UrbanPopRate!AA150&gt;=$J$1,0,1)),0)</f>
        <v>0</v>
      </c>
      <c r="AF33">
        <f>IF($D33=1,IF(GDP_per_cap!AB150&gt;'all_1961-1990'!$H$1,0,IF(UrbanPopRate!AB150&gt;=$J$1,0,1)),0)</f>
        <v>0</v>
      </c>
      <c r="AG33">
        <f>IF($D33=1,IF(GDP_per_cap!AC150&gt;'all_1961-1990'!$H$1,0,IF(UrbanPopRate!AC150&gt;=$J$1,0,1)),0)</f>
        <v>0</v>
      </c>
      <c r="AH33">
        <f>IF($D33=1,IF(GDP_per_cap!AD150&gt;'all_1961-1990'!$H$1,0,IF(UrbanPopRate!AD150&gt;=$J$1,0,1)),0)</f>
        <v>0</v>
      </c>
      <c r="AI33">
        <f>IF($D33=1,IF(GDP_per_cap!AE150&gt;'all_1961-1990'!$H$1,0,IF(UrbanPopRate!AE150&gt;=$J$1,0,1)),0)</f>
        <v>0</v>
      </c>
      <c r="AJ33">
        <f>IF($D33=1,IF(GDP_per_cap!AF150&gt;'all_1961-1990'!$H$1,0,IF(UrbanPopRate!AF150&gt;=$J$1,0,1)),0)</f>
        <v>0</v>
      </c>
      <c r="AK33">
        <f>IF($D33=1,IF(GDP_per_cap!AG150&gt;'all_1961-1990'!$H$1,0,IF(UrbanPopRate!AG150&gt;=$J$1,0,1)),0)</f>
        <v>0</v>
      </c>
      <c r="AL33">
        <f>IF($D33=1,IF(GDP_per_cap!AH150&gt;'all_1961-1990'!$H$1,0,IF(UrbanPopRate!AH150&gt;=$J$1,0,1)),0)</f>
        <v>0</v>
      </c>
      <c r="AM33">
        <f>IF($D33=1,IF(GDP_per_cap!AI150&gt;'all_1961-1990'!$H$1,0,IF(UrbanPopRate!AI150&gt;=$J$1,0,1)),0)</f>
        <v>0</v>
      </c>
      <c r="AN33">
        <f>IF($D33=1,IF(GDP_per_cap!AJ150&gt;'all_1961-1990'!$H$1,0,IF(UrbanPopRate!AJ150&gt;=$J$1,0,1)),0)</f>
        <v>0</v>
      </c>
      <c r="AO33">
        <f>IF($D33=1,IF(GDP_per_cap!AK150&gt;'all_1961-1990'!$H$1,0,IF(UrbanPopRate!AK150&gt;=$J$1,0,1)),0)</f>
        <v>0</v>
      </c>
      <c r="AP33">
        <f>IF($D33=1,IF(GDP_per_cap!AL150&gt;'all_1961-1990'!$H$1,0,IF(UrbanPopRate!AL150&gt;=$J$1,0,1)),0)</f>
        <v>0</v>
      </c>
      <c r="AQ33">
        <f>IF($D33=1,IF(GDP_per_cap!AM150&gt;'all_1961-1990'!$H$1,0,IF(UrbanPopRate!AM150&gt;=$J$1,0,1)),0)</f>
        <v>0</v>
      </c>
      <c r="AR33">
        <f>IF($D33=1,IF(GDP_per_cap!AN150&gt;'all_1961-1990'!$H$1,0,IF(UrbanPopRate!AN150&gt;=$J$1,0,1)),0)</f>
        <v>0</v>
      </c>
      <c r="AS33">
        <f>IF($D33=1,IF(GDP_per_cap!AO150&gt;'all_1961-1990'!$H$1,0,IF(UrbanPopRate!AO150&gt;=$J$1,0,1)),0)</f>
        <v>0</v>
      </c>
      <c r="AT33">
        <f>IF($D33=1,IF(GDP_per_cap!AP150&gt;'all_1961-1990'!$H$1,0,IF(UrbanPopRate!AP150&gt;=$J$1,0,1)),0)</f>
        <v>0</v>
      </c>
      <c r="AU33">
        <f>IF($D33=1,IF(GDP_per_cap!AQ150&gt;'all_1961-1990'!$H$1,0,IF(UrbanPopRate!AQ150&gt;=$J$1,0,1)),0)</f>
        <v>0</v>
      </c>
      <c r="AV33">
        <f>IF($D33=1,IF(GDP_per_cap!AR150&gt;'all_1961-1990'!$H$1,0,IF(UrbanPopRate!AR150&gt;=$J$1,0,1)),0)</f>
        <v>0</v>
      </c>
      <c r="AW33">
        <f>IF($D33=1,IF(GDP_per_cap!AS150&gt;'all_1961-1990'!$H$1,0,IF(UrbanPopRate!AS150&gt;=$J$1,0,1)),0)</f>
        <v>0</v>
      </c>
      <c r="AX33">
        <f>IF($D33=1,IF(GDP_per_cap!AT150&gt;'all_1961-1990'!$H$1,0,IF(UrbanPopRate!AT150&gt;=$J$1,0,1)),0)</f>
        <v>0</v>
      </c>
      <c r="AY33">
        <f>IF($D33=1,IF(GDP_per_cap!AU150&gt;'all_1961-1990'!$H$1,0,IF(UrbanPopRate!AU150&gt;=$J$1,0,1)),0)</f>
        <v>0</v>
      </c>
      <c r="AZ33">
        <f>IF($D33=1,IF(GDP_per_cap!AV150&gt;'all_1961-1990'!$H$1,0,IF(UrbanPopRate!AV150&gt;=$J$1,0,1)),0)</f>
        <v>0</v>
      </c>
      <c r="BA33">
        <f>IF($D33=1,IF(GDP_per_cap!AW150&gt;'all_1961-1990'!$H$1,0,IF(UrbanPopRate!AW150&gt;=$J$1,0,1)),0)</f>
        <v>0</v>
      </c>
      <c r="BB33">
        <f>IF($D33=1,IF(GDP_per_cap!AX150&gt;'all_1961-1990'!$H$1,0,IF(UrbanPopRate!AX150&gt;=$J$1,0,1)),0)</f>
        <v>0</v>
      </c>
      <c r="BC33">
        <f>IF($D33=1,IF(GDP_per_cap!AY150&gt;'all_1961-1990'!$H$1,0,IF(UrbanPopRate!AY150&gt;=$J$1,0,1)),0)</f>
        <v>0</v>
      </c>
      <c r="BD33">
        <f>IF($D33=1,IF(GDP_per_cap!AZ150&gt;'all_1961-1990'!$H$1,0,IF(UrbanPopRate!AZ150&gt;=$J$1,0,1)),0)</f>
        <v>0</v>
      </c>
      <c r="BE33">
        <f>IF($D33=1,IF(GDP_per_cap!BA150&gt;'all_1961-1990'!$H$1,0,IF(UrbanPopRate!BA150&gt;=$J$1,0,1)),0)</f>
        <v>0</v>
      </c>
      <c r="BF33">
        <f>IF($D33=1,IF(GDP_per_cap!BB150&gt;'all_1961-1990'!$H$1,0,IF(UrbanPopRate!BB150&gt;=$J$1,0,1)),0)</f>
        <v>0</v>
      </c>
    </row>
    <row r="34" spans="1:58">
      <c r="A34" s="3">
        <v>169</v>
      </c>
      <c r="B34" s="3" t="s">
        <v>47</v>
      </c>
      <c r="C34" s="2">
        <v>2</v>
      </c>
      <c r="D34" s="35">
        <v>0</v>
      </c>
      <c r="E34" s="2">
        <v>48.745199999999997</v>
      </c>
      <c r="F34" s="36">
        <v>6610.2076010000001</v>
      </c>
      <c r="G34">
        <f>IF($D34=1,IF(GDP_per_cap!C109&gt;'all_1961-1990'!$H$1,0,IF(UrbanPopRate!C109&gt;=$J$1,0,1)),0)</f>
        <v>0</v>
      </c>
      <c r="H34">
        <f>IF($D34=1,IF(GDP_per_cap!D109&gt;'all_1961-1990'!$H$1,0,IF(UrbanPopRate!D109&gt;=$J$1,0,1)),0)</f>
        <v>0</v>
      </c>
      <c r="I34">
        <f>IF($D34=1,IF(GDP_per_cap!E109&gt;'all_1961-1990'!$H$1,0,IF(UrbanPopRate!E109&gt;=$J$1,0,1)),0)</f>
        <v>0</v>
      </c>
      <c r="J34">
        <f>IF($D34=1,IF(GDP_per_cap!F109&gt;'all_1961-1990'!$H$1,0,IF(UrbanPopRate!F109&gt;=$J$1,0,1)),0)</f>
        <v>0</v>
      </c>
      <c r="K34">
        <f>IF($D34=1,IF(GDP_per_cap!G109&gt;'all_1961-1990'!$H$1,0,IF(UrbanPopRate!G109&gt;=$J$1,0,1)),0)</f>
        <v>0</v>
      </c>
      <c r="L34">
        <f>IF($D34=1,IF(GDP_per_cap!H109&gt;'all_1961-1990'!$H$1,0,IF(UrbanPopRate!H109&gt;=$J$1,0,1)),0)</f>
        <v>0</v>
      </c>
      <c r="M34">
        <f>IF($D34=1,IF(GDP_per_cap!I109&gt;'all_1961-1990'!$H$1,0,IF(UrbanPopRate!I109&gt;=$J$1,0,1)),0)</f>
        <v>0</v>
      </c>
      <c r="N34">
        <f>IF($D34=1,IF(GDP_per_cap!J109&gt;'all_1961-1990'!$H$1,0,IF(UrbanPopRate!J109&gt;=$J$1,0,1)),0)</f>
        <v>0</v>
      </c>
      <c r="O34">
        <f>IF($D34=1,IF(GDP_per_cap!K109&gt;'all_1961-1990'!$H$1,0,IF(UrbanPopRate!K109&gt;=$J$1,0,1)),0)</f>
        <v>0</v>
      </c>
      <c r="P34">
        <f>IF($D34=1,IF(GDP_per_cap!L109&gt;'all_1961-1990'!$H$1,0,IF(UrbanPopRate!L109&gt;=$J$1,0,1)),0)</f>
        <v>0</v>
      </c>
      <c r="Q34">
        <f>IF($D34=1,IF(GDP_per_cap!M109&gt;'all_1961-1990'!$H$1,0,IF(UrbanPopRate!M109&gt;=$J$1,0,1)),0)</f>
        <v>0</v>
      </c>
      <c r="R34">
        <f>IF($D34=1,IF(GDP_per_cap!N109&gt;'all_1961-1990'!$H$1,0,IF(UrbanPopRate!N109&gt;=$J$1,0,1)),0)</f>
        <v>0</v>
      </c>
      <c r="S34">
        <f>IF($D34=1,IF(GDP_per_cap!O109&gt;'all_1961-1990'!$H$1,0,IF(UrbanPopRate!O109&gt;=$J$1,0,1)),0)</f>
        <v>0</v>
      </c>
      <c r="T34">
        <f>IF($D34=1,IF(GDP_per_cap!P109&gt;'all_1961-1990'!$H$1,0,IF(UrbanPopRate!P109&gt;=$J$1,0,1)),0)</f>
        <v>0</v>
      </c>
      <c r="U34">
        <f>IF($D34=1,IF(GDP_per_cap!Q109&gt;'all_1961-1990'!$H$1,0,IF(UrbanPopRate!Q109&gt;=$J$1,0,1)),0)</f>
        <v>0</v>
      </c>
      <c r="V34">
        <f>IF($D34=1,IF(GDP_per_cap!R109&gt;'all_1961-1990'!$H$1,0,IF(UrbanPopRate!R109&gt;=$J$1,0,1)),0)</f>
        <v>0</v>
      </c>
      <c r="W34">
        <f>IF($D34=1,IF(GDP_per_cap!S109&gt;'all_1961-1990'!$H$1,0,IF(UrbanPopRate!S109&gt;=$J$1,0,1)),0)</f>
        <v>0</v>
      </c>
      <c r="X34">
        <f>IF($D34=1,IF(GDP_per_cap!T109&gt;'all_1961-1990'!$H$1,0,IF(UrbanPopRate!T109&gt;=$J$1,0,1)),0)</f>
        <v>0</v>
      </c>
      <c r="Y34">
        <f>IF($D34=1,IF(GDP_per_cap!U109&gt;'all_1961-1990'!$H$1,0,IF(UrbanPopRate!U109&gt;=$J$1,0,1)),0)</f>
        <v>0</v>
      </c>
      <c r="Z34">
        <f>IF($D34=1,IF(GDP_per_cap!V109&gt;'all_1961-1990'!$H$1,0,IF(UrbanPopRate!V109&gt;=$J$1,0,1)),0)</f>
        <v>0</v>
      </c>
      <c r="AA34">
        <f>IF($D34=1,IF(GDP_per_cap!W109&gt;'all_1961-1990'!$H$1,0,IF(UrbanPopRate!W109&gt;=$J$1,0,1)),0)</f>
        <v>0</v>
      </c>
      <c r="AB34">
        <f>IF($D34=1,IF(GDP_per_cap!X109&gt;'all_1961-1990'!$H$1,0,IF(UrbanPopRate!X109&gt;=$J$1,0,1)),0)</f>
        <v>0</v>
      </c>
      <c r="AC34">
        <f>IF($D34=1,IF(GDP_per_cap!Y109&gt;'all_1961-1990'!$H$1,0,IF(UrbanPopRate!Y109&gt;=$J$1,0,1)),0)</f>
        <v>0</v>
      </c>
      <c r="AD34">
        <f>IF($D34=1,IF(GDP_per_cap!Z109&gt;'all_1961-1990'!$H$1,0,IF(UrbanPopRate!Z109&gt;=$J$1,0,1)),0)</f>
        <v>0</v>
      </c>
      <c r="AE34">
        <f>IF($D34=1,IF(GDP_per_cap!AA109&gt;'all_1961-1990'!$H$1,0,IF(UrbanPopRate!AA109&gt;=$J$1,0,1)),0)</f>
        <v>0</v>
      </c>
      <c r="AF34">
        <f>IF($D34=1,IF(GDP_per_cap!AB109&gt;'all_1961-1990'!$H$1,0,IF(UrbanPopRate!AB109&gt;=$J$1,0,1)),0)</f>
        <v>0</v>
      </c>
      <c r="AG34">
        <f>IF($D34=1,IF(GDP_per_cap!AC109&gt;'all_1961-1990'!$H$1,0,IF(UrbanPopRate!AC109&gt;=$J$1,0,1)),0)</f>
        <v>0</v>
      </c>
      <c r="AH34">
        <f>IF($D34=1,IF(GDP_per_cap!AD109&gt;'all_1961-1990'!$H$1,0,IF(UrbanPopRate!AD109&gt;=$J$1,0,1)),0)</f>
        <v>0</v>
      </c>
      <c r="AI34">
        <f>IF($D34=1,IF(GDP_per_cap!AE109&gt;'all_1961-1990'!$H$1,0,IF(UrbanPopRate!AE109&gt;=$J$1,0,1)),0)</f>
        <v>0</v>
      </c>
      <c r="AJ34">
        <f>IF($D34=1,IF(GDP_per_cap!AF109&gt;'all_1961-1990'!$H$1,0,IF(UrbanPopRate!AF109&gt;=$J$1,0,1)),0)</f>
        <v>0</v>
      </c>
      <c r="AK34">
        <f>IF($D34=1,IF(GDP_per_cap!AG109&gt;'all_1961-1990'!$H$1,0,IF(UrbanPopRate!AG109&gt;=$J$1,0,1)),0)</f>
        <v>0</v>
      </c>
      <c r="AL34">
        <f>IF($D34=1,IF(GDP_per_cap!AH109&gt;'all_1961-1990'!$H$1,0,IF(UrbanPopRate!AH109&gt;=$J$1,0,1)),0)</f>
        <v>0</v>
      </c>
      <c r="AM34">
        <f>IF($D34=1,IF(GDP_per_cap!AI109&gt;'all_1961-1990'!$H$1,0,IF(UrbanPopRate!AI109&gt;=$J$1,0,1)),0)</f>
        <v>0</v>
      </c>
      <c r="AN34">
        <f>IF($D34=1,IF(GDP_per_cap!AJ109&gt;'all_1961-1990'!$H$1,0,IF(UrbanPopRate!AJ109&gt;=$J$1,0,1)),0)</f>
        <v>0</v>
      </c>
      <c r="AO34">
        <f>IF($D34=1,IF(GDP_per_cap!AK109&gt;'all_1961-1990'!$H$1,0,IF(UrbanPopRate!AK109&gt;=$J$1,0,1)),0)</f>
        <v>0</v>
      </c>
      <c r="AP34">
        <f>IF($D34=1,IF(GDP_per_cap!AL109&gt;'all_1961-1990'!$H$1,0,IF(UrbanPopRate!AL109&gt;=$J$1,0,1)),0)</f>
        <v>0</v>
      </c>
      <c r="AQ34">
        <f>IF($D34=1,IF(GDP_per_cap!AM109&gt;'all_1961-1990'!$H$1,0,IF(UrbanPopRate!AM109&gt;=$J$1,0,1)),0)</f>
        <v>0</v>
      </c>
      <c r="AR34">
        <f>IF($D34=1,IF(GDP_per_cap!AN109&gt;'all_1961-1990'!$H$1,0,IF(UrbanPopRate!AN109&gt;=$J$1,0,1)),0)</f>
        <v>0</v>
      </c>
      <c r="AS34">
        <f>IF($D34=1,IF(GDP_per_cap!AO109&gt;'all_1961-1990'!$H$1,0,IF(UrbanPopRate!AO109&gt;=$J$1,0,1)),0)</f>
        <v>0</v>
      </c>
      <c r="AT34">
        <f>IF($D34=1,IF(GDP_per_cap!AP109&gt;'all_1961-1990'!$H$1,0,IF(UrbanPopRate!AP109&gt;=$J$1,0,1)),0)</f>
        <v>0</v>
      </c>
      <c r="AU34">
        <f>IF($D34=1,IF(GDP_per_cap!AQ109&gt;'all_1961-1990'!$H$1,0,IF(UrbanPopRate!AQ109&gt;=$J$1,0,1)),0)</f>
        <v>0</v>
      </c>
      <c r="AV34">
        <f>IF($D34=1,IF(GDP_per_cap!AR109&gt;'all_1961-1990'!$H$1,0,IF(UrbanPopRate!AR109&gt;=$J$1,0,1)),0)</f>
        <v>0</v>
      </c>
      <c r="AW34">
        <f>IF($D34=1,IF(GDP_per_cap!AS109&gt;'all_1961-1990'!$H$1,0,IF(UrbanPopRate!AS109&gt;=$J$1,0,1)),0)</f>
        <v>0</v>
      </c>
      <c r="AX34">
        <f>IF($D34=1,IF(GDP_per_cap!AT109&gt;'all_1961-1990'!$H$1,0,IF(UrbanPopRate!AT109&gt;=$J$1,0,1)),0)</f>
        <v>0</v>
      </c>
      <c r="AY34">
        <f>IF($D34=1,IF(GDP_per_cap!AU109&gt;'all_1961-1990'!$H$1,0,IF(UrbanPopRate!AU109&gt;=$J$1,0,1)),0)</f>
        <v>0</v>
      </c>
      <c r="AZ34">
        <f>IF($D34=1,IF(GDP_per_cap!AV109&gt;'all_1961-1990'!$H$1,0,IF(UrbanPopRate!AV109&gt;=$J$1,0,1)),0)</f>
        <v>0</v>
      </c>
      <c r="BA34">
        <f>IF($D34=1,IF(GDP_per_cap!AW109&gt;'all_1961-1990'!$H$1,0,IF(UrbanPopRate!AW109&gt;=$J$1,0,1)),0)</f>
        <v>0</v>
      </c>
      <c r="BB34">
        <f>IF($D34=1,IF(GDP_per_cap!AX109&gt;'all_1961-1990'!$H$1,0,IF(UrbanPopRate!AX109&gt;=$J$1,0,1)),0)</f>
        <v>0</v>
      </c>
      <c r="BC34">
        <f>IF($D34=1,IF(GDP_per_cap!AY109&gt;'all_1961-1990'!$H$1,0,IF(UrbanPopRate!AY109&gt;=$J$1,0,1)),0)</f>
        <v>0</v>
      </c>
      <c r="BD34">
        <f>IF($D34=1,IF(GDP_per_cap!AZ109&gt;'all_1961-1990'!$H$1,0,IF(UrbanPopRate!AZ109&gt;=$J$1,0,1)),0)</f>
        <v>0</v>
      </c>
      <c r="BE34">
        <f>IF($D34=1,IF(GDP_per_cap!BA109&gt;'all_1961-1990'!$H$1,0,IF(UrbanPopRate!BA109&gt;=$J$1,0,1)),0)</f>
        <v>0</v>
      </c>
      <c r="BF34">
        <f>IF($D34=1,IF(GDP_per_cap!BB109&gt;'all_1961-1990'!$H$1,0,IF(UrbanPopRate!BB109&gt;=$J$1,0,1)),0)</f>
        <v>0</v>
      </c>
    </row>
    <row r="35" spans="1:58">
      <c r="A35" s="3">
        <v>103</v>
      </c>
      <c r="B35" s="3" t="s">
        <v>92</v>
      </c>
      <c r="C35" s="2">
        <v>2</v>
      </c>
      <c r="D35" s="35">
        <v>0</v>
      </c>
      <c r="E35" s="2">
        <v>45.73449999999999</v>
      </c>
      <c r="F35" s="36">
        <v>6601.6238540000004</v>
      </c>
      <c r="G35">
        <f>IF($D35=1,IF(GDP_per_cap!C64&gt;'all_1961-1990'!$H$1,0,IF(UrbanPopRate!C64&gt;=$J$1,0,1)),0)</f>
        <v>0</v>
      </c>
      <c r="H35">
        <f>IF($D35=1,IF(GDP_per_cap!D64&gt;'all_1961-1990'!$H$1,0,IF(UrbanPopRate!D64&gt;=$J$1,0,1)),0)</f>
        <v>0</v>
      </c>
      <c r="I35">
        <f>IF($D35=1,IF(GDP_per_cap!E64&gt;'all_1961-1990'!$H$1,0,IF(UrbanPopRate!E64&gt;=$J$1,0,1)),0)</f>
        <v>0</v>
      </c>
      <c r="J35">
        <f>IF($D35=1,IF(GDP_per_cap!F64&gt;'all_1961-1990'!$H$1,0,IF(UrbanPopRate!F64&gt;=$J$1,0,1)),0)</f>
        <v>0</v>
      </c>
      <c r="K35">
        <f>IF($D35=1,IF(GDP_per_cap!G64&gt;'all_1961-1990'!$H$1,0,IF(UrbanPopRate!G64&gt;=$J$1,0,1)),0)</f>
        <v>0</v>
      </c>
      <c r="L35">
        <f>IF($D35=1,IF(GDP_per_cap!H64&gt;'all_1961-1990'!$H$1,0,IF(UrbanPopRate!H64&gt;=$J$1,0,1)),0)</f>
        <v>0</v>
      </c>
      <c r="M35">
        <f>IF($D35=1,IF(GDP_per_cap!I64&gt;'all_1961-1990'!$H$1,0,IF(UrbanPopRate!I64&gt;=$J$1,0,1)),0)</f>
        <v>0</v>
      </c>
      <c r="N35">
        <f>IF($D35=1,IF(GDP_per_cap!J64&gt;'all_1961-1990'!$H$1,0,IF(UrbanPopRate!J64&gt;=$J$1,0,1)),0)</f>
        <v>0</v>
      </c>
      <c r="O35">
        <f>IF($D35=1,IF(GDP_per_cap!K64&gt;'all_1961-1990'!$H$1,0,IF(UrbanPopRate!K64&gt;=$J$1,0,1)),0)</f>
        <v>0</v>
      </c>
      <c r="P35">
        <f>IF($D35=1,IF(GDP_per_cap!L64&gt;'all_1961-1990'!$H$1,0,IF(UrbanPopRate!L64&gt;=$J$1,0,1)),0)</f>
        <v>0</v>
      </c>
      <c r="Q35">
        <f>IF($D35=1,IF(GDP_per_cap!M64&gt;'all_1961-1990'!$H$1,0,IF(UrbanPopRate!M64&gt;=$J$1,0,1)),0)</f>
        <v>0</v>
      </c>
      <c r="R35">
        <f>IF($D35=1,IF(GDP_per_cap!N64&gt;'all_1961-1990'!$H$1,0,IF(UrbanPopRate!N64&gt;=$J$1,0,1)),0)</f>
        <v>0</v>
      </c>
      <c r="S35">
        <f>IF($D35=1,IF(GDP_per_cap!O64&gt;'all_1961-1990'!$H$1,0,IF(UrbanPopRate!O64&gt;=$J$1,0,1)),0)</f>
        <v>0</v>
      </c>
      <c r="T35">
        <f>IF($D35=1,IF(GDP_per_cap!P64&gt;'all_1961-1990'!$H$1,0,IF(UrbanPopRate!P64&gt;=$J$1,0,1)),0)</f>
        <v>0</v>
      </c>
      <c r="U35">
        <f>IF($D35=1,IF(GDP_per_cap!Q64&gt;'all_1961-1990'!$H$1,0,IF(UrbanPopRate!Q64&gt;=$J$1,0,1)),0)</f>
        <v>0</v>
      </c>
      <c r="V35">
        <f>IF($D35=1,IF(GDP_per_cap!R64&gt;'all_1961-1990'!$H$1,0,IF(UrbanPopRate!R64&gt;=$J$1,0,1)),0)</f>
        <v>0</v>
      </c>
      <c r="W35">
        <f>IF($D35=1,IF(GDP_per_cap!S64&gt;'all_1961-1990'!$H$1,0,IF(UrbanPopRate!S64&gt;=$J$1,0,1)),0)</f>
        <v>0</v>
      </c>
      <c r="X35">
        <f>IF($D35=1,IF(GDP_per_cap!T64&gt;'all_1961-1990'!$H$1,0,IF(UrbanPopRate!T64&gt;=$J$1,0,1)),0)</f>
        <v>0</v>
      </c>
      <c r="Y35">
        <f>IF($D35=1,IF(GDP_per_cap!U64&gt;'all_1961-1990'!$H$1,0,IF(UrbanPopRate!U64&gt;=$J$1,0,1)),0)</f>
        <v>0</v>
      </c>
      <c r="Z35">
        <f>IF($D35=1,IF(GDP_per_cap!V64&gt;'all_1961-1990'!$H$1,0,IF(UrbanPopRate!V64&gt;=$J$1,0,1)),0)</f>
        <v>0</v>
      </c>
      <c r="AA35">
        <f>IF($D35=1,IF(GDP_per_cap!W64&gt;'all_1961-1990'!$H$1,0,IF(UrbanPopRate!W64&gt;=$J$1,0,1)),0)</f>
        <v>0</v>
      </c>
      <c r="AB35">
        <f>IF($D35=1,IF(GDP_per_cap!X64&gt;'all_1961-1990'!$H$1,0,IF(UrbanPopRate!X64&gt;=$J$1,0,1)),0)</f>
        <v>0</v>
      </c>
      <c r="AC35">
        <f>IF($D35=1,IF(GDP_per_cap!Y64&gt;'all_1961-1990'!$H$1,0,IF(UrbanPopRate!Y64&gt;=$J$1,0,1)),0)</f>
        <v>0</v>
      </c>
      <c r="AD35">
        <f>IF($D35=1,IF(GDP_per_cap!Z64&gt;'all_1961-1990'!$H$1,0,IF(UrbanPopRate!Z64&gt;=$J$1,0,1)),0)</f>
        <v>0</v>
      </c>
      <c r="AE35">
        <f>IF($D35=1,IF(GDP_per_cap!AA64&gt;'all_1961-1990'!$H$1,0,IF(UrbanPopRate!AA64&gt;=$J$1,0,1)),0)</f>
        <v>0</v>
      </c>
      <c r="AF35">
        <f>IF($D35=1,IF(GDP_per_cap!AB64&gt;'all_1961-1990'!$H$1,0,IF(UrbanPopRate!AB64&gt;=$J$1,0,1)),0)</f>
        <v>0</v>
      </c>
      <c r="AG35">
        <f>IF($D35=1,IF(GDP_per_cap!AC64&gt;'all_1961-1990'!$H$1,0,IF(UrbanPopRate!AC64&gt;=$J$1,0,1)),0)</f>
        <v>0</v>
      </c>
      <c r="AH35">
        <f>IF($D35=1,IF(GDP_per_cap!AD64&gt;'all_1961-1990'!$H$1,0,IF(UrbanPopRate!AD64&gt;=$J$1,0,1)),0)</f>
        <v>0</v>
      </c>
      <c r="AI35">
        <f>IF($D35=1,IF(GDP_per_cap!AE64&gt;'all_1961-1990'!$H$1,0,IF(UrbanPopRate!AE64&gt;=$J$1,0,1)),0)</f>
        <v>0</v>
      </c>
      <c r="AJ35">
        <f>IF($D35=1,IF(GDP_per_cap!AF64&gt;'all_1961-1990'!$H$1,0,IF(UrbanPopRate!AF64&gt;=$J$1,0,1)),0)</f>
        <v>0</v>
      </c>
      <c r="AK35">
        <f>IF($D35=1,IF(GDP_per_cap!AG64&gt;'all_1961-1990'!$H$1,0,IF(UrbanPopRate!AG64&gt;=$J$1,0,1)),0)</f>
        <v>0</v>
      </c>
      <c r="AL35">
        <f>IF($D35=1,IF(GDP_per_cap!AH64&gt;'all_1961-1990'!$H$1,0,IF(UrbanPopRate!AH64&gt;=$J$1,0,1)),0)</f>
        <v>0</v>
      </c>
      <c r="AM35">
        <f>IF($D35=1,IF(GDP_per_cap!AI64&gt;'all_1961-1990'!$H$1,0,IF(UrbanPopRate!AI64&gt;=$J$1,0,1)),0)</f>
        <v>0</v>
      </c>
      <c r="AN35">
        <f>IF($D35=1,IF(GDP_per_cap!AJ64&gt;'all_1961-1990'!$H$1,0,IF(UrbanPopRate!AJ64&gt;=$J$1,0,1)),0)</f>
        <v>0</v>
      </c>
      <c r="AO35">
        <f>IF($D35=1,IF(GDP_per_cap!AK64&gt;'all_1961-1990'!$H$1,0,IF(UrbanPopRate!AK64&gt;=$J$1,0,1)),0)</f>
        <v>0</v>
      </c>
      <c r="AP35">
        <f>IF($D35=1,IF(GDP_per_cap!AL64&gt;'all_1961-1990'!$H$1,0,IF(UrbanPopRate!AL64&gt;=$J$1,0,1)),0)</f>
        <v>0</v>
      </c>
      <c r="AQ35">
        <f>IF($D35=1,IF(GDP_per_cap!AM64&gt;'all_1961-1990'!$H$1,0,IF(UrbanPopRate!AM64&gt;=$J$1,0,1)),0)</f>
        <v>0</v>
      </c>
      <c r="AR35">
        <f>IF($D35=1,IF(GDP_per_cap!AN64&gt;'all_1961-1990'!$H$1,0,IF(UrbanPopRate!AN64&gt;=$J$1,0,1)),0)</f>
        <v>0</v>
      </c>
      <c r="AS35">
        <f>IF($D35=1,IF(GDP_per_cap!AO64&gt;'all_1961-1990'!$H$1,0,IF(UrbanPopRate!AO64&gt;=$J$1,0,1)),0)</f>
        <v>0</v>
      </c>
      <c r="AT35">
        <f>IF($D35=1,IF(GDP_per_cap!AP64&gt;'all_1961-1990'!$H$1,0,IF(UrbanPopRate!AP64&gt;=$J$1,0,1)),0)</f>
        <v>0</v>
      </c>
      <c r="AU35">
        <f>IF($D35=1,IF(GDP_per_cap!AQ64&gt;'all_1961-1990'!$H$1,0,IF(UrbanPopRate!AQ64&gt;=$J$1,0,1)),0)</f>
        <v>0</v>
      </c>
      <c r="AV35">
        <f>IF($D35=1,IF(GDP_per_cap!AR64&gt;'all_1961-1990'!$H$1,0,IF(UrbanPopRate!AR64&gt;=$J$1,0,1)),0)</f>
        <v>0</v>
      </c>
      <c r="AW35">
        <f>IF($D35=1,IF(GDP_per_cap!AS64&gt;'all_1961-1990'!$H$1,0,IF(UrbanPopRate!AS64&gt;=$J$1,0,1)),0)</f>
        <v>0</v>
      </c>
      <c r="AX35">
        <f>IF($D35=1,IF(GDP_per_cap!AT64&gt;'all_1961-1990'!$H$1,0,IF(UrbanPopRate!AT64&gt;=$J$1,0,1)),0)</f>
        <v>0</v>
      </c>
      <c r="AY35">
        <f>IF($D35=1,IF(GDP_per_cap!AU64&gt;'all_1961-1990'!$H$1,0,IF(UrbanPopRate!AU64&gt;=$J$1,0,1)),0)</f>
        <v>0</v>
      </c>
      <c r="AZ35">
        <f>IF($D35=1,IF(GDP_per_cap!AV64&gt;'all_1961-1990'!$H$1,0,IF(UrbanPopRate!AV64&gt;=$J$1,0,1)),0)</f>
        <v>0</v>
      </c>
      <c r="BA35">
        <f>IF($D35=1,IF(GDP_per_cap!AW64&gt;'all_1961-1990'!$H$1,0,IF(UrbanPopRate!AW64&gt;=$J$1,0,1)),0)</f>
        <v>0</v>
      </c>
      <c r="BB35">
        <f>IF($D35=1,IF(GDP_per_cap!AX64&gt;'all_1961-1990'!$H$1,0,IF(UrbanPopRate!AX64&gt;=$J$1,0,1)),0)</f>
        <v>0</v>
      </c>
      <c r="BC35">
        <f>IF($D35=1,IF(GDP_per_cap!AY64&gt;'all_1961-1990'!$H$1,0,IF(UrbanPopRate!AY64&gt;=$J$1,0,1)),0)</f>
        <v>0</v>
      </c>
      <c r="BD35">
        <f>IF($D35=1,IF(GDP_per_cap!AZ64&gt;'all_1961-1990'!$H$1,0,IF(UrbanPopRate!AZ64&gt;=$J$1,0,1)),0)</f>
        <v>0</v>
      </c>
      <c r="BE35">
        <f>IF($D35=1,IF(GDP_per_cap!BA64&gt;'all_1961-1990'!$H$1,0,IF(UrbanPopRate!BA64&gt;=$J$1,0,1)),0)</f>
        <v>0</v>
      </c>
      <c r="BF35">
        <f>IF($D35=1,IF(GDP_per_cap!BB64&gt;'all_1961-1990'!$H$1,0,IF(UrbanPopRate!BB64&gt;=$J$1,0,1)),0)</f>
        <v>0</v>
      </c>
    </row>
    <row r="36" spans="1:58">
      <c r="A36" s="3">
        <v>4</v>
      </c>
      <c r="B36" s="1" t="s">
        <v>185</v>
      </c>
      <c r="C36" s="2">
        <v>2</v>
      </c>
      <c r="D36" s="35">
        <v>0</v>
      </c>
      <c r="E36" s="2">
        <v>42.073000000000008</v>
      </c>
      <c r="F36" s="36">
        <v>6503.1951250000002</v>
      </c>
      <c r="G36">
        <f>IF($D36=1,IF(GDP_per_cap!C4&gt;'all_1961-1990'!$H$1,0,IF(UrbanPopRate!C4&gt;=$J$1,0,1)),0)</f>
        <v>0</v>
      </c>
      <c r="H36">
        <f>IF($D36=1,IF(GDP_per_cap!D4&gt;'all_1961-1990'!$H$1,0,IF(UrbanPopRate!D4&gt;=$J$1,0,1)),0)</f>
        <v>0</v>
      </c>
      <c r="I36">
        <f>IF($D36=1,IF(GDP_per_cap!E4&gt;'all_1961-1990'!$H$1,0,IF(UrbanPopRate!E4&gt;=$J$1,0,1)),0)</f>
        <v>0</v>
      </c>
      <c r="J36">
        <f>IF($D36=1,IF(GDP_per_cap!F4&gt;'all_1961-1990'!$H$1,0,IF(UrbanPopRate!F4&gt;=$J$1,0,1)),0)</f>
        <v>0</v>
      </c>
      <c r="K36">
        <f>IF($D36=1,IF(GDP_per_cap!G4&gt;'all_1961-1990'!$H$1,0,IF(UrbanPopRate!G4&gt;=$J$1,0,1)),0)</f>
        <v>0</v>
      </c>
      <c r="L36">
        <f>IF($D36=1,IF(GDP_per_cap!H4&gt;'all_1961-1990'!$H$1,0,IF(UrbanPopRate!H4&gt;=$J$1,0,1)),0)</f>
        <v>0</v>
      </c>
      <c r="M36">
        <f>IF($D36=1,IF(GDP_per_cap!I4&gt;'all_1961-1990'!$H$1,0,IF(UrbanPopRate!I4&gt;=$J$1,0,1)),0)</f>
        <v>0</v>
      </c>
      <c r="N36">
        <f>IF($D36=1,IF(GDP_per_cap!J4&gt;'all_1961-1990'!$H$1,0,IF(UrbanPopRate!J4&gt;=$J$1,0,1)),0)</f>
        <v>0</v>
      </c>
      <c r="O36">
        <f>IF($D36=1,IF(GDP_per_cap!K4&gt;'all_1961-1990'!$H$1,0,IF(UrbanPopRate!K4&gt;=$J$1,0,1)),0)</f>
        <v>0</v>
      </c>
      <c r="P36">
        <f>IF($D36=1,IF(GDP_per_cap!L4&gt;'all_1961-1990'!$H$1,0,IF(UrbanPopRate!L4&gt;=$J$1,0,1)),0)</f>
        <v>0</v>
      </c>
      <c r="Q36">
        <f>IF($D36=1,IF(GDP_per_cap!M4&gt;'all_1961-1990'!$H$1,0,IF(UrbanPopRate!M4&gt;=$J$1,0,1)),0)</f>
        <v>0</v>
      </c>
      <c r="R36">
        <f>IF($D36=1,IF(GDP_per_cap!N4&gt;'all_1961-1990'!$H$1,0,IF(UrbanPopRate!N4&gt;=$J$1,0,1)),0)</f>
        <v>0</v>
      </c>
      <c r="S36">
        <f>IF($D36=1,IF(GDP_per_cap!O4&gt;'all_1961-1990'!$H$1,0,IF(UrbanPopRate!O4&gt;=$J$1,0,1)),0)</f>
        <v>0</v>
      </c>
      <c r="T36">
        <f>IF($D36=1,IF(GDP_per_cap!P4&gt;'all_1961-1990'!$H$1,0,IF(UrbanPopRate!P4&gt;=$J$1,0,1)),0)</f>
        <v>0</v>
      </c>
      <c r="U36">
        <f>IF($D36=1,IF(GDP_per_cap!Q4&gt;'all_1961-1990'!$H$1,0,IF(UrbanPopRate!Q4&gt;=$J$1,0,1)),0)</f>
        <v>0</v>
      </c>
      <c r="V36">
        <f>IF($D36=1,IF(GDP_per_cap!R4&gt;'all_1961-1990'!$H$1,0,IF(UrbanPopRate!R4&gt;=$J$1,0,1)),0)</f>
        <v>0</v>
      </c>
      <c r="W36">
        <f>IF($D36=1,IF(GDP_per_cap!S4&gt;'all_1961-1990'!$H$1,0,IF(UrbanPopRate!S4&gt;=$J$1,0,1)),0)</f>
        <v>0</v>
      </c>
      <c r="X36">
        <f>IF($D36=1,IF(GDP_per_cap!T4&gt;'all_1961-1990'!$H$1,0,IF(UrbanPopRate!T4&gt;=$J$1,0,1)),0)</f>
        <v>0</v>
      </c>
      <c r="Y36">
        <f>IF($D36=1,IF(GDP_per_cap!U4&gt;'all_1961-1990'!$H$1,0,IF(UrbanPopRate!U4&gt;=$J$1,0,1)),0)</f>
        <v>0</v>
      </c>
      <c r="Z36">
        <f>IF($D36=1,IF(GDP_per_cap!V4&gt;'all_1961-1990'!$H$1,0,IF(UrbanPopRate!V4&gt;=$J$1,0,1)),0)</f>
        <v>0</v>
      </c>
      <c r="AA36">
        <f>IF($D36=1,IF(GDP_per_cap!W4&gt;'all_1961-1990'!$H$1,0,IF(UrbanPopRate!W4&gt;=$J$1,0,1)),0)</f>
        <v>0</v>
      </c>
      <c r="AB36">
        <f>IF($D36=1,IF(GDP_per_cap!X4&gt;'all_1961-1990'!$H$1,0,IF(UrbanPopRate!X4&gt;=$J$1,0,1)),0)</f>
        <v>0</v>
      </c>
      <c r="AC36">
        <f>IF($D36=1,IF(GDP_per_cap!Y4&gt;'all_1961-1990'!$H$1,0,IF(UrbanPopRate!Y4&gt;=$J$1,0,1)),0)</f>
        <v>0</v>
      </c>
      <c r="AD36">
        <f>IF($D36=1,IF(GDP_per_cap!Z4&gt;'all_1961-1990'!$H$1,0,IF(UrbanPopRate!Z4&gt;=$J$1,0,1)),0)</f>
        <v>0</v>
      </c>
      <c r="AE36">
        <f>IF($D36=1,IF(GDP_per_cap!AA4&gt;'all_1961-1990'!$H$1,0,IF(UrbanPopRate!AA4&gt;=$J$1,0,1)),0)</f>
        <v>0</v>
      </c>
      <c r="AF36">
        <f>IF($D36=1,IF(GDP_per_cap!AB4&gt;'all_1961-1990'!$H$1,0,IF(UrbanPopRate!AB4&gt;=$J$1,0,1)),0)</f>
        <v>0</v>
      </c>
      <c r="AG36">
        <f>IF($D36=1,IF(GDP_per_cap!AC4&gt;'all_1961-1990'!$H$1,0,IF(UrbanPopRate!AC4&gt;=$J$1,0,1)),0)</f>
        <v>0</v>
      </c>
      <c r="AH36">
        <f>IF($D36=1,IF(GDP_per_cap!AD4&gt;'all_1961-1990'!$H$1,0,IF(UrbanPopRate!AD4&gt;=$J$1,0,1)),0)</f>
        <v>0</v>
      </c>
      <c r="AI36">
        <f>IF($D36=1,IF(GDP_per_cap!AE4&gt;'all_1961-1990'!$H$1,0,IF(UrbanPopRate!AE4&gt;=$J$1,0,1)),0)</f>
        <v>0</v>
      </c>
      <c r="AJ36">
        <f>IF($D36=1,IF(GDP_per_cap!AF4&gt;'all_1961-1990'!$H$1,0,IF(UrbanPopRate!AF4&gt;=$J$1,0,1)),0)</f>
        <v>0</v>
      </c>
      <c r="AK36">
        <f>IF($D36=1,IF(GDP_per_cap!AG4&gt;'all_1961-1990'!$H$1,0,IF(UrbanPopRate!AG4&gt;=$J$1,0,1)),0)</f>
        <v>0</v>
      </c>
      <c r="AL36">
        <f>IF($D36=1,IF(GDP_per_cap!AH4&gt;'all_1961-1990'!$H$1,0,IF(UrbanPopRate!AH4&gt;=$J$1,0,1)),0)</f>
        <v>0</v>
      </c>
      <c r="AM36">
        <f>IF($D36=1,IF(GDP_per_cap!AI4&gt;'all_1961-1990'!$H$1,0,IF(UrbanPopRate!AI4&gt;=$J$1,0,1)),0)</f>
        <v>0</v>
      </c>
      <c r="AN36">
        <f>IF($D36=1,IF(GDP_per_cap!AJ4&gt;'all_1961-1990'!$H$1,0,IF(UrbanPopRate!AJ4&gt;=$J$1,0,1)),0)</f>
        <v>0</v>
      </c>
      <c r="AO36">
        <f>IF($D36=1,IF(GDP_per_cap!AK4&gt;'all_1961-1990'!$H$1,0,IF(UrbanPopRate!AK4&gt;=$J$1,0,1)),0)</f>
        <v>0</v>
      </c>
      <c r="AP36">
        <f>IF($D36=1,IF(GDP_per_cap!AL4&gt;'all_1961-1990'!$H$1,0,IF(UrbanPopRate!AL4&gt;=$J$1,0,1)),0)</f>
        <v>0</v>
      </c>
      <c r="AQ36">
        <f>IF($D36=1,IF(GDP_per_cap!AM4&gt;'all_1961-1990'!$H$1,0,IF(UrbanPopRate!AM4&gt;=$J$1,0,1)),0)</f>
        <v>0</v>
      </c>
      <c r="AR36">
        <f>IF($D36=1,IF(GDP_per_cap!AN4&gt;'all_1961-1990'!$H$1,0,IF(UrbanPopRate!AN4&gt;=$J$1,0,1)),0)</f>
        <v>0</v>
      </c>
      <c r="AS36">
        <f>IF($D36=1,IF(GDP_per_cap!AO4&gt;'all_1961-1990'!$H$1,0,IF(UrbanPopRate!AO4&gt;=$J$1,0,1)),0)</f>
        <v>0</v>
      </c>
      <c r="AT36">
        <f>IF($D36=1,IF(GDP_per_cap!AP4&gt;'all_1961-1990'!$H$1,0,IF(UrbanPopRate!AP4&gt;=$J$1,0,1)),0)</f>
        <v>0</v>
      </c>
      <c r="AU36">
        <f>IF($D36=1,IF(GDP_per_cap!AQ4&gt;'all_1961-1990'!$H$1,0,IF(UrbanPopRate!AQ4&gt;=$J$1,0,1)),0)</f>
        <v>0</v>
      </c>
      <c r="AV36">
        <f>IF($D36=1,IF(GDP_per_cap!AR4&gt;'all_1961-1990'!$H$1,0,IF(UrbanPopRate!AR4&gt;=$J$1,0,1)),0)</f>
        <v>0</v>
      </c>
      <c r="AW36">
        <f>IF($D36=1,IF(GDP_per_cap!AS4&gt;'all_1961-1990'!$H$1,0,IF(UrbanPopRate!AS4&gt;=$J$1,0,1)),0)</f>
        <v>0</v>
      </c>
      <c r="AX36">
        <f>IF($D36=1,IF(GDP_per_cap!AT4&gt;'all_1961-1990'!$H$1,0,IF(UrbanPopRate!AT4&gt;=$J$1,0,1)),0)</f>
        <v>0</v>
      </c>
      <c r="AY36">
        <f>IF($D36=1,IF(GDP_per_cap!AU4&gt;'all_1961-1990'!$H$1,0,IF(UrbanPopRate!AU4&gt;=$J$1,0,1)),0)</f>
        <v>0</v>
      </c>
      <c r="AZ36">
        <f>IF($D36=1,IF(GDP_per_cap!AV4&gt;'all_1961-1990'!$H$1,0,IF(UrbanPopRate!AV4&gt;=$J$1,0,1)),0)</f>
        <v>0</v>
      </c>
      <c r="BA36">
        <f>IF($D36=1,IF(GDP_per_cap!AW4&gt;'all_1961-1990'!$H$1,0,IF(UrbanPopRate!AW4&gt;=$J$1,0,1)),0)</f>
        <v>0</v>
      </c>
      <c r="BB36">
        <f>IF($D36=1,IF(GDP_per_cap!AX4&gt;'all_1961-1990'!$H$1,0,IF(UrbanPopRate!AX4&gt;=$J$1,0,1)),0)</f>
        <v>0</v>
      </c>
      <c r="BC36">
        <f>IF($D36=1,IF(GDP_per_cap!AY4&gt;'all_1961-1990'!$H$1,0,IF(UrbanPopRate!AY4&gt;=$J$1,0,1)),0)</f>
        <v>0</v>
      </c>
      <c r="BD36">
        <f>IF($D36=1,IF(GDP_per_cap!AZ4&gt;'all_1961-1990'!$H$1,0,IF(UrbanPopRate!AZ4&gt;=$J$1,0,1)),0)</f>
        <v>0</v>
      </c>
      <c r="BE36">
        <f>IF($D36=1,IF(GDP_per_cap!BA4&gt;'all_1961-1990'!$H$1,0,IF(UrbanPopRate!BA4&gt;=$J$1,0,1)),0)</f>
        <v>0</v>
      </c>
      <c r="BF36">
        <f>IF($D36=1,IF(GDP_per_cap!BB4&gt;'all_1961-1990'!$H$1,0,IF(UrbanPopRate!BB4&gt;=$J$1,0,1)),0)</f>
        <v>0</v>
      </c>
    </row>
    <row r="37" spans="1:58">
      <c r="A37" s="3">
        <v>122</v>
      </c>
      <c r="B37" s="3" t="s">
        <v>76</v>
      </c>
      <c r="C37" s="2">
        <v>2</v>
      </c>
      <c r="D37" s="35">
        <v>0</v>
      </c>
      <c r="E37" s="2">
        <v>66.215199999999996</v>
      </c>
      <c r="F37" s="36">
        <v>6131.089422</v>
      </c>
      <c r="G37">
        <f>IF($D37=1,IF(GDP_per_cap!C80&gt;'all_1961-1990'!$H$1,0,IF(UrbanPopRate!C80&gt;=$J$1,0,1)),0)</f>
        <v>0</v>
      </c>
      <c r="H37">
        <f>IF($D37=1,IF(GDP_per_cap!D80&gt;'all_1961-1990'!$H$1,0,IF(UrbanPopRate!D80&gt;=$J$1,0,1)),0)</f>
        <v>0</v>
      </c>
      <c r="I37">
        <f>IF($D37=1,IF(GDP_per_cap!E80&gt;'all_1961-1990'!$H$1,0,IF(UrbanPopRate!E80&gt;=$J$1,0,1)),0)</f>
        <v>0</v>
      </c>
      <c r="J37">
        <f>IF($D37=1,IF(GDP_per_cap!F80&gt;'all_1961-1990'!$H$1,0,IF(UrbanPopRate!F80&gt;=$J$1,0,1)),0)</f>
        <v>0</v>
      </c>
      <c r="K37">
        <f>IF($D37=1,IF(GDP_per_cap!G80&gt;'all_1961-1990'!$H$1,0,IF(UrbanPopRate!G80&gt;=$J$1,0,1)),0)</f>
        <v>0</v>
      </c>
      <c r="L37">
        <f>IF($D37=1,IF(GDP_per_cap!H80&gt;'all_1961-1990'!$H$1,0,IF(UrbanPopRate!H80&gt;=$J$1,0,1)),0)</f>
        <v>0</v>
      </c>
      <c r="M37">
        <f>IF($D37=1,IF(GDP_per_cap!I80&gt;'all_1961-1990'!$H$1,0,IF(UrbanPopRate!I80&gt;=$J$1,0,1)),0)</f>
        <v>0</v>
      </c>
      <c r="N37">
        <f>IF($D37=1,IF(GDP_per_cap!J80&gt;'all_1961-1990'!$H$1,0,IF(UrbanPopRate!J80&gt;=$J$1,0,1)),0)</f>
        <v>0</v>
      </c>
      <c r="O37">
        <f>IF($D37=1,IF(GDP_per_cap!K80&gt;'all_1961-1990'!$H$1,0,IF(UrbanPopRate!K80&gt;=$J$1,0,1)),0)</f>
        <v>0</v>
      </c>
      <c r="P37">
        <f>IF($D37=1,IF(GDP_per_cap!L80&gt;'all_1961-1990'!$H$1,0,IF(UrbanPopRate!L80&gt;=$J$1,0,1)),0)</f>
        <v>0</v>
      </c>
      <c r="Q37">
        <f>IF($D37=1,IF(GDP_per_cap!M80&gt;'all_1961-1990'!$H$1,0,IF(UrbanPopRate!M80&gt;=$J$1,0,1)),0)</f>
        <v>0</v>
      </c>
      <c r="R37">
        <f>IF($D37=1,IF(GDP_per_cap!N80&gt;'all_1961-1990'!$H$1,0,IF(UrbanPopRate!N80&gt;=$J$1,0,1)),0)</f>
        <v>0</v>
      </c>
      <c r="S37">
        <f>IF($D37=1,IF(GDP_per_cap!O80&gt;'all_1961-1990'!$H$1,0,IF(UrbanPopRate!O80&gt;=$J$1,0,1)),0)</f>
        <v>0</v>
      </c>
      <c r="T37">
        <f>IF($D37=1,IF(GDP_per_cap!P80&gt;'all_1961-1990'!$H$1,0,IF(UrbanPopRate!P80&gt;=$J$1,0,1)),0)</f>
        <v>0</v>
      </c>
      <c r="U37">
        <f>IF($D37=1,IF(GDP_per_cap!Q80&gt;'all_1961-1990'!$H$1,0,IF(UrbanPopRate!Q80&gt;=$J$1,0,1)),0)</f>
        <v>0</v>
      </c>
      <c r="V37">
        <f>IF($D37=1,IF(GDP_per_cap!R80&gt;'all_1961-1990'!$H$1,0,IF(UrbanPopRate!R80&gt;=$J$1,0,1)),0)</f>
        <v>0</v>
      </c>
      <c r="W37">
        <f>IF($D37=1,IF(GDP_per_cap!S80&gt;'all_1961-1990'!$H$1,0,IF(UrbanPopRate!S80&gt;=$J$1,0,1)),0)</f>
        <v>0</v>
      </c>
      <c r="X37">
        <f>IF($D37=1,IF(GDP_per_cap!T80&gt;'all_1961-1990'!$H$1,0,IF(UrbanPopRate!T80&gt;=$J$1,0,1)),0)</f>
        <v>0</v>
      </c>
      <c r="Y37">
        <f>IF($D37=1,IF(GDP_per_cap!U80&gt;'all_1961-1990'!$H$1,0,IF(UrbanPopRate!U80&gt;=$J$1,0,1)),0)</f>
        <v>0</v>
      </c>
      <c r="Z37">
        <f>IF($D37=1,IF(GDP_per_cap!V80&gt;'all_1961-1990'!$H$1,0,IF(UrbanPopRate!V80&gt;=$J$1,0,1)),0)</f>
        <v>0</v>
      </c>
      <c r="AA37">
        <f>IF($D37=1,IF(GDP_per_cap!W80&gt;'all_1961-1990'!$H$1,0,IF(UrbanPopRate!W80&gt;=$J$1,0,1)),0)</f>
        <v>0</v>
      </c>
      <c r="AB37">
        <f>IF($D37=1,IF(GDP_per_cap!X80&gt;'all_1961-1990'!$H$1,0,IF(UrbanPopRate!X80&gt;=$J$1,0,1)),0)</f>
        <v>0</v>
      </c>
      <c r="AC37">
        <f>IF($D37=1,IF(GDP_per_cap!Y80&gt;'all_1961-1990'!$H$1,0,IF(UrbanPopRate!Y80&gt;=$J$1,0,1)),0)</f>
        <v>0</v>
      </c>
      <c r="AD37">
        <f>IF($D37=1,IF(GDP_per_cap!Z80&gt;'all_1961-1990'!$H$1,0,IF(UrbanPopRate!Z80&gt;=$J$1,0,1)),0)</f>
        <v>0</v>
      </c>
      <c r="AE37">
        <f>IF($D37=1,IF(GDP_per_cap!AA80&gt;'all_1961-1990'!$H$1,0,IF(UrbanPopRate!AA80&gt;=$J$1,0,1)),0)</f>
        <v>0</v>
      </c>
      <c r="AF37">
        <f>IF($D37=1,IF(GDP_per_cap!AB80&gt;'all_1961-1990'!$H$1,0,IF(UrbanPopRate!AB80&gt;=$J$1,0,1)),0)</f>
        <v>0</v>
      </c>
      <c r="AG37">
        <f>IF($D37=1,IF(GDP_per_cap!AC80&gt;'all_1961-1990'!$H$1,0,IF(UrbanPopRate!AC80&gt;=$J$1,0,1)),0)</f>
        <v>0</v>
      </c>
      <c r="AH37">
        <f>IF($D37=1,IF(GDP_per_cap!AD80&gt;'all_1961-1990'!$H$1,0,IF(UrbanPopRate!AD80&gt;=$J$1,0,1)),0)</f>
        <v>0</v>
      </c>
      <c r="AI37">
        <f>IF($D37=1,IF(GDP_per_cap!AE80&gt;'all_1961-1990'!$H$1,0,IF(UrbanPopRate!AE80&gt;=$J$1,0,1)),0)</f>
        <v>0</v>
      </c>
      <c r="AJ37">
        <f>IF($D37=1,IF(GDP_per_cap!AF80&gt;'all_1961-1990'!$H$1,0,IF(UrbanPopRate!AF80&gt;=$J$1,0,1)),0)</f>
        <v>0</v>
      </c>
      <c r="AK37">
        <f>IF($D37=1,IF(GDP_per_cap!AG80&gt;'all_1961-1990'!$H$1,0,IF(UrbanPopRate!AG80&gt;=$J$1,0,1)),0)</f>
        <v>0</v>
      </c>
      <c r="AL37">
        <f>IF($D37=1,IF(GDP_per_cap!AH80&gt;'all_1961-1990'!$H$1,0,IF(UrbanPopRate!AH80&gt;=$J$1,0,1)),0)</f>
        <v>0</v>
      </c>
      <c r="AM37">
        <f>IF($D37=1,IF(GDP_per_cap!AI80&gt;'all_1961-1990'!$H$1,0,IF(UrbanPopRate!AI80&gt;=$J$1,0,1)),0)</f>
        <v>0</v>
      </c>
      <c r="AN37">
        <f>IF($D37=1,IF(GDP_per_cap!AJ80&gt;'all_1961-1990'!$H$1,0,IF(UrbanPopRate!AJ80&gt;=$J$1,0,1)),0)</f>
        <v>0</v>
      </c>
      <c r="AO37">
        <f>IF($D37=1,IF(GDP_per_cap!AK80&gt;'all_1961-1990'!$H$1,0,IF(UrbanPopRate!AK80&gt;=$J$1,0,1)),0)</f>
        <v>0</v>
      </c>
      <c r="AP37">
        <f>IF($D37=1,IF(GDP_per_cap!AL80&gt;'all_1961-1990'!$H$1,0,IF(UrbanPopRate!AL80&gt;=$J$1,0,1)),0)</f>
        <v>0</v>
      </c>
      <c r="AQ37">
        <f>IF($D37=1,IF(GDP_per_cap!AM80&gt;'all_1961-1990'!$H$1,0,IF(UrbanPopRate!AM80&gt;=$J$1,0,1)),0)</f>
        <v>0</v>
      </c>
      <c r="AR37">
        <f>IF($D37=1,IF(GDP_per_cap!AN80&gt;'all_1961-1990'!$H$1,0,IF(UrbanPopRate!AN80&gt;=$J$1,0,1)),0)</f>
        <v>0</v>
      </c>
      <c r="AS37">
        <f>IF($D37=1,IF(GDP_per_cap!AO80&gt;'all_1961-1990'!$H$1,0,IF(UrbanPopRate!AO80&gt;=$J$1,0,1)),0)</f>
        <v>0</v>
      </c>
      <c r="AT37">
        <f>IF($D37=1,IF(GDP_per_cap!AP80&gt;'all_1961-1990'!$H$1,0,IF(UrbanPopRate!AP80&gt;=$J$1,0,1)),0)</f>
        <v>0</v>
      </c>
      <c r="AU37">
        <f>IF($D37=1,IF(GDP_per_cap!AQ80&gt;'all_1961-1990'!$H$1,0,IF(UrbanPopRate!AQ80&gt;=$J$1,0,1)),0)</f>
        <v>0</v>
      </c>
      <c r="AV37">
        <f>IF($D37=1,IF(GDP_per_cap!AR80&gt;'all_1961-1990'!$H$1,0,IF(UrbanPopRate!AR80&gt;=$J$1,0,1)),0)</f>
        <v>0</v>
      </c>
      <c r="AW37">
        <f>IF($D37=1,IF(GDP_per_cap!AS80&gt;'all_1961-1990'!$H$1,0,IF(UrbanPopRate!AS80&gt;=$J$1,0,1)),0)</f>
        <v>0</v>
      </c>
      <c r="AX37">
        <f>IF($D37=1,IF(GDP_per_cap!AT80&gt;'all_1961-1990'!$H$1,0,IF(UrbanPopRate!AT80&gt;=$J$1,0,1)),0)</f>
        <v>0</v>
      </c>
      <c r="AY37">
        <f>IF($D37=1,IF(GDP_per_cap!AU80&gt;'all_1961-1990'!$H$1,0,IF(UrbanPopRate!AU80&gt;=$J$1,0,1)),0)</f>
        <v>0</v>
      </c>
      <c r="AZ37">
        <f>IF($D37=1,IF(GDP_per_cap!AV80&gt;'all_1961-1990'!$H$1,0,IF(UrbanPopRate!AV80&gt;=$J$1,0,1)),0)</f>
        <v>0</v>
      </c>
      <c r="BA37">
        <f>IF($D37=1,IF(GDP_per_cap!AW80&gt;'all_1961-1990'!$H$1,0,IF(UrbanPopRate!AW80&gt;=$J$1,0,1)),0)</f>
        <v>0</v>
      </c>
      <c r="BB37">
        <f>IF($D37=1,IF(GDP_per_cap!AX80&gt;'all_1961-1990'!$H$1,0,IF(UrbanPopRate!AX80&gt;=$J$1,0,1)),0)</f>
        <v>0</v>
      </c>
      <c r="BC37">
        <f>IF($D37=1,IF(GDP_per_cap!AY80&gt;'all_1961-1990'!$H$1,0,IF(UrbanPopRate!AY80&gt;=$J$1,0,1)),0)</f>
        <v>0</v>
      </c>
      <c r="BD37">
        <f>IF($D37=1,IF(GDP_per_cap!AZ80&gt;'all_1961-1990'!$H$1,0,IF(UrbanPopRate!AZ80&gt;=$J$1,0,1)),0)</f>
        <v>0</v>
      </c>
      <c r="BE37">
        <f>IF($D37=1,IF(GDP_per_cap!BA80&gt;'all_1961-1990'!$H$1,0,IF(UrbanPopRate!BA80&gt;=$J$1,0,1)),0)</f>
        <v>0</v>
      </c>
      <c r="BF37">
        <f>IF($D37=1,IF(GDP_per_cap!BB80&gt;'all_1961-1990'!$H$1,0,IF(UrbanPopRate!BB80&gt;=$J$1,0,1)),0)</f>
        <v>0</v>
      </c>
    </row>
    <row r="38" spans="1:58">
      <c r="A38" s="3">
        <v>53</v>
      </c>
      <c r="B38" s="3" t="s">
        <v>123</v>
      </c>
      <c r="C38" s="2">
        <v>2</v>
      </c>
      <c r="D38" s="35">
        <v>0</v>
      </c>
      <c r="E38" s="2">
        <v>41.456733333333339</v>
      </c>
      <c r="F38" s="36">
        <v>5828.1124289999998</v>
      </c>
      <c r="G38">
        <f>IF($D38=1,IF(GDP_per_cap!C33&gt;'all_1961-1990'!$H$1,0,IF(UrbanPopRate!C33&gt;=$J$1,0,1)),0)</f>
        <v>0</v>
      </c>
      <c r="H38">
        <f>IF($D38=1,IF(GDP_per_cap!D33&gt;'all_1961-1990'!$H$1,0,IF(UrbanPopRate!D33&gt;=$J$1,0,1)),0)</f>
        <v>0</v>
      </c>
      <c r="I38">
        <f>IF($D38=1,IF(GDP_per_cap!E33&gt;'all_1961-1990'!$H$1,0,IF(UrbanPopRate!E33&gt;=$J$1,0,1)),0)</f>
        <v>0</v>
      </c>
      <c r="J38">
        <f>IF($D38=1,IF(GDP_per_cap!F33&gt;'all_1961-1990'!$H$1,0,IF(UrbanPopRate!F33&gt;=$J$1,0,1)),0)</f>
        <v>0</v>
      </c>
      <c r="K38">
        <f>IF($D38=1,IF(GDP_per_cap!G33&gt;'all_1961-1990'!$H$1,0,IF(UrbanPopRate!G33&gt;=$J$1,0,1)),0)</f>
        <v>0</v>
      </c>
      <c r="L38">
        <f>IF($D38=1,IF(GDP_per_cap!H33&gt;'all_1961-1990'!$H$1,0,IF(UrbanPopRate!H33&gt;=$J$1,0,1)),0)</f>
        <v>0</v>
      </c>
      <c r="M38">
        <f>IF($D38=1,IF(GDP_per_cap!I33&gt;'all_1961-1990'!$H$1,0,IF(UrbanPopRate!I33&gt;=$J$1,0,1)),0)</f>
        <v>0</v>
      </c>
      <c r="N38">
        <f>IF($D38=1,IF(GDP_per_cap!J33&gt;'all_1961-1990'!$H$1,0,IF(UrbanPopRate!J33&gt;=$J$1,0,1)),0)</f>
        <v>0</v>
      </c>
      <c r="O38">
        <f>IF($D38=1,IF(GDP_per_cap!K33&gt;'all_1961-1990'!$H$1,0,IF(UrbanPopRate!K33&gt;=$J$1,0,1)),0)</f>
        <v>0</v>
      </c>
      <c r="P38">
        <f>IF($D38=1,IF(GDP_per_cap!L33&gt;'all_1961-1990'!$H$1,0,IF(UrbanPopRate!L33&gt;=$J$1,0,1)),0)</f>
        <v>0</v>
      </c>
      <c r="Q38">
        <f>IF($D38=1,IF(GDP_per_cap!M33&gt;'all_1961-1990'!$H$1,0,IF(UrbanPopRate!M33&gt;=$J$1,0,1)),0)</f>
        <v>0</v>
      </c>
      <c r="R38">
        <f>IF($D38=1,IF(GDP_per_cap!N33&gt;'all_1961-1990'!$H$1,0,IF(UrbanPopRate!N33&gt;=$J$1,0,1)),0)</f>
        <v>0</v>
      </c>
      <c r="S38">
        <f>IF($D38=1,IF(GDP_per_cap!O33&gt;'all_1961-1990'!$H$1,0,IF(UrbanPopRate!O33&gt;=$J$1,0,1)),0)</f>
        <v>0</v>
      </c>
      <c r="T38">
        <f>IF($D38=1,IF(GDP_per_cap!P33&gt;'all_1961-1990'!$H$1,0,IF(UrbanPopRate!P33&gt;=$J$1,0,1)),0)</f>
        <v>0</v>
      </c>
      <c r="U38">
        <f>IF($D38=1,IF(GDP_per_cap!Q33&gt;'all_1961-1990'!$H$1,0,IF(UrbanPopRate!Q33&gt;=$J$1,0,1)),0)</f>
        <v>0</v>
      </c>
      <c r="V38">
        <f>IF($D38=1,IF(GDP_per_cap!R33&gt;'all_1961-1990'!$H$1,0,IF(UrbanPopRate!R33&gt;=$J$1,0,1)),0)</f>
        <v>0</v>
      </c>
      <c r="W38">
        <f>IF($D38=1,IF(GDP_per_cap!S33&gt;'all_1961-1990'!$H$1,0,IF(UrbanPopRate!S33&gt;=$J$1,0,1)),0)</f>
        <v>0</v>
      </c>
      <c r="X38">
        <f>IF($D38=1,IF(GDP_per_cap!T33&gt;'all_1961-1990'!$H$1,0,IF(UrbanPopRate!T33&gt;=$J$1,0,1)),0)</f>
        <v>0</v>
      </c>
      <c r="Y38">
        <f>IF($D38=1,IF(GDP_per_cap!U33&gt;'all_1961-1990'!$H$1,0,IF(UrbanPopRate!U33&gt;=$J$1,0,1)),0)</f>
        <v>0</v>
      </c>
      <c r="Z38">
        <f>IF($D38=1,IF(GDP_per_cap!V33&gt;'all_1961-1990'!$H$1,0,IF(UrbanPopRate!V33&gt;=$J$1,0,1)),0)</f>
        <v>0</v>
      </c>
      <c r="AA38">
        <f>IF($D38=1,IF(GDP_per_cap!W33&gt;'all_1961-1990'!$H$1,0,IF(UrbanPopRate!W33&gt;=$J$1,0,1)),0)</f>
        <v>0</v>
      </c>
      <c r="AB38">
        <f>IF($D38=1,IF(GDP_per_cap!X33&gt;'all_1961-1990'!$H$1,0,IF(UrbanPopRate!X33&gt;=$J$1,0,1)),0)</f>
        <v>0</v>
      </c>
      <c r="AC38">
        <f>IF($D38=1,IF(GDP_per_cap!Y33&gt;'all_1961-1990'!$H$1,0,IF(UrbanPopRate!Y33&gt;=$J$1,0,1)),0)</f>
        <v>0</v>
      </c>
      <c r="AD38">
        <f>IF($D38=1,IF(GDP_per_cap!Z33&gt;'all_1961-1990'!$H$1,0,IF(UrbanPopRate!Z33&gt;=$J$1,0,1)),0)</f>
        <v>0</v>
      </c>
      <c r="AE38">
        <f>IF($D38=1,IF(GDP_per_cap!AA33&gt;'all_1961-1990'!$H$1,0,IF(UrbanPopRate!AA33&gt;=$J$1,0,1)),0)</f>
        <v>0</v>
      </c>
      <c r="AF38">
        <f>IF($D38=1,IF(GDP_per_cap!AB33&gt;'all_1961-1990'!$H$1,0,IF(UrbanPopRate!AB33&gt;=$J$1,0,1)),0)</f>
        <v>0</v>
      </c>
      <c r="AG38">
        <f>IF($D38=1,IF(GDP_per_cap!AC33&gt;'all_1961-1990'!$H$1,0,IF(UrbanPopRate!AC33&gt;=$J$1,0,1)),0)</f>
        <v>0</v>
      </c>
      <c r="AH38">
        <f>IF($D38=1,IF(GDP_per_cap!AD33&gt;'all_1961-1990'!$H$1,0,IF(UrbanPopRate!AD33&gt;=$J$1,0,1)),0)</f>
        <v>0</v>
      </c>
      <c r="AI38">
        <f>IF($D38=1,IF(GDP_per_cap!AE33&gt;'all_1961-1990'!$H$1,0,IF(UrbanPopRate!AE33&gt;=$J$1,0,1)),0)</f>
        <v>0</v>
      </c>
      <c r="AJ38">
        <f>IF($D38=1,IF(GDP_per_cap!AF33&gt;'all_1961-1990'!$H$1,0,IF(UrbanPopRate!AF33&gt;=$J$1,0,1)),0)</f>
        <v>0</v>
      </c>
      <c r="AK38">
        <f>IF($D38=1,IF(GDP_per_cap!AG33&gt;'all_1961-1990'!$H$1,0,IF(UrbanPopRate!AG33&gt;=$J$1,0,1)),0)</f>
        <v>0</v>
      </c>
      <c r="AL38">
        <f>IF($D38=1,IF(GDP_per_cap!AH33&gt;'all_1961-1990'!$H$1,0,IF(UrbanPopRate!AH33&gt;=$J$1,0,1)),0)</f>
        <v>0</v>
      </c>
      <c r="AM38">
        <f>IF($D38=1,IF(GDP_per_cap!AI33&gt;'all_1961-1990'!$H$1,0,IF(UrbanPopRate!AI33&gt;=$J$1,0,1)),0)</f>
        <v>0</v>
      </c>
      <c r="AN38">
        <f>IF($D38=1,IF(GDP_per_cap!AJ33&gt;'all_1961-1990'!$H$1,0,IF(UrbanPopRate!AJ33&gt;=$J$1,0,1)),0)</f>
        <v>0</v>
      </c>
      <c r="AO38">
        <f>IF($D38=1,IF(GDP_per_cap!AK33&gt;'all_1961-1990'!$H$1,0,IF(UrbanPopRate!AK33&gt;=$J$1,0,1)),0)</f>
        <v>0</v>
      </c>
      <c r="AP38">
        <f>IF($D38=1,IF(GDP_per_cap!AL33&gt;'all_1961-1990'!$H$1,0,IF(UrbanPopRate!AL33&gt;=$J$1,0,1)),0)</f>
        <v>0</v>
      </c>
      <c r="AQ38">
        <f>IF($D38=1,IF(GDP_per_cap!AM33&gt;'all_1961-1990'!$H$1,0,IF(UrbanPopRate!AM33&gt;=$J$1,0,1)),0)</f>
        <v>0</v>
      </c>
      <c r="AR38">
        <f>IF($D38=1,IF(GDP_per_cap!AN33&gt;'all_1961-1990'!$H$1,0,IF(UrbanPopRate!AN33&gt;=$J$1,0,1)),0)</f>
        <v>0</v>
      </c>
      <c r="AS38">
        <f>IF($D38=1,IF(GDP_per_cap!AO33&gt;'all_1961-1990'!$H$1,0,IF(UrbanPopRate!AO33&gt;=$J$1,0,1)),0)</f>
        <v>0</v>
      </c>
      <c r="AT38">
        <f>IF($D38=1,IF(GDP_per_cap!AP33&gt;'all_1961-1990'!$H$1,0,IF(UrbanPopRate!AP33&gt;=$J$1,0,1)),0)</f>
        <v>0</v>
      </c>
      <c r="AU38">
        <f>IF($D38=1,IF(GDP_per_cap!AQ33&gt;'all_1961-1990'!$H$1,0,IF(UrbanPopRate!AQ33&gt;=$J$1,0,1)),0)</f>
        <v>0</v>
      </c>
      <c r="AV38">
        <f>IF($D38=1,IF(GDP_per_cap!AR33&gt;'all_1961-1990'!$H$1,0,IF(UrbanPopRate!AR33&gt;=$J$1,0,1)),0)</f>
        <v>0</v>
      </c>
      <c r="AW38">
        <f>IF($D38=1,IF(GDP_per_cap!AS33&gt;'all_1961-1990'!$H$1,0,IF(UrbanPopRate!AS33&gt;=$J$1,0,1)),0)</f>
        <v>0</v>
      </c>
      <c r="AX38">
        <f>IF($D38=1,IF(GDP_per_cap!AT33&gt;'all_1961-1990'!$H$1,0,IF(UrbanPopRate!AT33&gt;=$J$1,0,1)),0)</f>
        <v>0</v>
      </c>
      <c r="AY38">
        <f>IF($D38=1,IF(GDP_per_cap!AU33&gt;'all_1961-1990'!$H$1,0,IF(UrbanPopRate!AU33&gt;=$J$1,0,1)),0)</f>
        <v>0</v>
      </c>
      <c r="AZ38">
        <f>IF($D38=1,IF(GDP_per_cap!AV33&gt;'all_1961-1990'!$H$1,0,IF(UrbanPopRate!AV33&gt;=$J$1,0,1)),0)</f>
        <v>0</v>
      </c>
      <c r="BA38">
        <f>IF($D38=1,IF(GDP_per_cap!AW33&gt;'all_1961-1990'!$H$1,0,IF(UrbanPopRate!AW33&gt;=$J$1,0,1)),0)</f>
        <v>0</v>
      </c>
      <c r="BB38">
        <f>IF($D38=1,IF(GDP_per_cap!AX33&gt;'all_1961-1990'!$H$1,0,IF(UrbanPopRate!AX33&gt;=$J$1,0,1)),0)</f>
        <v>0</v>
      </c>
      <c r="BC38">
        <f>IF($D38=1,IF(GDP_per_cap!AY33&gt;'all_1961-1990'!$H$1,0,IF(UrbanPopRate!AY33&gt;=$J$1,0,1)),0)</f>
        <v>0</v>
      </c>
      <c r="BD38">
        <f>IF($D38=1,IF(GDP_per_cap!AZ33&gt;'all_1961-1990'!$H$1,0,IF(UrbanPopRate!AZ33&gt;=$J$1,0,1)),0)</f>
        <v>0</v>
      </c>
      <c r="BE38">
        <f>IF($D38=1,IF(GDP_per_cap!BA33&gt;'all_1961-1990'!$H$1,0,IF(UrbanPopRate!BA33&gt;=$J$1,0,1)),0)</f>
        <v>0</v>
      </c>
      <c r="BF38">
        <f>IF($D38=1,IF(GDP_per_cap!BB33&gt;'all_1961-1990'!$H$1,0,IF(UrbanPopRate!BB33&gt;=$J$1,0,1)),0)</f>
        <v>0</v>
      </c>
    </row>
    <row r="39" spans="1:58">
      <c r="A39" s="3">
        <v>133</v>
      </c>
      <c r="B39" s="3" t="s">
        <v>68</v>
      </c>
      <c r="C39" s="2">
        <v>2</v>
      </c>
      <c r="D39" s="35">
        <v>0</v>
      </c>
      <c r="E39" s="2">
        <v>38.245266666666673</v>
      </c>
      <c r="F39" s="36">
        <v>5654.7528469999997</v>
      </c>
      <c r="G39">
        <f>IF($D39=1,IF(GDP_per_cap!C88&gt;'all_1961-1990'!$H$1,0,IF(UrbanPopRate!C88&gt;=$J$1,0,1)),0)</f>
        <v>0</v>
      </c>
      <c r="H39">
        <f>IF($D39=1,IF(GDP_per_cap!D88&gt;'all_1961-1990'!$H$1,0,IF(UrbanPopRate!D88&gt;=$J$1,0,1)),0)</f>
        <v>0</v>
      </c>
      <c r="I39">
        <f>IF($D39=1,IF(GDP_per_cap!E88&gt;'all_1961-1990'!$H$1,0,IF(UrbanPopRate!E88&gt;=$J$1,0,1)),0)</f>
        <v>0</v>
      </c>
      <c r="J39">
        <f>IF($D39=1,IF(GDP_per_cap!F88&gt;'all_1961-1990'!$H$1,0,IF(UrbanPopRate!F88&gt;=$J$1,0,1)),0)</f>
        <v>0</v>
      </c>
      <c r="K39">
        <f>IF($D39=1,IF(GDP_per_cap!G88&gt;'all_1961-1990'!$H$1,0,IF(UrbanPopRate!G88&gt;=$J$1,0,1)),0)</f>
        <v>0</v>
      </c>
      <c r="L39">
        <f>IF($D39=1,IF(GDP_per_cap!H88&gt;'all_1961-1990'!$H$1,0,IF(UrbanPopRate!H88&gt;=$J$1,0,1)),0)</f>
        <v>0</v>
      </c>
      <c r="M39">
        <f>IF($D39=1,IF(GDP_per_cap!I88&gt;'all_1961-1990'!$H$1,0,IF(UrbanPopRate!I88&gt;=$J$1,0,1)),0)</f>
        <v>0</v>
      </c>
      <c r="N39">
        <f>IF($D39=1,IF(GDP_per_cap!J88&gt;'all_1961-1990'!$H$1,0,IF(UrbanPopRate!J88&gt;=$J$1,0,1)),0)</f>
        <v>0</v>
      </c>
      <c r="O39">
        <f>IF($D39=1,IF(GDP_per_cap!K88&gt;'all_1961-1990'!$H$1,0,IF(UrbanPopRate!K88&gt;=$J$1,0,1)),0)</f>
        <v>0</v>
      </c>
      <c r="P39">
        <f>IF($D39=1,IF(GDP_per_cap!L88&gt;'all_1961-1990'!$H$1,0,IF(UrbanPopRate!L88&gt;=$J$1,0,1)),0)</f>
        <v>0</v>
      </c>
      <c r="Q39">
        <f>IF($D39=1,IF(GDP_per_cap!M88&gt;'all_1961-1990'!$H$1,0,IF(UrbanPopRate!M88&gt;=$J$1,0,1)),0)</f>
        <v>0</v>
      </c>
      <c r="R39">
        <f>IF($D39=1,IF(GDP_per_cap!N88&gt;'all_1961-1990'!$H$1,0,IF(UrbanPopRate!N88&gt;=$J$1,0,1)),0)</f>
        <v>0</v>
      </c>
      <c r="S39">
        <f>IF($D39=1,IF(GDP_per_cap!O88&gt;'all_1961-1990'!$H$1,0,IF(UrbanPopRate!O88&gt;=$J$1,0,1)),0)</f>
        <v>0</v>
      </c>
      <c r="T39">
        <f>IF($D39=1,IF(GDP_per_cap!P88&gt;'all_1961-1990'!$H$1,0,IF(UrbanPopRate!P88&gt;=$J$1,0,1)),0)</f>
        <v>0</v>
      </c>
      <c r="U39">
        <f>IF($D39=1,IF(GDP_per_cap!Q88&gt;'all_1961-1990'!$H$1,0,IF(UrbanPopRate!Q88&gt;=$J$1,0,1)),0)</f>
        <v>0</v>
      </c>
      <c r="V39">
        <f>IF($D39=1,IF(GDP_per_cap!R88&gt;'all_1961-1990'!$H$1,0,IF(UrbanPopRate!R88&gt;=$J$1,0,1)),0)</f>
        <v>0</v>
      </c>
      <c r="W39">
        <f>IF($D39=1,IF(GDP_per_cap!S88&gt;'all_1961-1990'!$H$1,0,IF(UrbanPopRate!S88&gt;=$J$1,0,1)),0)</f>
        <v>0</v>
      </c>
      <c r="X39">
        <f>IF($D39=1,IF(GDP_per_cap!T88&gt;'all_1961-1990'!$H$1,0,IF(UrbanPopRate!T88&gt;=$J$1,0,1)),0)</f>
        <v>0</v>
      </c>
      <c r="Y39">
        <f>IF($D39=1,IF(GDP_per_cap!U88&gt;'all_1961-1990'!$H$1,0,IF(UrbanPopRate!U88&gt;=$J$1,0,1)),0)</f>
        <v>0</v>
      </c>
      <c r="Z39">
        <f>IF($D39=1,IF(GDP_per_cap!V88&gt;'all_1961-1990'!$H$1,0,IF(UrbanPopRate!V88&gt;=$J$1,0,1)),0)</f>
        <v>0</v>
      </c>
      <c r="AA39">
        <f>IF($D39=1,IF(GDP_per_cap!W88&gt;'all_1961-1990'!$H$1,0,IF(UrbanPopRate!W88&gt;=$J$1,0,1)),0)</f>
        <v>0</v>
      </c>
      <c r="AB39">
        <f>IF($D39=1,IF(GDP_per_cap!X88&gt;'all_1961-1990'!$H$1,0,IF(UrbanPopRate!X88&gt;=$J$1,0,1)),0)</f>
        <v>0</v>
      </c>
      <c r="AC39">
        <f>IF($D39=1,IF(GDP_per_cap!Y88&gt;'all_1961-1990'!$H$1,0,IF(UrbanPopRate!Y88&gt;=$J$1,0,1)),0)</f>
        <v>0</v>
      </c>
      <c r="AD39">
        <f>IF($D39=1,IF(GDP_per_cap!Z88&gt;'all_1961-1990'!$H$1,0,IF(UrbanPopRate!Z88&gt;=$J$1,0,1)),0)</f>
        <v>0</v>
      </c>
      <c r="AE39">
        <f>IF($D39=1,IF(GDP_per_cap!AA88&gt;'all_1961-1990'!$H$1,0,IF(UrbanPopRate!AA88&gt;=$J$1,0,1)),0)</f>
        <v>0</v>
      </c>
      <c r="AF39">
        <f>IF($D39=1,IF(GDP_per_cap!AB88&gt;'all_1961-1990'!$H$1,0,IF(UrbanPopRate!AB88&gt;=$J$1,0,1)),0)</f>
        <v>0</v>
      </c>
      <c r="AG39">
        <f>IF($D39=1,IF(GDP_per_cap!AC88&gt;'all_1961-1990'!$H$1,0,IF(UrbanPopRate!AC88&gt;=$J$1,0,1)),0)</f>
        <v>0</v>
      </c>
      <c r="AH39">
        <f>IF($D39=1,IF(GDP_per_cap!AD88&gt;'all_1961-1990'!$H$1,0,IF(UrbanPopRate!AD88&gt;=$J$1,0,1)),0)</f>
        <v>0</v>
      </c>
      <c r="AI39">
        <f>IF($D39=1,IF(GDP_per_cap!AE88&gt;'all_1961-1990'!$H$1,0,IF(UrbanPopRate!AE88&gt;=$J$1,0,1)),0)</f>
        <v>0</v>
      </c>
      <c r="AJ39">
        <f>IF($D39=1,IF(GDP_per_cap!AF88&gt;'all_1961-1990'!$H$1,0,IF(UrbanPopRate!AF88&gt;=$J$1,0,1)),0)</f>
        <v>0</v>
      </c>
      <c r="AK39">
        <f>IF($D39=1,IF(GDP_per_cap!AG88&gt;'all_1961-1990'!$H$1,0,IF(UrbanPopRate!AG88&gt;=$J$1,0,1)),0)</f>
        <v>0</v>
      </c>
      <c r="AL39">
        <f>IF($D39=1,IF(GDP_per_cap!AH88&gt;'all_1961-1990'!$H$1,0,IF(UrbanPopRate!AH88&gt;=$J$1,0,1)),0)</f>
        <v>0</v>
      </c>
      <c r="AM39">
        <f>IF($D39=1,IF(GDP_per_cap!AI88&gt;'all_1961-1990'!$H$1,0,IF(UrbanPopRate!AI88&gt;=$J$1,0,1)),0)</f>
        <v>0</v>
      </c>
      <c r="AN39">
        <f>IF($D39=1,IF(GDP_per_cap!AJ88&gt;'all_1961-1990'!$H$1,0,IF(UrbanPopRate!AJ88&gt;=$J$1,0,1)),0)</f>
        <v>0</v>
      </c>
      <c r="AO39">
        <f>IF($D39=1,IF(GDP_per_cap!AK88&gt;'all_1961-1990'!$H$1,0,IF(UrbanPopRate!AK88&gt;=$J$1,0,1)),0)</f>
        <v>0</v>
      </c>
      <c r="AP39">
        <f>IF($D39=1,IF(GDP_per_cap!AL88&gt;'all_1961-1990'!$H$1,0,IF(UrbanPopRate!AL88&gt;=$J$1,0,1)),0)</f>
        <v>0</v>
      </c>
      <c r="AQ39">
        <f>IF($D39=1,IF(GDP_per_cap!AM88&gt;'all_1961-1990'!$H$1,0,IF(UrbanPopRate!AM88&gt;=$J$1,0,1)),0)</f>
        <v>0</v>
      </c>
      <c r="AR39">
        <f>IF($D39=1,IF(GDP_per_cap!AN88&gt;'all_1961-1990'!$H$1,0,IF(UrbanPopRate!AN88&gt;=$J$1,0,1)),0)</f>
        <v>0</v>
      </c>
      <c r="AS39">
        <f>IF($D39=1,IF(GDP_per_cap!AO88&gt;'all_1961-1990'!$H$1,0,IF(UrbanPopRate!AO88&gt;=$J$1,0,1)),0)</f>
        <v>0</v>
      </c>
      <c r="AT39">
        <f>IF($D39=1,IF(GDP_per_cap!AP88&gt;'all_1961-1990'!$H$1,0,IF(UrbanPopRate!AP88&gt;=$J$1,0,1)),0)</f>
        <v>0</v>
      </c>
      <c r="AU39">
        <f>IF($D39=1,IF(GDP_per_cap!AQ88&gt;'all_1961-1990'!$H$1,0,IF(UrbanPopRate!AQ88&gt;=$J$1,0,1)),0)</f>
        <v>0</v>
      </c>
      <c r="AV39">
        <f>IF($D39=1,IF(GDP_per_cap!AR88&gt;'all_1961-1990'!$H$1,0,IF(UrbanPopRate!AR88&gt;=$J$1,0,1)),0)</f>
        <v>0</v>
      </c>
      <c r="AW39">
        <f>IF($D39=1,IF(GDP_per_cap!AS88&gt;'all_1961-1990'!$H$1,0,IF(UrbanPopRate!AS88&gt;=$J$1,0,1)),0)</f>
        <v>0</v>
      </c>
      <c r="AX39">
        <f>IF($D39=1,IF(GDP_per_cap!AT88&gt;'all_1961-1990'!$H$1,0,IF(UrbanPopRate!AT88&gt;=$J$1,0,1)),0)</f>
        <v>0</v>
      </c>
      <c r="AY39">
        <f>IF($D39=1,IF(GDP_per_cap!AU88&gt;'all_1961-1990'!$H$1,0,IF(UrbanPopRate!AU88&gt;=$J$1,0,1)),0)</f>
        <v>0</v>
      </c>
      <c r="AZ39">
        <f>IF($D39=1,IF(GDP_per_cap!AV88&gt;'all_1961-1990'!$H$1,0,IF(UrbanPopRate!AV88&gt;=$J$1,0,1)),0)</f>
        <v>0</v>
      </c>
      <c r="BA39">
        <f>IF($D39=1,IF(GDP_per_cap!AW88&gt;'all_1961-1990'!$H$1,0,IF(UrbanPopRate!AW88&gt;=$J$1,0,1)),0)</f>
        <v>0</v>
      </c>
      <c r="BB39">
        <f>IF($D39=1,IF(GDP_per_cap!AX88&gt;'all_1961-1990'!$H$1,0,IF(UrbanPopRate!AX88&gt;=$J$1,0,1)),0)</f>
        <v>0</v>
      </c>
      <c r="BC39">
        <f>IF($D39=1,IF(GDP_per_cap!AY88&gt;'all_1961-1990'!$H$1,0,IF(UrbanPopRate!AY88&gt;=$J$1,0,1)),0)</f>
        <v>0</v>
      </c>
      <c r="BD39">
        <f>IF($D39=1,IF(GDP_per_cap!AZ88&gt;'all_1961-1990'!$H$1,0,IF(UrbanPopRate!AZ88&gt;=$J$1,0,1)),0)</f>
        <v>0</v>
      </c>
      <c r="BE39">
        <f>IF($D39=1,IF(GDP_per_cap!BA88&gt;'all_1961-1990'!$H$1,0,IF(UrbanPopRate!BA88&gt;=$J$1,0,1)),0)</f>
        <v>0</v>
      </c>
      <c r="BF39">
        <f>IF($D39=1,IF(GDP_per_cap!BB88&gt;'all_1961-1990'!$H$1,0,IF(UrbanPopRate!BB88&gt;=$J$1,0,1)),0)</f>
        <v>0</v>
      </c>
    </row>
    <row r="40" spans="1:58">
      <c r="A40" s="3">
        <v>172</v>
      </c>
      <c r="B40" s="3" t="s">
        <v>44</v>
      </c>
      <c r="C40" s="2">
        <v>2</v>
      </c>
      <c r="D40" s="35">
        <v>0</v>
      </c>
      <c r="E40" s="2">
        <v>60.373000000000005</v>
      </c>
      <c r="F40" s="36">
        <v>5581.829694</v>
      </c>
      <c r="G40">
        <f>IF($D40=1,IF(GDP_per_cap!C112&gt;'all_1961-1990'!$H$1,0,IF(UrbanPopRate!C112&gt;=$J$1,0,1)),0)</f>
        <v>0</v>
      </c>
      <c r="H40">
        <f>IF($D40=1,IF(GDP_per_cap!D112&gt;'all_1961-1990'!$H$1,0,IF(UrbanPopRate!D112&gt;=$J$1,0,1)),0)</f>
        <v>0</v>
      </c>
      <c r="I40">
        <f>IF($D40=1,IF(GDP_per_cap!E112&gt;'all_1961-1990'!$H$1,0,IF(UrbanPopRate!E112&gt;=$J$1,0,1)),0)</f>
        <v>0</v>
      </c>
      <c r="J40">
        <f>IF($D40=1,IF(GDP_per_cap!F112&gt;'all_1961-1990'!$H$1,0,IF(UrbanPopRate!F112&gt;=$J$1,0,1)),0)</f>
        <v>0</v>
      </c>
      <c r="K40">
        <f>IF($D40=1,IF(GDP_per_cap!G112&gt;'all_1961-1990'!$H$1,0,IF(UrbanPopRate!G112&gt;=$J$1,0,1)),0)</f>
        <v>0</v>
      </c>
      <c r="L40">
        <f>IF($D40=1,IF(GDP_per_cap!H112&gt;'all_1961-1990'!$H$1,0,IF(UrbanPopRate!H112&gt;=$J$1,0,1)),0)</f>
        <v>0</v>
      </c>
      <c r="M40">
        <f>IF($D40=1,IF(GDP_per_cap!I112&gt;'all_1961-1990'!$H$1,0,IF(UrbanPopRate!I112&gt;=$J$1,0,1)),0)</f>
        <v>0</v>
      </c>
      <c r="N40">
        <f>IF($D40=1,IF(GDP_per_cap!J112&gt;'all_1961-1990'!$H$1,0,IF(UrbanPopRate!J112&gt;=$J$1,0,1)),0)</f>
        <v>0</v>
      </c>
      <c r="O40">
        <f>IF($D40=1,IF(GDP_per_cap!K112&gt;'all_1961-1990'!$H$1,0,IF(UrbanPopRate!K112&gt;=$J$1,0,1)),0)</f>
        <v>0</v>
      </c>
      <c r="P40">
        <f>IF($D40=1,IF(GDP_per_cap!L112&gt;'all_1961-1990'!$H$1,0,IF(UrbanPopRate!L112&gt;=$J$1,0,1)),0)</f>
        <v>0</v>
      </c>
      <c r="Q40">
        <f>IF($D40=1,IF(GDP_per_cap!M112&gt;'all_1961-1990'!$H$1,0,IF(UrbanPopRate!M112&gt;=$J$1,0,1)),0)</f>
        <v>0</v>
      </c>
      <c r="R40">
        <f>IF($D40=1,IF(GDP_per_cap!N112&gt;'all_1961-1990'!$H$1,0,IF(UrbanPopRate!N112&gt;=$J$1,0,1)),0)</f>
        <v>0</v>
      </c>
      <c r="S40">
        <f>IF($D40=1,IF(GDP_per_cap!O112&gt;'all_1961-1990'!$H$1,0,IF(UrbanPopRate!O112&gt;=$J$1,0,1)),0)</f>
        <v>0</v>
      </c>
      <c r="T40">
        <f>IF($D40=1,IF(GDP_per_cap!P112&gt;'all_1961-1990'!$H$1,0,IF(UrbanPopRate!P112&gt;=$J$1,0,1)),0)</f>
        <v>0</v>
      </c>
      <c r="U40">
        <f>IF($D40=1,IF(GDP_per_cap!Q112&gt;'all_1961-1990'!$H$1,0,IF(UrbanPopRate!Q112&gt;=$J$1,0,1)),0)</f>
        <v>0</v>
      </c>
      <c r="V40">
        <f>IF($D40=1,IF(GDP_per_cap!R112&gt;'all_1961-1990'!$H$1,0,IF(UrbanPopRate!R112&gt;=$J$1,0,1)),0)</f>
        <v>0</v>
      </c>
      <c r="W40">
        <f>IF($D40=1,IF(GDP_per_cap!S112&gt;'all_1961-1990'!$H$1,0,IF(UrbanPopRate!S112&gt;=$J$1,0,1)),0)</f>
        <v>0</v>
      </c>
      <c r="X40">
        <f>IF($D40=1,IF(GDP_per_cap!T112&gt;'all_1961-1990'!$H$1,0,IF(UrbanPopRate!T112&gt;=$J$1,0,1)),0)</f>
        <v>0</v>
      </c>
      <c r="Y40">
        <f>IF($D40=1,IF(GDP_per_cap!U112&gt;'all_1961-1990'!$H$1,0,IF(UrbanPopRate!U112&gt;=$J$1,0,1)),0)</f>
        <v>0</v>
      </c>
      <c r="Z40">
        <f>IF($D40=1,IF(GDP_per_cap!V112&gt;'all_1961-1990'!$H$1,0,IF(UrbanPopRate!V112&gt;=$J$1,0,1)),0)</f>
        <v>0</v>
      </c>
      <c r="AA40">
        <f>IF($D40=1,IF(GDP_per_cap!W112&gt;'all_1961-1990'!$H$1,0,IF(UrbanPopRate!W112&gt;=$J$1,0,1)),0)</f>
        <v>0</v>
      </c>
      <c r="AB40">
        <f>IF($D40=1,IF(GDP_per_cap!X112&gt;'all_1961-1990'!$H$1,0,IF(UrbanPopRate!X112&gt;=$J$1,0,1)),0)</f>
        <v>0</v>
      </c>
      <c r="AC40">
        <f>IF($D40=1,IF(GDP_per_cap!Y112&gt;'all_1961-1990'!$H$1,0,IF(UrbanPopRate!Y112&gt;=$J$1,0,1)),0)</f>
        <v>0</v>
      </c>
      <c r="AD40">
        <f>IF($D40=1,IF(GDP_per_cap!Z112&gt;'all_1961-1990'!$H$1,0,IF(UrbanPopRate!Z112&gt;=$J$1,0,1)),0)</f>
        <v>0</v>
      </c>
      <c r="AE40">
        <f>IF($D40=1,IF(GDP_per_cap!AA112&gt;'all_1961-1990'!$H$1,0,IF(UrbanPopRate!AA112&gt;=$J$1,0,1)),0)</f>
        <v>0</v>
      </c>
      <c r="AF40">
        <f>IF($D40=1,IF(GDP_per_cap!AB112&gt;'all_1961-1990'!$H$1,0,IF(UrbanPopRate!AB112&gt;=$J$1,0,1)),0)</f>
        <v>0</v>
      </c>
      <c r="AG40">
        <f>IF($D40=1,IF(GDP_per_cap!AC112&gt;'all_1961-1990'!$H$1,0,IF(UrbanPopRate!AC112&gt;=$J$1,0,1)),0)</f>
        <v>0</v>
      </c>
      <c r="AH40">
        <f>IF($D40=1,IF(GDP_per_cap!AD112&gt;'all_1961-1990'!$H$1,0,IF(UrbanPopRate!AD112&gt;=$J$1,0,1)),0)</f>
        <v>0</v>
      </c>
      <c r="AI40">
        <f>IF($D40=1,IF(GDP_per_cap!AE112&gt;'all_1961-1990'!$H$1,0,IF(UrbanPopRate!AE112&gt;=$J$1,0,1)),0)</f>
        <v>0</v>
      </c>
      <c r="AJ40">
        <f>IF($D40=1,IF(GDP_per_cap!AF112&gt;'all_1961-1990'!$H$1,0,IF(UrbanPopRate!AF112&gt;=$J$1,0,1)),0)</f>
        <v>0</v>
      </c>
      <c r="AK40">
        <f>IF($D40=1,IF(GDP_per_cap!AG112&gt;'all_1961-1990'!$H$1,0,IF(UrbanPopRate!AG112&gt;=$J$1,0,1)),0)</f>
        <v>0</v>
      </c>
      <c r="AL40">
        <f>IF($D40=1,IF(GDP_per_cap!AH112&gt;'all_1961-1990'!$H$1,0,IF(UrbanPopRate!AH112&gt;=$J$1,0,1)),0)</f>
        <v>0</v>
      </c>
      <c r="AM40">
        <f>IF($D40=1,IF(GDP_per_cap!AI112&gt;'all_1961-1990'!$H$1,0,IF(UrbanPopRate!AI112&gt;=$J$1,0,1)),0)</f>
        <v>0</v>
      </c>
      <c r="AN40">
        <f>IF($D40=1,IF(GDP_per_cap!AJ112&gt;'all_1961-1990'!$H$1,0,IF(UrbanPopRate!AJ112&gt;=$J$1,0,1)),0)</f>
        <v>0</v>
      </c>
      <c r="AO40">
        <f>IF($D40=1,IF(GDP_per_cap!AK112&gt;'all_1961-1990'!$H$1,0,IF(UrbanPopRate!AK112&gt;=$J$1,0,1)),0)</f>
        <v>0</v>
      </c>
      <c r="AP40">
        <f>IF($D40=1,IF(GDP_per_cap!AL112&gt;'all_1961-1990'!$H$1,0,IF(UrbanPopRate!AL112&gt;=$J$1,0,1)),0)</f>
        <v>0</v>
      </c>
      <c r="AQ40">
        <f>IF($D40=1,IF(GDP_per_cap!AM112&gt;'all_1961-1990'!$H$1,0,IF(UrbanPopRate!AM112&gt;=$J$1,0,1)),0)</f>
        <v>0</v>
      </c>
      <c r="AR40">
        <f>IF($D40=1,IF(GDP_per_cap!AN112&gt;'all_1961-1990'!$H$1,0,IF(UrbanPopRate!AN112&gt;=$J$1,0,1)),0)</f>
        <v>0</v>
      </c>
      <c r="AS40">
        <f>IF($D40=1,IF(GDP_per_cap!AO112&gt;'all_1961-1990'!$H$1,0,IF(UrbanPopRate!AO112&gt;=$J$1,0,1)),0)</f>
        <v>0</v>
      </c>
      <c r="AT40">
        <f>IF($D40=1,IF(GDP_per_cap!AP112&gt;'all_1961-1990'!$H$1,0,IF(UrbanPopRate!AP112&gt;=$J$1,0,1)),0)</f>
        <v>0</v>
      </c>
      <c r="AU40">
        <f>IF($D40=1,IF(GDP_per_cap!AQ112&gt;'all_1961-1990'!$H$1,0,IF(UrbanPopRate!AQ112&gt;=$J$1,0,1)),0)</f>
        <v>0</v>
      </c>
      <c r="AV40">
        <f>IF($D40=1,IF(GDP_per_cap!AR112&gt;'all_1961-1990'!$H$1,0,IF(UrbanPopRate!AR112&gt;=$J$1,0,1)),0)</f>
        <v>0</v>
      </c>
      <c r="AW40">
        <f>IF($D40=1,IF(GDP_per_cap!AS112&gt;'all_1961-1990'!$H$1,0,IF(UrbanPopRate!AS112&gt;=$J$1,0,1)),0)</f>
        <v>0</v>
      </c>
      <c r="AX40">
        <f>IF($D40=1,IF(GDP_per_cap!AT112&gt;'all_1961-1990'!$H$1,0,IF(UrbanPopRate!AT112&gt;=$J$1,0,1)),0)</f>
        <v>0</v>
      </c>
      <c r="AY40">
        <f>IF($D40=1,IF(GDP_per_cap!AU112&gt;'all_1961-1990'!$H$1,0,IF(UrbanPopRate!AU112&gt;=$J$1,0,1)),0)</f>
        <v>0</v>
      </c>
      <c r="AZ40">
        <f>IF($D40=1,IF(GDP_per_cap!AV112&gt;'all_1961-1990'!$H$1,0,IF(UrbanPopRate!AV112&gt;=$J$1,0,1)),0)</f>
        <v>0</v>
      </c>
      <c r="BA40">
        <f>IF($D40=1,IF(GDP_per_cap!AW112&gt;'all_1961-1990'!$H$1,0,IF(UrbanPopRate!AW112&gt;=$J$1,0,1)),0)</f>
        <v>0</v>
      </c>
      <c r="BB40">
        <f>IF($D40=1,IF(GDP_per_cap!AX112&gt;'all_1961-1990'!$H$1,0,IF(UrbanPopRate!AX112&gt;=$J$1,0,1)),0)</f>
        <v>0</v>
      </c>
      <c r="BC40">
        <f>IF($D40=1,IF(GDP_per_cap!AY112&gt;'all_1961-1990'!$H$1,0,IF(UrbanPopRate!AY112&gt;=$J$1,0,1)),0)</f>
        <v>0</v>
      </c>
      <c r="BD40">
        <f>IF($D40=1,IF(GDP_per_cap!AZ112&gt;'all_1961-1990'!$H$1,0,IF(UrbanPopRate!AZ112&gt;=$J$1,0,1)),0)</f>
        <v>0</v>
      </c>
      <c r="BE40">
        <f>IF($D40=1,IF(GDP_per_cap!BA112&gt;'all_1961-1990'!$H$1,0,IF(UrbanPopRate!BA112&gt;=$J$1,0,1)),0)</f>
        <v>0</v>
      </c>
      <c r="BF40">
        <f>IF($D40=1,IF(GDP_per_cap!BB112&gt;'all_1961-1990'!$H$1,0,IF(UrbanPopRate!BB112&gt;=$J$1,0,1)),0)</f>
        <v>0</v>
      </c>
    </row>
    <row r="41" spans="1:58">
      <c r="A41" s="3">
        <v>48</v>
      </c>
      <c r="B41" s="3" t="s">
        <v>126</v>
      </c>
      <c r="C41" s="2">
        <v>2</v>
      </c>
      <c r="D41" s="35">
        <v>0</v>
      </c>
      <c r="E41" s="2">
        <v>58.509133333333338</v>
      </c>
      <c r="F41" s="36">
        <v>5519.2294819999997</v>
      </c>
      <c r="G41">
        <f>IF($D41=1,IF(GDP_per_cap!C30&gt;'all_1961-1990'!$H$1,0,IF(UrbanPopRate!C30&gt;=$J$1,0,1)),0)</f>
        <v>0</v>
      </c>
      <c r="H41">
        <f>IF($D41=1,IF(GDP_per_cap!D30&gt;'all_1961-1990'!$H$1,0,IF(UrbanPopRate!D30&gt;=$J$1,0,1)),0)</f>
        <v>0</v>
      </c>
      <c r="I41">
        <f>IF($D41=1,IF(GDP_per_cap!E30&gt;'all_1961-1990'!$H$1,0,IF(UrbanPopRate!E30&gt;=$J$1,0,1)),0)</f>
        <v>0</v>
      </c>
      <c r="J41">
        <f>IF($D41=1,IF(GDP_per_cap!F30&gt;'all_1961-1990'!$H$1,0,IF(UrbanPopRate!F30&gt;=$J$1,0,1)),0)</f>
        <v>0</v>
      </c>
      <c r="K41">
        <f>IF($D41=1,IF(GDP_per_cap!G30&gt;'all_1961-1990'!$H$1,0,IF(UrbanPopRate!G30&gt;=$J$1,0,1)),0)</f>
        <v>0</v>
      </c>
      <c r="L41">
        <f>IF($D41=1,IF(GDP_per_cap!H30&gt;'all_1961-1990'!$H$1,0,IF(UrbanPopRate!H30&gt;=$J$1,0,1)),0)</f>
        <v>0</v>
      </c>
      <c r="M41">
        <f>IF($D41=1,IF(GDP_per_cap!I30&gt;'all_1961-1990'!$H$1,0,IF(UrbanPopRate!I30&gt;=$J$1,0,1)),0)</f>
        <v>0</v>
      </c>
      <c r="N41">
        <f>IF($D41=1,IF(GDP_per_cap!J30&gt;'all_1961-1990'!$H$1,0,IF(UrbanPopRate!J30&gt;=$J$1,0,1)),0)</f>
        <v>0</v>
      </c>
      <c r="O41">
        <f>IF($D41=1,IF(GDP_per_cap!K30&gt;'all_1961-1990'!$H$1,0,IF(UrbanPopRate!K30&gt;=$J$1,0,1)),0)</f>
        <v>0</v>
      </c>
      <c r="P41">
        <f>IF($D41=1,IF(GDP_per_cap!L30&gt;'all_1961-1990'!$H$1,0,IF(UrbanPopRate!L30&gt;=$J$1,0,1)),0)</f>
        <v>0</v>
      </c>
      <c r="Q41">
        <f>IF($D41=1,IF(GDP_per_cap!M30&gt;'all_1961-1990'!$H$1,0,IF(UrbanPopRate!M30&gt;=$J$1,0,1)),0)</f>
        <v>0</v>
      </c>
      <c r="R41">
        <f>IF($D41=1,IF(GDP_per_cap!N30&gt;'all_1961-1990'!$H$1,0,IF(UrbanPopRate!N30&gt;=$J$1,0,1)),0)</f>
        <v>0</v>
      </c>
      <c r="S41">
        <f>IF($D41=1,IF(GDP_per_cap!O30&gt;'all_1961-1990'!$H$1,0,IF(UrbanPopRate!O30&gt;=$J$1,0,1)),0)</f>
        <v>0</v>
      </c>
      <c r="T41">
        <f>IF($D41=1,IF(GDP_per_cap!P30&gt;'all_1961-1990'!$H$1,0,IF(UrbanPopRate!P30&gt;=$J$1,0,1)),0)</f>
        <v>0</v>
      </c>
      <c r="U41">
        <f>IF($D41=1,IF(GDP_per_cap!Q30&gt;'all_1961-1990'!$H$1,0,IF(UrbanPopRate!Q30&gt;=$J$1,0,1)),0)</f>
        <v>0</v>
      </c>
      <c r="V41">
        <f>IF($D41=1,IF(GDP_per_cap!R30&gt;'all_1961-1990'!$H$1,0,IF(UrbanPopRate!R30&gt;=$J$1,0,1)),0)</f>
        <v>0</v>
      </c>
      <c r="W41">
        <f>IF($D41=1,IF(GDP_per_cap!S30&gt;'all_1961-1990'!$H$1,0,IF(UrbanPopRate!S30&gt;=$J$1,0,1)),0)</f>
        <v>0</v>
      </c>
      <c r="X41">
        <f>IF($D41=1,IF(GDP_per_cap!T30&gt;'all_1961-1990'!$H$1,0,IF(UrbanPopRate!T30&gt;=$J$1,0,1)),0)</f>
        <v>0</v>
      </c>
      <c r="Y41">
        <f>IF($D41=1,IF(GDP_per_cap!U30&gt;'all_1961-1990'!$H$1,0,IF(UrbanPopRate!U30&gt;=$J$1,0,1)),0)</f>
        <v>0</v>
      </c>
      <c r="Z41">
        <f>IF($D41=1,IF(GDP_per_cap!V30&gt;'all_1961-1990'!$H$1,0,IF(UrbanPopRate!V30&gt;=$J$1,0,1)),0)</f>
        <v>0</v>
      </c>
      <c r="AA41">
        <f>IF($D41=1,IF(GDP_per_cap!W30&gt;'all_1961-1990'!$H$1,0,IF(UrbanPopRate!W30&gt;=$J$1,0,1)),0)</f>
        <v>0</v>
      </c>
      <c r="AB41">
        <f>IF($D41=1,IF(GDP_per_cap!X30&gt;'all_1961-1990'!$H$1,0,IF(UrbanPopRate!X30&gt;=$J$1,0,1)),0)</f>
        <v>0</v>
      </c>
      <c r="AC41">
        <f>IF($D41=1,IF(GDP_per_cap!Y30&gt;'all_1961-1990'!$H$1,0,IF(UrbanPopRate!Y30&gt;=$J$1,0,1)),0)</f>
        <v>0</v>
      </c>
      <c r="AD41">
        <f>IF($D41=1,IF(GDP_per_cap!Z30&gt;'all_1961-1990'!$H$1,0,IF(UrbanPopRate!Z30&gt;=$J$1,0,1)),0)</f>
        <v>0</v>
      </c>
      <c r="AE41">
        <f>IF($D41=1,IF(GDP_per_cap!AA30&gt;'all_1961-1990'!$H$1,0,IF(UrbanPopRate!AA30&gt;=$J$1,0,1)),0)</f>
        <v>0</v>
      </c>
      <c r="AF41">
        <f>IF($D41=1,IF(GDP_per_cap!AB30&gt;'all_1961-1990'!$H$1,0,IF(UrbanPopRate!AB30&gt;=$J$1,0,1)),0)</f>
        <v>0</v>
      </c>
      <c r="AG41">
        <f>IF($D41=1,IF(GDP_per_cap!AC30&gt;'all_1961-1990'!$H$1,0,IF(UrbanPopRate!AC30&gt;=$J$1,0,1)),0)</f>
        <v>0</v>
      </c>
      <c r="AH41">
        <f>IF($D41=1,IF(GDP_per_cap!AD30&gt;'all_1961-1990'!$H$1,0,IF(UrbanPopRate!AD30&gt;=$J$1,0,1)),0)</f>
        <v>0</v>
      </c>
      <c r="AI41">
        <f>IF($D41=1,IF(GDP_per_cap!AE30&gt;'all_1961-1990'!$H$1,0,IF(UrbanPopRate!AE30&gt;=$J$1,0,1)),0)</f>
        <v>0</v>
      </c>
      <c r="AJ41">
        <f>IF($D41=1,IF(GDP_per_cap!AF30&gt;'all_1961-1990'!$H$1,0,IF(UrbanPopRate!AF30&gt;=$J$1,0,1)),0)</f>
        <v>0</v>
      </c>
      <c r="AK41">
        <f>IF($D41=1,IF(GDP_per_cap!AG30&gt;'all_1961-1990'!$H$1,0,IF(UrbanPopRate!AG30&gt;=$J$1,0,1)),0)</f>
        <v>0</v>
      </c>
      <c r="AL41">
        <f>IF($D41=1,IF(GDP_per_cap!AH30&gt;'all_1961-1990'!$H$1,0,IF(UrbanPopRate!AH30&gt;=$J$1,0,1)),0)</f>
        <v>0</v>
      </c>
      <c r="AM41">
        <f>IF($D41=1,IF(GDP_per_cap!AI30&gt;'all_1961-1990'!$H$1,0,IF(UrbanPopRate!AI30&gt;=$J$1,0,1)),0)</f>
        <v>0</v>
      </c>
      <c r="AN41">
        <f>IF($D41=1,IF(GDP_per_cap!AJ30&gt;'all_1961-1990'!$H$1,0,IF(UrbanPopRate!AJ30&gt;=$J$1,0,1)),0)</f>
        <v>0</v>
      </c>
      <c r="AO41">
        <f>IF($D41=1,IF(GDP_per_cap!AK30&gt;'all_1961-1990'!$H$1,0,IF(UrbanPopRate!AK30&gt;=$J$1,0,1)),0)</f>
        <v>0</v>
      </c>
      <c r="AP41">
        <f>IF($D41=1,IF(GDP_per_cap!AL30&gt;'all_1961-1990'!$H$1,0,IF(UrbanPopRate!AL30&gt;=$J$1,0,1)),0)</f>
        <v>0</v>
      </c>
      <c r="AQ41">
        <f>IF($D41=1,IF(GDP_per_cap!AM30&gt;'all_1961-1990'!$H$1,0,IF(UrbanPopRate!AM30&gt;=$J$1,0,1)),0)</f>
        <v>0</v>
      </c>
      <c r="AR41">
        <f>IF($D41=1,IF(GDP_per_cap!AN30&gt;'all_1961-1990'!$H$1,0,IF(UrbanPopRate!AN30&gt;=$J$1,0,1)),0)</f>
        <v>0</v>
      </c>
      <c r="AS41">
        <f>IF($D41=1,IF(GDP_per_cap!AO30&gt;'all_1961-1990'!$H$1,0,IF(UrbanPopRate!AO30&gt;=$J$1,0,1)),0)</f>
        <v>0</v>
      </c>
      <c r="AT41">
        <f>IF($D41=1,IF(GDP_per_cap!AP30&gt;'all_1961-1990'!$H$1,0,IF(UrbanPopRate!AP30&gt;=$J$1,0,1)),0)</f>
        <v>0</v>
      </c>
      <c r="AU41">
        <f>IF($D41=1,IF(GDP_per_cap!AQ30&gt;'all_1961-1990'!$H$1,0,IF(UrbanPopRate!AQ30&gt;=$J$1,0,1)),0)</f>
        <v>0</v>
      </c>
      <c r="AV41">
        <f>IF($D41=1,IF(GDP_per_cap!AR30&gt;'all_1961-1990'!$H$1,0,IF(UrbanPopRate!AR30&gt;=$J$1,0,1)),0)</f>
        <v>0</v>
      </c>
      <c r="AW41">
        <f>IF($D41=1,IF(GDP_per_cap!AS30&gt;'all_1961-1990'!$H$1,0,IF(UrbanPopRate!AS30&gt;=$J$1,0,1)),0)</f>
        <v>0</v>
      </c>
      <c r="AX41">
        <f>IF($D41=1,IF(GDP_per_cap!AT30&gt;'all_1961-1990'!$H$1,0,IF(UrbanPopRate!AT30&gt;=$J$1,0,1)),0)</f>
        <v>0</v>
      </c>
      <c r="AY41">
        <f>IF($D41=1,IF(GDP_per_cap!AU30&gt;'all_1961-1990'!$H$1,0,IF(UrbanPopRate!AU30&gt;=$J$1,0,1)),0)</f>
        <v>0</v>
      </c>
      <c r="AZ41">
        <f>IF($D41=1,IF(GDP_per_cap!AV30&gt;'all_1961-1990'!$H$1,0,IF(UrbanPopRate!AV30&gt;=$J$1,0,1)),0)</f>
        <v>0</v>
      </c>
      <c r="BA41">
        <f>IF($D41=1,IF(GDP_per_cap!AW30&gt;'all_1961-1990'!$H$1,0,IF(UrbanPopRate!AW30&gt;=$J$1,0,1)),0)</f>
        <v>0</v>
      </c>
      <c r="BB41">
        <f>IF($D41=1,IF(GDP_per_cap!AX30&gt;'all_1961-1990'!$H$1,0,IF(UrbanPopRate!AX30&gt;=$J$1,0,1)),0)</f>
        <v>0</v>
      </c>
      <c r="BC41">
        <f>IF($D41=1,IF(GDP_per_cap!AY30&gt;'all_1961-1990'!$H$1,0,IF(UrbanPopRate!AY30&gt;=$J$1,0,1)),0)</f>
        <v>0</v>
      </c>
      <c r="BD41">
        <f>IF($D41=1,IF(GDP_per_cap!AZ30&gt;'all_1961-1990'!$H$1,0,IF(UrbanPopRate!AZ30&gt;=$J$1,0,1)),0)</f>
        <v>0</v>
      </c>
      <c r="BE41">
        <f>IF($D41=1,IF(GDP_per_cap!BA30&gt;'all_1961-1990'!$H$1,0,IF(UrbanPopRate!BA30&gt;=$J$1,0,1)),0)</f>
        <v>0</v>
      </c>
      <c r="BF41">
        <f>IF($D41=1,IF(GDP_per_cap!BB30&gt;'all_1961-1990'!$H$1,0,IF(UrbanPopRate!BB30&gt;=$J$1,0,1)),0)</f>
        <v>0</v>
      </c>
    </row>
    <row r="42" spans="1:58">
      <c r="A42" s="3">
        <v>44</v>
      </c>
      <c r="B42" s="3" t="s">
        <v>128</v>
      </c>
      <c r="C42" s="2">
        <v>2</v>
      </c>
      <c r="D42" s="35">
        <v>0</v>
      </c>
      <c r="E42" s="2">
        <v>77.712166666666675</v>
      </c>
      <c r="F42" s="36">
        <v>5516.1124319999999</v>
      </c>
      <c r="G42">
        <f>IF($D42=1,IF(GDP_per_cap!C28&gt;'all_1961-1990'!$H$1,0,IF(UrbanPopRate!C28&gt;=$J$1,0,1)),0)</f>
        <v>0</v>
      </c>
      <c r="H42">
        <f>IF($D42=1,IF(GDP_per_cap!D28&gt;'all_1961-1990'!$H$1,0,IF(UrbanPopRate!D28&gt;=$J$1,0,1)),0)</f>
        <v>0</v>
      </c>
      <c r="I42">
        <f>IF($D42=1,IF(GDP_per_cap!E28&gt;'all_1961-1990'!$H$1,0,IF(UrbanPopRate!E28&gt;=$J$1,0,1)),0)</f>
        <v>0</v>
      </c>
      <c r="J42">
        <f>IF($D42=1,IF(GDP_per_cap!F28&gt;'all_1961-1990'!$H$1,0,IF(UrbanPopRate!F28&gt;=$J$1,0,1)),0)</f>
        <v>0</v>
      </c>
      <c r="K42">
        <f>IF($D42=1,IF(GDP_per_cap!G28&gt;'all_1961-1990'!$H$1,0,IF(UrbanPopRate!G28&gt;=$J$1,0,1)),0)</f>
        <v>0</v>
      </c>
      <c r="L42">
        <f>IF($D42=1,IF(GDP_per_cap!H28&gt;'all_1961-1990'!$H$1,0,IF(UrbanPopRate!H28&gt;=$J$1,0,1)),0)</f>
        <v>0</v>
      </c>
      <c r="M42">
        <f>IF($D42=1,IF(GDP_per_cap!I28&gt;'all_1961-1990'!$H$1,0,IF(UrbanPopRate!I28&gt;=$J$1,0,1)),0)</f>
        <v>0</v>
      </c>
      <c r="N42">
        <f>IF($D42=1,IF(GDP_per_cap!J28&gt;'all_1961-1990'!$H$1,0,IF(UrbanPopRate!J28&gt;=$J$1,0,1)),0)</f>
        <v>0</v>
      </c>
      <c r="O42">
        <f>IF($D42=1,IF(GDP_per_cap!K28&gt;'all_1961-1990'!$H$1,0,IF(UrbanPopRate!K28&gt;=$J$1,0,1)),0)</f>
        <v>0</v>
      </c>
      <c r="P42">
        <f>IF($D42=1,IF(GDP_per_cap!L28&gt;'all_1961-1990'!$H$1,0,IF(UrbanPopRate!L28&gt;=$J$1,0,1)),0)</f>
        <v>0</v>
      </c>
      <c r="Q42">
        <f>IF($D42=1,IF(GDP_per_cap!M28&gt;'all_1961-1990'!$H$1,0,IF(UrbanPopRate!M28&gt;=$J$1,0,1)),0)</f>
        <v>0</v>
      </c>
      <c r="R42">
        <f>IF($D42=1,IF(GDP_per_cap!N28&gt;'all_1961-1990'!$H$1,0,IF(UrbanPopRate!N28&gt;=$J$1,0,1)),0)</f>
        <v>0</v>
      </c>
      <c r="S42">
        <f>IF($D42=1,IF(GDP_per_cap!O28&gt;'all_1961-1990'!$H$1,0,IF(UrbanPopRate!O28&gt;=$J$1,0,1)),0)</f>
        <v>0</v>
      </c>
      <c r="T42">
        <f>IF($D42=1,IF(GDP_per_cap!P28&gt;'all_1961-1990'!$H$1,0,IF(UrbanPopRate!P28&gt;=$J$1,0,1)),0)</f>
        <v>0</v>
      </c>
      <c r="U42">
        <f>IF($D42=1,IF(GDP_per_cap!Q28&gt;'all_1961-1990'!$H$1,0,IF(UrbanPopRate!Q28&gt;=$J$1,0,1)),0)</f>
        <v>0</v>
      </c>
      <c r="V42">
        <f>IF($D42=1,IF(GDP_per_cap!R28&gt;'all_1961-1990'!$H$1,0,IF(UrbanPopRate!R28&gt;=$J$1,0,1)),0)</f>
        <v>0</v>
      </c>
      <c r="W42">
        <f>IF($D42=1,IF(GDP_per_cap!S28&gt;'all_1961-1990'!$H$1,0,IF(UrbanPopRate!S28&gt;=$J$1,0,1)),0)</f>
        <v>0</v>
      </c>
      <c r="X42">
        <f>IF($D42=1,IF(GDP_per_cap!T28&gt;'all_1961-1990'!$H$1,0,IF(UrbanPopRate!T28&gt;=$J$1,0,1)),0)</f>
        <v>0</v>
      </c>
      <c r="Y42">
        <f>IF($D42=1,IF(GDP_per_cap!U28&gt;'all_1961-1990'!$H$1,0,IF(UrbanPopRate!U28&gt;=$J$1,0,1)),0)</f>
        <v>0</v>
      </c>
      <c r="Z42">
        <f>IF($D42=1,IF(GDP_per_cap!V28&gt;'all_1961-1990'!$H$1,0,IF(UrbanPopRate!V28&gt;=$J$1,0,1)),0)</f>
        <v>0</v>
      </c>
      <c r="AA42">
        <f>IF($D42=1,IF(GDP_per_cap!W28&gt;'all_1961-1990'!$H$1,0,IF(UrbanPopRate!W28&gt;=$J$1,0,1)),0)</f>
        <v>0</v>
      </c>
      <c r="AB42">
        <f>IF($D42=1,IF(GDP_per_cap!X28&gt;'all_1961-1990'!$H$1,0,IF(UrbanPopRate!X28&gt;=$J$1,0,1)),0)</f>
        <v>0</v>
      </c>
      <c r="AC42">
        <f>IF($D42=1,IF(GDP_per_cap!Y28&gt;'all_1961-1990'!$H$1,0,IF(UrbanPopRate!Y28&gt;=$J$1,0,1)),0)</f>
        <v>0</v>
      </c>
      <c r="AD42">
        <f>IF($D42=1,IF(GDP_per_cap!Z28&gt;'all_1961-1990'!$H$1,0,IF(UrbanPopRate!Z28&gt;=$J$1,0,1)),0)</f>
        <v>0</v>
      </c>
      <c r="AE42">
        <f>IF($D42=1,IF(GDP_per_cap!AA28&gt;'all_1961-1990'!$H$1,0,IF(UrbanPopRate!AA28&gt;=$J$1,0,1)),0)</f>
        <v>0</v>
      </c>
      <c r="AF42">
        <f>IF($D42=1,IF(GDP_per_cap!AB28&gt;'all_1961-1990'!$H$1,0,IF(UrbanPopRate!AB28&gt;=$J$1,0,1)),0)</f>
        <v>0</v>
      </c>
      <c r="AG42">
        <f>IF($D42=1,IF(GDP_per_cap!AC28&gt;'all_1961-1990'!$H$1,0,IF(UrbanPopRate!AC28&gt;=$J$1,0,1)),0)</f>
        <v>0</v>
      </c>
      <c r="AH42">
        <f>IF($D42=1,IF(GDP_per_cap!AD28&gt;'all_1961-1990'!$H$1,0,IF(UrbanPopRate!AD28&gt;=$J$1,0,1)),0)</f>
        <v>0</v>
      </c>
      <c r="AI42">
        <f>IF($D42=1,IF(GDP_per_cap!AE28&gt;'all_1961-1990'!$H$1,0,IF(UrbanPopRate!AE28&gt;=$J$1,0,1)),0)</f>
        <v>0</v>
      </c>
      <c r="AJ42">
        <f>IF($D42=1,IF(GDP_per_cap!AF28&gt;'all_1961-1990'!$H$1,0,IF(UrbanPopRate!AF28&gt;=$J$1,0,1)),0)</f>
        <v>0</v>
      </c>
      <c r="AK42">
        <f>IF($D42=1,IF(GDP_per_cap!AG28&gt;'all_1961-1990'!$H$1,0,IF(UrbanPopRate!AG28&gt;=$J$1,0,1)),0)</f>
        <v>0</v>
      </c>
      <c r="AL42">
        <f>IF($D42=1,IF(GDP_per_cap!AH28&gt;'all_1961-1990'!$H$1,0,IF(UrbanPopRate!AH28&gt;=$J$1,0,1)),0)</f>
        <v>0</v>
      </c>
      <c r="AM42">
        <f>IF($D42=1,IF(GDP_per_cap!AI28&gt;'all_1961-1990'!$H$1,0,IF(UrbanPopRate!AI28&gt;=$J$1,0,1)),0)</f>
        <v>0</v>
      </c>
      <c r="AN42">
        <f>IF($D42=1,IF(GDP_per_cap!AJ28&gt;'all_1961-1990'!$H$1,0,IF(UrbanPopRate!AJ28&gt;=$J$1,0,1)),0)</f>
        <v>0</v>
      </c>
      <c r="AO42">
        <f>IF($D42=1,IF(GDP_per_cap!AK28&gt;'all_1961-1990'!$H$1,0,IF(UrbanPopRate!AK28&gt;=$J$1,0,1)),0)</f>
        <v>0</v>
      </c>
      <c r="AP42">
        <f>IF($D42=1,IF(GDP_per_cap!AL28&gt;'all_1961-1990'!$H$1,0,IF(UrbanPopRate!AL28&gt;=$J$1,0,1)),0)</f>
        <v>0</v>
      </c>
      <c r="AQ42">
        <f>IF($D42=1,IF(GDP_per_cap!AM28&gt;'all_1961-1990'!$H$1,0,IF(UrbanPopRate!AM28&gt;=$J$1,0,1)),0)</f>
        <v>0</v>
      </c>
      <c r="AR42">
        <f>IF($D42=1,IF(GDP_per_cap!AN28&gt;'all_1961-1990'!$H$1,0,IF(UrbanPopRate!AN28&gt;=$J$1,0,1)),0)</f>
        <v>0</v>
      </c>
      <c r="AS42">
        <f>IF($D42=1,IF(GDP_per_cap!AO28&gt;'all_1961-1990'!$H$1,0,IF(UrbanPopRate!AO28&gt;=$J$1,0,1)),0)</f>
        <v>0</v>
      </c>
      <c r="AT42">
        <f>IF($D42=1,IF(GDP_per_cap!AP28&gt;'all_1961-1990'!$H$1,0,IF(UrbanPopRate!AP28&gt;=$J$1,0,1)),0)</f>
        <v>0</v>
      </c>
      <c r="AU42">
        <f>IF($D42=1,IF(GDP_per_cap!AQ28&gt;'all_1961-1990'!$H$1,0,IF(UrbanPopRate!AQ28&gt;=$J$1,0,1)),0)</f>
        <v>0</v>
      </c>
      <c r="AV42">
        <f>IF($D42=1,IF(GDP_per_cap!AR28&gt;'all_1961-1990'!$H$1,0,IF(UrbanPopRate!AR28&gt;=$J$1,0,1)),0)</f>
        <v>0</v>
      </c>
      <c r="AW42">
        <f>IF($D42=1,IF(GDP_per_cap!AS28&gt;'all_1961-1990'!$H$1,0,IF(UrbanPopRate!AS28&gt;=$J$1,0,1)),0)</f>
        <v>0</v>
      </c>
      <c r="AX42">
        <f>IF($D42=1,IF(GDP_per_cap!AT28&gt;'all_1961-1990'!$H$1,0,IF(UrbanPopRate!AT28&gt;=$J$1,0,1)),0)</f>
        <v>0</v>
      </c>
      <c r="AY42">
        <f>IF($D42=1,IF(GDP_per_cap!AU28&gt;'all_1961-1990'!$H$1,0,IF(UrbanPopRate!AU28&gt;=$J$1,0,1)),0)</f>
        <v>0</v>
      </c>
      <c r="AZ42">
        <f>IF($D42=1,IF(GDP_per_cap!AV28&gt;'all_1961-1990'!$H$1,0,IF(UrbanPopRate!AV28&gt;=$J$1,0,1)),0)</f>
        <v>0</v>
      </c>
      <c r="BA42">
        <f>IF($D42=1,IF(GDP_per_cap!AW28&gt;'all_1961-1990'!$H$1,0,IF(UrbanPopRate!AW28&gt;=$J$1,0,1)),0)</f>
        <v>0</v>
      </c>
      <c r="BB42">
        <f>IF($D42=1,IF(GDP_per_cap!AX28&gt;'all_1961-1990'!$H$1,0,IF(UrbanPopRate!AX28&gt;=$J$1,0,1)),0)</f>
        <v>0</v>
      </c>
      <c r="BC42">
        <f>IF($D42=1,IF(GDP_per_cap!AY28&gt;'all_1961-1990'!$H$1,0,IF(UrbanPopRate!AY28&gt;=$J$1,0,1)),0)</f>
        <v>0</v>
      </c>
      <c r="BD42">
        <f>IF($D42=1,IF(GDP_per_cap!AZ28&gt;'all_1961-1990'!$H$1,0,IF(UrbanPopRate!AZ28&gt;=$J$1,0,1)),0)</f>
        <v>0</v>
      </c>
      <c r="BE42">
        <f>IF($D42=1,IF(GDP_per_cap!BA28&gt;'all_1961-1990'!$H$1,0,IF(UrbanPopRate!BA28&gt;=$J$1,0,1)),0)</f>
        <v>0</v>
      </c>
      <c r="BF42">
        <f>IF($D42=1,IF(GDP_per_cap!BB28&gt;'all_1961-1990'!$H$1,0,IF(UrbanPopRate!BB28&gt;=$J$1,0,1)),0)</f>
        <v>0</v>
      </c>
    </row>
    <row r="43" spans="1:58">
      <c r="A43" s="3">
        <v>63</v>
      </c>
      <c r="B43" s="3" t="s">
        <v>115</v>
      </c>
      <c r="C43" s="2">
        <v>2</v>
      </c>
      <c r="D43" s="35">
        <v>0</v>
      </c>
      <c r="E43" s="2">
        <v>43.843699999999998</v>
      </c>
      <c r="F43" s="36">
        <v>5407.7671609999998</v>
      </c>
      <c r="G43">
        <f>IF($D43=1,IF(GDP_per_cap!C41&gt;'all_1961-1990'!$H$1,0,IF(UrbanPopRate!C41&gt;=$J$1,0,1)),0)</f>
        <v>0</v>
      </c>
      <c r="H43">
        <f>IF($D43=1,IF(GDP_per_cap!D41&gt;'all_1961-1990'!$H$1,0,IF(UrbanPopRate!D41&gt;=$J$1,0,1)),0)</f>
        <v>0</v>
      </c>
      <c r="I43">
        <f>IF($D43=1,IF(GDP_per_cap!E41&gt;'all_1961-1990'!$H$1,0,IF(UrbanPopRate!E41&gt;=$J$1,0,1)),0)</f>
        <v>0</v>
      </c>
      <c r="J43">
        <f>IF($D43=1,IF(GDP_per_cap!F41&gt;'all_1961-1990'!$H$1,0,IF(UrbanPopRate!F41&gt;=$J$1,0,1)),0)</f>
        <v>0</v>
      </c>
      <c r="K43">
        <f>IF($D43=1,IF(GDP_per_cap!G41&gt;'all_1961-1990'!$H$1,0,IF(UrbanPopRate!G41&gt;=$J$1,0,1)),0)</f>
        <v>0</v>
      </c>
      <c r="L43">
        <f>IF($D43=1,IF(GDP_per_cap!H41&gt;'all_1961-1990'!$H$1,0,IF(UrbanPopRate!H41&gt;=$J$1,0,1)),0)</f>
        <v>0</v>
      </c>
      <c r="M43">
        <f>IF($D43=1,IF(GDP_per_cap!I41&gt;'all_1961-1990'!$H$1,0,IF(UrbanPopRate!I41&gt;=$J$1,0,1)),0)</f>
        <v>0</v>
      </c>
      <c r="N43">
        <f>IF($D43=1,IF(GDP_per_cap!J41&gt;'all_1961-1990'!$H$1,0,IF(UrbanPopRate!J41&gt;=$J$1,0,1)),0)</f>
        <v>0</v>
      </c>
      <c r="O43">
        <f>IF($D43=1,IF(GDP_per_cap!K41&gt;'all_1961-1990'!$H$1,0,IF(UrbanPopRate!K41&gt;=$J$1,0,1)),0)</f>
        <v>0</v>
      </c>
      <c r="P43">
        <f>IF($D43=1,IF(GDP_per_cap!L41&gt;'all_1961-1990'!$H$1,0,IF(UrbanPopRate!L41&gt;=$J$1,0,1)),0)</f>
        <v>0</v>
      </c>
      <c r="Q43">
        <f>IF($D43=1,IF(GDP_per_cap!M41&gt;'all_1961-1990'!$H$1,0,IF(UrbanPopRate!M41&gt;=$J$1,0,1)),0)</f>
        <v>0</v>
      </c>
      <c r="R43">
        <f>IF($D43=1,IF(GDP_per_cap!N41&gt;'all_1961-1990'!$H$1,0,IF(UrbanPopRate!N41&gt;=$J$1,0,1)),0)</f>
        <v>0</v>
      </c>
      <c r="S43">
        <f>IF($D43=1,IF(GDP_per_cap!O41&gt;'all_1961-1990'!$H$1,0,IF(UrbanPopRate!O41&gt;=$J$1,0,1)),0)</f>
        <v>0</v>
      </c>
      <c r="T43">
        <f>IF($D43=1,IF(GDP_per_cap!P41&gt;'all_1961-1990'!$H$1,0,IF(UrbanPopRate!P41&gt;=$J$1,0,1)),0)</f>
        <v>0</v>
      </c>
      <c r="U43">
        <f>IF($D43=1,IF(GDP_per_cap!Q41&gt;'all_1961-1990'!$H$1,0,IF(UrbanPopRate!Q41&gt;=$J$1,0,1)),0)</f>
        <v>0</v>
      </c>
      <c r="V43">
        <f>IF($D43=1,IF(GDP_per_cap!R41&gt;'all_1961-1990'!$H$1,0,IF(UrbanPopRate!R41&gt;=$J$1,0,1)),0)</f>
        <v>0</v>
      </c>
      <c r="W43">
        <f>IF($D43=1,IF(GDP_per_cap!S41&gt;'all_1961-1990'!$H$1,0,IF(UrbanPopRate!S41&gt;=$J$1,0,1)),0)</f>
        <v>0</v>
      </c>
      <c r="X43">
        <f>IF($D43=1,IF(GDP_per_cap!T41&gt;'all_1961-1990'!$H$1,0,IF(UrbanPopRate!T41&gt;=$J$1,0,1)),0)</f>
        <v>0</v>
      </c>
      <c r="Y43">
        <f>IF($D43=1,IF(GDP_per_cap!U41&gt;'all_1961-1990'!$H$1,0,IF(UrbanPopRate!U41&gt;=$J$1,0,1)),0)</f>
        <v>0</v>
      </c>
      <c r="Z43">
        <f>IF($D43=1,IF(GDP_per_cap!V41&gt;'all_1961-1990'!$H$1,0,IF(UrbanPopRate!V41&gt;=$J$1,0,1)),0)</f>
        <v>0</v>
      </c>
      <c r="AA43">
        <f>IF($D43=1,IF(GDP_per_cap!W41&gt;'all_1961-1990'!$H$1,0,IF(UrbanPopRate!W41&gt;=$J$1,0,1)),0)</f>
        <v>0</v>
      </c>
      <c r="AB43">
        <f>IF($D43=1,IF(GDP_per_cap!X41&gt;'all_1961-1990'!$H$1,0,IF(UrbanPopRate!X41&gt;=$J$1,0,1)),0)</f>
        <v>0</v>
      </c>
      <c r="AC43">
        <f>IF($D43=1,IF(GDP_per_cap!Y41&gt;'all_1961-1990'!$H$1,0,IF(UrbanPopRate!Y41&gt;=$J$1,0,1)),0)</f>
        <v>0</v>
      </c>
      <c r="AD43">
        <f>IF($D43=1,IF(GDP_per_cap!Z41&gt;'all_1961-1990'!$H$1,0,IF(UrbanPopRate!Z41&gt;=$J$1,0,1)),0)</f>
        <v>0</v>
      </c>
      <c r="AE43">
        <f>IF($D43=1,IF(GDP_per_cap!AA41&gt;'all_1961-1990'!$H$1,0,IF(UrbanPopRate!AA41&gt;=$J$1,0,1)),0)</f>
        <v>0</v>
      </c>
      <c r="AF43">
        <f>IF($D43=1,IF(GDP_per_cap!AB41&gt;'all_1961-1990'!$H$1,0,IF(UrbanPopRate!AB41&gt;=$J$1,0,1)),0)</f>
        <v>0</v>
      </c>
      <c r="AG43">
        <f>IF($D43=1,IF(GDP_per_cap!AC41&gt;'all_1961-1990'!$H$1,0,IF(UrbanPopRate!AC41&gt;=$J$1,0,1)),0)</f>
        <v>0</v>
      </c>
      <c r="AH43">
        <f>IF($D43=1,IF(GDP_per_cap!AD41&gt;'all_1961-1990'!$H$1,0,IF(UrbanPopRate!AD41&gt;=$J$1,0,1)),0)</f>
        <v>0</v>
      </c>
      <c r="AI43">
        <f>IF($D43=1,IF(GDP_per_cap!AE41&gt;'all_1961-1990'!$H$1,0,IF(UrbanPopRate!AE41&gt;=$J$1,0,1)),0)</f>
        <v>0</v>
      </c>
      <c r="AJ43">
        <f>IF($D43=1,IF(GDP_per_cap!AF41&gt;'all_1961-1990'!$H$1,0,IF(UrbanPopRate!AF41&gt;=$J$1,0,1)),0)</f>
        <v>0</v>
      </c>
      <c r="AK43">
        <f>IF($D43=1,IF(GDP_per_cap!AG41&gt;'all_1961-1990'!$H$1,0,IF(UrbanPopRate!AG41&gt;=$J$1,0,1)),0)</f>
        <v>0</v>
      </c>
      <c r="AL43">
        <f>IF($D43=1,IF(GDP_per_cap!AH41&gt;'all_1961-1990'!$H$1,0,IF(UrbanPopRate!AH41&gt;=$J$1,0,1)),0)</f>
        <v>0</v>
      </c>
      <c r="AM43">
        <f>IF($D43=1,IF(GDP_per_cap!AI41&gt;'all_1961-1990'!$H$1,0,IF(UrbanPopRate!AI41&gt;=$J$1,0,1)),0)</f>
        <v>0</v>
      </c>
      <c r="AN43">
        <f>IF($D43=1,IF(GDP_per_cap!AJ41&gt;'all_1961-1990'!$H$1,0,IF(UrbanPopRate!AJ41&gt;=$J$1,0,1)),0)</f>
        <v>0</v>
      </c>
      <c r="AO43">
        <f>IF($D43=1,IF(GDP_per_cap!AK41&gt;'all_1961-1990'!$H$1,0,IF(UrbanPopRate!AK41&gt;=$J$1,0,1)),0)</f>
        <v>0</v>
      </c>
      <c r="AP43">
        <f>IF($D43=1,IF(GDP_per_cap!AL41&gt;'all_1961-1990'!$H$1,0,IF(UrbanPopRate!AL41&gt;=$J$1,0,1)),0)</f>
        <v>0</v>
      </c>
      <c r="AQ43">
        <f>IF($D43=1,IF(GDP_per_cap!AM41&gt;'all_1961-1990'!$H$1,0,IF(UrbanPopRate!AM41&gt;=$J$1,0,1)),0)</f>
        <v>0</v>
      </c>
      <c r="AR43">
        <f>IF($D43=1,IF(GDP_per_cap!AN41&gt;'all_1961-1990'!$H$1,0,IF(UrbanPopRate!AN41&gt;=$J$1,0,1)),0)</f>
        <v>0</v>
      </c>
      <c r="AS43">
        <f>IF($D43=1,IF(GDP_per_cap!AO41&gt;'all_1961-1990'!$H$1,0,IF(UrbanPopRate!AO41&gt;=$J$1,0,1)),0)</f>
        <v>0</v>
      </c>
      <c r="AT43">
        <f>IF($D43=1,IF(GDP_per_cap!AP41&gt;'all_1961-1990'!$H$1,0,IF(UrbanPopRate!AP41&gt;=$J$1,0,1)),0)</f>
        <v>0</v>
      </c>
      <c r="AU43">
        <f>IF($D43=1,IF(GDP_per_cap!AQ41&gt;'all_1961-1990'!$H$1,0,IF(UrbanPopRate!AQ41&gt;=$J$1,0,1)),0)</f>
        <v>0</v>
      </c>
      <c r="AV43">
        <f>IF($D43=1,IF(GDP_per_cap!AR41&gt;'all_1961-1990'!$H$1,0,IF(UrbanPopRate!AR41&gt;=$J$1,0,1)),0)</f>
        <v>0</v>
      </c>
      <c r="AW43">
        <f>IF($D43=1,IF(GDP_per_cap!AS41&gt;'all_1961-1990'!$H$1,0,IF(UrbanPopRate!AS41&gt;=$J$1,0,1)),0)</f>
        <v>0</v>
      </c>
      <c r="AX43">
        <f>IF($D43=1,IF(GDP_per_cap!AT41&gt;'all_1961-1990'!$H$1,0,IF(UrbanPopRate!AT41&gt;=$J$1,0,1)),0)</f>
        <v>0</v>
      </c>
      <c r="AY43">
        <f>IF($D43=1,IF(GDP_per_cap!AU41&gt;'all_1961-1990'!$H$1,0,IF(UrbanPopRate!AU41&gt;=$J$1,0,1)),0)</f>
        <v>0</v>
      </c>
      <c r="AZ43">
        <f>IF($D43=1,IF(GDP_per_cap!AV41&gt;'all_1961-1990'!$H$1,0,IF(UrbanPopRate!AV41&gt;=$J$1,0,1)),0)</f>
        <v>0</v>
      </c>
      <c r="BA43">
        <f>IF($D43=1,IF(GDP_per_cap!AW41&gt;'all_1961-1990'!$H$1,0,IF(UrbanPopRate!AW41&gt;=$J$1,0,1)),0)</f>
        <v>0</v>
      </c>
      <c r="BB43">
        <f>IF($D43=1,IF(GDP_per_cap!AX41&gt;'all_1961-1990'!$H$1,0,IF(UrbanPopRate!AX41&gt;=$J$1,0,1)),0)</f>
        <v>0</v>
      </c>
      <c r="BC43">
        <f>IF($D43=1,IF(GDP_per_cap!AY41&gt;'all_1961-1990'!$H$1,0,IF(UrbanPopRate!AY41&gt;=$J$1,0,1)),0)</f>
        <v>0</v>
      </c>
      <c r="BD43">
        <f>IF($D43=1,IF(GDP_per_cap!AZ41&gt;'all_1961-1990'!$H$1,0,IF(UrbanPopRate!AZ41&gt;=$J$1,0,1)),0)</f>
        <v>0</v>
      </c>
      <c r="BE43">
        <f>IF($D43=1,IF(GDP_per_cap!BA41&gt;'all_1961-1990'!$H$1,0,IF(UrbanPopRate!BA41&gt;=$J$1,0,1)),0)</f>
        <v>0</v>
      </c>
      <c r="BF43">
        <f>IF($D43=1,IF(GDP_per_cap!BB41&gt;'all_1961-1990'!$H$1,0,IF(UrbanPopRate!BB41&gt;=$J$1,0,1)),0)</f>
        <v>0</v>
      </c>
    </row>
    <row r="44" spans="1:58">
      <c r="A44" s="3">
        <v>151</v>
      </c>
      <c r="B44" s="3" t="s">
        <v>58</v>
      </c>
      <c r="C44" s="2">
        <v>2</v>
      </c>
      <c r="D44" s="35">
        <v>0</v>
      </c>
      <c r="E44" s="2">
        <v>23.527866666666664</v>
      </c>
      <c r="F44" s="36">
        <v>4368.6515630000004</v>
      </c>
      <c r="G44">
        <f>IF($D44=1,IF(GDP_per_cap!C98&gt;'all_1961-1990'!$H$1,0,IF(UrbanPopRate!C98&gt;=$J$1,0,1)),0)</f>
        <v>0</v>
      </c>
      <c r="H44">
        <f>IF($D44=1,IF(GDP_per_cap!D98&gt;'all_1961-1990'!$H$1,0,IF(UrbanPopRate!D98&gt;=$J$1,0,1)),0)</f>
        <v>0</v>
      </c>
      <c r="I44">
        <f>IF($D44=1,IF(GDP_per_cap!E98&gt;'all_1961-1990'!$H$1,0,IF(UrbanPopRate!E98&gt;=$J$1,0,1)),0)</f>
        <v>0</v>
      </c>
      <c r="J44">
        <f>IF($D44=1,IF(GDP_per_cap!F98&gt;'all_1961-1990'!$H$1,0,IF(UrbanPopRate!F98&gt;=$J$1,0,1)),0)</f>
        <v>0</v>
      </c>
      <c r="K44">
        <f>IF($D44=1,IF(GDP_per_cap!G98&gt;'all_1961-1990'!$H$1,0,IF(UrbanPopRate!G98&gt;=$J$1,0,1)),0)</f>
        <v>0</v>
      </c>
      <c r="L44">
        <f>IF($D44=1,IF(GDP_per_cap!H98&gt;'all_1961-1990'!$H$1,0,IF(UrbanPopRate!H98&gt;=$J$1,0,1)),0)</f>
        <v>0</v>
      </c>
      <c r="M44">
        <f>IF($D44=1,IF(GDP_per_cap!I98&gt;'all_1961-1990'!$H$1,0,IF(UrbanPopRate!I98&gt;=$J$1,0,1)),0)</f>
        <v>0</v>
      </c>
      <c r="N44">
        <f>IF($D44=1,IF(GDP_per_cap!J98&gt;'all_1961-1990'!$H$1,0,IF(UrbanPopRate!J98&gt;=$J$1,0,1)),0)</f>
        <v>0</v>
      </c>
      <c r="O44">
        <f>IF($D44=1,IF(GDP_per_cap!K98&gt;'all_1961-1990'!$H$1,0,IF(UrbanPopRate!K98&gt;=$J$1,0,1)),0)</f>
        <v>0</v>
      </c>
      <c r="P44">
        <f>IF($D44=1,IF(GDP_per_cap!L98&gt;'all_1961-1990'!$H$1,0,IF(UrbanPopRate!L98&gt;=$J$1,0,1)),0)</f>
        <v>0</v>
      </c>
      <c r="Q44">
        <f>IF($D44=1,IF(GDP_per_cap!M98&gt;'all_1961-1990'!$H$1,0,IF(UrbanPopRate!M98&gt;=$J$1,0,1)),0)</f>
        <v>0</v>
      </c>
      <c r="R44">
        <f>IF($D44=1,IF(GDP_per_cap!N98&gt;'all_1961-1990'!$H$1,0,IF(UrbanPopRate!N98&gt;=$J$1,0,1)),0)</f>
        <v>0</v>
      </c>
      <c r="S44">
        <f>IF($D44=1,IF(GDP_per_cap!O98&gt;'all_1961-1990'!$H$1,0,IF(UrbanPopRate!O98&gt;=$J$1,0,1)),0)</f>
        <v>0</v>
      </c>
      <c r="T44">
        <f>IF($D44=1,IF(GDP_per_cap!P98&gt;'all_1961-1990'!$H$1,0,IF(UrbanPopRate!P98&gt;=$J$1,0,1)),0)</f>
        <v>0</v>
      </c>
      <c r="U44">
        <f>IF($D44=1,IF(GDP_per_cap!Q98&gt;'all_1961-1990'!$H$1,0,IF(UrbanPopRate!Q98&gt;=$J$1,0,1)),0)</f>
        <v>0</v>
      </c>
      <c r="V44">
        <f>IF($D44=1,IF(GDP_per_cap!R98&gt;'all_1961-1990'!$H$1,0,IF(UrbanPopRate!R98&gt;=$J$1,0,1)),0)</f>
        <v>0</v>
      </c>
      <c r="W44">
        <f>IF($D44=1,IF(GDP_per_cap!S98&gt;'all_1961-1990'!$H$1,0,IF(UrbanPopRate!S98&gt;=$J$1,0,1)),0)</f>
        <v>0</v>
      </c>
      <c r="X44">
        <f>IF($D44=1,IF(GDP_per_cap!T98&gt;'all_1961-1990'!$H$1,0,IF(UrbanPopRate!T98&gt;=$J$1,0,1)),0)</f>
        <v>0</v>
      </c>
      <c r="Y44">
        <f>IF($D44=1,IF(GDP_per_cap!U98&gt;'all_1961-1990'!$H$1,0,IF(UrbanPopRate!U98&gt;=$J$1,0,1)),0)</f>
        <v>0</v>
      </c>
      <c r="Z44">
        <f>IF($D44=1,IF(GDP_per_cap!V98&gt;'all_1961-1990'!$H$1,0,IF(UrbanPopRate!V98&gt;=$J$1,0,1)),0)</f>
        <v>0</v>
      </c>
      <c r="AA44">
        <f>IF($D44=1,IF(GDP_per_cap!W98&gt;'all_1961-1990'!$H$1,0,IF(UrbanPopRate!W98&gt;=$J$1,0,1)),0)</f>
        <v>0</v>
      </c>
      <c r="AB44">
        <f>IF($D44=1,IF(GDP_per_cap!X98&gt;'all_1961-1990'!$H$1,0,IF(UrbanPopRate!X98&gt;=$J$1,0,1)),0)</f>
        <v>0</v>
      </c>
      <c r="AC44">
        <f>IF($D44=1,IF(GDP_per_cap!Y98&gt;'all_1961-1990'!$H$1,0,IF(UrbanPopRate!Y98&gt;=$J$1,0,1)),0)</f>
        <v>0</v>
      </c>
      <c r="AD44">
        <f>IF($D44=1,IF(GDP_per_cap!Z98&gt;'all_1961-1990'!$H$1,0,IF(UrbanPopRate!Z98&gt;=$J$1,0,1)),0)</f>
        <v>0</v>
      </c>
      <c r="AE44">
        <f>IF($D44=1,IF(GDP_per_cap!AA98&gt;'all_1961-1990'!$H$1,0,IF(UrbanPopRate!AA98&gt;=$J$1,0,1)),0)</f>
        <v>0</v>
      </c>
      <c r="AF44">
        <f>IF($D44=1,IF(GDP_per_cap!AB98&gt;'all_1961-1990'!$H$1,0,IF(UrbanPopRate!AB98&gt;=$J$1,0,1)),0)</f>
        <v>0</v>
      </c>
      <c r="AG44">
        <f>IF($D44=1,IF(GDP_per_cap!AC98&gt;'all_1961-1990'!$H$1,0,IF(UrbanPopRate!AC98&gt;=$J$1,0,1)),0)</f>
        <v>0</v>
      </c>
      <c r="AH44">
        <f>IF($D44=1,IF(GDP_per_cap!AD98&gt;'all_1961-1990'!$H$1,0,IF(UrbanPopRate!AD98&gt;=$J$1,0,1)),0)</f>
        <v>0</v>
      </c>
      <c r="AI44">
        <f>IF($D44=1,IF(GDP_per_cap!AE98&gt;'all_1961-1990'!$H$1,0,IF(UrbanPopRate!AE98&gt;=$J$1,0,1)),0)</f>
        <v>0</v>
      </c>
      <c r="AJ44">
        <f>IF($D44=1,IF(GDP_per_cap!AF98&gt;'all_1961-1990'!$H$1,0,IF(UrbanPopRate!AF98&gt;=$J$1,0,1)),0)</f>
        <v>0</v>
      </c>
      <c r="AK44">
        <f>IF($D44=1,IF(GDP_per_cap!AG98&gt;'all_1961-1990'!$H$1,0,IF(UrbanPopRate!AG98&gt;=$J$1,0,1)),0)</f>
        <v>0</v>
      </c>
      <c r="AL44">
        <f>IF($D44=1,IF(GDP_per_cap!AH98&gt;'all_1961-1990'!$H$1,0,IF(UrbanPopRate!AH98&gt;=$J$1,0,1)),0)</f>
        <v>0</v>
      </c>
      <c r="AM44">
        <f>IF($D44=1,IF(GDP_per_cap!AI98&gt;'all_1961-1990'!$H$1,0,IF(UrbanPopRate!AI98&gt;=$J$1,0,1)),0)</f>
        <v>0</v>
      </c>
      <c r="AN44">
        <f>IF($D44=1,IF(GDP_per_cap!AJ98&gt;'all_1961-1990'!$H$1,0,IF(UrbanPopRate!AJ98&gt;=$J$1,0,1)),0)</f>
        <v>0</v>
      </c>
      <c r="AO44">
        <f>IF($D44=1,IF(GDP_per_cap!AK98&gt;'all_1961-1990'!$H$1,0,IF(UrbanPopRate!AK98&gt;=$J$1,0,1)),0)</f>
        <v>0</v>
      </c>
      <c r="AP44">
        <f>IF($D44=1,IF(GDP_per_cap!AL98&gt;'all_1961-1990'!$H$1,0,IF(UrbanPopRate!AL98&gt;=$J$1,0,1)),0)</f>
        <v>0</v>
      </c>
      <c r="AQ44">
        <f>IF($D44=1,IF(GDP_per_cap!AM98&gt;'all_1961-1990'!$H$1,0,IF(UrbanPopRate!AM98&gt;=$J$1,0,1)),0)</f>
        <v>0</v>
      </c>
      <c r="AR44">
        <f>IF($D44=1,IF(GDP_per_cap!AN98&gt;'all_1961-1990'!$H$1,0,IF(UrbanPopRate!AN98&gt;=$J$1,0,1)),0)</f>
        <v>0</v>
      </c>
      <c r="AS44">
        <f>IF($D44=1,IF(GDP_per_cap!AO98&gt;'all_1961-1990'!$H$1,0,IF(UrbanPopRate!AO98&gt;=$J$1,0,1)),0)</f>
        <v>0</v>
      </c>
      <c r="AT44">
        <f>IF($D44=1,IF(GDP_per_cap!AP98&gt;'all_1961-1990'!$H$1,0,IF(UrbanPopRate!AP98&gt;=$J$1,0,1)),0)</f>
        <v>0</v>
      </c>
      <c r="AU44">
        <f>IF($D44=1,IF(GDP_per_cap!AQ98&gt;'all_1961-1990'!$H$1,0,IF(UrbanPopRate!AQ98&gt;=$J$1,0,1)),0)</f>
        <v>0</v>
      </c>
      <c r="AV44">
        <f>IF($D44=1,IF(GDP_per_cap!AR98&gt;'all_1961-1990'!$H$1,0,IF(UrbanPopRate!AR98&gt;=$J$1,0,1)),0)</f>
        <v>0</v>
      </c>
      <c r="AW44">
        <f>IF($D44=1,IF(GDP_per_cap!AS98&gt;'all_1961-1990'!$H$1,0,IF(UrbanPopRate!AS98&gt;=$J$1,0,1)),0)</f>
        <v>0</v>
      </c>
      <c r="AX44">
        <f>IF($D44=1,IF(GDP_per_cap!AT98&gt;'all_1961-1990'!$H$1,0,IF(UrbanPopRate!AT98&gt;=$J$1,0,1)),0)</f>
        <v>0</v>
      </c>
      <c r="AY44">
        <f>IF($D44=1,IF(GDP_per_cap!AU98&gt;'all_1961-1990'!$H$1,0,IF(UrbanPopRate!AU98&gt;=$J$1,0,1)),0)</f>
        <v>0</v>
      </c>
      <c r="AZ44">
        <f>IF($D44=1,IF(GDP_per_cap!AV98&gt;'all_1961-1990'!$H$1,0,IF(UrbanPopRate!AV98&gt;=$J$1,0,1)),0)</f>
        <v>0</v>
      </c>
      <c r="BA44">
        <f>IF($D44=1,IF(GDP_per_cap!AW98&gt;'all_1961-1990'!$H$1,0,IF(UrbanPopRate!AW98&gt;=$J$1,0,1)),0)</f>
        <v>0</v>
      </c>
      <c r="BB44">
        <f>IF($D44=1,IF(GDP_per_cap!AX98&gt;'all_1961-1990'!$H$1,0,IF(UrbanPopRate!AX98&gt;=$J$1,0,1)),0)</f>
        <v>0</v>
      </c>
      <c r="BC44">
        <f>IF($D44=1,IF(GDP_per_cap!AY98&gt;'all_1961-1990'!$H$1,0,IF(UrbanPopRate!AY98&gt;=$J$1,0,1)),0)</f>
        <v>0</v>
      </c>
      <c r="BD44">
        <f>IF($D44=1,IF(GDP_per_cap!AZ98&gt;'all_1961-1990'!$H$1,0,IF(UrbanPopRate!AZ98&gt;=$J$1,0,1)),0)</f>
        <v>0</v>
      </c>
      <c r="BE44">
        <f>IF($D44=1,IF(GDP_per_cap!BA98&gt;'all_1961-1990'!$H$1,0,IF(UrbanPopRate!BA98&gt;=$J$1,0,1)),0)</f>
        <v>0</v>
      </c>
      <c r="BF44">
        <f>IF($D44=1,IF(GDP_per_cap!BB98&gt;'all_1961-1990'!$H$1,0,IF(UrbanPopRate!BB98&gt;=$J$1,0,1)),0)</f>
        <v>0</v>
      </c>
    </row>
    <row r="45" spans="1:58">
      <c r="A45" s="3">
        <v>3</v>
      </c>
      <c r="B45" s="3" t="s">
        <v>153</v>
      </c>
      <c r="C45" s="2">
        <v>2</v>
      </c>
      <c r="D45" s="35">
        <v>0</v>
      </c>
      <c r="E45" s="2">
        <v>33.110966666666663</v>
      </c>
      <c r="F45" s="36">
        <v>4269.6167070000001</v>
      </c>
      <c r="G45">
        <f>IF($D45=1,IF(GDP_per_cap!C3&gt;'all_1961-1990'!$H$1,0,IF(UrbanPopRate!C3&gt;=$J$1,0,1)),0)</f>
        <v>0</v>
      </c>
      <c r="H45">
        <f>IF($D45=1,IF(GDP_per_cap!D3&gt;'all_1961-1990'!$H$1,0,IF(UrbanPopRate!D3&gt;=$J$1,0,1)),0)</f>
        <v>0</v>
      </c>
      <c r="I45">
        <f>IF($D45=1,IF(GDP_per_cap!E3&gt;'all_1961-1990'!$H$1,0,IF(UrbanPopRate!E3&gt;=$J$1,0,1)),0)</f>
        <v>0</v>
      </c>
      <c r="J45">
        <f>IF($D45=1,IF(GDP_per_cap!F3&gt;'all_1961-1990'!$H$1,0,IF(UrbanPopRate!F3&gt;=$J$1,0,1)),0)</f>
        <v>0</v>
      </c>
      <c r="K45">
        <f>IF($D45=1,IF(GDP_per_cap!G3&gt;'all_1961-1990'!$H$1,0,IF(UrbanPopRate!G3&gt;=$J$1,0,1)),0)</f>
        <v>0</v>
      </c>
      <c r="L45">
        <f>IF($D45=1,IF(GDP_per_cap!H3&gt;'all_1961-1990'!$H$1,0,IF(UrbanPopRate!H3&gt;=$J$1,0,1)),0)</f>
        <v>0</v>
      </c>
      <c r="M45">
        <f>IF($D45=1,IF(GDP_per_cap!I3&gt;'all_1961-1990'!$H$1,0,IF(UrbanPopRate!I3&gt;=$J$1,0,1)),0)</f>
        <v>0</v>
      </c>
      <c r="N45">
        <f>IF($D45=1,IF(GDP_per_cap!J3&gt;'all_1961-1990'!$H$1,0,IF(UrbanPopRate!J3&gt;=$J$1,0,1)),0)</f>
        <v>0</v>
      </c>
      <c r="O45">
        <f>IF($D45=1,IF(GDP_per_cap!K3&gt;'all_1961-1990'!$H$1,0,IF(UrbanPopRate!K3&gt;=$J$1,0,1)),0)</f>
        <v>0</v>
      </c>
      <c r="P45">
        <f>IF($D45=1,IF(GDP_per_cap!L3&gt;'all_1961-1990'!$H$1,0,IF(UrbanPopRate!L3&gt;=$J$1,0,1)),0)</f>
        <v>0</v>
      </c>
      <c r="Q45">
        <f>IF($D45=1,IF(GDP_per_cap!M3&gt;'all_1961-1990'!$H$1,0,IF(UrbanPopRate!M3&gt;=$J$1,0,1)),0)</f>
        <v>0</v>
      </c>
      <c r="R45">
        <f>IF($D45=1,IF(GDP_per_cap!N3&gt;'all_1961-1990'!$H$1,0,IF(UrbanPopRate!N3&gt;=$J$1,0,1)),0)</f>
        <v>0</v>
      </c>
      <c r="S45">
        <f>IF($D45=1,IF(GDP_per_cap!O3&gt;'all_1961-1990'!$H$1,0,IF(UrbanPopRate!O3&gt;=$J$1,0,1)),0)</f>
        <v>0</v>
      </c>
      <c r="T45">
        <f>IF($D45=1,IF(GDP_per_cap!P3&gt;'all_1961-1990'!$H$1,0,IF(UrbanPopRate!P3&gt;=$J$1,0,1)),0)</f>
        <v>0</v>
      </c>
      <c r="U45">
        <f>IF($D45=1,IF(GDP_per_cap!Q3&gt;'all_1961-1990'!$H$1,0,IF(UrbanPopRate!Q3&gt;=$J$1,0,1)),0)</f>
        <v>0</v>
      </c>
      <c r="V45">
        <f>IF($D45=1,IF(GDP_per_cap!R3&gt;'all_1961-1990'!$H$1,0,IF(UrbanPopRate!R3&gt;=$J$1,0,1)),0)</f>
        <v>0</v>
      </c>
      <c r="W45">
        <f>IF($D45=1,IF(GDP_per_cap!S3&gt;'all_1961-1990'!$H$1,0,IF(UrbanPopRate!S3&gt;=$J$1,0,1)),0)</f>
        <v>0</v>
      </c>
      <c r="X45">
        <f>IF($D45=1,IF(GDP_per_cap!T3&gt;'all_1961-1990'!$H$1,0,IF(UrbanPopRate!T3&gt;=$J$1,0,1)),0)</f>
        <v>0</v>
      </c>
      <c r="Y45">
        <f>IF($D45=1,IF(GDP_per_cap!U3&gt;'all_1961-1990'!$H$1,0,IF(UrbanPopRate!U3&gt;=$J$1,0,1)),0)</f>
        <v>0</v>
      </c>
      <c r="Z45">
        <f>IF($D45=1,IF(GDP_per_cap!V3&gt;'all_1961-1990'!$H$1,0,IF(UrbanPopRate!V3&gt;=$J$1,0,1)),0)</f>
        <v>0</v>
      </c>
      <c r="AA45">
        <f>IF($D45=1,IF(GDP_per_cap!W3&gt;'all_1961-1990'!$H$1,0,IF(UrbanPopRate!W3&gt;=$J$1,0,1)),0)</f>
        <v>0</v>
      </c>
      <c r="AB45">
        <f>IF($D45=1,IF(GDP_per_cap!X3&gt;'all_1961-1990'!$H$1,0,IF(UrbanPopRate!X3&gt;=$J$1,0,1)),0)</f>
        <v>0</v>
      </c>
      <c r="AC45">
        <f>IF($D45=1,IF(GDP_per_cap!Y3&gt;'all_1961-1990'!$H$1,0,IF(UrbanPopRate!Y3&gt;=$J$1,0,1)),0)</f>
        <v>0</v>
      </c>
      <c r="AD45">
        <f>IF($D45=1,IF(GDP_per_cap!Z3&gt;'all_1961-1990'!$H$1,0,IF(UrbanPopRate!Z3&gt;=$J$1,0,1)),0)</f>
        <v>0</v>
      </c>
      <c r="AE45">
        <f>IF($D45=1,IF(GDP_per_cap!AA3&gt;'all_1961-1990'!$H$1,0,IF(UrbanPopRate!AA3&gt;=$J$1,0,1)),0)</f>
        <v>0</v>
      </c>
      <c r="AF45">
        <f>IF($D45=1,IF(GDP_per_cap!AB3&gt;'all_1961-1990'!$H$1,0,IF(UrbanPopRate!AB3&gt;=$J$1,0,1)),0)</f>
        <v>0</v>
      </c>
      <c r="AG45">
        <f>IF($D45=1,IF(GDP_per_cap!AC3&gt;'all_1961-1990'!$H$1,0,IF(UrbanPopRate!AC3&gt;=$J$1,0,1)),0)</f>
        <v>0</v>
      </c>
      <c r="AH45">
        <f>IF($D45=1,IF(GDP_per_cap!AD3&gt;'all_1961-1990'!$H$1,0,IF(UrbanPopRate!AD3&gt;=$J$1,0,1)),0)</f>
        <v>0</v>
      </c>
      <c r="AI45">
        <f>IF($D45=1,IF(GDP_per_cap!AE3&gt;'all_1961-1990'!$H$1,0,IF(UrbanPopRate!AE3&gt;=$J$1,0,1)),0)</f>
        <v>0</v>
      </c>
      <c r="AJ45">
        <f>IF($D45=1,IF(GDP_per_cap!AF3&gt;'all_1961-1990'!$H$1,0,IF(UrbanPopRate!AF3&gt;=$J$1,0,1)),0)</f>
        <v>0</v>
      </c>
      <c r="AK45">
        <f>IF($D45=1,IF(GDP_per_cap!AG3&gt;'all_1961-1990'!$H$1,0,IF(UrbanPopRate!AG3&gt;=$J$1,0,1)),0)</f>
        <v>0</v>
      </c>
      <c r="AL45">
        <f>IF($D45=1,IF(GDP_per_cap!AH3&gt;'all_1961-1990'!$H$1,0,IF(UrbanPopRate!AH3&gt;=$J$1,0,1)),0)</f>
        <v>0</v>
      </c>
      <c r="AM45">
        <f>IF($D45=1,IF(GDP_per_cap!AI3&gt;'all_1961-1990'!$H$1,0,IF(UrbanPopRate!AI3&gt;=$J$1,0,1)),0)</f>
        <v>0</v>
      </c>
      <c r="AN45">
        <f>IF($D45=1,IF(GDP_per_cap!AJ3&gt;'all_1961-1990'!$H$1,0,IF(UrbanPopRate!AJ3&gt;=$J$1,0,1)),0)</f>
        <v>0</v>
      </c>
      <c r="AO45">
        <f>IF($D45=1,IF(GDP_per_cap!AK3&gt;'all_1961-1990'!$H$1,0,IF(UrbanPopRate!AK3&gt;=$J$1,0,1)),0)</f>
        <v>0</v>
      </c>
      <c r="AP45">
        <f>IF($D45=1,IF(GDP_per_cap!AL3&gt;'all_1961-1990'!$H$1,0,IF(UrbanPopRate!AL3&gt;=$J$1,0,1)),0)</f>
        <v>0</v>
      </c>
      <c r="AQ45">
        <f>IF($D45=1,IF(GDP_per_cap!AM3&gt;'all_1961-1990'!$H$1,0,IF(UrbanPopRate!AM3&gt;=$J$1,0,1)),0)</f>
        <v>0</v>
      </c>
      <c r="AR45">
        <f>IF($D45=1,IF(GDP_per_cap!AN3&gt;'all_1961-1990'!$H$1,0,IF(UrbanPopRate!AN3&gt;=$J$1,0,1)),0)</f>
        <v>0</v>
      </c>
      <c r="AS45">
        <f>IF($D45=1,IF(GDP_per_cap!AO3&gt;'all_1961-1990'!$H$1,0,IF(UrbanPopRate!AO3&gt;=$J$1,0,1)),0)</f>
        <v>0</v>
      </c>
      <c r="AT45">
        <f>IF($D45=1,IF(GDP_per_cap!AP3&gt;'all_1961-1990'!$H$1,0,IF(UrbanPopRate!AP3&gt;=$J$1,0,1)),0)</f>
        <v>0</v>
      </c>
      <c r="AU45">
        <f>IF($D45=1,IF(GDP_per_cap!AQ3&gt;'all_1961-1990'!$H$1,0,IF(UrbanPopRate!AQ3&gt;=$J$1,0,1)),0)</f>
        <v>0</v>
      </c>
      <c r="AV45">
        <f>IF($D45=1,IF(GDP_per_cap!AR3&gt;'all_1961-1990'!$H$1,0,IF(UrbanPopRate!AR3&gt;=$J$1,0,1)),0)</f>
        <v>0</v>
      </c>
      <c r="AW45">
        <f>IF($D45=1,IF(GDP_per_cap!AS3&gt;'all_1961-1990'!$H$1,0,IF(UrbanPopRate!AS3&gt;=$J$1,0,1)),0)</f>
        <v>0</v>
      </c>
      <c r="AX45">
        <f>IF($D45=1,IF(GDP_per_cap!AT3&gt;'all_1961-1990'!$H$1,0,IF(UrbanPopRate!AT3&gt;=$J$1,0,1)),0)</f>
        <v>0</v>
      </c>
      <c r="AY45">
        <f>IF($D45=1,IF(GDP_per_cap!AU3&gt;'all_1961-1990'!$H$1,0,IF(UrbanPopRate!AU3&gt;=$J$1,0,1)),0)</f>
        <v>0</v>
      </c>
      <c r="AZ45">
        <f>IF($D45=1,IF(GDP_per_cap!AV3&gt;'all_1961-1990'!$H$1,0,IF(UrbanPopRate!AV3&gt;=$J$1,0,1)),0)</f>
        <v>0</v>
      </c>
      <c r="BA45">
        <f>IF($D45=1,IF(GDP_per_cap!AW3&gt;'all_1961-1990'!$H$1,0,IF(UrbanPopRate!AW3&gt;=$J$1,0,1)),0)</f>
        <v>0</v>
      </c>
      <c r="BB45">
        <f>IF($D45=1,IF(GDP_per_cap!AX3&gt;'all_1961-1990'!$H$1,0,IF(UrbanPopRate!AX3&gt;=$J$1,0,1)),0)</f>
        <v>0</v>
      </c>
      <c r="BC45">
        <f>IF($D45=1,IF(GDP_per_cap!AY3&gt;'all_1961-1990'!$H$1,0,IF(UrbanPopRate!AY3&gt;=$J$1,0,1)),0)</f>
        <v>0</v>
      </c>
      <c r="BD45">
        <f>IF($D45=1,IF(GDP_per_cap!AZ3&gt;'all_1961-1990'!$H$1,0,IF(UrbanPopRate!AZ3&gt;=$J$1,0,1)),0)</f>
        <v>0</v>
      </c>
      <c r="BE45">
        <f>IF($D45=1,IF(GDP_per_cap!BA3&gt;'all_1961-1990'!$H$1,0,IF(UrbanPopRate!BA3&gt;=$J$1,0,1)),0)</f>
        <v>0</v>
      </c>
      <c r="BF45">
        <f>IF($D45=1,IF(GDP_per_cap!BB3&gt;'all_1961-1990'!$H$1,0,IF(UrbanPopRate!BB3&gt;=$J$1,0,1)),0)</f>
        <v>0</v>
      </c>
    </row>
    <row r="46" spans="1:58">
      <c r="A46" s="3">
        <v>221</v>
      </c>
      <c r="B46" s="3" t="s">
        <v>14</v>
      </c>
      <c r="C46" s="2">
        <v>2</v>
      </c>
      <c r="D46" s="35">
        <v>0</v>
      </c>
      <c r="E46" s="2">
        <v>47.495666666666665</v>
      </c>
      <c r="F46" s="36">
        <v>4246.0986000000003</v>
      </c>
      <c r="G46">
        <f>IF($D46=1,IF(GDP_per_cap!C142&gt;'all_1961-1990'!$H$1,0,IF(UrbanPopRate!C142&gt;=$J$1,0,1)),0)</f>
        <v>0</v>
      </c>
      <c r="H46">
        <f>IF($D46=1,IF(GDP_per_cap!D142&gt;'all_1961-1990'!$H$1,0,IF(UrbanPopRate!D142&gt;=$J$1,0,1)),0)</f>
        <v>0</v>
      </c>
      <c r="I46">
        <f>IF($D46=1,IF(GDP_per_cap!E142&gt;'all_1961-1990'!$H$1,0,IF(UrbanPopRate!E142&gt;=$J$1,0,1)),0)</f>
        <v>0</v>
      </c>
      <c r="J46">
        <f>IF($D46=1,IF(GDP_per_cap!F142&gt;'all_1961-1990'!$H$1,0,IF(UrbanPopRate!F142&gt;=$J$1,0,1)),0)</f>
        <v>0</v>
      </c>
      <c r="K46">
        <f>IF($D46=1,IF(GDP_per_cap!G142&gt;'all_1961-1990'!$H$1,0,IF(UrbanPopRate!G142&gt;=$J$1,0,1)),0)</f>
        <v>0</v>
      </c>
      <c r="L46">
        <f>IF($D46=1,IF(GDP_per_cap!H142&gt;'all_1961-1990'!$H$1,0,IF(UrbanPopRate!H142&gt;=$J$1,0,1)),0)</f>
        <v>0</v>
      </c>
      <c r="M46">
        <f>IF($D46=1,IF(GDP_per_cap!I142&gt;'all_1961-1990'!$H$1,0,IF(UrbanPopRate!I142&gt;=$J$1,0,1)),0)</f>
        <v>0</v>
      </c>
      <c r="N46">
        <f>IF($D46=1,IF(GDP_per_cap!J142&gt;'all_1961-1990'!$H$1,0,IF(UrbanPopRate!J142&gt;=$J$1,0,1)),0)</f>
        <v>0</v>
      </c>
      <c r="O46">
        <f>IF($D46=1,IF(GDP_per_cap!K142&gt;'all_1961-1990'!$H$1,0,IF(UrbanPopRate!K142&gt;=$J$1,0,1)),0)</f>
        <v>0</v>
      </c>
      <c r="P46">
        <f>IF($D46=1,IF(GDP_per_cap!L142&gt;'all_1961-1990'!$H$1,0,IF(UrbanPopRate!L142&gt;=$J$1,0,1)),0)</f>
        <v>0</v>
      </c>
      <c r="Q46">
        <f>IF($D46=1,IF(GDP_per_cap!M142&gt;'all_1961-1990'!$H$1,0,IF(UrbanPopRate!M142&gt;=$J$1,0,1)),0)</f>
        <v>0</v>
      </c>
      <c r="R46">
        <f>IF($D46=1,IF(GDP_per_cap!N142&gt;'all_1961-1990'!$H$1,0,IF(UrbanPopRate!N142&gt;=$J$1,0,1)),0)</f>
        <v>0</v>
      </c>
      <c r="S46">
        <f>IF($D46=1,IF(GDP_per_cap!O142&gt;'all_1961-1990'!$H$1,0,IF(UrbanPopRate!O142&gt;=$J$1,0,1)),0)</f>
        <v>0</v>
      </c>
      <c r="T46">
        <f>IF($D46=1,IF(GDP_per_cap!P142&gt;'all_1961-1990'!$H$1,0,IF(UrbanPopRate!P142&gt;=$J$1,0,1)),0)</f>
        <v>0</v>
      </c>
      <c r="U46">
        <f>IF($D46=1,IF(GDP_per_cap!Q142&gt;'all_1961-1990'!$H$1,0,IF(UrbanPopRate!Q142&gt;=$J$1,0,1)),0)</f>
        <v>0</v>
      </c>
      <c r="V46">
        <f>IF($D46=1,IF(GDP_per_cap!R142&gt;'all_1961-1990'!$H$1,0,IF(UrbanPopRate!R142&gt;=$J$1,0,1)),0)</f>
        <v>0</v>
      </c>
      <c r="W46">
        <f>IF($D46=1,IF(GDP_per_cap!S142&gt;'all_1961-1990'!$H$1,0,IF(UrbanPopRate!S142&gt;=$J$1,0,1)),0)</f>
        <v>0</v>
      </c>
      <c r="X46">
        <f>IF($D46=1,IF(GDP_per_cap!T142&gt;'all_1961-1990'!$H$1,0,IF(UrbanPopRate!T142&gt;=$J$1,0,1)),0)</f>
        <v>0</v>
      </c>
      <c r="Y46">
        <f>IF($D46=1,IF(GDP_per_cap!U142&gt;'all_1961-1990'!$H$1,0,IF(UrbanPopRate!U142&gt;=$J$1,0,1)),0)</f>
        <v>0</v>
      </c>
      <c r="Z46">
        <f>IF($D46=1,IF(GDP_per_cap!V142&gt;'all_1961-1990'!$H$1,0,IF(UrbanPopRate!V142&gt;=$J$1,0,1)),0)</f>
        <v>0</v>
      </c>
      <c r="AA46">
        <f>IF($D46=1,IF(GDP_per_cap!W142&gt;'all_1961-1990'!$H$1,0,IF(UrbanPopRate!W142&gt;=$J$1,0,1)),0)</f>
        <v>0</v>
      </c>
      <c r="AB46">
        <f>IF($D46=1,IF(GDP_per_cap!X142&gt;'all_1961-1990'!$H$1,0,IF(UrbanPopRate!X142&gt;=$J$1,0,1)),0)</f>
        <v>0</v>
      </c>
      <c r="AC46">
        <f>IF($D46=1,IF(GDP_per_cap!Y142&gt;'all_1961-1990'!$H$1,0,IF(UrbanPopRate!Y142&gt;=$J$1,0,1)),0)</f>
        <v>0</v>
      </c>
      <c r="AD46">
        <f>IF($D46=1,IF(GDP_per_cap!Z142&gt;'all_1961-1990'!$H$1,0,IF(UrbanPopRate!Z142&gt;=$J$1,0,1)),0)</f>
        <v>0</v>
      </c>
      <c r="AE46">
        <f>IF($D46=1,IF(GDP_per_cap!AA142&gt;'all_1961-1990'!$H$1,0,IF(UrbanPopRate!AA142&gt;=$J$1,0,1)),0)</f>
        <v>0</v>
      </c>
      <c r="AF46">
        <f>IF($D46=1,IF(GDP_per_cap!AB142&gt;'all_1961-1990'!$H$1,0,IF(UrbanPopRate!AB142&gt;=$J$1,0,1)),0)</f>
        <v>0</v>
      </c>
      <c r="AG46">
        <f>IF($D46=1,IF(GDP_per_cap!AC142&gt;'all_1961-1990'!$H$1,0,IF(UrbanPopRate!AC142&gt;=$J$1,0,1)),0)</f>
        <v>0</v>
      </c>
      <c r="AH46">
        <f>IF($D46=1,IF(GDP_per_cap!AD142&gt;'all_1961-1990'!$H$1,0,IF(UrbanPopRate!AD142&gt;=$J$1,0,1)),0)</f>
        <v>0</v>
      </c>
      <c r="AI46">
        <f>IF($D46=1,IF(GDP_per_cap!AE142&gt;'all_1961-1990'!$H$1,0,IF(UrbanPopRate!AE142&gt;=$J$1,0,1)),0)</f>
        <v>0</v>
      </c>
      <c r="AJ46">
        <f>IF($D46=1,IF(GDP_per_cap!AF142&gt;'all_1961-1990'!$H$1,0,IF(UrbanPopRate!AF142&gt;=$J$1,0,1)),0)</f>
        <v>0</v>
      </c>
      <c r="AK46">
        <f>IF($D46=1,IF(GDP_per_cap!AG142&gt;'all_1961-1990'!$H$1,0,IF(UrbanPopRate!AG142&gt;=$J$1,0,1)),0)</f>
        <v>0</v>
      </c>
      <c r="AL46">
        <f>IF($D46=1,IF(GDP_per_cap!AH142&gt;'all_1961-1990'!$H$1,0,IF(UrbanPopRate!AH142&gt;=$J$1,0,1)),0)</f>
        <v>0</v>
      </c>
      <c r="AM46">
        <f>IF($D46=1,IF(GDP_per_cap!AI142&gt;'all_1961-1990'!$H$1,0,IF(UrbanPopRate!AI142&gt;=$J$1,0,1)),0)</f>
        <v>0</v>
      </c>
      <c r="AN46">
        <f>IF($D46=1,IF(GDP_per_cap!AJ142&gt;'all_1961-1990'!$H$1,0,IF(UrbanPopRate!AJ142&gt;=$J$1,0,1)),0)</f>
        <v>0</v>
      </c>
      <c r="AO46">
        <f>IF($D46=1,IF(GDP_per_cap!AK142&gt;'all_1961-1990'!$H$1,0,IF(UrbanPopRate!AK142&gt;=$J$1,0,1)),0)</f>
        <v>0</v>
      </c>
      <c r="AP46">
        <f>IF($D46=1,IF(GDP_per_cap!AL142&gt;'all_1961-1990'!$H$1,0,IF(UrbanPopRate!AL142&gt;=$J$1,0,1)),0)</f>
        <v>0</v>
      </c>
      <c r="AQ46">
        <f>IF($D46=1,IF(GDP_per_cap!AM142&gt;'all_1961-1990'!$H$1,0,IF(UrbanPopRate!AM142&gt;=$J$1,0,1)),0)</f>
        <v>0</v>
      </c>
      <c r="AR46">
        <f>IF($D46=1,IF(GDP_per_cap!AN142&gt;'all_1961-1990'!$H$1,0,IF(UrbanPopRate!AN142&gt;=$J$1,0,1)),0)</f>
        <v>0</v>
      </c>
      <c r="AS46">
        <f>IF($D46=1,IF(GDP_per_cap!AO142&gt;'all_1961-1990'!$H$1,0,IF(UrbanPopRate!AO142&gt;=$J$1,0,1)),0)</f>
        <v>0</v>
      </c>
      <c r="AT46">
        <f>IF($D46=1,IF(GDP_per_cap!AP142&gt;'all_1961-1990'!$H$1,0,IF(UrbanPopRate!AP142&gt;=$J$1,0,1)),0)</f>
        <v>0</v>
      </c>
      <c r="AU46">
        <f>IF($D46=1,IF(GDP_per_cap!AQ142&gt;'all_1961-1990'!$H$1,0,IF(UrbanPopRate!AQ142&gt;=$J$1,0,1)),0)</f>
        <v>0</v>
      </c>
      <c r="AV46">
        <f>IF($D46=1,IF(GDP_per_cap!AR142&gt;'all_1961-1990'!$H$1,0,IF(UrbanPopRate!AR142&gt;=$J$1,0,1)),0)</f>
        <v>0</v>
      </c>
      <c r="AW46">
        <f>IF($D46=1,IF(GDP_per_cap!AS142&gt;'all_1961-1990'!$H$1,0,IF(UrbanPopRate!AS142&gt;=$J$1,0,1)),0)</f>
        <v>0</v>
      </c>
      <c r="AX46">
        <f>IF($D46=1,IF(GDP_per_cap!AT142&gt;'all_1961-1990'!$H$1,0,IF(UrbanPopRate!AT142&gt;=$J$1,0,1)),0)</f>
        <v>0</v>
      </c>
      <c r="AY46">
        <f>IF($D46=1,IF(GDP_per_cap!AU142&gt;'all_1961-1990'!$H$1,0,IF(UrbanPopRate!AU142&gt;=$J$1,0,1)),0)</f>
        <v>0</v>
      </c>
      <c r="AZ46">
        <f>IF($D46=1,IF(GDP_per_cap!AV142&gt;'all_1961-1990'!$H$1,0,IF(UrbanPopRate!AV142&gt;=$J$1,0,1)),0)</f>
        <v>0</v>
      </c>
      <c r="BA46">
        <f>IF($D46=1,IF(GDP_per_cap!AW142&gt;'all_1961-1990'!$H$1,0,IF(UrbanPopRate!AW142&gt;=$J$1,0,1)),0)</f>
        <v>0</v>
      </c>
      <c r="BB46">
        <f>IF($D46=1,IF(GDP_per_cap!AX142&gt;'all_1961-1990'!$H$1,0,IF(UrbanPopRate!AX142&gt;=$J$1,0,1)),0)</f>
        <v>0</v>
      </c>
      <c r="BC46">
        <f>IF($D46=1,IF(GDP_per_cap!AY142&gt;'all_1961-1990'!$H$1,0,IF(UrbanPopRate!AY142&gt;=$J$1,0,1)),0)</f>
        <v>0</v>
      </c>
      <c r="BD46">
        <f>IF($D46=1,IF(GDP_per_cap!AZ142&gt;'all_1961-1990'!$H$1,0,IF(UrbanPopRate!AZ142&gt;=$J$1,0,1)),0)</f>
        <v>0</v>
      </c>
      <c r="BE46">
        <f>IF($D46=1,IF(GDP_per_cap!BA142&gt;'all_1961-1990'!$H$1,0,IF(UrbanPopRate!BA142&gt;=$J$1,0,1)),0)</f>
        <v>0</v>
      </c>
      <c r="BF46">
        <f>IF($D46=1,IF(GDP_per_cap!BB142&gt;'all_1961-1990'!$H$1,0,IF(UrbanPopRate!BB142&gt;=$J$1,0,1)),0)</f>
        <v>0</v>
      </c>
    </row>
    <row r="47" spans="1:58">
      <c r="A47" s="3">
        <v>62</v>
      </c>
      <c r="B47" s="3" t="s">
        <v>116</v>
      </c>
      <c r="C47" s="2">
        <v>2</v>
      </c>
      <c r="D47" s="35">
        <v>0</v>
      </c>
      <c r="E47" s="2">
        <v>45.219200000000001</v>
      </c>
      <c r="F47" s="36">
        <v>3893.3536509999999</v>
      </c>
      <c r="G47">
        <f>IF($D47=1,IF(GDP_per_cap!C40&gt;'all_1961-1990'!$H$1,0,IF(UrbanPopRate!C40&gt;=$J$1,0,1)),0)</f>
        <v>0</v>
      </c>
      <c r="H47">
        <f>IF($D47=1,IF(GDP_per_cap!D40&gt;'all_1961-1990'!$H$1,0,IF(UrbanPopRate!D40&gt;=$J$1,0,1)),0)</f>
        <v>0</v>
      </c>
      <c r="I47">
        <f>IF($D47=1,IF(GDP_per_cap!E40&gt;'all_1961-1990'!$H$1,0,IF(UrbanPopRate!E40&gt;=$J$1,0,1)),0)</f>
        <v>0</v>
      </c>
      <c r="J47">
        <f>IF($D47=1,IF(GDP_per_cap!F40&gt;'all_1961-1990'!$H$1,0,IF(UrbanPopRate!F40&gt;=$J$1,0,1)),0)</f>
        <v>0</v>
      </c>
      <c r="K47">
        <f>IF($D47=1,IF(GDP_per_cap!G40&gt;'all_1961-1990'!$H$1,0,IF(UrbanPopRate!G40&gt;=$J$1,0,1)),0)</f>
        <v>0</v>
      </c>
      <c r="L47">
        <f>IF($D47=1,IF(GDP_per_cap!H40&gt;'all_1961-1990'!$H$1,0,IF(UrbanPopRate!H40&gt;=$J$1,0,1)),0)</f>
        <v>0</v>
      </c>
      <c r="M47">
        <f>IF($D47=1,IF(GDP_per_cap!I40&gt;'all_1961-1990'!$H$1,0,IF(UrbanPopRate!I40&gt;=$J$1,0,1)),0)</f>
        <v>0</v>
      </c>
      <c r="N47">
        <f>IF($D47=1,IF(GDP_per_cap!J40&gt;'all_1961-1990'!$H$1,0,IF(UrbanPopRate!J40&gt;=$J$1,0,1)),0)</f>
        <v>0</v>
      </c>
      <c r="O47">
        <f>IF($D47=1,IF(GDP_per_cap!K40&gt;'all_1961-1990'!$H$1,0,IF(UrbanPopRate!K40&gt;=$J$1,0,1)),0)</f>
        <v>0</v>
      </c>
      <c r="P47">
        <f>IF($D47=1,IF(GDP_per_cap!L40&gt;'all_1961-1990'!$H$1,0,IF(UrbanPopRate!L40&gt;=$J$1,0,1)),0)</f>
        <v>0</v>
      </c>
      <c r="Q47">
        <f>IF($D47=1,IF(GDP_per_cap!M40&gt;'all_1961-1990'!$H$1,0,IF(UrbanPopRate!M40&gt;=$J$1,0,1)),0)</f>
        <v>0</v>
      </c>
      <c r="R47">
        <f>IF($D47=1,IF(GDP_per_cap!N40&gt;'all_1961-1990'!$H$1,0,IF(UrbanPopRate!N40&gt;=$J$1,0,1)),0)</f>
        <v>0</v>
      </c>
      <c r="S47">
        <f>IF($D47=1,IF(GDP_per_cap!O40&gt;'all_1961-1990'!$H$1,0,IF(UrbanPopRate!O40&gt;=$J$1,0,1)),0)</f>
        <v>0</v>
      </c>
      <c r="T47">
        <f>IF($D47=1,IF(GDP_per_cap!P40&gt;'all_1961-1990'!$H$1,0,IF(UrbanPopRate!P40&gt;=$J$1,0,1)),0)</f>
        <v>0</v>
      </c>
      <c r="U47">
        <f>IF($D47=1,IF(GDP_per_cap!Q40&gt;'all_1961-1990'!$H$1,0,IF(UrbanPopRate!Q40&gt;=$J$1,0,1)),0)</f>
        <v>0</v>
      </c>
      <c r="V47">
        <f>IF($D47=1,IF(GDP_per_cap!R40&gt;'all_1961-1990'!$H$1,0,IF(UrbanPopRate!R40&gt;=$J$1,0,1)),0)</f>
        <v>0</v>
      </c>
      <c r="W47">
        <f>IF($D47=1,IF(GDP_per_cap!S40&gt;'all_1961-1990'!$H$1,0,IF(UrbanPopRate!S40&gt;=$J$1,0,1)),0)</f>
        <v>0</v>
      </c>
      <c r="X47">
        <f>IF($D47=1,IF(GDP_per_cap!T40&gt;'all_1961-1990'!$H$1,0,IF(UrbanPopRate!T40&gt;=$J$1,0,1)),0)</f>
        <v>0</v>
      </c>
      <c r="Y47">
        <f>IF($D47=1,IF(GDP_per_cap!U40&gt;'all_1961-1990'!$H$1,0,IF(UrbanPopRate!U40&gt;=$J$1,0,1)),0)</f>
        <v>0</v>
      </c>
      <c r="Z47">
        <f>IF($D47=1,IF(GDP_per_cap!V40&gt;'all_1961-1990'!$H$1,0,IF(UrbanPopRate!V40&gt;=$J$1,0,1)),0)</f>
        <v>0</v>
      </c>
      <c r="AA47">
        <f>IF($D47=1,IF(GDP_per_cap!W40&gt;'all_1961-1990'!$H$1,0,IF(UrbanPopRate!W40&gt;=$J$1,0,1)),0)</f>
        <v>0</v>
      </c>
      <c r="AB47">
        <f>IF($D47=1,IF(GDP_per_cap!X40&gt;'all_1961-1990'!$H$1,0,IF(UrbanPopRate!X40&gt;=$J$1,0,1)),0)</f>
        <v>0</v>
      </c>
      <c r="AC47">
        <f>IF($D47=1,IF(GDP_per_cap!Y40&gt;'all_1961-1990'!$H$1,0,IF(UrbanPopRate!Y40&gt;=$J$1,0,1)),0)</f>
        <v>0</v>
      </c>
      <c r="AD47">
        <f>IF($D47=1,IF(GDP_per_cap!Z40&gt;'all_1961-1990'!$H$1,0,IF(UrbanPopRate!Z40&gt;=$J$1,0,1)),0)</f>
        <v>0</v>
      </c>
      <c r="AE47">
        <f>IF($D47=1,IF(GDP_per_cap!AA40&gt;'all_1961-1990'!$H$1,0,IF(UrbanPopRate!AA40&gt;=$J$1,0,1)),0)</f>
        <v>0</v>
      </c>
      <c r="AF47">
        <f>IF($D47=1,IF(GDP_per_cap!AB40&gt;'all_1961-1990'!$H$1,0,IF(UrbanPopRate!AB40&gt;=$J$1,0,1)),0)</f>
        <v>0</v>
      </c>
      <c r="AG47">
        <f>IF($D47=1,IF(GDP_per_cap!AC40&gt;'all_1961-1990'!$H$1,0,IF(UrbanPopRate!AC40&gt;=$J$1,0,1)),0)</f>
        <v>0</v>
      </c>
      <c r="AH47">
        <f>IF($D47=1,IF(GDP_per_cap!AD40&gt;'all_1961-1990'!$H$1,0,IF(UrbanPopRate!AD40&gt;=$J$1,0,1)),0)</f>
        <v>0</v>
      </c>
      <c r="AI47">
        <f>IF($D47=1,IF(GDP_per_cap!AE40&gt;'all_1961-1990'!$H$1,0,IF(UrbanPopRate!AE40&gt;=$J$1,0,1)),0)</f>
        <v>0</v>
      </c>
      <c r="AJ47">
        <f>IF($D47=1,IF(GDP_per_cap!AF40&gt;'all_1961-1990'!$H$1,0,IF(UrbanPopRate!AF40&gt;=$J$1,0,1)),0)</f>
        <v>0</v>
      </c>
      <c r="AK47">
        <f>IF($D47=1,IF(GDP_per_cap!AG40&gt;'all_1961-1990'!$H$1,0,IF(UrbanPopRate!AG40&gt;=$J$1,0,1)),0)</f>
        <v>0</v>
      </c>
      <c r="AL47">
        <f>IF($D47=1,IF(GDP_per_cap!AH40&gt;'all_1961-1990'!$H$1,0,IF(UrbanPopRate!AH40&gt;=$J$1,0,1)),0)</f>
        <v>0</v>
      </c>
      <c r="AM47">
        <f>IF($D47=1,IF(GDP_per_cap!AI40&gt;'all_1961-1990'!$H$1,0,IF(UrbanPopRate!AI40&gt;=$J$1,0,1)),0)</f>
        <v>0</v>
      </c>
      <c r="AN47">
        <f>IF($D47=1,IF(GDP_per_cap!AJ40&gt;'all_1961-1990'!$H$1,0,IF(UrbanPopRate!AJ40&gt;=$J$1,0,1)),0)</f>
        <v>0</v>
      </c>
      <c r="AO47">
        <f>IF($D47=1,IF(GDP_per_cap!AK40&gt;'all_1961-1990'!$H$1,0,IF(UrbanPopRate!AK40&gt;=$J$1,0,1)),0)</f>
        <v>0</v>
      </c>
      <c r="AP47">
        <f>IF($D47=1,IF(GDP_per_cap!AL40&gt;'all_1961-1990'!$H$1,0,IF(UrbanPopRate!AL40&gt;=$J$1,0,1)),0)</f>
        <v>0</v>
      </c>
      <c r="AQ47">
        <f>IF($D47=1,IF(GDP_per_cap!AM40&gt;'all_1961-1990'!$H$1,0,IF(UrbanPopRate!AM40&gt;=$J$1,0,1)),0)</f>
        <v>0</v>
      </c>
      <c r="AR47">
        <f>IF($D47=1,IF(GDP_per_cap!AN40&gt;'all_1961-1990'!$H$1,0,IF(UrbanPopRate!AN40&gt;=$J$1,0,1)),0)</f>
        <v>0</v>
      </c>
      <c r="AS47">
        <f>IF($D47=1,IF(GDP_per_cap!AO40&gt;'all_1961-1990'!$H$1,0,IF(UrbanPopRate!AO40&gt;=$J$1,0,1)),0)</f>
        <v>0</v>
      </c>
      <c r="AT47">
        <f>IF($D47=1,IF(GDP_per_cap!AP40&gt;'all_1961-1990'!$H$1,0,IF(UrbanPopRate!AP40&gt;=$J$1,0,1)),0)</f>
        <v>0</v>
      </c>
      <c r="AU47">
        <f>IF($D47=1,IF(GDP_per_cap!AQ40&gt;'all_1961-1990'!$H$1,0,IF(UrbanPopRate!AQ40&gt;=$J$1,0,1)),0)</f>
        <v>0</v>
      </c>
      <c r="AV47">
        <f>IF($D47=1,IF(GDP_per_cap!AR40&gt;'all_1961-1990'!$H$1,0,IF(UrbanPopRate!AR40&gt;=$J$1,0,1)),0)</f>
        <v>0</v>
      </c>
      <c r="AW47">
        <f>IF($D47=1,IF(GDP_per_cap!AS40&gt;'all_1961-1990'!$H$1,0,IF(UrbanPopRate!AS40&gt;=$J$1,0,1)),0)</f>
        <v>0</v>
      </c>
      <c r="AX47">
        <f>IF($D47=1,IF(GDP_per_cap!AT40&gt;'all_1961-1990'!$H$1,0,IF(UrbanPopRate!AT40&gt;=$J$1,0,1)),0)</f>
        <v>0</v>
      </c>
      <c r="AY47">
        <f>IF($D47=1,IF(GDP_per_cap!AU40&gt;'all_1961-1990'!$H$1,0,IF(UrbanPopRate!AU40&gt;=$J$1,0,1)),0)</f>
        <v>0</v>
      </c>
      <c r="AZ47">
        <f>IF($D47=1,IF(GDP_per_cap!AV40&gt;'all_1961-1990'!$H$1,0,IF(UrbanPopRate!AV40&gt;=$J$1,0,1)),0)</f>
        <v>0</v>
      </c>
      <c r="BA47">
        <f>IF($D47=1,IF(GDP_per_cap!AW40&gt;'all_1961-1990'!$H$1,0,IF(UrbanPopRate!AW40&gt;=$J$1,0,1)),0)</f>
        <v>0</v>
      </c>
      <c r="BB47">
        <f>IF($D47=1,IF(GDP_per_cap!AX40&gt;'all_1961-1990'!$H$1,0,IF(UrbanPopRate!AX40&gt;=$J$1,0,1)),0)</f>
        <v>0</v>
      </c>
      <c r="BC47">
        <f>IF($D47=1,IF(GDP_per_cap!AY40&gt;'all_1961-1990'!$H$1,0,IF(UrbanPopRate!AY40&gt;=$J$1,0,1)),0)</f>
        <v>0</v>
      </c>
      <c r="BD47">
        <f>IF($D47=1,IF(GDP_per_cap!AZ40&gt;'all_1961-1990'!$H$1,0,IF(UrbanPopRate!AZ40&gt;=$J$1,0,1)),0)</f>
        <v>0</v>
      </c>
      <c r="BE47">
        <f>IF($D47=1,IF(GDP_per_cap!BA40&gt;'all_1961-1990'!$H$1,0,IF(UrbanPopRate!BA40&gt;=$J$1,0,1)),0)</f>
        <v>0</v>
      </c>
      <c r="BF47">
        <f>IF($D47=1,IF(GDP_per_cap!BB40&gt;'all_1961-1990'!$H$1,0,IF(UrbanPopRate!BB40&gt;=$J$1,0,1)),0)</f>
        <v>0</v>
      </c>
    </row>
    <row r="48" spans="1:58">
      <c r="A48" s="3">
        <v>171</v>
      </c>
      <c r="B48" s="3" t="s">
        <v>45</v>
      </c>
      <c r="C48" s="2">
        <v>2</v>
      </c>
      <c r="D48" s="35">
        <v>0</v>
      </c>
      <c r="E48" s="2">
        <v>40.400666666666652</v>
      </c>
      <c r="F48" s="36">
        <v>3886.6983019999998</v>
      </c>
      <c r="G48">
        <f>IF($D48=1,IF(GDP_per_cap!C111&gt;'all_1961-1990'!$H$1,0,IF(UrbanPopRate!C111&gt;=$J$1,0,1)),0)</f>
        <v>0</v>
      </c>
      <c r="H48">
        <f>IF($D48=1,IF(GDP_per_cap!D111&gt;'all_1961-1990'!$H$1,0,IF(UrbanPopRate!D111&gt;=$J$1,0,1)),0)</f>
        <v>0</v>
      </c>
      <c r="I48">
        <f>IF($D48=1,IF(GDP_per_cap!E111&gt;'all_1961-1990'!$H$1,0,IF(UrbanPopRate!E111&gt;=$J$1,0,1)),0)</f>
        <v>0</v>
      </c>
      <c r="J48">
        <f>IF($D48=1,IF(GDP_per_cap!F111&gt;'all_1961-1990'!$H$1,0,IF(UrbanPopRate!F111&gt;=$J$1,0,1)),0)</f>
        <v>0</v>
      </c>
      <c r="K48">
        <f>IF($D48=1,IF(GDP_per_cap!G111&gt;'all_1961-1990'!$H$1,0,IF(UrbanPopRate!G111&gt;=$J$1,0,1)),0)</f>
        <v>0</v>
      </c>
      <c r="L48">
        <f>IF($D48=1,IF(GDP_per_cap!H111&gt;'all_1961-1990'!$H$1,0,IF(UrbanPopRate!H111&gt;=$J$1,0,1)),0)</f>
        <v>0</v>
      </c>
      <c r="M48">
        <f>IF($D48=1,IF(GDP_per_cap!I111&gt;'all_1961-1990'!$H$1,0,IF(UrbanPopRate!I111&gt;=$J$1,0,1)),0)</f>
        <v>0</v>
      </c>
      <c r="N48">
        <f>IF($D48=1,IF(GDP_per_cap!J111&gt;'all_1961-1990'!$H$1,0,IF(UrbanPopRate!J111&gt;=$J$1,0,1)),0)</f>
        <v>0</v>
      </c>
      <c r="O48">
        <f>IF($D48=1,IF(GDP_per_cap!K111&gt;'all_1961-1990'!$H$1,0,IF(UrbanPopRate!K111&gt;=$J$1,0,1)),0)</f>
        <v>0</v>
      </c>
      <c r="P48">
        <f>IF($D48=1,IF(GDP_per_cap!L111&gt;'all_1961-1990'!$H$1,0,IF(UrbanPopRate!L111&gt;=$J$1,0,1)),0)</f>
        <v>0</v>
      </c>
      <c r="Q48">
        <f>IF($D48=1,IF(GDP_per_cap!M111&gt;'all_1961-1990'!$H$1,0,IF(UrbanPopRate!M111&gt;=$J$1,0,1)),0)</f>
        <v>0</v>
      </c>
      <c r="R48">
        <f>IF($D48=1,IF(GDP_per_cap!N111&gt;'all_1961-1990'!$H$1,0,IF(UrbanPopRate!N111&gt;=$J$1,0,1)),0)</f>
        <v>0</v>
      </c>
      <c r="S48">
        <f>IF($D48=1,IF(GDP_per_cap!O111&gt;'all_1961-1990'!$H$1,0,IF(UrbanPopRate!O111&gt;=$J$1,0,1)),0)</f>
        <v>0</v>
      </c>
      <c r="T48">
        <f>IF($D48=1,IF(GDP_per_cap!P111&gt;'all_1961-1990'!$H$1,0,IF(UrbanPopRate!P111&gt;=$J$1,0,1)),0)</f>
        <v>0</v>
      </c>
      <c r="U48">
        <f>IF($D48=1,IF(GDP_per_cap!Q111&gt;'all_1961-1990'!$H$1,0,IF(UrbanPopRate!Q111&gt;=$J$1,0,1)),0)</f>
        <v>0</v>
      </c>
      <c r="V48">
        <f>IF($D48=1,IF(GDP_per_cap!R111&gt;'all_1961-1990'!$H$1,0,IF(UrbanPopRate!R111&gt;=$J$1,0,1)),0)</f>
        <v>0</v>
      </c>
      <c r="W48">
        <f>IF($D48=1,IF(GDP_per_cap!S111&gt;'all_1961-1990'!$H$1,0,IF(UrbanPopRate!S111&gt;=$J$1,0,1)),0)</f>
        <v>0</v>
      </c>
      <c r="X48">
        <f>IF($D48=1,IF(GDP_per_cap!T111&gt;'all_1961-1990'!$H$1,0,IF(UrbanPopRate!T111&gt;=$J$1,0,1)),0)</f>
        <v>0</v>
      </c>
      <c r="Y48">
        <f>IF($D48=1,IF(GDP_per_cap!U111&gt;'all_1961-1990'!$H$1,0,IF(UrbanPopRate!U111&gt;=$J$1,0,1)),0)</f>
        <v>0</v>
      </c>
      <c r="Z48">
        <f>IF($D48=1,IF(GDP_per_cap!V111&gt;'all_1961-1990'!$H$1,0,IF(UrbanPopRate!V111&gt;=$J$1,0,1)),0)</f>
        <v>0</v>
      </c>
      <c r="AA48">
        <f>IF($D48=1,IF(GDP_per_cap!W111&gt;'all_1961-1990'!$H$1,0,IF(UrbanPopRate!W111&gt;=$J$1,0,1)),0)</f>
        <v>0</v>
      </c>
      <c r="AB48">
        <f>IF($D48=1,IF(GDP_per_cap!X111&gt;'all_1961-1990'!$H$1,0,IF(UrbanPopRate!X111&gt;=$J$1,0,1)),0)</f>
        <v>0</v>
      </c>
      <c r="AC48">
        <f>IF($D48=1,IF(GDP_per_cap!Y111&gt;'all_1961-1990'!$H$1,0,IF(UrbanPopRate!Y111&gt;=$J$1,0,1)),0)</f>
        <v>0</v>
      </c>
      <c r="AD48">
        <f>IF($D48=1,IF(GDP_per_cap!Z111&gt;'all_1961-1990'!$H$1,0,IF(UrbanPopRate!Z111&gt;=$J$1,0,1)),0)</f>
        <v>0</v>
      </c>
      <c r="AE48">
        <f>IF($D48=1,IF(GDP_per_cap!AA111&gt;'all_1961-1990'!$H$1,0,IF(UrbanPopRate!AA111&gt;=$J$1,0,1)),0)</f>
        <v>0</v>
      </c>
      <c r="AF48">
        <f>IF($D48=1,IF(GDP_per_cap!AB111&gt;'all_1961-1990'!$H$1,0,IF(UrbanPopRate!AB111&gt;=$J$1,0,1)),0)</f>
        <v>0</v>
      </c>
      <c r="AG48">
        <f>IF($D48=1,IF(GDP_per_cap!AC111&gt;'all_1961-1990'!$H$1,0,IF(UrbanPopRate!AC111&gt;=$J$1,0,1)),0)</f>
        <v>0</v>
      </c>
      <c r="AH48">
        <f>IF($D48=1,IF(GDP_per_cap!AD111&gt;'all_1961-1990'!$H$1,0,IF(UrbanPopRate!AD111&gt;=$J$1,0,1)),0)</f>
        <v>0</v>
      </c>
      <c r="AI48">
        <f>IF($D48=1,IF(GDP_per_cap!AE111&gt;'all_1961-1990'!$H$1,0,IF(UrbanPopRate!AE111&gt;=$J$1,0,1)),0)</f>
        <v>0</v>
      </c>
      <c r="AJ48">
        <f>IF($D48=1,IF(GDP_per_cap!AF111&gt;'all_1961-1990'!$H$1,0,IF(UrbanPopRate!AF111&gt;=$J$1,0,1)),0)</f>
        <v>0</v>
      </c>
      <c r="AK48">
        <f>IF($D48=1,IF(GDP_per_cap!AG111&gt;'all_1961-1990'!$H$1,0,IF(UrbanPopRate!AG111&gt;=$J$1,0,1)),0)</f>
        <v>0</v>
      </c>
      <c r="AL48">
        <f>IF($D48=1,IF(GDP_per_cap!AH111&gt;'all_1961-1990'!$H$1,0,IF(UrbanPopRate!AH111&gt;=$J$1,0,1)),0)</f>
        <v>0</v>
      </c>
      <c r="AM48">
        <f>IF($D48=1,IF(GDP_per_cap!AI111&gt;'all_1961-1990'!$H$1,0,IF(UrbanPopRate!AI111&gt;=$J$1,0,1)),0)</f>
        <v>0</v>
      </c>
      <c r="AN48">
        <f>IF($D48=1,IF(GDP_per_cap!AJ111&gt;'all_1961-1990'!$H$1,0,IF(UrbanPopRate!AJ111&gt;=$J$1,0,1)),0)</f>
        <v>0</v>
      </c>
      <c r="AO48">
        <f>IF($D48=1,IF(GDP_per_cap!AK111&gt;'all_1961-1990'!$H$1,0,IF(UrbanPopRate!AK111&gt;=$J$1,0,1)),0)</f>
        <v>0</v>
      </c>
      <c r="AP48">
        <f>IF($D48=1,IF(GDP_per_cap!AL111&gt;'all_1961-1990'!$H$1,0,IF(UrbanPopRate!AL111&gt;=$J$1,0,1)),0)</f>
        <v>0</v>
      </c>
      <c r="AQ48">
        <f>IF($D48=1,IF(GDP_per_cap!AM111&gt;'all_1961-1990'!$H$1,0,IF(UrbanPopRate!AM111&gt;=$J$1,0,1)),0)</f>
        <v>0</v>
      </c>
      <c r="AR48">
        <f>IF($D48=1,IF(GDP_per_cap!AN111&gt;'all_1961-1990'!$H$1,0,IF(UrbanPopRate!AN111&gt;=$J$1,0,1)),0)</f>
        <v>0</v>
      </c>
      <c r="AS48">
        <f>IF($D48=1,IF(GDP_per_cap!AO111&gt;'all_1961-1990'!$H$1,0,IF(UrbanPopRate!AO111&gt;=$J$1,0,1)),0)</f>
        <v>0</v>
      </c>
      <c r="AT48">
        <f>IF($D48=1,IF(GDP_per_cap!AP111&gt;'all_1961-1990'!$H$1,0,IF(UrbanPopRate!AP111&gt;=$J$1,0,1)),0)</f>
        <v>0</v>
      </c>
      <c r="AU48">
        <f>IF($D48=1,IF(GDP_per_cap!AQ111&gt;'all_1961-1990'!$H$1,0,IF(UrbanPopRate!AQ111&gt;=$J$1,0,1)),0)</f>
        <v>0</v>
      </c>
      <c r="AV48">
        <f>IF($D48=1,IF(GDP_per_cap!AR111&gt;'all_1961-1990'!$H$1,0,IF(UrbanPopRate!AR111&gt;=$J$1,0,1)),0)</f>
        <v>0</v>
      </c>
      <c r="AW48">
        <f>IF($D48=1,IF(GDP_per_cap!AS111&gt;'all_1961-1990'!$H$1,0,IF(UrbanPopRate!AS111&gt;=$J$1,0,1)),0)</f>
        <v>0</v>
      </c>
      <c r="AX48">
        <f>IF($D48=1,IF(GDP_per_cap!AT111&gt;'all_1961-1990'!$H$1,0,IF(UrbanPopRate!AT111&gt;=$J$1,0,1)),0)</f>
        <v>0</v>
      </c>
      <c r="AY48">
        <f>IF($D48=1,IF(GDP_per_cap!AU111&gt;'all_1961-1990'!$H$1,0,IF(UrbanPopRate!AU111&gt;=$J$1,0,1)),0)</f>
        <v>0</v>
      </c>
      <c r="AZ48">
        <f>IF($D48=1,IF(GDP_per_cap!AV111&gt;'all_1961-1990'!$H$1,0,IF(UrbanPopRate!AV111&gt;=$J$1,0,1)),0)</f>
        <v>0</v>
      </c>
      <c r="BA48">
        <f>IF($D48=1,IF(GDP_per_cap!AW111&gt;'all_1961-1990'!$H$1,0,IF(UrbanPopRate!AW111&gt;=$J$1,0,1)),0)</f>
        <v>0</v>
      </c>
      <c r="BB48">
        <f>IF($D48=1,IF(GDP_per_cap!AX111&gt;'all_1961-1990'!$H$1,0,IF(UrbanPopRate!AX111&gt;=$J$1,0,1)),0)</f>
        <v>0</v>
      </c>
      <c r="BC48">
        <f>IF($D48=1,IF(GDP_per_cap!AY111&gt;'all_1961-1990'!$H$1,0,IF(UrbanPopRate!AY111&gt;=$J$1,0,1)),0)</f>
        <v>0</v>
      </c>
      <c r="BD48">
        <f>IF($D48=1,IF(GDP_per_cap!AZ111&gt;'all_1961-1990'!$H$1,0,IF(UrbanPopRate!AZ111&gt;=$J$1,0,1)),0)</f>
        <v>0</v>
      </c>
      <c r="BE48">
        <f>IF($D48=1,IF(GDP_per_cap!BA111&gt;'all_1961-1990'!$H$1,0,IF(UrbanPopRate!BA111&gt;=$J$1,0,1)),0)</f>
        <v>0</v>
      </c>
      <c r="BF48">
        <f>IF($D48=1,IF(GDP_per_cap!BB111&gt;'all_1961-1990'!$H$1,0,IF(UrbanPopRate!BB111&gt;=$J$1,0,1)),0)</f>
        <v>0</v>
      </c>
    </row>
    <row r="49" spans="1:58">
      <c r="A49" s="3">
        <v>104</v>
      </c>
      <c r="B49" s="3" t="s">
        <v>91</v>
      </c>
      <c r="C49" s="2">
        <v>2</v>
      </c>
      <c r="D49" s="35">
        <v>0</v>
      </c>
      <c r="E49" s="2">
        <v>60.242533333333327</v>
      </c>
      <c r="F49" s="36">
        <v>3500</v>
      </c>
      <c r="G49">
        <f>IF($D49=1,IF(GDP_per_cap!C65&gt;'all_1961-1990'!$H$1,0,IF(UrbanPopRate!C65&gt;=$J$1,0,1)),0)</f>
        <v>0</v>
      </c>
      <c r="H49">
        <f>IF($D49=1,IF(GDP_per_cap!D65&gt;'all_1961-1990'!$H$1,0,IF(UrbanPopRate!D65&gt;=$J$1,0,1)),0)</f>
        <v>0</v>
      </c>
      <c r="I49">
        <f>IF($D49=1,IF(GDP_per_cap!E65&gt;'all_1961-1990'!$H$1,0,IF(UrbanPopRate!E65&gt;=$J$1,0,1)),0)</f>
        <v>0</v>
      </c>
      <c r="J49">
        <f>IF($D49=1,IF(GDP_per_cap!F65&gt;'all_1961-1990'!$H$1,0,IF(UrbanPopRate!F65&gt;=$J$1,0,1)),0)</f>
        <v>0</v>
      </c>
      <c r="K49">
        <f>IF($D49=1,IF(GDP_per_cap!G65&gt;'all_1961-1990'!$H$1,0,IF(UrbanPopRate!G65&gt;=$J$1,0,1)),0)</f>
        <v>0</v>
      </c>
      <c r="L49">
        <f>IF($D49=1,IF(GDP_per_cap!H65&gt;'all_1961-1990'!$H$1,0,IF(UrbanPopRate!H65&gt;=$J$1,0,1)),0)</f>
        <v>0</v>
      </c>
      <c r="M49">
        <f>IF($D49=1,IF(GDP_per_cap!I65&gt;'all_1961-1990'!$H$1,0,IF(UrbanPopRate!I65&gt;=$J$1,0,1)),0)</f>
        <v>0</v>
      </c>
      <c r="N49">
        <f>IF($D49=1,IF(GDP_per_cap!J65&gt;'all_1961-1990'!$H$1,0,IF(UrbanPopRate!J65&gt;=$J$1,0,1)),0)</f>
        <v>0</v>
      </c>
      <c r="O49">
        <f>IF($D49=1,IF(GDP_per_cap!K65&gt;'all_1961-1990'!$H$1,0,IF(UrbanPopRate!K65&gt;=$J$1,0,1)),0)</f>
        <v>0</v>
      </c>
      <c r="P49">
        <f>IF($D49=1,IF(GDP_per_cap!L65&gt;'all_1961-1990'!$H$1,0,IF(UrbanPopRate!L65&gt;=$J$1,0,1)),0)</f>
        <v>0</v>
      </c>
      <c r="Q49">
        <f>IF($D49=1,IF(GDP_per_cap!M65&gt;'all_1961-1990'!$H$1,0,IF(UrbanPopRate!M65&gt;=$J$1,0,1)),0)</f>
        <v>0</v>
      </c>
      <c r="R49">
        <f>IF($D49=1,IF(GDP_per_cap!N65&gt;'all_1961-1990'!$H$1,0,IF(UrbanPopRate!N65&gt;=$J$1,0,1)),0)</f>
        <v>0</v>
      </c>
      <c r="S49">
        <f>IF($D49=1,IF(GDP_per_cap!O65&gt;'all_1961-1990'!$H$1,0,IF(UrbanPopRate!O65&gt;=$J$1,0,1)),0)</f>
        <v>0</v>
      </c>
      <c r="T49">
        <f>IF($D49=1,IF(GDP_per_cap!P65&gt;'all_1961-1990'!$H$1,0,IF(UrbanPopRate!P65&gt;=$J$1,0,1)),0)</f>
        <v>0</v>
      </c>
      <c r="U49">
        <f>IF($D49=1,IF(GDP_per_cap!Q65&gt;'all_1961-1990'!$H$1,0,IF(UrbanPopRate!Q65&gt;=$J$1,0,1)),0)</f>
        <v>0</v>
      </c>
      <c r="V49">
        <f>IF($D49=1,IF(GDP_per_cap!R65&gt;'all_1961-1990'!$H$1,0,IF(UrbanPopRate!R65&gt;=$J$1,0,1)),0)</f>
        <v>0</v>
      </c>
      <c r="W49">
        <f>IF($D49=1,IF(GDP_per_cap!S65&gt;'all_1961-1990'!$H$1,0,IF(UrbanPopRate!S65&gt;=$J$1,0,1)),0)</f>
        <v>0</v>
      </c>
      <c r="X49">
        <f>IF($D49=1,IF(GDP_per_cap!T65&gt;'all_1961-1990'!$H$1,0,IF(UrbanPopRate!T65&gt;=$J$1,0,1)),0)</f>
        <v>0</v>
      </c>
      <c r="Y49">
        <f>IF($D49=1,IF(GDP_per_cap!U65&gt;'all_1961-1990'!$H$1,0,IF(UrbanPopRate!U65&gt;=$J$1,0,1)),0)</f>
        <v>0</v>
      </c>
      <c r="Z49">
        <f>IF($D49=1,IF(GDP_per_cap!V65&gt;'all_1961-1990'!$H$1,0,IF(UrbanPopRate!V65&gt;=$J$1,0,1)),0)</f>
        <v>0</v>
      </c>
      <c r="AA49">
        <f>IF($D49=1,IF(GDP_per_cap!W65&gt;'all_1961-1990'!$H$1,0,IF(UrbanPopRate!W65&gt;=$J$1,0,1)),0)</f>
        <v>0</v>
      </c>
      <c r="AB49">
        <f>IF($D49=1,IF(GDP_per_cap!X65&gt;'all_1961-1990'!$H$1,0,IF(UrbanPopRate!X65&gt;=$J$1,0,1)),0)</f>
        <v>0</v>
      </c>
      <c r="AC49">
        <f>IF($D49=1,IF(GDP_per_cap!Y65&gt;'all_1961-1990'!$H$1,0,IF(UrbanPopRate!Y65&gt;=$J$1,0,1)),0)</f>
        <v>0</v>
      </c>
      <c r="AD49">
        <f>IF($D49=1,IF(GDP_per_cap!Z65&gt;'all_1961-1990'!$H$1,0,IF(UrbanPopRate!Z65&gt;=$J$1,0,1)),0)</f>
        <v>0</v>
      </c>
      <c r="AE49">
        <f>IF($D49=1,IF(GDP_per_cap!AA65&gt;'all_1961-1990'!$H$1,0,IF(UrbanPopRate!AA65&gt;=$J$1,0,1)),0)</f>
        <v>0</v>
      </c>
      <c r="AF49">
        <f>IF($D49=1,IF(GDP_per_cap!AB65&gt;'all_1961-1990'!$H$1,0,IF(UrbanPopRate!AB65&gt;=$J$1,0,1)),0)</f>
        <v>0</v>
      </c>
      <c r="AG49">
        <f>IF($D49=1,IF(GDP_per_cap!AC65&gt;'all_1961-1990'!$H$1,0,IF(UrbanPopRate!AC65&gt;=$J$1,0,1)),0)</f>
        <v>0</v>
      </c>
      <c r="AH49">
        <f>IF($D49=1,IF(GDP_per_cap!AD65&gt;'all_1961-1990'!$H$1,0,IF(UrbanPopRate!AD65&gt;=$J$1,0,1)),0)</f>
        <v>0</v>
      </c>
      <c r="AI49">
        <f>IF($D49=1,IF(GDP_per_cap!AE65&gt;'all_1961-1990'!$H$1,0,IF(UrbanPopRate!AE65&gt;=$J$1,0,1)),0)</f>
        <v>0</v>
      </c>
      <c r="AJ49">
        <f>IF($D49=1,IF(GDP_per_cap!AF65&gt;'all_1961-1990'!$H$1,0,IF(UrbanPopRate!AF65&gt;=$J$1,0,1)),0)</f>
        <v>0</v>
      </c>
      <c r="AK49">
        <f>IF($D49=1,IF(GDP_per_cap!AG65&gt;'all_1961-1990'!$H$1,0,IF(UrbanPopRate!AG65&gt;=$J$1,0,1)),0)</f>
        <v>0</v>
      </c>
      <c r="AL49">
        <f>IF($D49=1,IF(GDP_per_cap!AH65&gt;'all_1961-1990'!$H$1,0,IF(UrbanPopRate!AH65&gt;=$J$1,0,1)),0)</f>
        <v>0</v>
      </c>
      <c r="AM49">
        <f>IF($D49=1,IF(GDP_per_cap!AI65&gt;'all_1961-1990'!$H$1,0,IF(UrbanPopRate!AI65&gt;=$J$1,0,1)),0)</f>
        <v>0</v>
      </c>
      <c r="AN49">
        <f>IF($D49=1,IF(GDP_per_cap!AJ65&gt;'all_1961-1990'!$H$1,0,IF(UrbanPopRate!AJ65&gt;=$J$1,0,1)),0)</f>
        <v>0</v>
      </c>
      <c r="AO49">
        <f>IF($D49=1,IF(GDP_per_cap!AK65&gt;'all_1961-1990'!$H$1,0,IF(UrbanPopRate!AK65&gt;=$J$1,0,1)),0)</f>
        <v>0</v>
      </c>
      <c r="AP49">
        <f>IF($D49=1,IF(GDP_per_cap!AL65&gt;'all_1961-1990'!$H$1,0,IF(UrbanPopRate!AL65&gt;=$J$1,0,1)),0)</f>
        <v>0</v>
      </c>
      <c r="AQ49">
        <f>IF($D49=1,IF(GDP_per_cap!AM65&gt;'all_1961-1990'!$H$1,0,IF(UrbanPopRate!AM65&gt;=$J$1,0,1)),0)</f>
        <v>0</v>
      </c>
      <c r="AR49">
        <f>IF($D49=1,IF(GDP_per_cap!AN65&gt;'all_1961-1990'!$H$1,0,IF(UrbanPopRate!AN65&gt;=$J$1,0,1)),0)</f>
        <v>0</v>
      </c>
      <c r="AS49">
        <f>IF($D49=1,IF(GDP_per_cap!AO65&gt;'all_1961-1990'!$H$1,0,IF(UrbanPopRate!AO65&gt;=$J$1,0,1)),0)</f>
        <v>0</v>
      </c>
      <c r="AT49">
        <f>IF($D49=1,IF(GDP_per_cap!AP65&gt;'all_1961-1990'!$H$1,0,IF(UrbanPopRate!AP65&gt;=$J$1,0,1)),0)</f>
        <v>0</v>
      </c>
      <c r="AU49">
        <f>IF($D49=1,IF(GDP_per_cap!AQ65&gt;'all_1961-1990'!$H$1,0,IF(UrbanPopRate!AQ65&gt;=$J$1,0,1)),0)</f>
        <v>0</v>
      </c>
      <c r="AV49">
        <f>IF($D49=1,IF(GDP_per_cap!AR65&gt;'all_1961-1990'!$H$1,0,IF(UrbanPopRate!AR65&gt;=$J$1,0,1)),0)</f>
        <v>0</v>
      </c>
      <c r="AW49">
        <f>IF($D49=1,IF(GDP_per_cap!AS65&gt;'all_1961-1990'!$H$1,0,IF(UrbanPopRate!AS65&gt;=$J$1,0,1)),0)</f>
        <v>0</v>
      </c>
      <c r="AX49">
        <f>IF($D49=1,IF(GDP_per_cap!AT65&gt;'all_1961-1990'!$H$1,0,IF(UrbanPopRate!AT65&gt;=$J$1,0,1)),0)</f>
        <v>0</v>
      </c>
      <c r="AY49">
        <f>IF($D49=1,IF(GDP_per_cap!AU65&gt;'all_1961-1990'!$H$1,0,IF(UrbanPopRate!AU65&gt;=$J$1,0,1)),0)</f>
        <v>0</v>
      </c>
      <c r="AZ49">
        <f>IF($D49=1,IF(GDP_per_cap!AV65&gt;'all_1961-1990'!$H$1,0,IF(UrbanPopRate!AV65&gt;=$J$1,0,1)),0)</f>
        <v>0</v>
      </c>
      <c r="BA49">
        <f>IF($D49=1,IF(GDP_per_cap!AW65&gt;'all_1961-1990'!$H$1,0,IF(UrbanPopRate!AW65&gt;=$J$1,0,1)),0)</f>
        <v>0</v>
      </c>
      <c r="BB49">
        <f>IF($D49=1,IF(GDP_per_cap!AX65&gt;'all_1961-1990'!$H$1,0,IF(UrbanPopRate!AX65&gt;=$J$1,0,1)),0)</f>
        <v>0</v>
      </c>
      <c r="BC49">
        <f>IF($D49=1,IF(GDP_per_cap!AY65&gt;'all_1961-1990'!$H$1,0,IF(UrbanPopRate!AY65&gt;=$J$1,0,1)),0)</f>
        <v>0</v>
      </c>
      <c r="BD49">
        <f>IF($D49=1,IF(GDP_per_cap!AZ65&gt;'all_1961-1990'!$H$1,0,IF(UrbanPopRate!AZ65&gt;=$J$1,0,1)),0)</f>
        <v>0</v>
      </c>
      <c r="BE49">
        <f>IF($D49=1,IF(GDP_per_cap!BA65&gt;'all_1961-1990'!$H$1,0,IF(UrbanPopRate!BA65&gt;=$J$1,0,1)),0)</f>
        <v>0</v>
      </c>
      <c r="BF49">
        <f>IF($D49=1,IF(GDP_per_cap!BB65&gt;'all_1961-1990'!$H$1,0,IF(UrbanPopRate!BB65&gt;=$J$1,0,1)),0)</f>
        <v>0</v>
      </c>
    </row>
    <row r="50" spans="1:58">
      <c r="A50" s="3">
        <v>89</v>
      </c>
      <c r="B50" s="3" t="s">
        <v>101</v>
      </c>
      <c r="C50" s="2">
        <v>2</v>
      </c>
      <c r="D50" s="35">
        <v>0</v>
      </c>
      <c r="E50" s="2">
        <v>36.653933333333342</v>
      </c>
      <c r="F50" s="36">
        <v>3361.8779070000001</v>
      </c>
      <c r="G50">
        <f>IF($D50=1,IF(GDP_per_cap!C55&gt;'all_1961-1990'!$H$1,0,IF(UrbanPopRate!C55&gt;=$J$1,0,1)),0)</f>
        <v>0</v>
      </c>
      <c r="H50">
        <f>IF($D50=1,IF(GDP_per_cap!D55&gt;'all_1961-1990'!$H$1,0,IF(UrbanPopRate!D55&gt;=$J$1,0,1)),0)</f>
        <v>0</v>
      </c>
      <c r="I50">
        <f>IF($D50=1,IF(GDP_per_cap!E55&gt;'all_1961-1990'!$H$1,0,IF(UrbanPopRate!E55&gt;=$J$1,0,1)),0)</f>
        <v>0</v>
      </c>
      <c r="J50">
        <f>IF($D50=1,IF(GDP_per_cap!F55&gt;'all_1961-1990'!$H$1,0,IF(UrbanPopRate!F55&gt;=$J$1,0,1)),0)</f>
        <v>0</v>
      </c>
      <c r="K50">
        <f>IF($D50=1,IF(GDP_per_cap!G55&gt;'all_1961-1990'!$H$1,0,IF(UrbanPopRate!G55&gt;=$J$1,0,1)),0)</f>
        <v>0</v>
      </c>
      <c r="L50">
        <f>IF($D50=1,IF(GDP_per_cap!H55&gt;'all_1961-1990'!$H$1,0,IF(UrbanPopRate!H55&gt;=$J$1,0,1)),0)</f>
        <v>0</v>
      </c>
      <c r="M50">
        <f>IF($D50=1,IF(GDP_per_cap!I55&gt;'all_1961-1990'!$H$1,0,IF(UrbanPopRate!I55&gt;=$J$1,0,1)),0)</f>
        <v>0</v>
      </c>
      <c r="N50">
        <f>IF($D50=1,IF(GDP_per_cap!J55&gt;'all_1961-1990'!$H$1,0,IF(UrbanPopRate!J55&gt;=$J$1,0,1)),0)</f>
        <v>0</v>
      </c>
      <c r="O50">
        <f>IF($D50=1,IF(GDP_per_cap!K55&gt;'all_1961-1990'!$H$1,0,IF(UrbanPopRate!K55&gt;=$J$1,0,1)),0)</f>
        <v>0</v>
      </c>
      <c r="P50">
        <f>IF($D50=1,IF(GDP_per_cap!L55&gt;'all_1961-1990'!$H$1,0,IF(UrbanPopRate!L55&gt;=$J$1,0,1)),0)</f>
        <v>0</v>
      </c>
      <c r="Q50">
        <f>IF($D50=1,IF(GDP_per_cap!M55&gt;'all_1961-1990'!$H$1,0,IF(UrbanPopRate!M55&gt;=$J$1,0,1)),0)</f>
        <v>0</v>
      </c>
      <c r="R50">
        <f>IF($D50=1,IF(GDP_per_cap!N55&gt;'all_1961-1990'!$H$1,0,IF(UrbanPopRate!N55&gt;=$J$1,0,1)),0)</f>
        <v>0</v>
      </c>
      <c r="S50">
        <f>IF($D50=1,IF(GDP_per_cap!O55&gt;'all_1961-1990'!$H$1,0,IF(UrbanPopRate!O55&gt;=$J$1,0,1)),0)</f>
        <v>0</v>
      </c>
      <c r="T50">
        <f>IF($D50=1,IF(GDP_per_cap!P55&gt;'all_1961-1990'!$H$1,0,IF(UrbanPopRate!P55&gt;=$J$1,0,1)),0)</f>
        <v>0</v>
      </c>
      <c r="U50">
        <f>IF($D50=1,IF(GDP_per_cap!Q55&gt;'all_1961-1990'!$H$1,0,IF(UrbanPopRate!Q55&gt;=$J$1,0,1)),0)</f>
        <v>0</v>
      </c>
      <c r="V50">
        <f>IF($D50=1,IF(GDP_per_cap!R55&gt;'all_1961-1990'!$H$1,0,IF(UrbanPopRate!R55&gt;=$J$1,0,1)),0)</f>
        <v>0</v>
      </c>
      <c r="W50">
        <f>IF($D50=1,IF(GDP_per_cap!S55&gt;'all_1961-1990'!$H$1,0,IF(UrbanPopRate!S55&gt;=$J$1,0,1)),0)</f>
        <v>0</v>
      </c>
      <c r="X50">
        <f>IF($D50=1,IF(GDP_per_cap!T55&gt;'all_1961-1990'!$H$1,0,IF(UrbanPopRate!T55&gt;=$J$1,0,1)),0)</f>
        <v>0</v>
      </c>
      <c r="Y50">
        <f>IF($D50=1,IF(GDP_per_cap!U55&gt;'all_1961-1990'!$H$1,0,IF(UrbanPopRate!U55&gt;=$J$1,0,1)),0)</f>
        <v>0</v>
      </c>
      <c r="Z50">
        <f>IF($D50=1,IF(GDP_per_cap!V55&gt;'all_1961-1990'!$H$1,0,IF(UrbanPopRate!V55&gt;=$J$1,0,1)),0)</f>
        <v>0</v>
      </c>
      <c r="AA50">
        <f>IF($D50=1,IF(GDP_per_cap!W55&gt;'all_1961-1990'!$H$1,0,IF(UrbanPopRate!W55&gt;=$J$1,0,1)),0)</f>
        <v>0</v>
      </c>
      <c r="AB50">
        <f>IF($D50=1,IF(GDP_per_cap!X55&gt;'all_1961-1990'!$H$1,0,IF(UrbanPopRate!X55&gt;=$J$1,0,1)),0)</f>
        <v>0</v>
      </c>
      <c r="AC50">
        <f>IF($D50=1,IF(GDP_per_cap!Y55&gt;'all_1961-1990'!$H$1,0,IF(UrbanPopRate!Y55&gt;=$J$1,0,1)),0)</f>
        <v>0</v>
      </c>
      <c r="AD50">
        <f>IF($D50=1,IF(GDP_per_cap!Z55&gt;'all_1961-1990'!$H$1,0,IF(UrbanPopRate!Z55&gt;=$J$1,0,1)),0)</f>
        <v>0</v>
      </c>
      <c r="AE50">
        <f>IF($D50=1,IF(GDP_per_cap!AA55&gt;'all_1961-1990'!$H$1,0,IF(UrbanPopRate!AA55&gt;=$J$1,0,1)),0)</f>
        <v>0</v>
      </c>
      <c r="AF50">
        <f>IF($D50=1,IF(GDP_per_cap!AB55&gt;'all_1961-1990'!$H$1,0,IF(UrbanPopRate!AB55&gt;=$J$1,0,1)),0)</f>
        <v>0</v>
      </c>
      <c r="AG50">
        <f>IF($D50=1,IF(GDP_per_cap!AC55&gt;'all_1961-1990'!$H$1,0,IF(UrbanPopRate!AC55&gt;=$J$1,0,1)),0)</f>
        <v>0</v>
      </c>
      <c r="AH50">
        <f>IF($D50=1,IF(GDP_per_cap!AD55&gt;'all_1961-1990'!$H$1,0,IF(UrbanPopRate!AD55&gt;=$J$1,0,1)),0)</f>
        <v>0</v>
      </c>
      <c r="AI50">
        <f>IF($D50=1,IF(GDP_per_cap!AE55&gt;'all_1961-1990'!$H$1,0,IF(UrbanPopRate!AE55&gt;=$J$1,0,1)),0)</f>
        <v>0</v>
      </c>
      <c r="AJ50">
        <f>IF($D50=1,IF(GDP_per_cap!AF55&gt;'all_1961-1990'!$H$1,0,IF(UrbanPopRate!AF55&gt;=$J$1,0,1)),0)</f>
        <v>0</v>
      </c>
      <c r="AK50">
        <f>IF($D50=1,IF(GDP_per_cap!AG55&gt;'all_1961-1990'!$H$1,0,IF(UrbanPopRate!AG55&gt;=$J$1,0,1)),0)</f>
        <v>0</v>
      </c>
      <c r="AL50">
        <f>IF($D50=1,IF(GDP_per_cap!AH55&gt;'all_1961-1990'!$H$1,0,IF(UrbanPopRate!AH55&gt;=$J$1,0,1)),0)</f>
        <v>0</v>
      </c>
      <c r="AM50">
        <f>IF($D50=1,IF(GDP_per_cap!AI55&gt;'all_1961-1990'!$H$1,0,IF(UrbanPopRate!AI55&gt;=$J$1,0,1)),0)</f>
        <v>0</v>
      </c>
      <c r="AN50">
        <f>IF($D50=1,IF(GDP_per_cap!AJ55&gt;'all_1961-1990'!$H$1,0,IF(UrbanPopRate!AJ55&gt;=$J$1,0,1)),0)</f>
        <v>0</v>
      </c>
      <c r="AO50">
        <f>IF($D50=1,IF(GDP_per_cap!AK55&gt;'all_1961-1990'!$H$1,0,IF(UrbanPopRate!AK55&gt;=$J$1,0,1)),0)</f>
        <v>0</v>
      </c>
      <c r="AP50">
        <f>IF($D50=1,IF(GDP_per_cap!AL55&gt;'all_1961-1990'!$H$1,0,IF(UrbanPopRate!AL55&gt;=$J$1,0,1)),0)</f>
        <v>0</v>
      </c>
      <c r="AQ50">
        <f>IF($D50=1,IF(GDP_per_cap!AM55&gt;'all_1961-1990'!$H$1,0,IF(UrbanPopRate!AM55&gt;=$J$1,0,1)),0)</f>
        <v>0</v>
      </c>
      <c r="AR50">
        <f>IF($D50=1,IF(GDP_per_cap!AN55&gt;'all_1961-1990'!$H$1,0,IF(UrbanPopRate!AN55&gt;=$J$1,0,1)),0)</f>
        <v>0</v>
      </c>
      <c r="AS50">
        <f>IF($D50=1,IF(GDP_per_cap!AO55&gt;'all_1961-1990'!$H$1,0,IF(UrbanPopRate!AO55&gt;=$J$1,0,1)),0)</f>
        <v>0</v>
      </c>
      <c r="AT50">
        <f>IF($D50=1,IF(GDP_per_cap!AP55&gt;'all_1961-1990'!$H$1,0,IF(UrbanPopRate!AP55&gt;=$J$1,0,1)),0)</f>
        <v>0</v>
      </c>
      <c r="AU50">
        <f>IF($D50=1,IF(GDP_per_cap!AQ55&gt;'all_1961-1990'!$H$1,0,IF(UrbanPopRate!AQ55&gt;=$J$1,0,1)),0)</f>
        <v>0</v>
      </c>
      <c r="AV50">
        <f>IF($D50=1,IF(GDP_per_cap!AR55&gt;'all_1961-1990'!$H$1,0,IF(UrbanPopRate!AR55&gt;=$J$1,0,1)),0)</f>
        <v>0</v>
      </c>
      <c r="AW50">
        <f>IF($D50=1,IF(GDP_per_cap!AS55&gt;'all_1961-1990'!$H$1,0,IF(UrbanPopRate!AS55&gt;=$J$1,0,1)),0)</f>
        <v>0</v>
      </c>
      <c r="AX50">
        <f>IF($D50=1,IF(GDP_per_cap!AT55&gt;'all_1961-1990'!$H$1,0,IF(UrbanPopRate!AT55&gt;=$J$1,0,1)),0)</f>
        <v>0</v>
      </c>
      <c r="AY50">
        <f>IF($D50=1,IF(GDP_per_cap!AU55&gt;'all_1961-1990'!$H$1,0,IF(UrbanPopRate!AU55&gt;=$J$1,0,1)),0)</f>
        <v>0</v>
      </c>
      <c r="AZ50">
        <f>IF($D50=1,IF(GDP_per_cap!AV55&gt;'all_1961-1990'!$H$1,0,IF(UrbanPopRate!AV55&gt;=$J$1,0,1)),0)</f>
        <v>0</v>
      </c>
      <c r="BA50">
        <f>IF($D50=1,IF(GDP_per_cap!AW55&gt;'all_1961-1990'!$H$1,0,IF(UrbanPopRate!AW55&gt;=$J$1,0,1)),0)</f>
        <v>0</v>
      </c>
      <c r="BB50">
        <f>IF($D50=1,IF(GDP_per_cap!AX55&gt;'all_1961-1990'!$H$1,0,IF(UrbanPopRate!AX55&gt;=$J$1,0,1)),0)</f>
        <v>0</v>
      </c>
      <c r="BC50">
        <f>IF($D50=1,IF(GDP_per_cap!AY55&gt;'all_1961-1990'!$H$1,0,IF(UrbanPopRate!AY55&gt;=$J$1,0,1)),0)</f>
        <v>0</v>
      </c>
      <c r="BD50">
        <f>IF($D50=1,IF(GDP_per_cap!AZ55&gt;'all_1961-1990'!$H$1,0,IF(UrbanPopRate!AZ55&gt;=$J$1,0,1)),0)</f>
        <v>0</v>
      </c>
      <c r="BE50">
        <f>IF($D50=1,IF(GDP_per_cap!BA55&gt;'all_1961-1990'!$H$1,0,IF(UrbanPopRate!BA55&gt;=$J$1,0,1)),0)</f>
        <v>0</v>
      </c>
      <c r="BF50">
        <f>IF($D50=1,IF(GDP_per_cap!BB55&gt;'all_1961-1990'!$H$1,0,IF(UrbanPopRate!BB55&gt;=$J$1,0,1)),0)</f>
        <v>0</v>
      </c>
    </row>
    <row r="51" spans="1:58">
      <c r="A51" s="3">
        <v>7</v>
      </c>
      <c r="B51" s="3" t="s">
        <v>151</v>
      </c>
      <c r="C51" s="2">
        <v>2</v>
      </c>
      <c r="D51" s="35">
        <v>0</v>
      </c>
      <c r="E51" s="2">
        <v>21.280899999999999</v>
      </c>
      <c r="F51" s="36">
        <v>3319.1010179999998</v>
      </c>
      <c r="G51">
        <f>IF($D51=1,IF(GDP_per_cap!C5&gt;'all_1961-1990'!$H$1,0,IF(UrbanPopRate!C5&gt;=$J$1,0,1)),0)</f>
        <v>0</v>
      </c>
      <c r="H51">
        <f>IF($D51=1,IF(GDP_per_cap!D5&gt;'all_1961-1990'!$H$1,0,IF(UrbanPopRate!D5&gt;=$J$1,0,1)),0)</f>
        <v>0</v>
      </c>
      <c r="I51">
        <f>IF($D51=1,IF(GDP_per_cap!E5&gt;'all_1961-1990'!$H$1,0,IF(UrbanPopRate!E5&gt;=$J$1,0,1)),0)</f>
        <v>0</v>
      </c>
      <c r="J51">
        <f>IF($D51=1,IF(GDP_per_cap!F5&gt;'all_1961-1990'!$H$1,0,IF(UrbanPopRate!F5&gt;=$J$1,0,1)),0)</f>
        <v>0</v>
      </c>
      <c r="K51">
        <f>IF($D51=1,IF(GDP_per_cap!G5&gt;'all_1961-1990'!$H$1,0,IF(UrbanPopRate!G5&gt;=$J$1,0,1)),0)</f>
        <v>0</v>
      </c>
      <c r="L51">
        <f>IF($D51=1,IF(GDP_per_cap!H5&gt;'all_1961-1990'!$H$1,0,IF(UrbanPopRate!H5&gt;=$J$1,0,1)),0)</f>
        <v>0</v>
      </c>
      <c r="M51">
        <f>IF($D51=1,IF(GDP_per_cap!I5&gt;'all_1961-1990'!$H$1,0,IF(UrbanPopRate!I5&gt;=$J$1,0,1)),0)</f>
        <v>0</v>
      </c>
      <c r="N51">
        <f>IF($D51=1,IF(GDP_per_cap!J5&gt;'all_1961-1990'!$H$1,0,IF(UrbanPopRate!J5&gt;=$J$1,0,1)),0)</f>
        <v>0</v>
      </c>
      <c r="O51">
        <f>IF($D51=1,IF(GDP_per_cap!K5&gt;'all_1961-1990'!$H$1,0,IF(UrbanPopRate!K5&gt;=$J$1,0,1)),0)</f>
        <v>0</v>
      </c>
      <c r="P51">
        <f>IF($D51=1,IF(GDP_per_cap!L5&gt;'all_1961-1990'!$H$1,0,IF(UrbanPopRate!L5&gt;=$J$1,0,1)),0)</f>
        <v>0</v>
      </c>
      <c r="Q51">
        <f>IF($D51=1,IF(GDP_per_cap!M5&gt;'all_1961-1990'!$H$1,0,IF(UrbanPopRate!M5&gt;=$J$1,0,1)),0)</f>
        <v>0</v>
      </c>
      <c r="R51">
        <f>IF($D51=1,IF(GDP_per_cap!N5&gt;'all_1961-1990'!$H$1,0,IF(UrbanPopRate!N5&gt;=$J$1,0,1)),0)</f>
        <v>0</v>
      </c>
      <c r="S51">
        <f>IF($D51=1,IF(GDP_per_cap!O5&gt;'all_1961-1990'!$H$1,0,IF(UrbanPopRate!O5&gt;=$J$1,0,1)),0)</f>
        <v>0</v>
      </c>
      <c r="T51">
        <f>IF($D51=1,IF(GDP_per_cap!P5&gt;'all_1961-1990'!$H$1,0,IF(UrbanPopRate!P5&gt;=$J$1,0,1)),0)</f>
        <v>0</v>
      </c>
      <c r="U51">
        <f>IF($D51=1,IF(GDP_per_cap!Q5&gt;'all_1961-1990'!$H$1,0,IF(UrbanPopRate!Q5&gt;=$J$1,0,1)),0)</f>
        <v>0</v>
      </c>
      <c r="V51">
        <f>IF($D51=1,IF(GDP_per_cap!R5&gt;'all_1961-1990'!$H$1,0,IF(UrbanPopRate!R5&gt;=$J$1,0,1)),0)</f>
        <v>0</v>
      </c>
      <c r="W51">
        <f>IF($D51=1,IF(GDP_per_cap!S5&gt;'all_1961-1990'!$H$1,0,IF(UrbanPopRate!S5&gt;=$J$1,0,1)),0)</f>
        <v>0</v>
      </c>
      <c r="X51">
        <f>IF($D51=1,IF(GDP_per_cap!T5&gt;'all_1961-1990'!$H$1,0,IF(UrbanPopRate!T5&gt;=$J$1,0,1)),0)</f>
        <v>0</v>
      </c>
      <c r="Y51">
        <f>IF($D51=1,IF(GDP_per_cap!U5&gt;'all_1961-1990'!$H$1,0,IF(UrbanPopRate!U5&gt;=$J$1,0,1)),0)</f>
        <v>0</v>
      </c>
      <c r="Z51">
        <f>IF($D51=1,IF(GDP_per_cap!V5&gt;'all_1961-1990'!$H$1,0,IF(UrbanPopRate!V5&gt;=$J$1,0,1)),0)</f>
        <v>0</v>
      </c>
      <c r="AA51">
        <f>IF($D51=1,IF(GDP_per_cap!W5&gt;'all_1961-1990'!$H$1,0,IF(UrbanPopRate!W5&gt;=$J$1,0,1)),0)</f>
        <v>0</v>
      </c>
      <c r="AB51">
        <f>IF($D51=1,IF(GDP_per_cap!X5&gt;'all_1961-1990'!$H$1,0,IF(UrbanPopRate!X5&gt;=$J$1,0,1)),0)</f>
        <v>0</v>
      </c>
      <c r="AC51">
        <f>IF($D51=1,IF(GDP_per_cap!Y5&gt;'all_1961-1990'!$H$1,0,IF(UrbanPopRate!Y5&gt;=$J$1,0,1)),0)</f>
        <v>0</v>
      </c>
      <c r="AD51">
        <f>IF($D51=1,IF(GDP_per_cap!Z5&gt;'all_1961-1990'!$H$1,0,IF(UrbanPopRate!Z5&gt;=$J$1,0,1)),0)</f>
        <v>0</v>
      </c>
      <c r="AE51">
        <f>IF($D51=1,IF(GDP_per_cap!AA5&gt;'all_1961-1990'!$H$1,0,IF(UrbanPopRate!AA5&gt;=$J$1,0,1)),0)</f>
        <v>0</v>
      </c>
      <c r="AF51">
        <f>IF($D51=1,IF(GDP_per_cap!AB5&gt;'all_1961-1990'!$H$1,0,IF(UrbanPopRate!AB5&gt;=$J$1,0,1)),0)</f>
        <v>0</v>
      </c>
      <c r="AG51">
        <f>IF($D51=1,IF(GDP_per_cap!AC5&gt;'all_1961-1990'!$H$1,0,IF(UrbanPopRate!AC5&gt;=$J$1,0,1)),0)</f>
        <v>0</v>
      </c>
      <c r="AH51">
        <f>IF($D51=1,IF(GDP_per_cap!AD5&gt;'all_1961-1990'!$H$1,0,IF(UrbanPopRate!AD5&gt;=$J$1,0,1)),0)</f>
        <v>0</v>
      </c>
      <c r="AI51">
        <f>IF($D51=1,IF(GDP_per_cap!AE5&gt;'all_1961-1990'!$H$1,0,IF(UrbanPopRate!AE5&gt;=$J$1,0,1)),0)</f>
        <v>0</v>
      </c>
      <c r="AJ51">
        <f>IF($D51=1,IF(GDP_per_cap!AF5&gt;'all_1961-1990'!$H$1,0,IF(UrbanPopRate!AF5&gt;=$J$1,0,1)),0)</f>
        <v>0</v>
      </c>
      <c r="AK51">
        <f>IF($D51=1,IF(GDP_per_cap!AG5&gt;'all_1961-1990'!$H$1,0,IF(UrbanPopRate!AG5&gt;=$J$1,0,1)),0)</f>
        <v>0</v>
      </c>
      <c r="AL51">
        <f>IF($D51=1,IF(GDP_per_cap!AH5&gt;'all_1961-1990'!$H$1,0,IF(UrbanPopRate!AH5&gt;=$J$1,0,1)),0)</f>
        <v>0</v>
      </c>
      <c r="AM51">
        <f>IF($D51=1,IF(GDP_per_cap!AI5&gt;'all_1961-1990'!$H$1,0,IF(UrbanPopRate!AI5&gt;=$J$1,0,1)),0)</f>
        <v>0</v>
      </c>
      <c r="AN51">
        <f>IF($D51=1,IF(GDP_per_cap!AJ5&gt;'all_1961-1990'!$H$1,0,IF(UrbanPopRate!AJ5&gt;=$J$1,0,1)),0)</f>
        <v>0</v>
      </c>
      <c r="AO51">
        <f>IF($D51=1,IF(GDP_per_cap!AK5&gt;'all_1961-1990'!$H$1,0,IF(UrbanPopRate!AK5&gt;=$J$1,0,1)),0)</f>
        <v>0</v>
      </c>
      <c r="AP51">
        <f>IF($D51=1,IF(GDP_per_cap!AL5&gt;'all_1961-1990'!$H$1,0,IF(UrbanPopRate!AL5&gt;=$J$1,0,1)),0)</f>
        <v>0</v>
      </c>
      <c r="AQ51">
        <f>IF($D51=1,IF(GDP_per_cap!AM5&gt;'all_1961-1990'!$H$1,0,IF(UrbanPopRate!AM5&gt;=$J$1,0,1)),0)</f>
        <v>0</v>
      </c>
      <c r="AR51">
        <f>IF($D51=1,IF(GDP_per_cap!AN5&gt;'all_1961-1990'!$H$1,0,IF(UrbanPopRate!AN5&gt;=$J$1,0,1)),0)</f>
        <v>0</v>
      </c>
      <c r="AS51">
        <f>IF($D51=1,IF(GDP_per_cap!AO5&gt;'all_1961-1990'!$H$1,0,IF(UrbanPopRate!AO5&gt;=$J$1,0,1)),0)</f>
        <v>0</v>
      </c>
      <c r="AT51">
        <f>IF($D51=1,IF(GDP_per_cap!AP5&gt;'all_1961-1990'!$H$1,0,IF(UrbanPopRate!AP5&gt;=$J$1,0,1)),0)</f>
        <v>0</v>
      </c>
      <c r="AU51">
        <f>IF($D51=1,IF(GDP_per_cap!AQ5&gt;'all_1961-1990'!$H$1,0,IF(UrbanPopRate!AQ5&gt;=$J$1,0,1)),0)</f>
        <v>0</v>
      </c>
      <c r="AV51">
        <f>IF($D51=1,IF(GDP_per_cap!AR5&gt;'all_1961-1990'!$H$1,0,IF(UrbanPopRate!AR5&gt;=$J$1,0,1)),0)</f>
        <v>0</v>
      </c>
      <c r="AW51">
        <f>IF($D51=1,IF(GDP_per_cap!AS5&gt;'all_1961-1990'!$H$1,0,IF(UrbanPopRate!AS5&gt;=$J$1,0,1)),0)</f>
        <v>0</v>
      </c>
      <c r="AX51">
        <f>IF($D51=1,IF(GDP_per_cap!AT5&gt;'all_1961-1990'!$H$1,0,IF(UrbanPopRate!AT5&gt;=$J$1,0,1)),0)</f>
        <v>0</v>
      </c>
      <c r="AY51">
        <f>IF($D51=1,IF(GDP_per_cap!AU5&gt;'all_1961-1990'!$H$1,0,IF(UrbanPopRate!AU5&gt;=$J$1,0,1)),0)</f>
        <v>0</v>
      </c>
      <c r="AZ51">
        <f>IF($D51=1,IF(GDP_per_cap!AV5&gt;'all_1961-1990'!$H$1,0,IF(UrbanPopRate!AV5&gt;=$J$1,0,1)),0)</f>
        <v>0</v>
      </c>
      <c r="BA51">
        <f>IF($D51=1,IF(GDP_per_cap!AW5&gt;'all_1961-1990'!$H$1,0,IF(UrbanPopRate!AW5&gt;=$J$1,0,1)),0)</f>
        <v>0</v>
      </c>
      <c r="BB51">
        <f>IF($D51=1,IF(GDP_per_cap!AX5&gt;'all_1961-1990'!$H$1,0,IF(UrbanPopRate!AX5&gt;=$J$1,0,1)),0)</f>
        <v>0</v>
      </c>
      <c r="BC51">
        <f>IF($D51=1,IF(GDP_per_cap!AY5&gt;'all_1961-1990'!$H$1,0,IF(UrbanPopRate!AY5&gt;=$J$1,0,1)),0)</f>
        <v>0</v>
      </c>
      <c r="BD51">
        <f>IF($D51=1,IF(GDP_per_cap!AZ5&gt;'all_1961-1990'!$H$1,0,IF(UrbanPopRate!AZ5&gt;=$J$1,0,1)),0)</f>
        <v>0</v>
      </c>
      <c r="BE51">
        <f>IF($D51=1,IF(GDP_per_cap!BA5&gt;'all_1961-1990'!$H$1,0,IF(UrbanPopRate!BA5&gt;=$J$1,0,1)),0)</f>
        <v>0</v>
      </c>
      <c r="BF51">
        <f>IF($D51=1,IF(GDP_per_cap!BB5&gt;'all_1961-1990'!$H$1,0,IF(UrbanPopRate!BB5&gt;=$J$1,0,1)),0)</f>
        <v>0</v>
      </c>
    </row>
    <row r="52" spans="1:58">
      <c r="A52" s="3">
        <v>27</v>
      </c>
      <c r="B52" s="3" t="s">
        <v>140</v>
      </c>
      <c r="C52" s="2">
        <v>2</v>
      </c>
      <c r="D52" s="35">
        <v>0</v>
      </c>
      <c r="E52" s="2">
        <v>43.894666666666666</v>
      </c>
      <c r="F52" s="36">
        <v>3166.911008</v>
      </c>
      <c r="G52">
        <f>IF($D52=1,IF(GDP_per_cap!C16&gt;'all_1961-1990'!$H$1,0,IF(UrbanPopRate!C16&gt;=$J$1,0,1)),0)</f>
        <v>0</v>
      </c>
      <c r="H52">
        <f>IF($D52=1,IF(GDP_per_cap!D16&gt;'all_1961-1990'!$H$1,0,IF(UrbanPopRate!D16&gt;=$J$1,0,1)),0)</f>
        <v>0</v>
      </c>
      <c r="I52">
        <f>IF($D52=1,IF(GDP_per_cap!E16&gt;'all_1961-1990'!$H$1,0,IF(UrbanPopRate!E16&gt;=$J$1,0,1)),0)</f>
        <v>0</v>
      </c>
      <c r="J52">
        <f>IF($D52=1,IF(GDP_per_cap!F16&gt;'all_1961-1990'!$H$1,0,IF(UrbanPopRate!F16&gt;=$J$1,0,1)),0)</f>
        <v>0</v>
      </c>
      <c r="K52">
        <f>IF($D52=1,IF(GDP_per_cap!G16&gt;'all_1961-1990'!$H$1,0,IF(UrbanPopRate!G16&gt;=$J$1,0,1)),0)</f>
        <v>0</v>
      </c>
      <c r="L52">
        <f>IF($D52=1,IF(GDP_per_cap!H16&gt;'all_1961-1990'!$H$1,0,IF(UrbanPopRate!H16&gt;=$J$1,0,1)),0)</f>
        <v>0</v>
      </c>
      <c r="M52">
        <f>IF($D52=1,IF(GDP_per_cap!I16&gt;'all_1961-1990'!$H$1,0,IF(UrbanPopRate!I16&gt;=$J$1,0,1)),0)</f>
        <v>0</v>
      </c>
      <c r="N52">
        <f>IF($D52=1,IF(GDP_per_cap!J16&gt;'all_1961-1990'!$H$1,0,IF(UrbanPopRate!J16&gt;=$J$1,0,1)),0)</f>
        <v>0</v>
      </c>
      <c r="O52">
        <f>IF($D52=1,IF(GDP_per_cap!K16&gt;'all_1961-1990'!$H$1,0,IF(UrbanPopRate!K16&gt;=$J$1,0,1)),0)</f>
        <v>0</v>
      </c>
      <c r="P52">
        <f>IF($D52=1,IF(GDP_per_cap!L16&gt;'all_1961-1990'!$H$1,0,IF(UrbanPopRate!L16&gt;=$J$1,0,1)),0)</f>
        <v>0</v>
      </c>
      <c r="Q52">
        <f>IF($D52=1,IF(GDP_per_cap!M16&gt;'all_1961-1990'!$H$1,0,IF(UrbanPopRate!M16&gt;=$J$1,0,1)),0)</f>
        <v>0</v>
      </c>
      <c r="R52">
        <f>IF($D52=1,IF(GDP_per_cap!N16&gt;'all_1961-1990'!$H$1,0,IF(UrbanPopRate!N16&gt;=$J$1,0,1)),0)</f>
        <v>0</v>
      </c>
      <c r="S52">
        <f>IF($D52=1,IF(GDP_per_cap!O16&gt;'all_1961-1990'!$H$1,0,IF(UrbanPopRate!O16&gt;=$J$1,0,1)),0)</f>
        <v>0</v>
      </c>
      <c r="T52">
        <f>IF($D52=1,IF(GDP_per_cap!P16&gt;'all_1961-1990'!$H$1,0,IF(UrbanPopRate!P16&gt;=$J$1,0,1)),0)</f>
        <v>0</v>
      </c>
      <c r="U52">
        <f>IF($D52=1,IF(GDP_per_cap!Q16&gt;'all_1961-1990'!$H$1,0,IF(UrbanPopRate!Q16&gt;=$J$1,0,1)),0)</f>
        <v>0</v>
      </c>
      <c r="V52">
        <f>IF($D52=1,IF(GDP_per_cap!R16&gt;'all_1961-1990'!$H$1,0,IF(UrbanPopRate!R16&gt;=$J$1,0,1)),0)</f>
        <v>0</v>
      </c>
      <c r="W52">
        <f>IF($D52=1,IF(GDP_per_cap!S16&gt;'all_1961-1990'!$H$1,0,IF(UrbanPopRate!S16&gt;=$J$1,0,1)),0)</f>
        <v>0</v>
      </c>
      <c r="X52">
        <f>IF($D52=1,IF(GDP_per_cap!T16&gt;'all_1961-1990'!$H$1,0,IF(UrbanPopRate!T16&gt;=$J$1,0,1)),0)</f>
        <v>0</v>
      </c>
      <c r="Y52">
        <f>IF($D52=1,IF(GDP_per_cap!U16&gt;'all_1961-1990'!$H$1,0,IF(UrbanPopRate!U16&gt;=$J$1,0,1)),0)</f>
        <v>0</v>
      </c>
      <c r="Z52">
        <f>IF($D52=1,IF(GDP_per_cap!V16&gt;'all_1961-1990'!$H$1,0,IF(UrbanPopRate!V16&gt;=$J$1,0,1)),0)</f>
        <v>0</v>
      </c>
      <c r="AA52">
        <f>IF($D52=1,IF(GDP_per_cap!W16&gt;'all_1961-1990'!$H$1,0,IF(UrbanPopRate!W16&gt;=$J$1,0,1)),0)</f>
        <v>0</v>
      </c>
      <c r="AB52">
        <f>IF($D52=1,IF(GDP_per_cap!X16&gt;'all_1961-1990'!$H$1,0,IF(UrbanPopRate!X16&gt;=$J$1,0,1)),0)</f>
        <v>0</v>
      </c>
      <c r="AC52">
        <f>IF($D52=1,IF(GDP_per_cap!Y16&gt;'all_1961-1990'!$H$1,0,IF(UrbanPopRate!Y16&gt;=$J$1,0,1)),0)</f>
        <v>0</v>
      </c>
      <c r="AD52">
        <f>IF($D52=1,IF(GDP_per_cap!Z16&gt;'all_1961-1990'!$H$1,0,IF(UrbanPopRate!Z16&gt;=$J$1,0,1)),0)</f>
        <v>0</v>
      </c>
      <c r="AE52">
        <f>IF($D52=1,IF(GDP_per_cap!AA16&gt;'all_1961-1990'!$H$1,0,IF(UrbanPopRate!AA16&gt;=$J$1,0,1)),0)</f>
        <v>0</v>
      </c>
      <c r="AF52">
        <f>IF($D52=1,IF(GDP_per_cap!AB16&gt;'all_1961-1990'!$H$1,0,IF(UrbanPopRate!AB16&gt;=$J$1,0,1)),0)</f>
        <v>0</v>
      </c>
      <c r="AG52">
        <f>IF($D52=1,IF(GDP_per_cap!AC16&gt;'all_1961-1990'!$H$1,0,IF(UrbanPopRate!AC16&gt;=$J$1,0,1)),0)</f>
        <v>0</v>
      </c>
      <c r="AH52">
        <f>IF($D52=1,IF(GDP_per_cap!AD16&gt;'all_1961-1990'!$H$1,0,IF(UrbanPopRate!AD16&gt;=$J$1,0,1)),0)</f>
        <v>0</v>
      </c>
      <c r="AI52">
        <f>IF($D52=1,IF(GDP_per_cap!AE16&gt;'all_1961-1990'!$H$1,0,IF(UrbanPopRate!AE16&gt;=$J$1,0,1)),0)</f>
        <v>0</v>
      </c>
      <c r="AJ52">
        <f>IF($D52=1,IF(GDP_per_cap!AF16&gt;'all_1961-1990'!$H$1,0,IF(UrbanPopRate!AF16&gt;=$J$1,0,1)),0)</f>
        <v>0</v>
      </c>
      <c r="AK52">
        <f>IF($D52=1,IF(GDP_per_cap!AG16&gt;'all_1961-1990'!$H$1,0,IF(UrbanPopRate!AG16&gt;=$J$1,0,1)),0)</f>
        <v>0</v>
      </c>
      <c r="AL52">
        <f>IF($D52=1,IF(GDP_per_cap!AH16&gt;'all_1961-1990'!$H$1,0,IF(UrbanPopRate!AH16&gt;=$J$1,0,1)),0)</f>
        <v>0</v>
      </c>
      <c r="AM52">
        <f>IF($D52=1,IF(GDP_per_cap!AI16&gt;'all_1961-1990'!$H$1,0,IF(UrbanPopRate!AI16&gt;=$J$1,0,1)),0)</f>
        <v>0</v>
      </c>
      <c r="AN52">
        <f>IF($D52=1,IF(GDP_per_cap!AJ16&gt;'all_1961-1990'!$H$1,0,IF(UrbanPopRate!AJ16&gt;=$J$1,0,1)),0)</f>
        <v>0</v>
      </c>
      <c r="AO52">
        <f>IF($D52=1,IF(GDP_per_cap!AK16&gt;'all_1961-1990'!$H$1,0,IF(UrbanPopRate!AK16&gt;=$J$1,0,1)),0)</f>
        <v>0</v>
      </c>
      <c r="AP52">
        <f>IF($D52=1,IF(GDP_per_cap!AL16&gt;'all_1961-1990'!$H$1,0,IF(UrbanPopRate!AL16&gt;=$J$1,0,1)),0)</f>
        <v>0</v>
      </c>
      <c r="AQ52">
        <f>IF($D52=1,IF(GDP_per_cap!AM16&gt;'all_1961-1990'!$H$1,0,IF(UrbanPopRate!AM16&gt;=$J$1,0,1)),0)</f>
        <v>0</v>
      </c>
      <c r="AR52">
        <f>IF($D52=1,IF(GDP_per_cap!AN16&gt;'all_1961-1990'!$H$1,0,IF(UrbanPopRate!AN16&gt;=$J$1,0,1)),0)</f>
        <v>0</v>
      </c>
      <c r="AS52">
        <f>IF($D52=1,IF(GDP_per_cap!AO16&gt;'all_1961-1990'!$H$1,0,IF(UrbanPopRate!AO16&gt;=$J$1,0,1)),0)</f>
        <v>0</v>
      </c>
      <c r="AT52">
        <f>IF($D52=1,IF(GDP_per_cap!AP16&gt;'all_1961-1990'!$H$1,0,IF(UrbanPopRate!AP16&gt;=$J$1,0,1)),0)</f>
        <v>0</v>
      </c>
      <c r="AU52">
        <f>IF($D52=1,IF(GDP_per_cap!AQ16&gt;'all_1961-1990'!$H$1,0,IF(UrbanPopRate!AQ16&gt;=$J$1,0,1)),0)</f>
        <v>0</v>
      </c>
      <c r="AV52">
        <f>IF($D52=1,IF(GDP_per_cap!AR16&gt;'all_1961-1990'!$H$1,0,IF(UrbanPopRate!AR16&gt;=$J$1,0,1)),0)</f>
        <v>0</v>
      </c>
      <c r="AW52">
        <f>IF($D52=1,IF(GDP_per_cap!AS16&gt;'all_1961-1990'!$H$1,0,IF(UrbanPopRate!AS16&gt;=$J$1,0,1)),0)</f>
        <v>0</v>
      </c>
      <c r="AX52">
        <f>IF($D52=1,IF(GDP_per_cap!AT16&gt;'all_1961-1990'!$H$1,0,IF(UrbanPopRate!AT16&gt;=$J$1,0,1)),0)</f>
        <v>0</v>
      </c>
      <c r="AY52">
        <f>IF($D52=1,IF(GDP_per_cap!AU16&gt;'all_1961-1990'!$H$1,0,IF(UrbanPopRate!AU16&gt;=$J$1,0,1)),0)</f>
        <v>0</v>
      </c>
      <c r="AZ52">
        <f>IF($D52=1,IF(GDP_per_cap!AV16&gt;'all_1961-1990'!$H$1,0,IF(UrbanPopRate!AV16&gt;=$J$1,0,1)),0)</f>
        <v>0</v>
      </c>
      <c r="BA52">
        <f>IF($D52=1,IF(GDP_per_cap!AW16&gt;'all_1961-1990'!$H$1,0,IF(UrbanPopRate!AW16&gt;=$J$1,0,1)),0)</f>
        <v>0</v>
      </c>
      <c r="BB52">
        <f>IF($D52=1,IF(GDP_per_cap!AX16&gt;'all_1961-1990'!$H$1,0,IF(UrbanPopRate!AX16&gt;=$J$1,0,1)),0)</f>
        <v>0</v>
      </c>
      <c r="BC52">
        <f>IF($D52=1,IF(GDP_per_cap!AY16&gt;'all_1961-1990'!$H$1,0,IF(UrbanPopRate!AY16&gt;=$J$1,0,1)),0)</f>
        <v>0</v>
      </c>
      <c r="BD52">
        <f>IF($D52=1,IF(GDP_per_cap!AZ16&gt;'all_1961-1990'!$H$1,0,IF(UrbanPopRate!AZ16&gt;=$J$1,0,1)),0)</f>
        <v>0</v>
      </c>
      <c r="BE52">
        <f>IF($D52=1,IF(GDP_per_cap!BA16&gt;'all_1961-1990'!$H$1,0,IF(UrbanPopRate!BA16&gt;=$J$1,0,1)),0)</f>
        <v>0</v>
      </c>
      <c r="BF52">
        <f>IF($D52=1,IF(GDP_per_cap!BB16&gt;'all_1961-1990'!$H$1,0,IF(UrbanPopRate!BB16&gt;=$J$1,0,1)),0)</f>
        <v>0</v>
      </c>
    </row>
    <row r="53" spans="1:58">
      <c r="A53" s="3">
        <v>215</v>
      </c>
      <c r="B53" s="3" t="s">
        <v>18</v>
      </c>
      <c r="C53" s="2">
        <v>2</v>
      </c>
      <c r="D53" s="35">
        <v>0</v>
      </c>
      <c r="E53" s="2">
        <v>24.21286666666667</v>
      </c>
      <c r="F53" s="36">
        <v>2874.940552</v>
      </c>
      <c r="G53">
        <f>IF($D53=1,IF(GDP_per_cap!C138&gt;'all_1961-1990'!$H$1,0,IF(UrbanPopRate!C138&gt;=$J$1,0,1)),0)</f>
        <v>0</v>
      </c>
      <c r="H53">
        <f>IF($D53=1,IF(GDP_per_cap!D138&gt;'all_1961-1990'!$H$1,0,IF(UrbanPopRate!D138&gt;=$J$1,0,1)),0)</f>
        <v>0</v>
      </c>
      <c r="I53">
        <f>IF($D53=1,IF(GDP_per_cap!E138&gt;'all_1961-1990'!$H$1,0,IF(UrbanPopRate!E138&gt;=$J$1,0,1)),0)</f>
        <v>0</v>
      </c>
      <c r="J53">
        <f>IF($D53=1,IF(GDP_per_cap!F138&gt;'all_1961-1990'!$H$1,0,IF(UrbanPopRate!F138&gt;=$J$1,0,1)),0)</f>
        <v>0</v>
      </c>
      <c r="K53">
        <f>IF($D53=1,IF(GDP_per_cap!G138&gt;'all_1961-1990'!$H$1,0,IF(UrbanPopRate!G138&gt;=$J$1,0,1)),0)</f>
        <v>0</v>
      </c>
      <c r="L53">
        <f>IF($D53=1,IF(GDP_per_cap!H138&gt;'all_1961-1990'!$H$1,0,IF(UrbanPopRate!H138&gt;=$J$1,0,1)),0)</f>
        <v>0</v>
      </c>
      <c r="M53">
        <f>IF($D53=1,IF(GDP_per_cap!I138&gt;'all_1961-1990'!$H$1,0,IF(UrbanPopRate!I138&gt;=$J$1,0,1)),0)</f>
        <v>0</v>
      </c>
      <c r="N53">
        <f>IF($D53=1,IF(GDP_per_cap!J138&gt;'all_1961-1990'!$H$1,0,IF(UrbanPopRate!J138&gt;=$J$1,0,1)),0)</f>
        <v>0</v>
      </c>
      <c r="O53">
        <f>IF($D53=1,IF(GDP_per_cap!K138&gt;'all_1961-1990'!$H$1,0,IF(UrbanPopRate!K138&gt;=$J$1,0,1)),0)</f>
        <v>0</v>
      </c>
      <c r="P53">
        <f>IF($D53=1,IF(GDP_per_cap!L138&gt;'all_1961-1990'!$H$1,0,IF(UrbanPopRate!L138&gt;=$J$1,0,1)),0)</f>
        <v>0</v>
      </c>
      <c r="Q53">
        <f>IF($D53=1,IF(GDP_per_cap!M138&gt;'all_1961-1990'!$H$1,0,IF(UrbanPopRate!M138&gt;=$J$1,0,1)),0)</f>
        <v>0</v>
      </c>
      <c r="R53">
        <f>IF($D53=1,IF(GDP_per_cap!N138&gt;'all_1961-1990'!$H$1,0,IF(UrbanPopRate!N138&gt;=$J$1,0,1)),0)</f>
        <v>0</v>
      </c>
      <c r="S53">
        <f>IF($D53=1,IF(GDP_per_cap!O138&gt;'all_1961-1990'!$H$1,0,IF(UrbanPopRate!O138&gt;=$J$1,0,1)),0)</f>
        <v>0</v>
      </c>
      <c r="T53">
        <f>IF($D53=1,IF(GDP_per_cap!P138&gt;'all_1961-1990'!$H$1,0,IF(UrbanPopRate!P138&gt;=$J$1,0,1)),0)</f>
        <v>0</v>
      </c>
      <c r="U53">
        <f>IF($D53=1,IF(GDP_per_cap!Q138&gt;'all_1961-1990'!$H$1,0,IF(UrbanPopRate!Q138&gt;=$J$1,0,1)),0)</f>
        <v>0</v>
      </c>
      <c r="V53">
        <f>IF($D53=1,IF(GDP_per_cap!R138&gt;'all_1961-1990'!$H$1,0,IF(UrbanPopRate!R138&gt;=$J$1,0,1)),0)</f>
        <v>0</v>
      </c>
      <c r="W53">
        <f>IF($D53=1,IF(GDP_per_cap!S138&gt;'all_1961-1990'!$H$1,0,IF(UrbanPopRate!S138&gt;=$J$1,0,1)),0)</f>
        <v>0</v>
      </c>
      <c r="X53">
        <f>IF($D53=1,IF(GDP_per_cap!T138&gt;'all_1961-1990'!$H$1,0,IF(UrbanPopRate!T138&gt;=$J$1,0,1)),0)</f>
        <v>0</v>
      </c>
      <c r="Y53">
        <f>IF($D53=1,IF(GDP_per_cap!U138&gt;'all_1961-1990'!$H$1,0,IF(UrbanPopRate!U138&gt;=$J$1,0,1)),0)</f>
        <v>0</v>
      </c>
      <c r="Z53">
        <f>IF($D53=1,IF(GDP_per_cap!V138&gt;'all_1961-1990'!$H$1,0,IF(UrbanPopRate!V138&gt;=$J$1,0,1)),0)</f>
        <v>0</v>
      </c>
      <c r="AA53">
        <f>IF($D53=1,IF(GDP_per_cap!W138&gt;'all_1961-1990'!$H$1,0,IF(UrbanPopRate!W138&gt;=$J$1,0,1)),0)</f>
        <v>0</v>
      </c>
      <c r="AB53">
        <f>IF($D53=1,IF(GDP_per_cap!X138&gt;'all_1961-1990'!$H$1,0,IF(UrbanPopRate!X138&gt;=$J$1,0,1)),0)</f>
        <v>0</v>
      </c>
      <c r="AC53">
        <f>IF($D53=1,IF(GDP_per_cap!Y138&gt;'all_1961-1990'!$H$1,0,IF(UrbanPopRate!Y138&gt;=$J$1,0,1)),0)</f>
        <v>0</v>
      </c>
      <c r="AD53">
        <f>IF($D53=1,IF(GDP_per_cap!Z138&gt;'all_1961-1990'!$H$1,0,IF(UrbanPopRate!Z138&gt;=$J$1,0,1)),0)</f>
        <v>0</v>
      </c>
      <c r="AE53">
        <f>IF($D53=1,IF(GDP_per_cap!AA138&gt;'all_1961-1990'!$H$1,0,IF(UrbanPopRate!AA138&gt;=$J$1,0,1)),0)</f>
        <v>0</v>
      </c>
      <c r="AF53">
        <f>IF($D53=1,IF(GDP_per_cap!AB138&gt;'all_1961-1990'!$H$1,0,IF(UrbanPopRate!AB138&gt;=$J$1,0,1)),0)</f>
        <v>0</v>
      </c>
      <c r="AG53">
        <f>IF($D53=1,IF(GDP_per_cap!AC138&gt;'all_1961-1990'!$H$1,0,IF(UrbanPopRate!AC138&gt;=$J$1,0,1)),0)</f>
        <v>0</v>
      </c>
      <c r="AH53">
        <f>IF($D53=1,IF(GDP_per_cap!AD138&gt;'all_1961-1990'!$H$1,0,IF(UrbanPopRate!AD138&gt;=$J$1,0,1)),0)</f>
        <v>0</v>
      </c>
      <c r="AI53">
        <f>IF($D53=1,IF(GDP_per_cap!AE138&gt;'all_1961-1990'!$H$1,0,IF(UrbanPopRate!AE138&gt;=$J$1,0,1)),0)</f>
        <v>0</v>
      </c>
      <c r="AJ53">
        <f>IF($D53=1,IF(GDP_per_cap!AF138&gt;'all_1961-1990'!$H$1,0,IF(UrbanPopRate!AF138&gt;=$J$1,0,1)),0)</f>
        <v>0</v>
      </c>
      <c r="AK53">
        <f>IF($D53=1,IF(GDP_per_cap!AG138&gt;'all_1961-1990'!$H$1,0,IF(UrbanPopRate!AG138&gt;=$J$1,0,1)),0)</f>
        <v>0</v>
      </c>
      <c r="AL53">
        <f>IF($D53=1,IF(GDP_per_cap!AH138&gt;'all_1961-1990'!$H$1,0,IF(UrbanPopRate!AH138&gt;=$J$1,0,1)),0)</f>
        <v>0</v>
      </c>
      <c r="AM53">
        <f>IF($D53=1,IF(GDP_per_cap!AI138&gt;'all_1961-1990'!$H$1,0,IF(UrbanPopRate!AI138&gt;=$J$1,0,1)),0)</f>
        <v>0</v>
      </c>
      <c r="AN53">
        <f>IF($D53=1,IF(GDP_per_cap!AJ138&gt;'all_1961-1990'!$H$1,0,IF(UrbanPopRate!AJ138&gt;=$J$1,0,1)),0)</f>
        <v>0</v>
      </c>
      <c r="AO53">
        <f>IF($D53=1,IF(GDP_per_cap!AK138&gt;'all_1961-1990'!$H$1,0,IF(UrbanPopRate!AK138&gt;=$J$1,0,1)),0)</f>
        <v>0</v>
      </c>
      <c r="AP53">
        <f>IF($D53=1,IF(GDP_per_cap!AL138&gt;'all_1961-1990'!$H$1,0,IF(UrbanPopRate!AL138&gt;=$J$1,0,1)),0)</f>
        <v>0</v>
      </c>
      <c r="AQ53">
        <f>IF($D53=1,IF(GDP_per_cap!AM138&gt;'all_1961-1990'!$H$1,0,IF(UrbanPopRate!AM138&gt;=$J$1,0,1)),0)</f>
        <v>0</v>
      </c>
      <c r="AR53">
        <f>IF($D53=1,IF(GDP_per_cap!AN138&gt;'all_1961-1990'!$H$1,0,IF(UrbanPopRate!AN138&gt;=$J$1,0,1)),0)</f>
        <v>0</v>
      </c>
      <c r="AS53">
        <f>IF($D53=1,IF(GDP_per_cap!AO138&gt;'all_1961-1990'!$H$1,0,IF(UrbanPopRate!AO138&gt;=$J$1,0,1)),0)</f>
        <v>0</v>
      </c>
      <c r="AT53">
        <f>IF($D53=1,IF(GDP_per_cap!AP138&gt;'all_1961-1990'!$H$1,0,IF(UrbanPopRate!AP138&gt;=$J$1,0,1)),0)</f>
        <v>0</v>
      </c>
      <c r="AU53">
        <f>IF($D53=1,IF(GDP_per_cap!AQ138&gt;'all_1961-1990'!$H$1,0,IF(UrbanPopRate!AQ138&gt;=$J$1,0,1)),0)</f>
        <v>0</v>
      </c>
      <c r="AV53">
        <f>IF($D53=1,IF(GDP_per_cap!AR138&gt;'all_1961-1990'!$H$1,0,IF(UrbanPopRate!AR138&gt;=$J$1,0,1)),0)</f>
        <v>0</v>
      </c>
      <c r="AW53">
        <f>IF($D53=1,IF(GDP_per_cap!AS138&gt;'all_1961-1990'!$H$1,0,IF(UrbanPopRate!AS138&gt;=$J$1,0,1)),0)</f>
        <v>0</v>
      </c>
      <c r="AX53">
        <f>IF($D53=1,IF(GDP_per_cap!AT138&gt;'all_1961-1990'!$H$1,0,IF(UrbanPopRate!AT138&gt;=$J$1,0,1)),0)</f>
        <v>0</v>
      </c>
      <c r="AY53">
        <f>IF($D53=1,IF(GDP_per_cap!AU138&gt;'all_1961-1990'!$H$1,0,IF(UrbanPopRate!AU138&gt;=$J$1,0,1)),0)</f>
        <v>0</v>
      </c>
      <c r="AZ53">
        <f>IF($D53=1,IF(GDP_per_cap!AV138&gt;'all_1961-1990'!$H$1,0,IF(UrbanPopRate!AV138&gt;=$J$1,0,1)),0)</f>
        <v>0</v>
      </c>
      <c r="BA53">
        <f>IF($D53=1,IF(GDP_per_cap!AW138&gt;'all_1961-1990'!$H$1,0,IF(UrbanPopRate!AW138&gt;=$J$1,0,1)),0)</f>
        <v>0</v>
      </c>
      <c r="BB53">
        <f>IF($D53=1,IF(GDP_per_cap!AX138&gt;'all_1961-1990'!$H$1,0,IF(UrbanPopRate!AX138&gt;=$J$1,0,1)),0)</f>
        <v>0</v>
      </c>
      <c r="BC53">
        <f>IF($D53=1,IF(GDP_per_cap!AY138&gt;'all_1961-1990'!$H$1,0,IF(UrbanPopRate!AY138&gt;=$J$1,0,1)),0)</f>
        <v>0</v>
      </c>
      <c r="BD53">
        <f>IF($D53=1,IF(GDP_per_cap!AZ138&gt;'all_1961-1990'!$H$1,0,IF(UrbanPopRate!AZ138&gt;=$J$1,0,1)),0)</f>
        <v>0</v>
      </c>
      <c r="BE53">
        <f>IF($D53=1,IF(GDP_per_cap!BA138&gt;'all_1961-1990'!$H$1,0,IF(UrbanPopRate!BA138&gt;=$J$1,0,1)),0)</f>
        <v>0</v>
      </c>
      <c r="BF53">
        <f>IF($D53=1,IF(GDP_per_cap!BB138&gt;'all_1961-1990'!$H$1,0,IF(UrbanPopRate!BB138&gt;=$J$1,0,1)),0)</f>
        <v>0</v>
      </c>
    </row>
    <row r="54" spans="1:58">
      <c r="A54" s="3">
        <v>64</v>
      </c>
      <c r="B54" s="3" t="s">
        <v>114</v>
      </c>
      <c r="C54" s="2">
        <v>2</v>
      </c>
      <c r="D54" s="35">
        <v>0</v>
      </c>
      <c r="E54" s="2">
        <v>42.561733333333329</v>
      </c>
      <c r="F54" s="36">
        <v>2853.4748909999998</v>
      </c>
      <c r="G54">
        <f>IF($D54=1,IF(GDP_per_cap!C42&gt;'all_1961-1990'!$H$1,0,IF(UrbanPopRate!C42&gt;=$J$1,0,1)),0)</f>
        <v>0</v>
      </c>
      <c r="H54">
        <f>IF($D54=1,IF(GDP_per_cap!D42&gt;'all_1961-1990'!$H$1,0,IF(UrbanPopRate!D42&gt;=$J$1,0,1)),0)</f>
        <v>0</v>
      </c>
      <c r="I54">
        <f>IF($D54=1,IF(GDP_per_cap!E42&gt;'all_1961-1990'!$H$1,0,IF(UrbanPopRate!E42&gt;=$J$1,0,1)),0)</f>
        <v>0</v>
      </c>
      <c r="J54">
        <f>IF($D54=1,IF(GDP_per_cap!F42&gt;'all_1961-1990'!$H$1,0,IF(UrbanPopRate!F42&gt;=$J$1,0,1)),0)</f>
        <v>0</v>
      </c>
      <c r="K54">
        <f>IF($D54=1,IF(GDP_per_cap!G42&gt;'all_1961-1990'!$H$1,0,IF(UrbanPopRate!G42&gt;=$J$1,0,1)),0)</f>
        <v>0</v>
      </c>
      <c r="L54">
        <f>IF($D54=1,IF(GDP_per_cap!H42&gt;'all_1961-1990'!$H$1,0,IF(UrbanPopRate!H42&gt;=$J$1,0,1)),0)</f>
        <v>0</v>
      </c>
      <c r="M54">
        <f>IF($D54=1,IF(GDP_per_cap!I42&gt;'all_1961-1990'!$H$1,0,IF(UrbanPopRate!I42&gt;=$J$1,0,1)),0)</f>
        <v>0</v>
      </c>
      <c r="N54">
        <f>IF($D54=1,IF(GDP_per_cap!J42&gt;'all_1961-1990'!$H$1,0,IF(UrbanPopRate!J42&gt;=$J$1,0,1)),0)</f>
        <v>0</v>
      </c>
      <c r="O54">
        <f>IF($D54=1,IF(GDP_per_cap!K42&gt;'all_1961-1990'!$H$1,0,IF(UrbanPopRate!K42&gt;=$J$1,0,1)),0)</f>
        <v>0</v>
      </c>
      <c r="P54">
        <f>IF($D54=1,IF(GDP_per_cap!L42&gt;'all_1961-1990'!$H$1,0,IF(UrbanPopRate!L42&gt;=$J$1,0,1)),0)</f>
        <v>0</v>
      </c>
      <c r="Q54">
        <f>IF($D54=1,IF(GDP_per_cap!M42&gt;'all_1961-1990'!$H$1,0,IF(UrbanPopRate!M42&gt;=$J$1,0,1)),0)</f>
        <v>0</v>
      </c>
      <c r="R54">
        <f>IF($D54=1,IF(GDP_per_cap!N42&gt;'all_1961-1990'!$H$1,0,IF(UrbanPopRate!N42&gt;=$J$1,0,1)),0)</f>
        <v>0</v>
      </c>
      <c r="S54">
        <f>IF($D54=1,IF(GDP_per_cap!O42&gt;'all_1961-1990'!$H$1,0,IF(UrbanPopRate!O42&gt;=$J$1,0,1)),0)</f>
        <v>0</v>
      </c>
      <c r="T54">
        <f>IF($D54=1,IF(GDP_per_cap!P42&gt;'all_1961-1990'!$H$1,0,IF(UrbanPopRate!P42&gt;=$J$1,0,1)),0)</f>
        <v>0</v>
      </c>
      <c r="U54">
        <f>IF($D54=1,IF(GDP_per_cap!Q42&gt;'all_1961-1990'!$H$1,0,IF(UrbanPopRate!Q42&gt;=$J$1,0,1)),0)</f>
        <v>0</v>
      </c>
      <c r="V54">
        <f>IF($D54=1,IF(GDP_per_cap!R42&gt;'all_1961-1990'!$H$1,0,IF(UrbanPopRate!R42&gt;=$J$1,0,1)),0)</f>
        <v>0</v>
      </c>
      <c r="W54">
        <f>IF($D54=1,IF(GDP_per_cap!S42&gt;'all_1961-1990'!$H$1,0,IF(UrbanPopRate!S42&gt;=$J$1,0,1)),0)</f>
        <v>0</v>
      </c>
      <c r="X54">
        <f>IF($D54=1,IF(GDP_per_cap!T42&gt;'all_1961-1990'!$H$1,0,IF(UrbanPopRate!T42&gt;=$J$1,0,1)),0)</f>
        <v>0</v>
      </c>
      <c r="Y54">
        <f>IF($D54=1,IF(GDP_per_cap!U42&gt;'all_1961-1990'!$H$1,0,IF(UrbanPopRate!U42&gt;=$J$1,0,1)),0)</f>
        <v>0</v>
      </c>
      <c r="Z54">
        <f>IF($D54=1,IF(GDP_per_cap!V42&gt;'all_1961-1990'!$H$1,0,IF(UrbanPopRate!V42&gt;=$J$1,0,1)),0)</f>
        <v>0</v>
      </c>
      <c r="AA54">
        <f>IF($D54=1,IF(GDP_per_cap!W42&gt;'all_1961-1990'!$H$1,0,IF(UrbanPopRate!W42&gt;=$J$1,0,1)),0)</f>
        <v>0</v>
      </c>
      <c r="AB54">
        <f>IF($D54=1,IF(GDP_per_cap!X42&gt;'all_1961-1990'!$H$1,0,IF(UrbanPopRate!X42&gt;=$J$1,0,1)),0)</f>
        <v>0</v>
      </c>
      <c r="AC54">
        <f>IF($D54=1,IF(GDP_per_cap!Y42&gt;'all_1961-1990'!$H$1,0,IF(UrbanPopRate!Y42&gt;=$J$1,0,1)),0)</f>
        <v>0</v>
      </c>
      <c r="AD54">
        <f>IF($D54=1,IF(GDP_per_cap!Z42&gt;'all_1961-1990'!$H$1,0,IF(UrbanPopRate!Z42&gt;=$J$1,0,1)),0)</f>
        <v>0</v>
      </c>
      <c r="AE54">
        <f>IF($D54=1,IF(GDP_per_cap!AA42&gt;'all_1961-1990'!$H$1,0,IF(UrbanPopRate!AA42&gt;=$J$1,0,1)),0)</f>
        <v>0</v>
      </c>
      <c r="AF54">
        <f>IF($D54=1,IF(GDP_per_cap!AB42&gt;'all_1961-1990'!$H$1,0,IF(UrbanPopRate!AB42&gt;=$J$1,0,1)),0)</f>
        <v>0</v>
      </c>
      <c r="AG54">
        <f>IF($D54=1,IF(GDP_per_cap!AC42&gt;'all_1961-1990'!$H$1,0,IF(UrbanPopRate!AC42&gt;=$J$1,0,1)),0)</f>
        <v>0</v>
      </c>
      <c r="AH54">
        <f>IF($D54=1,IF(GDP_per_cap!AD42&gt;'all_1961-1990'!$H$1,0,IF(UrbanPopRate!AD42&gt;=$J$1,0,1)),0)</f>
        <v>0</v>
      </c>
      <c r="AI54">
        <f>IF($D54=1,IF(GDP_per_cap!AE42&gt;'all_1961-1990'!$H$1,0,IF(UrbanPopRate!AE42&gt;=$J$1,0,1)),0)</f>
        <v>0</v>
      </c>
      <c r="AJ54">
        <f>IF($D54=1,IF(GDP_per_cap!AF42&gt;'all_1961-1990'!$H$1,0,IF(UrbanPopRate!AF42&gt;=$J$1,0,1)),0)</f>
        <v>0</v>
      </c>
      <c r="AK54">
        <f>IF($D54=1,IF(GDP_per_cap!AG42&gt;'all_1961-1990'!$H$1,0,IF(UrbanPopRate!AG42&gt;=$J$1,0,1)),0)</f>
        <v>0</v>
      </c>
      <c r="AL54">
        <f>IF($D54=1,IF(GDP_per_cap!AH42&gt;'all_1961-1990'!$H$1,0,IF(UrbanPopRate!AH42&gt;=$J$1,0,1)),0)</f>
        <v>0</v>
      </c>
      <c r="AM54">
        <f>IF($D54=1,IF(GDP_per_cap!AI42&gt;'all_1961-1990'!$H$1,0,IF(UrbanPopRate!AI42&gt;=$J$1,0,1)),0)</f>
        <v>0</v>
      </c>
      <c r="AN54">
        <f>IF($D54=1,IF(GDP_per_cap!AJ42&gt;'all_1961-1990'!$H$1,0,IF(UrbanPopRate!AJ42&gt;=$J$1,0,1)),0)</f>
        <v>0</v>
      </c>
      <c r="AO54">
        <f>IF($D54=1,IF(GDP_per_cap!AK42&gt;'all_1961-1990'!$H$1,0,IF(UrbanPopRate!AK42&gt;=$J$1,0,1)),0)</f>
        <v>0</v>
      </c>
      <c r="AP54">
        <f>IF($D54=1,IF(GDP_per_cap!AL42&gt;'all_1961-1990'!$H$1,0,IF(UrbanPopRate!AL42&gt;=$J$1,0,1)),0)</f>
        <v>0</v>
      </c>
      <c r="AQ54">
        <f>IF($D54=1,IF(GDP_per_cap!AM42&gt;'all_1961-1990'!$H$1,0,IF(UrbanPopRate!AM42&gt;=$J$1,0,1)),0)</f>
        <v>0</v>
      </c>
      <c r="AR54">
        <f>IF($D54=1,IF(GDP_per_cap!AN42&gt;'all_1961-1990'!$H$1,0,IF(UrbanPopRate!AN42&gt;=$J$1,0,1)),0)</f>
        <v>0</v>
      </c>
      <c r="AS54">
        <f>IF($D54=1,IF(GDP_per_cap!AO42&gt;'all_1961-1990'!$H$1,0,IF(UrbanPopRate!AO42&gt;=$J$1,0,1)),0)</f>
        <v>0</v>
      </c>
      <c r="AT54">
        <f>IF($D54=1,IF(GDP_per_cap!AP42&gt;'all_1961-1990'!$H$1,0,IF(UrbanPopRate!AP42&gt;=$J$1,0,1)),0)</f>
        <v>0</v>
      </c>
      <c r="AU54">
        <f>IF($D54=1,IF(GDP_per_cap!AQ42&gt;'all_1961-1990'!$H$1,0,IF(UrbanPopRate!AQ42&gt;=$J$1,0,1)),0)</f>
        <v>0</v>
      </c>
      <c r="AV54">
        <f>IF($D54=1,IF(GDP_per_cap!AR42&gt;'all_1961-1990'!$H$1,0,IF(UrbanPopRate!AR42&gt;=$J$1,0,1)),0)</f>
        <v>0</v>
      </c>
      <c r="AW54">
        <f>IF($D54=1,IF(GDP_per_cap!AS42&gt;'all_1961-1990'!$H$1,0,IF(UrbanPopRate!AS42&gt;=$J$1,0,1)),0)</f>
        <v>0</v>
      </c>
      <c r="AX54">
        <f>IF($D54=1,IF(GDP_per_cap!AT42&gt;'all_1961-1990'!$H$1,0,IF(UrbanPopRate!AT42&gt;=$J$1,0,1)),0)</f>
        <v>0</v>
      </c>
      <c r="AY54">
        <f>IF($D54=1,IF(GDP_per_cap!AU42&gt;'all_1961-1990'!$H$1,0,IF(UrbanPopRate!AU42&gt;=$J$1,0,1)),0)</f>
        <v>0</v>
      </c>
      <c r="AZ54">
        <f>IF($D54=1,IF(GDP_per_cap!AV42&gt;'all_1961-1990'!$H$1,0,IF(UrbanPopRate!AV42&gt;=$J$1,0,1)),0)</f>
        <v>0</v>
      </c>
      <c r="BA54">
        <f>IF($D54=1,IF(GDP_per_cap!AW42&gt;'all_1961-1990'!$H$1,0,IF(UrbanPopRate!AW42&gt;=$J$1,0,1)),0)</f>
        <v>0</v>
      </c>
      <c r="BB54">
        <f>IF($D54=1,IF(GDP_per_cap!AX42&gt;'all_1961-1990'!$H$1,0,IF(UrbanPopRate!AX42&gt;=$J$1,0,1)),0)</f>
        <v>0</v>
      </c>
      <c r="BC54">
        <f>IF($D54=1,IF(GDP_per_cap!AY42&gt;'all_1961-1990'!$H$1,0,IF(UrbanPopRate!AY42&gt;=$J$1,0,1)),0)</f>
        <v>0</v>
      </c>
      <c r="BD54">
        <f>IF($D54=1,IF(GDP_per_cap!AZ42&gt;'all_1961-1990'!$H$1,0,IF(UrbanPopRate!AZ42&gt;=$J$1,0,1)),0)</f>
        <v>0</v>
      </c>
      <c r="BE54">
        <f>IF($D54=1,IF(GDP_per_cap!BA42&gt;'all_1961-1990'!$H$1,0,IF(UrbanPopRate!BA42&gt;=$J$1,0,1)),0)</f>
        <v>0</v>
      </c>
      <c r="BF54">
        <f>IF($D54=1,IF(GDP_per_cap!BB42&gt;'all_1961-1990'!$H$1,0,IF(UrbanPopRate!BB42&gt;=$J$1,0,1)),0)</f>
        <v>0</v>
      </c>
    </row>
    <row r="55" spans="1:58">
      <c r="A55" s="3">
        <v>97</v>
      </c>
      <c r="B55" s="3" t="s">
        <v>97</v>
      </c>
      <c r="C55" s="2">
        <v>2</v>
      </c>
      <c r="D55" s="35">
        <v>0</v>
      </c>
      <c r="E55" s="2">
        <v>32.115966666666665</v>
      </c>
      <c r="F55" s="36">
        <v>2661.6271980000001</v>
      </c>
      <c r="G55">
        <f>IF($D55=1,IF(GDP_per_cap!C59&gt;'all_1961-1990'!$H$1,0,IF(UrbanPopRate!C59&gt;=$J$1,0,1)),0)</f>
        <v>0</v>
      </c>
      <c r="H55">
        <f>IF($D55=1,IF(GDP_per_cap!D59&gt;'all_1961-1990'!$H$1,0,IF(UrbanPopRate!D59&gt;=$J$1,0,1)),0)</f>
        <v>0</v>
      </c>
      <c r="I55">
        <f>IF($D55=1,IF(GDP_per_cap!E59&gt;'all_1961-1990'!$H$1,0,IF(UrbanPopRate!E59&gt;=$J$1,0,1)),0)</f>
        <v>0</v>
      </c>
      <c r="J55">
        <f>IF($D55=1,IF(GDP_per_cap!F59&gt;'all_1961-1990'!$H$1,0,IF(UrbanPopRate!F59&gt;=$J$1,0,1)),0)</f>
        <v>0</v>
      </c>
      <c r="K55">
        <f>IF($D55=1,IF(GDP_per_cap!G59&gt;'all_1961-1990'!$H$1,0,IF(UrbanPopRate!G59&gt;=$J$1,0,1)),0)</f>
        <v>0</v>
      </c>
      <c r="L55">
        <f>IF($D55=1,IF(GDP_per_cap!H59&gt;'all_1961-1990'!$H$1,0,IF(UrbanPopRate!H59&gt;=$J$1,0,1)),0)</f>
        <v>0</v>
      </c>
      <c r="M55">
        <f>IF($D55=1,IF(GDP_per_cap!I59&gt;'all_1961-1990'!$H$1,0,IF(UrbanPopRate!I59&gt;=$J$1,0,1)),0)</f>
        <v>0</v>
      </c>
      <c r="N55">
        <f>IF($D55=1,IF(GDP_per_cap!J59&gt;'all_1961-1990'!$H$1,0,IF(UrbanPopRate!J59&gt;=$J$1,0,1)),0)</f>
        <v>0</v>
      </c>
      <c r="O55">
        <f>IF($D55=1,IF(GDP_per_cap!K59&gt;'all_1961-1990'!$H$1,0,IF(UrbanPopRate!K59&gt;=$J$1,0,1)),0)</f>
        <v>0</v>
      </c>
      <c r="P55">
        <f>IF($D55=1,IF(GDP_per_cap!L59&gt;'all_1961-1990'!$H$1,0,IF(UrbanPopRate!L59&gt;=$J$1,0,1)),0)</f>
        <v>0</v>
      </c>
      <c r="Q55">
        <f>IF($D55=1,IF(GDP_per_cap!M59&gt;'all_1961-1990'!$H$1,0,IF(UrbanPopRate!M59&gt;=$J$1,0,1)),0)</f>
        <v>0</v>
      </c>
      <c r="R55">
        <f>IF($D55=1,IF(GDP_per_cap!N59&gt;'all_1961-1990'!$H$1,0,IF(UrbanPopRate!N59&gt;=$J$1,0,1)),0)</f>
        <v>0</v>
      </c>
      <c r="S55">
        <f>IF($D55=1,IF(GDP_per_cap!O59&gt;'all_1961-1990'!$H$1,0,IF(UrbanPopRate!O59&gt;=$J$1,0,1)),0)</f>
        <v>0</v>
      </c>
      <c r="T55">
        <f>IF($D55=1,IF(GDP_per_cap!P59&gt;'all_1961-1990'!$H$1,0,IF(UrbanPopRate!P59&gt;=$J$1,0,1)),0)</f>
        <v>0</v>
      </c>
      <c r="U55">
        <f>IF($D55=1,IF(GDP_per_cap!Q59&gt;'all_1961-1990'!$H$1,0,IF(UrbanPopRate!Q59&gt;=$J$1,0,1)),0)</f>
        <v>0</v>
      </c>
      <c r="V55">
        <f>IF($D55=1,IF(GDP_per_cap!R59&gt;'all_1961-1990'!$H$1,0,IF(UrbanPopRate!R59&gt;=$J$1,0,1)),0)</f>
        <v>0</v>
      </c>
      <c r="W55">
        <f>IF($D55=1,IF(GDP_per_cap!S59&gt;'all_1961-1990'!$H$1,0,IF(UrbanPopRate!S59&gt;=$J$1,0,1)),0)</f>
        <v>0</v>
      </c>
      <c r="X55">
        <f>IF($D55=1,IF(GDP_per_cap!T59&gt;'all_1961-1990'!$H$1,0,IF(UrbanPopRate!T59&gt;=$J$1,0,1)),0)</f>
        <v>0</v>
      </c>
      <c r="Y55">
        <f>IF($D55=1,IF(GDP_per_cap!U59&gt;'all_1961-1990'!$H$1,0,IF(UrbanPopRate!U59&gt;=$J$1,0,1)),0)</f>
        <v>0</v>
      </c>
      <c r="Z55">
        <f>IF($D55=1,IF(GDP_per_cap!V59&gt;'all_1961-1990'!$H$1,0,IF(UrbanPopRate!V59&gt;=$J$1,0,1)),0)</f>
        <v>0</v>
      </c>
      <c r="AA55">
        <f>IF($D55=1,IF(GDP_per_cap!W59&gt;'all_1961-1990'!$H$1,0,IF(UrbanPopRate!W59&gt;=$J$1,0,1)),0)</f>
        <v>0</v>
      </c>
      <c r="AB55">
        <f>IF($D55=1,IF(GDP_per_cap!X59&gt;'all_1961-1990'!$H$1,0,IF(UrbanPopRate!X59&gt;=$J$1,0,1)),0)</f>
        <v>0</v>
      </c>
      <c r="AC55">
        <f>IF($D55=1,IF(GDP_per_cap!Y59&gt;'all_1961-1990'!$H$1,0,IF(UrbanPopRate!Y59&gt;=$J$1,0,1)),0)</f>
        <v>0</v>
      </c>
      <c r="AD55">
        <f>IF($D55=1,IF(GDP_per_cap!Z59&gt;'all_1961-1990'!$H$1,0,IF(UrbanPopRate!Z59&gt;=$J$1,0,1)),0)</f>
        <v>0</v>
      </c>
      <c r="AE55">
        <f>IF($D55=1,IF(GDP_per_cap!AA59&gt;'all_1961-1990'!$H$1,0,IF(UrbanPopRate!AA59&gt;=$J$1,0,1)),0)</f>
        <v>0</v>
      </c>
      <c r="AF55">
        <f>IF($D55=1,IF(GDP_per_cap!AB59&gt;'all_1961-1990'!$H$1,0,IF(UrbanPopRate!AB59&gt;=$J$1,0,1)),0)</f>
        <v>0</v>
      </c>
      <c r="AG55">
        <f>IF($D55=1,IF(GDP_per_cap!AC59&gt;'all_1961-1990'!$H$1,0,IF(UrbanPopRate!AC59&gt;=$J$1,0,1)),0)</f>
        <v>0</v>
      </c>
      <c r="AH55">
        <f>IF($D55=1,IF(GDP_per_cap!AD59&gt;'all_1961-1990'!$H$1,0,IF(UrbanPopRate!AD59&gt;=$J$1,0,1)),0)</f>
        <v>0</v>
      </c>
      <c r="AI55">
        <f>IF($D55=1,IF(GDP_per_cap!AE59&gt;'all_1961-1990'!$H$1,0,IF(UrbanPopRate!AE59&gt;=$J$1,0,1)),0)</f>
        <v>0</v>
      </c>
      <c r="AJ55">
        <f>IF($D55=1,IF(GDP_per_cap!AF59&gt;'all_1961-1990'!$H$1,0,IF(UrbanPopRate!AF59&gt;=$J$1,0,1)),0)</f>
        <v>0</v>
      </c>
      <c r="AK55">
        <f>IF($D55=1,IF(GDP_per_cap!AG59&gt;'all_1961-1990'!$H$1,0,IF(UrbanPopRate!AG59&gt;=$J$1,0,1)),0)</f>
        <v>0</v>
      </c>
      <c r="AL55">
        <f>IF($D55=1,IF(GDP_per_cap!AH59&gt;'all_1961-1990'!$H$1,0,IF(UrbanPopRate!AH59&gt;=$J$1,0,1)),0)</f>
        <v>0</v>
      </c>
      <c r="AM55">
        <f>IF($D55=1,IF(GDP_per_cap!AI59&gt;'all_1961-1990'!$H$1,0,IF(UrbanPopRate!AI59&gt;=$J$1,0,1)),0)</f>
        <v>0</v>
      </c>
      <c r="AN55">
        <f>IF($D55=1,IF(GDP_per_cap!AJ59&gt;'all_1961-1990'!$H$1,0,IF(UrbanPopRate!AJ59&gt;=$J$1,0,1)),0)</f>
        <v>0</v>
      </c>
      <c r="AO55">
        <f>IF($D55=1,IF(GDP_per_cap!AK59&gt;'all_1961-1990'!$H$1,0,IF(UrbanPopRate!AK59&gt;=$J$1,0,1)),0)</f>
        <v>0</v>
      </c>
      <c r="AP55">
        <f>IF($D55=1,IF(GDP_per_cap!AL59&gt;'all_1961-1990'!$H$1,0,IF(UrbanPopRate!AL59&gt;=$J$1,0,1)),0)</f>
        <v>0</v>
      </c>
      <c r="AQ55">
        <f>IF($D55=1,IF(GDP_per_cap!AM59&gt;'all_1961-1990'!$H$1,0,IF(UrbanPopRate!AM59&gt;=$J$1,0,1)),0)</f>
        <v>0</v>
      </c>
      <c r="AR55">
        <f>IF($D55=1,IF(GDP_per_cap!AN59&gt;'all_1961-1990'!$H$1,0,IF(UrbanPopRate!AN59&gt;=$J$1,0,1)),0)</f>
        <v>0</v>
      </c>
      <c r="AS55">
        <f>IF($D55=1,IF(GDP_per_cap!AO59&gt;'all_1961-1990'!$H$1,0,IF(UrbanPopRate!AO59&gt;=$J$1,0,1)),0)</f>
        <v>0</v>
      </c>
      <c r="AT55">
        <f>IF($D55=1,IF(GDP_per_cap!AP59&gt;'all_1961-1990'!$H$1,0,IF(UrbanPopRate!AP59&gt;=$J$1,0,1)),0)</f>
        <v>0</v>
      </c>
      <c r="AU55">
        <f>IF($D55=1,IF(GDP_per_cap!AQ59&gt;'all_1961-1990'!$H$1,0,IF(UrbanPopRate!AQ59&gt;=$J$1,0,1)),0)</f>
        <v>0</v>
      </c>
      <c r="AV55">
        <f>IF($D55=1,IF(GDP_per_cap!AR59&gt;'all_1961-1990'!$H$1,0,IF(UrbanPopRate!AR59&gt;=$J$1,0,1)),0)</f>
        <v>0</v>
      </c>
      <c r="AW55">
        <f>IF($D55=1,IF(GDP_per_cap!AS59&gt;'all_1961-1990'!$H$1,0,IF(UrbanPopRate!AS59&gt;=$J$1,0,1)),0)</f>
        <v>0</v>
      </c>
      <c r="AX55">
        <f>IF($D55=1,IF(GDP_per_cap!AT59&gt;'all_1961-1990'!$H$1,0,IF(UrbanPopRate!AT59&gt;=$J$1,0,1)),0)</f>
        <v>0</v>
      </c>
      <c r="AY55">
        <f>IF($D55=1,IF(GDP_per_cap!AU59&gt;'all_1961-1990'!$H$1,0,IF(UrbanPopRate!AU59&gt;=$J$1,0,1)),0)</f>
        <v>0</v>
      </c>
      <c r="AZ55">
        <f>IF($D55=1,IF(GDP_per_cap!AV59&gt;'all_1961-1990'!$H$1,0,IF(UrbanPopRate!AV59&gt;=$J$1,0,1)),0)</f>
        <v>0</v>
      </c>
      <c r="BA55">
        <f>IF($D55=1,IF(GDP_per_cap!AW59&gt;'all_1961-1990'!$H$1,0,IF(UrbanPopRate!AW59&gt;=$J$1,0,1)),0)</f>
        <v>0</v>
      </c>
      <c r="BB55">
        <f>IF($D55=1,IF(GDP_per_cap!AX59&gt;'all_1961-1990'!$H$1,0,IF(UrbanPopRate!AX59&gt;=$J$1,0,1)),0)</f>
        <v>0</v>
      </c>
      <c r="BC55">
        <f>IF($D55=1,IF(GDP_per_cap!AY59&gt;'all_1961-1990'!$H$1,0,IF(UrbanPopRate!AY59&gt;=$J$1,0,1)),0)</f>
        <v>0</v>
      </c>
      <c r="BD55">
        <f>IF($D55=1,IF(GDP_per_cap!AZ59&gt;'all_1961-1990'!$H$1,0,IF(UrbanPopRate!AZ59&gt;=$J$1,0,1)),0)</f>
        <v>0</v>
      </c>
      <c r="BE55">
        <f>IF($D55=1,IF(GDP_per_cap!BA59&gt;'all_1961-1990'!$H$1,0,IF(UrbanPopRate!BA59&gt;=$J$1,0,1)),0)</f>
        <v>0</v>
      </c>
      <c r="BF55">
        <f>IF($D55=1,IF(GDP_per_cap!BB59&gt;'all_1961-1990'!$H$1,0,IF(UrbanPopRate!BB59&gt;=$J$1,0,1)),0)</f>
        <v>0</v>
      </c>
    </row>
    <row r="56" spans="1:58">
      <c r="A56" s="3">
        <v>241</v>
      </c>
      <c r="B56" s="3" t="s">
        <v>2</v>
      </c>
      <c r="C56" s="2">
        <v>2</v>
      </c>
      <c r="D56" s="35">
        <v>0</v>
      </c>
      <c r="E56" s="2">
        <v>15.045933333333334</v>
      </c>
      <c r="F56" s="36">
        <v>2600</v>
      </c>
      <c r="G56">
        <f>IF($D56=1,IF(GDP_per_cap!C154&gt;'all_1961-1990'!$H$1,0,IF(UrbanPopRate!C154&gt;=$J$1,0,1)),0)</f>
        <v>0</v>
      </c>
      <c r="H56">
        <f>IF($D56=1,IF(GDP_per_cap!D154&gt;'all_1961-1990'!$H$1,0,IF(UrbanPopRate!D154&gt;=$J$1,0,1)),0)</f>
        <v>0</v>
      </c>
      <c r="I56">
        <f>IF($D56=1,IF(GDP_per_cap!E154&gt;'all_1961-1990'!$H$1,0,IF(UrbanPopRate!E154&gt;=$J$1,0,1)),0)</f>
        <v>0</v>
      </c>
      <c r="J56">
        <f>IF($D56=1,IF(GDP_per_cap!F154&gt;'all_1961-1990'!$H$1,0,IF(UrbanPopRate!F154&gt;=$J$1,0,1)),0)</f>
        <v>0</v>
      </c>
      <c r="K56">
        <f>IF($D56=1,IF(GDP_per_cap!G154&gt;'all_1961-1990'!$H$1,0,IF(UrbanPopRate!G154&gt;=$J$1,0,1)),0)</f>
        <v>0</v>
      </c>
      <c r="L56">
        <f>IF($D56=1,IF(GDP_per_cap!H154&gt;'all_1961-1990'!$H$1,0,IF(UrbanPopRate!H154&gt;=$J$1,0,1)),0)</f>
        <v>0</v>
      </c>
      <c r="M56">
        <f>IF($D56=1,IF(GDP_per_cap!I154&gt;'all_1961-1990'!$H$1,0,IF(UrbanPopRate!I154&gt;=$J$1,0,1)),0)</f>
        <v>0</v>
      </c>
      <c r="N56">
        <f>IF($D56=1,IF(GDP_per_cap!J154&gt;'all_1961-1990'!$H$1,0,IF(UrbanPopRate!J154&gt;=$J$1,0,1)),0)</f>
        <v>0</v>
      </c>
      <c r="O56">
        <f>IF($D56=1,IF(GDP_per_cap!K154&gt;'all_1961-1990'!$H$1,0,IF(UrbanPopRate!K154&gt;=$J$1,0,1)),0)</f>
        <v>0</v>
      </c>
      <c r="P56">
        <f>IF($D56=1,IF(GDP_per_cap!L154&gt;'all_1961-1990'!$H$1,0,IF(UrbanPopRate!L154&gt;=$J$1,0,1)),0)</f>
        <v>0</v>
      </c>
      <c r="Q56">
        <f>IF($D56=1,IF(GDP_per_cap!M154&gt;'all_1961-1990'!$H$1,0,IF(UrbanPopRate!M154&gt;=$J$1,0,1)),0)</f>
        <v>0</v>
      </c>
      <c r="R56">
        <f>IF($D56=1,IF(GDP_per_cap!N154&gt;'all_1961-1990'!$H$1,0,IF(UrbanPopRate!N154&gt;=$J$1,0,1)),0)</f>
        <v>0</v>
      </c>
      <c r="S56">
        <f>IF($D56=1,IF(GDP_per_cap!O154&gt;'all_1961-1990'!$H$1,0,IF(UrbanPopRate!O154&gt;=$J$1,0,1)),0)</f>
        <v>0</v>
      </c>
      <c r="T56">
        <f>IF($D56=1,IF(GDP_per_cap!P154&gt;'all_1961-1990'!$H$1,0,IF(UrbanPopRate!P154&gt;=$J$1,0,1)),0)</f>
        <v>0</v>
      </c>
      <c r="U56">
        <f>IF($D56=1,IF(GDP_per_cap!Q154&gt;'all_1961-1990'!$H$1,0,IF(UrbanPopRate!Q154&gt;=$J$1,0,1)),0)</f>
        <v>0</v>
      </c>
      <c r="V56">
        <f>IF($D56=1,IF(GDP_per_cap!R154&gt;'all_1961-1990'!$H$1,0,IF(UrbanPopRate!R154&gt;=$J$1,0,1)),0)</f>
        <v>0</v>
      </c>
      <c r="W56">
        <f>IF($D56=1,IF(GDP_per_cap!S154&gt;'all_1961-1990'!$H$1,0,IF(UrbanPopRate!S154&gt;=$J$1,0,1)),0)</f>
        <v>0</v>
      </c>
      <c r="X56">
        <f>IF($D56=1,IF(GDP_per_cap!T154&gt;'all_1961-1990'!$H$1,0,IF(UrbanPopRate!T154&gt;=$J$1,0,1)),0)</f>
        <v>0</v>
      </c>
      <c r="Y56">
        <f>IF($D56=1,IF(GDP_per_cap!U154&gt;'all_1961-1990'!$H$1,0,IF(UrbanPopRate!U154&gt;=$J$1,0,1)),0)</f>
        <v>0</v>
      </c>
      <c r="Z56">
        <f>IF($D56=1,IF(GDP_per_cap!V154&gt;'all_1961-1990'!$H$1,0,IF(UrbanPopRate!V154&gt;=$J$1,0,1)),0)</f>
        <v>0</v>
      </c>
      <c r="AA56">
        <f>IF($D56=1,IF(GDP_per_cap!W154&gt;'all_1961-1990'!$H$1,0,IF(UrbanPopRate!W154&gt;=$J$1,0,1)),0)</f>
        <v>0</v>
      </c>
      <c r="AB56">
        <f>IF($D56=1,IF(GDP_per_cap!X154&gt;'all_1961-1990'!$H$1,0,IF(UrbanPopRate!X154&gt;=$J$1,0,1)),0)</f>
        <v>0</v>
      </c>
      <c r="AC56">
        <f>IF($D56=1,IF(GDP_per_cap!Y154&gt;'all_1961-1990'!$H$1,0,IF(UrbanPopRate!Y154&gt;=$J$1,0,1)),0)</f>
        <v>0</v>
      </c>
      <c r="AD56">
        <f>IF($D56=1,IF(GDP_per_cap!Z154&gt;'all_1961-1990'!$H$1,0,IF(UrbanPopRate!Z154&gt;=$J$1,0,1)),0)</f>
        <v>0</v>
      </c>
      <c r="AE56">
        <f>IF($D56=1,IF(GDP_per_cap!AA154&gt;'all_1961-1990'!$H$1,0,IF(UrbanPopRate!AA154&gt;=$J$1,0,1)),0)</f>
        <v>0</v>
      </c>
      <c r="AF56">
        <f>IF($D56=1,IF(GDP_per_cap!AB154&gt;'all_1961-1990'!$H$1,0,IF(UrbanPopRate!AB154&gt;=$J$1,0,1)),0)</f>
        <v>0</v>
      </c>
      <c r="AG56">
        <f>IF($D56=1,IF(GDP_per_cap!AC154&gt;'all_1961-1990'!$H$1,0,IF(UrbanPopRate!AC154&gt;=$J$1,0,1)),0)</f>
        <v>0</v>
      </c>
      <c r="AH56">
        <f>IF($D56=1,IF(GDP_per_cap!AD154&gt;'all_1961-1990'!$H$1,0,IF(UrbanPopRate!AD154&gt;=$J$1,0,1)),0)</f>
        <v>0</v>
      </c>
      <c r="AI56">
        <f>IF($D56=1,IF(GDP_per_cap!AE154&gt;'all_1961-1990'!$H$1,0,IF(UrbanPopRate!AE154&gt;=$J$1,0,1)),0)</f>
        <v>0</v>
      </c>
      <c r="AJ56">
        <f>IF($D56=1,IF(GDP_per_cap!AF154&gt;'all_1961-1990'!$H$1,0,IF(UrbanPopRate!AF154&gt;=$J$1,0,1)),0)</f>
        <v>0</v>
      </c>
      <c r="AK56">
        <f>IF($D56=1,IF(GDP_per_cap!AG154&gt;'all_1961-1990'!$H$1,0,IF(UrbanPopRate!AG154&gt;=$J$1,0,1)),0)</f>
        <v>0</v>
      </c>
      <c r="AL56">
        <f>IF($D56=1,IF(GDP_per_cap!AH154&gt;'all_1961-1990'!$H$1,0,IF(UrbanPopRate!AH154&gt;=$J$1,0,1)),0)</f>
        <v>0</v>
      </c>
      <c r="AM56">
        <f>IF($D56=1,IF(GDP_per_cap!AI154&gt;'all_1961-1990'!$H$1,0,IF(UrbanPopRate!AI154&gt;=$J$1,0,1)),0)</f>
        <v>0</v>
      </c>
      <c r="AN56">
        <f>IF($D56=1,IF(GDP_per_cap!AJ154&gt;'all_1961-1990'!$H$1,0,IF(UrbanPopRate!AJ154&gt;=$J$1,0,1)),0)</f>
        <v>0</v>
      </c>
      <c r="AO56">
        <f>IF($D56=1,IF(GDP_per_cap!AK154&gt;'all_1961-1990'!$H$1,0,IF(UrbanPopRate!AK154&gt;=$J$1,0,1)),0)</f>
        <v>0</v>
      </c>
      <c r="AP56">
        <f>IF($D56=1,IF(GDP_per_cap!AL154&gt;'all_1961-1990'!$H$1,0,IF(UrbanPopRate!AL154&gt;=$J$1,0,1)),0)</f>
        <v>0</v>
      </c>
      <c r="AQ56">
        <f>IF($D56=1,IF(GDP_per_cap!AM154&gt;'all_1961-1990'!$H$1,0,IF(UrbanPopRate!AM154&gt;=$J$1,0,1)),0)</f>
        <v>0</v>
      </c>
      <c r="AR56">
        <f>IF($D56=1,IF(GDP_per_cap!AN154&gt;'all_1961-1990'!$H$1,0,IF(UrbanPopRate!AN154&gt;=$J$1,0,1)),0)</f>
        <v>0</v>
      </c>
      <c r="AS56">
        <f>IF($D56=1,IF(GDP_per_cap!AO154&gt;'all_1961-1990'!$H$1,0,IF(UrbanPopRate!AO154&gt;=$J$1,0,1)),0)</f>
        <v>0</v>
      </c>
      <c r="AT56">
        <f>IF($D56=1,IF(GDP_per_cap!AP154&gt;'all_1961-1990'!$H$1,0,IF(UrbanPopRate!AP154&gt;=$J$1,0,1)),0)</f>
        <v>0</v>
      </c>
      <c r="AU56">
        <f>IF($D56=1,IF(GDP_per_cap!AQ154&gt;'all_1961-1990'!$H$1,0,IF(UrbanPopRate!AQ154&gt;=$J$1,0,1)),0)</f>
        <v>0</v>
      </c>
      <c r="AV56">
        <f>IF($D56=1,IF(GDP_per_cap!AR154&gt;'all_1961-1990'!$H$1,0,IF(UrbanPopRate!AR154&gt;=$J$1,0,1)),0)</f>
        <v>0</v>
      </c>
      <c r="AW56">
        <f>IF($D56=1,IF(GDP_per_cap!AS154&gt;'all_1961-1990'!$H$1,0,IF(UrbanPopRate!AS154&gt;=$J$1,0,1)),0)</f>
        <v>0</v>
      </c>
      <c r="AX56">
        <f>IF($D56=1,IF(GDP_per_cap!AT154&gt;'all_1961-1990'!$H$1,0,IF(UrbanPopRate!AT154&gt;=$J$1,0,1)),0)</f>
        <v>0</v>
      </c>
      <c r="AY56">
        <f>IF($D56=1,IF(GDP_per_cap!AU154&gt;'all_1961-1990'!$H$1,0,IF(UrbanPopRate!AU154&gt;=$J$1,0,1)),0)</f>
        <v>0</v>
      </c>
      <c r="AZ56">
        <f>IF($D56=1,IF(GDP_per_cap!AV154&gt;'all_1961-1990'!$H$1,0,IF(UrbanPopRate!AV154&gt;=$J$1,0,1)),0)</f>
        <v>0</v>
      </c>
      <c r="BA56">
        <f>IF($D56=1,IF(GDP_per_cap!AW154&gt;'all_1961-1990'!$H$1,0,IF(UrbanPopRate!AW154&gt;=$J$1,0,1)),0)</f>
        <v>0</v>
      </c>
      <c r="BB56">
        <f>IF($D56=1,IF(GDP_per_cap!AX154&gt;'all_1961-1990'!$H$1,0,IF(UrbanPopRate!AX154&gt;=$J$1,0,1)),0)</f>
        <v>0</v>
      </c>
      <c r="BC56">
        <f>IF($D56=1,IF(GDP_per_cap!AY154&gt;'all_1961-1990'!$H$1,0,IF(UrbanPopRate!AY154&gt;=$J$1,0,1)),0)</f>
        <v>0</v>
      </c>
      <c r="BD56">
        <f>IF($D56=1,IF(GDP_per_cap!AZ154&gt;'all_1961-1990'!$H$1,0,IF(UrbanPopRate!AZ154&gt;=$J$1,0,1)),0)</f>
        <v>0</v>
      </c>
      <c r="BE56">
        <f>IF($D56=1,IF(GDP_per_cap!BA154&gt;'all_1961-1990'!$H$1,0,IF(UrbanPopRate!BA154&gt;=$J$1,0,1)),0)</f>
        <v>0</v>
      </c>
      <c r="BF56">
        <f>IF($D56=1,IF(GDP_per_cap!BB154&gt;'all_1961-1990'!$H$1,0,IF(UrbanPopRate!BB154&gt;=$J$1,0,1)),0)</f>
        <v>0</v>
      </c>
    </row>
    <row r="57" spans="1:58">
      <c r="A57" s="3">
        <v>173</v>
      </c>
      <c r="B57" s="3" t="s">
        <v>43</v>
      </c>
      <c r="C57" s="2">
        <v>2</v>
      </c>
      <c r="D57" s="35">
        <v>0</v>
      </c>
      <c r="E57" s="2">
        <v>36.990466666666663</v>
      </c>
      <c r="F57" s="36">
        <v>2564.2383220000002</v>
      </c>
      <c r="G57">
        <f>IF($D57=1,IF(GDP_per_cap!C113&gt;'all_1961-1990'!$H$1,0,IF(UrbanPopRate!C113&gt;=$J$1,0,1)),0)</f>
        <v>0</v>
      </c>
      <c r="H57">
        <f>IF($D57=1,IF(GDP_per_cap!D113&gt;'all_1961-1990'!$H$1,0,IF(UrbanPopRate!D113&gt;=$J$1,0,1)),0)</f>
        <v>0</v>
      </c>
      <c r="I57">
        <f>IF($D57=1,IF(GDP_per_cap!E113&gt;'all_1961-1990'!$H$1,0,IF(UrbanPopRate!E113&gt;=$J$1,0,1)),0)</f>
        <v>0</v>
      </c>
      <c r="J57">
        <f>IF($D57=1,IF(GDP_per_cap!F113&gt;'all_1961-1990'!$H$1,0,IF(UrbanPopRate!F113&gt;=$J$1,0,1)),0)</f>
        <v>0</v>
      </c>
      <c r="K57">
        <f>IF($D57=1,IF(GDP_per_cap!G113&gt;'all_1961-1990'!$H$1,0,IF(UrbanPopRate!G113&gt;=$J$1,0,1)),0)</f>
        <v>0</v>
      </c>
      <c r="L57">
        <f>IF($D57=1,IF(GDP_per_cap!H113&gt;'all_1961-1990'!$H$1,0,IF(UrbanPopRate!H113&gt;=$J$1,0,1)),0)</f>
        <v>0</v>
      </c>
      <c r="M57">
        <f>IF($D57=1,IF(GDP_per_cap!I113&gt;'all_1961-1990'!$H$1,0,IF(UrbanPopRate!I113&gt;=$J$1,0,1)),0)</f>
        <v>0</v>
      </c>
      <c r="N57">
        <f>IF($D57=1,IF(GDP_per_cap!J113&gt;'all_1961-1990'!$H$1,0,IF(UrbanPopRate!J113&gt;=$J$1,0,1)),0)</f>
        <v>0</v>
      </c>
      <c r="O57">
        <f>IF($D57=1,IF(GDP_per_cap!K113&gt;'all_1961-1990'!$H$1,0,IF(UrbanPopRate!K113&gt;=$J$1,0,1)),0)</f>
        <v>0</v>
      </c>
      <c r="P57">
        <f>IF($D57=1,IF(GDP_per_cap!L113&gt;'all_1961-1990'!$H$1,0,IF(UrbanPopRate!L113&gt;=$J$1,0,1)),0)</f>
        <v>0</v>
      </c>
      <c r="Q57">
        <f>IF($D57=1,IF(GDP_per_cap!M113&gt;'all_1961-1990'!$H$1,0,IF(UrbanPopRate!M113&gt;=$J$1,0,1)),0)</f>
        <v>0</v>
      </c>
      <c r="R57">
        <f>IF($D57=1,IF(GDP_per_cap!N113&gt;'all_1961-1990'!$H$1,0,IF(UrbanPopRate!N113&gt;=$J$1,0,1)),0)</f>
        <v>0</v>
      </c>
      <c r="S57">
        <f>IF($D57=1,IF(GDP_per_cap!O113&gt;'all_1961-1990'!$H$1,0,IF(UrbanPopRate!O113&gt;=$J$1,0,1)),0)</f>
        <v>0</v>
      </c>
      <c r="T57">
        <f>IF($D57=1,IF(GDP_per_cap!P113&gt;'all_1961-1990'!$H$1,0,IF(UrbanPopRate!P113&gt;=$J$1,0,1)),0)</f>
        <v>0</v>
      </c>
      <c r="U57">
        <f>IF($D57=1,IF(GDP_per_cap!Q113&gt;'all_1961-1990'!$H$1,0,IF(UrbanPopRate!Q113&gt;=$J$1,0,1)),0)</f>
        <v>0</v>
      </c>
      <c r="V57">
        <f>IF($D57=1,IF(GDP_per_cap!R113&gt;'all_1961-1990'!$H$1,0,IF(UrbanPopRate!R113&gt;=$J$1,0,1)),0)</f>
        <v>0</v>
      </c>
      <c r="W57">
        <f>IF($D57=1,IF(GDP_per_cap!S113&gt;'all_1961-1990'!$H$1,0,IF(UrbanPopRate!S113&gt;=$J$1,0,1)),0)</f>
        <v>0</v>
      </c>
      <c r="X57">
        <f>IF($D57=1,IF(GDP_per_cap!T113&gt;'all_1961-1990'!$H$1,0,IF(UrbanPopRate!T113&gt;=$J$1,0,1)),0)</f>
        <v>0</v>
      </c>
      <c r="Y57">
        <f>IF($D57=1,IF(GDP_per_cap!U113&gt;'all_1961-1990'!$H$1,0,IF(UrbanPopRate!U113&gt;=$J$1,0,1)),0)</f>
        <v>0</v>
      </c>
      <c r="Z57">
        <f>IF($D57=1,IF(GDP_per_cap!V113&gt;'all_1961-1990'!$H$1,0,IF(UrbanPopRate!V113&gt;=$J$1,0,1)),0)</f>
        <v>0</v>
      </c>
      <c r="AA57">
        <f>IF($D57=1,IF(GDP_per_cap!W113&gt;'all_1961-1990'!$H$1,0,IF(UrbanPopRate!W113&gt;=$J$1,0,1)),0)</f>
        <v>0</v>
      </c>
      <c r="AB57">
        <f>IF($D57=1,IF(GDP_per_cap!X113&gt;'all_1961-1990'!$H$1,0,IF(UrbanPopRate!X113&gt;=$J$1,0,1)),0)</f>
        <v>0</v>
      </c>
      <c r="AC57">
        <f>IF($D57=1,IF(GDP_per_cap!Y113&gt;'all_1961-1990'!$H$1,0,IF(UrbanPopRate!Y113&gt;=$J$1,0,1)),0)</f>
        <v>0</v>
      </c>
      <c r="AD57">
        <f>IF($D57=1,IF(GDP_per_cap!Z113&gt;'all_1961-1990'!$H$1,0,IF(UrbanPopRate!Z113&gt;=$J$1,0,1)),0)</f>
        <v>0</v>
      </c>
      <c r="AE57">
        <f>IF($D57=1,IF(GDP_per_cap!AA113&gt;'all_1961-1990'!$H$1,0,IF(UrbanPopRate!AA113&gt;=$J$1,0,1)),0)</f>
        <v>0</v>
      </c>
      <c r="AF57">
        <f>IF($D57=1,IF(GDP_per_cap!AB113&gt;'all_1961-1990'!$H$1,0,IF(UrbanPopRate!AB113&gt;=$J$1,0,1)),0)</f>
        <v>0</v>
      </c>
      <c r="AG57">
        <f>IF($D57=1,IF(GDP_per_cap!AC113&gt;'all_1961-1990'!$H$1,0,IF(UrbanPopRate!AC113&gt;=$J$1,0,1)),0)</f>
        <v>0</v>
      </c>
      <c r="AH57">
        <f>IF($D57=1,IF(GDP_per_cap!AD113&gt;'all_1961-1990'!$H$1,0,IF(UrbanPopRate!AD113&gt;=$J$1,0,1)),0)</f>
        <v>0</v>
      </c>
      <c r="AI57">
        <f>IF($D57=1,IF(GDP_per_cap!AE113&gt;'all_1961-1990'!$H$1,0,IF(UrbanPopRate!AE113&gt;=$J$1,0,1)),0)</f>
        <v>0</v>
      </c>
      <c r="AJ57">
        <f>IF($D57=1,IF(GDP_per_cap!AF113&gt;'all_1961-1990'!$H$1,0,IF(UrbanPopRate!AF113&gt;=$J$1,0,1)),0)</f>
        <v>0</v>
      </c>
      <c r="AK57">
        <f>IF($D57=1,IF(GDP_per_cap!AG113&gt;'all_1961-1990'!$H$1,0,IF(UrbanPopRate!AG113&gt;=$J$1,0,1)),0)</f>
        <v>0</v>
      </c>
      <c r="AL57">
        <f>IF($D57=1,IF(GDP_per_cap!AH113&gt;'all_1961-1990'!$H$1,0,IF(UrbanPopRate!AH113&gt;=$J$1,0,1)),0)</f>
        <v>0</v>
      </c>
      <c r="AM57">
        <f>IF($D57=1,IF(GDP_per_cap!AI113&gt;'all_1961-1990'!$H$1,0,IF(UrbanPopRate!AI113&gt;=$J$1,0,1)),0)</f>
        <v>0</v>
      </c>
      <c r="AN57">
        <f>IF($D57=1,IF(GDP_per_cap!AJ113&gt;'all_1961-1990'!$H$1,0,IF(UrbanPopRate!AJ113&gt;=$J$1,0,1)),0)</f>
        <v>0</v>
      </c>
      <c r="AO57">
        <f>IF($D57=1,IF(GDP_per_cap!AK113&gt;'all_1961-1990'!$H$1,0,IF(UrbanPopRate!AK113&gt;=$J$1,0,1)),0)</f>
        <v>0</v>
      </c>
      <c r="AP57">
        <f>IF($D57=1,IF(GDP_per_cap!AL113&gt;'all_1961-1990'!$H$1,0,IF(UrbanPopRate!AL113&gt;=$J$1,0,1)),0)</f>
        <v>0</v>
      </c>
      <c r="AQ57">
        <f>IF($D57=1,IF(GDP_per_cap!AM113&gt;'all_1961-1990'!$H$1,0,IF(UrbanPopRate!AM113&gt;=$J$1,0,1)),0)</f>
        <v>0</v>
      </c>
      <c r="AR57">
        <f>IF($D57=1,IF(GDP_per_cap!AN113&gt;'all_1961-1990'!$H$1,0,IF(UrbanPopRate!AN113&gt;=$J$1,0,1)),0)</f>
        <v>0</v>
      </c>
      <c r="AS57">
        <f>IF($D57=1,IF(GDP_per_cap!AO113&gt;'all_1961-1990'!$H$1,0,IF(UrbanPopRate!AO113&gt;=$J$1,0,1)),0)</f>
        <v>0</v>
      </c>
      <c r="AT57">
        <f>IF($D57=1,IF(GDP_per_cap!AP113&gt;'all_1961-1990'!$H$1,0,IF(UrbanPopRate!AP113&gt;=$J$1,0,1)),0)</f>
        <v>0</v>
      </c>
      <c r="AU57">
        <f>IF($D57=1,IF(GDP_per_cap!AQ113&gt;'all_1961-1990'!$H$1,0,IF(UrbanPopRate!AQ113&gt;=$J$1,0,1)),0)</f>
        <v>0</v>
      </c>
      <c r="AV57">
        <f>IF($D57=1,IF(GDP_per_cap!AR113&gt;'all_1961-1990'!$H$1,0,IF(UrbanPopRate!AR113&gt;=$J$1,0,1)),0)</f>
        <v>0</v>
      </c>
      <c r="AW57">
        <f>IF($D57=1,IF(GDP_per_cap!AS113&gt;'all_1961-1990'!$H$1,0,IF(UrbanPopRate!AS113&gt;=$J$1,0,1)),0)</f>
        <v>0</v>
      </c>
      <c r="AX57">
        <f>IF($D57=1,IF(GDP_per_cap!AT113&gt;'all_1961-1990'!$H$1,0,IF(UrbanPopRate!AT113&gt;=$J$1,0,1)),0)</f>
        <v>0</v>
      </c>
      <c r="AY57">
        <f>IF($D57=1,IF(GDP_per_cap!AU113&gt;'all_1961-1990'!$H$1,0,IF(UrbanPopRate!AU113&gt;=$J$1,0,1)),0)</f>
        <v>0</v>
      </c>
      <c r="AZ57">
        <f>IF($D57=1,IF(GDP_per_cap!AV113&gt;'all_1961-1990'!$H$1,0,IF(UrbanPopRate!AV113&gt;=$J$1,0,1)),0)</f>
        <v>0</v>
      </c>
      <c r="BA57">
        <f>IF($D57=1,IF(GDP_per_cap!AW113&gt;'all_1961-1990'!$H$1,0,IF(UrbanPopRate!AW113&gt;=$J$1,0,1)),0)</f>
        <v>0</v>
      </c>
      <c r="BB57">
        <f>IF($D57=1,IF(GDP_per_cap!AX113&gt;'all_1961-1990'!$H$1,0,IF(UrbanPopRate!AX113&gt;=$J$1,0,1)),0)</f>
        <v>0</v>
      </c>
      <c r="BC57">
        <f>IF($D57=1,IF(GDP_per_cap!AY113&gt;'all_1961-1990'!$H$1,0,IF(UrbanPopRate!AY113&gt;=$J$1,0,1)),0)</f>
        <v>0</v>
      </c>
      <c r="BD57">
        <f>IF($D57=1,IF(GDP_per_cap!AZ113&gt;'all_1961-1990'!$H$1,0,IF(UrbanPopRate!AZ113&gt;=$J$1,0,1)),0)</f>
        <v>0</v>
      </c>
      <c r="BE57">
        <f>IF($D57=1,IF(GDP_per_cap!BA113&gt;'all_1961-1990'!$H$1,0,IF(UrbanPopRate!BA113&gt;=$J$1,0,1)),0)</f>
        <v>0</v>
      </c>
      <c r="BF57">
        <f>IF($D57=1,IF(GDP_per_cap!BB113&gt;'all_1961-1990'!$H$1,0,IF(UrbanPopRate!BB113&gt;=$J$1,0,1)),0)</f>
        <v>0</v>
      </c>
    </row>
    <row r="58" spans="1:58">
      <c r="A58" s="3">
        <v>38</v>
      </c>
      <c r="B58" s="3" t="s">
        <v>132</v>
      </c>
      <c r="C58" s="2">
        <v>2</v>
      </c>
      <c r="D58" s="35">
        <v>0</v>
      </c>
      <c r="E58" s="2">
        <v>26.999000000000006</v>
      </c>
      <c r="F58" s="36">
        <v>2469.1150080000002</v>
      </c>
      <c r="G58">
        <f>IF($D58=1,IF(GDP_per_cap!C24&gt;'all_1961-1990'!$H$1,0,IF(UrbanPopRate!C24&gt;=$J$1,0,1)),0)</f>
        <v>0</v>
      </c>
      <c r="H58">
        <f>IF($D58=1,IF(GDP_per_cap!D24&gt;'all_1961-1990'!$H$1,0,IF(UrbanPopRate!D24&gt;=$J$1,0,1)),0)</f>
        <v>0</v>
      </c>
      <c r="I58">
        <f>IF($D58=1,IF(GDP_per_cap!E24&gt;'all_1961-1990'!$H$1,0,IF(UrbanPopRate!E24&gt;=$J$1,0,1)),0)</f>
        <v>0</v>
      </c>
      <c r="J58">
        <f>IF($D58=1,IF(GDP_per_cap!F24&gt;'all_1961-1990'!$H$1,0,IF(UrbanPopRate!F24&gt;=$J$1,0,1)),0)</f>
        <v>0</v>
      </c>
      <c r="K58">
        <f>IF($D58=1,IF(GDP_per_cap!G24&gt;'all_1961-1990'!$H$1,0,IF(UrbanPopRate!G24&gt;=$J$1,0,1)),0)</f>
        <v>0</v>
      </c>
      <c r="L58">
        <f>IF($D58=1,IF(GDP_per_cap!H24&gt;'all_1961-1990'!$H$1,0,IF(UrbanPopRate!H24&gt;=$J$1,0,1)),0)</f>
        <v>0</v>
      </c>
      <c r="M58">
        <f>IF($D58=1,IF(GDP_per_cap!I24&gt;'all_1961-1990'!$H$1,0,IF(UrbanPopRate!I24&gt;=$J$1,0,1)),0)</f>
        <v>0</v>
      </c>
      <c r="N58">
        <f>IF($D58=1,IF(GDP_per_cap!J24&gt;'all_1961-1990'!$H$1,0,IF(UrbanPopRate!J24&gt;=$J$1,0,1)),0)</f>
        <v>0</v>
      </c>
      <c r="O58">
        <f>IF($D58=1,IF(GDP_per_cap!K24&gt;'all_1961-1990'!$H$1,0,IF(UrbanPopRate!K24&gt;=$J$1,0,1)),0)</f>
        <v>0</v>
      </c>
      <c r="P58">
        <f>IF($D58=1,IF(GDP_per_cap!L24&gt;'all_1961-1990'!$H$1,0,IF(UrbanPopRate!L24&gt;=$J$1,0,1)),0)</f>
        <v>0</v>
      </c>
      <c r="Q58">
        <f>IF($D58=1,IF(GDP_per_cap!M24&gt;'all_1961-1990'!$H$1,0,IF(UrbanPopRate!M24&gt;=$J$1,0,1)),0)</f>
        <v>0</v>
      </c>
      <c r="R58">
        <f>IF($D58=1,IF(GDP_per_cap!N24&gt;'all_1961-1990'!$H$1,0,IF(UrbanPopRate!N24&gt;=$J$1,0,1)),0)</f>
        <v>0</v>
      </c>
      <c r="S58">
        <f>IF($D58=1,IF(GDP_per_cap!O24&gt;'all_1961-1990'!$H$1,0,IF(UrbanPopRate!O24&gt;=$J$1,0,1)),0)</f>
        <v>0</v>
      </c>
      <c r="T58">
        <f>IF($D58=1,IF(GDP_per_cap!P24&gt;'all_1961-1990'!$H$1,0,IF(UrbanPopRate!P24&gt;=$J$1,0,1)),0)</f>
        <v>0</v>
      </c>
      <c r="U58">
        <f>IF($D58=1,IF(GDP_per_cap!Q24&gt;'all_1961-1990'!$H$1,0,IF(UrbanPopRate!Q24&gt;=$J$1,0,1)),0)</f>
        <v>0</v>
      </c>
      <c r="V58">
        <f>IF($D58=1,IF(GDP_per_cap!R24&gt;'all_1961-1990'!$H$1,0,IF(UrbanPopRate!R24&gt;=$J$1,0,1)),0)</f>
        <v>0</v>
      </c>
      <c r="W58">
        <f>IF($D58=1,IF(GDP_per_cap!S24&gt;'all_1961-1990'!$H$1,0,IF(UrbanPopRate!S24&gt;=$J$1,0,1)),0)</f>
        <v>0</v>
      </c>
      <c r="X58">
        <f>IF($D58=1,IF(GDP_per_cap!T24&gt;'all_1961-1990'!$H$1,0,IF(UrbanPopRate!T24&gt;=$J$1,0,1)),0)</f>
        <v>0</v>
      </c>
      <c r="Y58">
        <f>IF($D58=1,IF(GDP_per_cap!U24&gt;'all_1961-1990'!$H$1,0,IF(UrbanPopRate!U24&gt;=$J$1,0,1)),0)</f>
        <v>0</v>
      </c>
      <c r="Z58">
        <f>IF($D58=1,IF(GDP_per_cap!V24&gt;'all_1961-1990'!$H$1,0,IF(UrbanPopRate!V24&gt;=$J$1,0,1)),0)</f>
        <v>0</v>
      </c>
      <c r="AA58">
        <f>IF($D58=1,IF(GDP_per_cap!W24&gt;'all_1961-1990'!$H$1,0,IF(UrbanPopRate!W24&gt;=$J$1,0,1)),0)</f>
        <v>0</v>
      </c>
      <c r="AB58">
        <f>IF($D58=1,IF(GDP_per_cap!X24&gt;'all_1961-1990'!$H$1,0,IF(UrbanPopRate!X24&gt;=$J$1,0,1)),0)</f>
        <v>0</v>
      </c>
      <c r="AC58">
        <f>IF($D58=1,IF(GDP_per_cap!Y24&gt;'all_1961-1990'!$H$1,0,IF(UrbanPopRate!Y24&gt;=$J$1,0,1)),0)</f>
        <v>0</v>
      </c>
      <c r="AD58">
        <f>IF($D58=1,IF(GDP_per_cap!Z24&gt;'all_1961-1990'!$H$1,0,IF(UrbanPopRate!Z24&gt;=$J$1,0,1)),0)</f>
        <v>0</v>
      </c>
      <c r="AE58">
        <f>IF($D58=1,IF(GDP_per_cap!AA24&gt;'all_1961-1990'!$H$1,0,IF(UrbanPopRate!AA24&gt;=$J$1,0,1)),0)</f>
        <v>0</v>
      </c>
      <c r="AF58">
        <f>IF($D58=1,IF(GDP_per_cap!AB24&gt;'all_1961-1990'!$H$1,0,IF(UrbanPopRate!AB24&gt;=$J$1,0,1)),0)</f>
        <v>0</v>
      </c>
      <c r="AG58">
        <f>IF($D58=1,IF(GDP_per_cap!AC24&gt;'all_1961-1990'!$H$1,0,IF(UrbanPopRate!AC24&gt;=$J$1,0,1)),0)</f>
        <v>0</v>
      </c>
      <c r="AH58">
        <f>IF($D58=1,IF(GDP_per_cap!AD24&gt;'all_1961-1990'!$H$1,0,IF(UrbanPopRate!AD24&gt;=$J$1,0,1)),0)</f>
        <v>0</v>
      </c>
      <c r="AI58">
        <f>IF($D58=1,IF(GDP_per_cap!AE24&gt;'all_1961-1990'!$H$1,0,IF(UrbanPopRate!AE24&gt;=$J$1,0,1)),0)</f>
        <v>0</v>
      </c>
      <c r="AJ58">
        <f>IF($D58=1,IF(GDP_per_cap!AF24&gt;'all_1961-1990'!$H$1,0,IF(UrbanPopRate!AF24&gt;=$J$1,0,1)),0)</f>
        <v>0</v>
      </c>
      <c r="AK58">
        <f>IF($D58=1,IF(GDP_per_cap!AG24&gt;'all_1961-1990'!$H$1,0,IF(UrbanPopRate!AG24&gt;=$J$1,0,1)),0)</f>
        <v>0</v>
      </c>
      <c r="AL58">
        <f>IF($D58=1,IF(GDP_per_cap!AH24&gt;'all_1961-1990'!$H$1,0,IF(UrbanPopRate!AH24&gt;=$J$1,0,1)),0)</f>
        <v>0</v>
      </c>
      <c r="AM58">
        <f>IF($D58=1,IF(GDP_per_cap!AI24&gt;'all_1961-1990'!$H$1,0,IF(UrbanPopRate!AI24&gt;=$J$1,0,1)),0)</f>
        <v>0</v>
      </c>
      <c r="AN58">
        <f>IF($D58=1,IF(GDP_per_cap!AJ24&gt;'all_1961-1990'!$H$1,0,IF(UrbanPopRate!AJ24&gt;=$J$1,0,1)),0)</f>
        <v>0</v>
      </c>
      <c r="AO58">
        <f>IF($D58=1,IF(GDP_per_cap!AK24&gt;'all_1961-1990'!$H$1,0,IF(UrbanPopRate!AK24&gt;=$J$1,0,1)),0)</f>
        <v>0</v>
      </c>
      <c r="AP58">
        <f>IF($D58=1,IF(GDP_per_cap!AL24&gt;'all_1961-1990'!$H$1,0,IF(UrbanPopRate!AL24&gt;=$J$1,0,1)),0)</f>
        <v>0</v>
      </c>
      <c r="AQ58">
        <f>IF($D58=1,IF(GDP_per_cap!AM24&gt;'all_1961-1990'!$H$1,0,IF(UrbanPopRate!AM24&gt;=$J$1,0,1)),0)</f>
        <v>0</v>
      </c>
      <c r="AR58">
        <f>IF($D58=1,IF(GDP_per_cap!AN24&gt;'all_1961-1990'!$H$1,0,IF(UrbanPopRate!AN24&gt;=$J$1,0,1)),0)</f>
        <v>0</v>
      </c>
      <c r="AS58">
        <f>IF($D58=1,IF(GDP_per_cap!AO24&gt;'all_1961-1990'!$H$1,0,IF(UrbanPopRate!AO24&gt;=$J$1,0,1)),0)</f>
        <v>0</v>
      </c>
      <c r="AT58">
        <f>IF($D58=1,IF(GDP_per_cap!AP24&gt;'all_1961-1990'!$H$1,0,IF(UrbanPopRate!AP24&gt;=$J$1,0,1)),0)</f>
        <v>0</v>
      </c>
      <c r="AU58">
        <f>IF($D58=1,IF(GDP_per_cap!AQ24&gt;'all_1961-1990'!$H$1,0,IF(UrbanPopRate!AQ24&gt;=$J$1,0,1)),0)</f>
        <v>0</v>
      </c>
      <c r="AV58">
        <f>IF($D58=1,IF(GDP_per_cap!AR24&gt;'all_1961-1990'!$H$1,0,IF(UrbanPopRate!AR24&gt;=$J$1,0,1)),0)</f>
        <v>0</v>
      </c>
      <c r="AW58">
        <f>IF($D58=1,IF(GDP_per_cap!AS24&gt;'all_1961-1990'!$H$1,0,IF(UrbanPopRate!AS24&gt;=$J$1,0,1)),0)</f>
        <v>0</v>
      </c>
      <c r="AX58">
        <f>IF($D58=1,IF(GDP_per_cap!AT24&gt;'all_1961-1990'!$H$1,0,IF(UrbanPopRate!AT24&gt;=$J$1,0,1)),0)</f>
        <v>0</v>
      </c>
      <c r="AY58">
        <f>IF($D58=1,IF(GDP_per_cap!AU24&gt;'all_1961-1990'!$H$1,0,IF(UrbanPopRate!AU24&gt;=$J$1,0,1)),0)</f>
        <v>0</v>
      </c>
      <c r="AZ58">
        <f>IF($D58=1,IF(GDP_per_cap!AV24&gt;'all_1961-1990'!$H$1,0,IF(UrbanPopRate!AV24&gt;=$J$1,0,1)),0)</f>
        <v>0</v>
      </c>
      <c r="BA58">
        <f>IF($D58=1,IF(GDP_per_cap!AW24&gt;'all_1961-1990'!$H$1,0,IF(UrbanPopRate!AW24&gt;=$J$1,0,1)),0)</f>
        <v>0</v>
      </c>
      <c r="BB58">
        <f>IF($D58=1,IF(GDP_per_cap!AX24&gt;'all_1961-1990'!$H$1,0,IF(UrbanPopRate!AX24&gt;=$J$1,0,1)),0)</f>
        <v>0</v>
      </c>
      <c r="BC58">
        <f>IF($D58=1,IF(GDP_per_cap!AY24&gt;'all_1961-1990'!$H$1,0,IF(UrbanPopRate!AY24&gt;=$J$1,0,1)),0)</f>
        <v>0</v>
      </c>
      <c r="BD58">
        <f>IF($D58=1,IF(GDP_per_cap!AZ24&gt;'all_1961-1990'!$H$1,0,IF(UrbanPopRate!AZ24&gt;=$J$1,0,1)),0)</f>
        <v>0</v>
      </c>
      <c r="BE58">
        <f>IF($D58=1,IF(GDP_per_cap!BA24&gt;'all_1961-1990'!$H$1,0,IF(UrbanPopRate!BA24&gt;=$J$1,0,1)),0)</f>
        <v>0</v>
      </c>
      <c r="BF58">
        <f>IF($D58=1,IF(GDP_per_cap!BB24&gt;'all_1961-1990'!$H$1,0,IF(UrbanPopRate!BB24&gt;=$J$1,0,1)),0)</f>
        <v>0</v>
      </c>
    </row>
    <row r="59" spans="1:58">
      <c r="A59" s="3">
        <v>158</v>
      </c>
      <c r="B59" s="3" t="s">
        <v>54</v>
      </c>
      <c r="C59" s="2">
        <v>2</v>
      </c>
      <c r="D59" s="35">
        <v>0</v>
      </c>
      <c r="E59" s="2">
        <v>47.797433333333323</v>
      </c>
      <c r="F59" s="36">
        <v>2401.642875</v>
      </c>
      <c r="G59">
        <f>IF($D59=1,IF(GDP_per_cap!C102&gt;'all_1961-1990'!$H$1,0,IF(UrbanPopRate!C102&gt;=$J$1,0,1)),0)</f>
        <v>0</v>
      </c>
      <c r="H59">
        <f>IF($D59=1,IF(GDP_per_cap!D102&gt;'all_1961-1990'!$H$1,0,IF(UrbanPopRate!D102&gt;=$J$1,0,1)),0)</f>
        <v>0</v>
      </c>
      <c r="I59">
        <f>IF($D59=1,IF(GDP_per_cap!E102&gt;'all_1961-1990'!$H$1,0,IF(UrbanPopRate!E102&gt;=$J$1,0,1)),0)</f>
        <v>0</v>
      </c>
      <c r="J59">
        <f>IF($D59=1,IF(GDP_per_cap!F102&gt;'all_1961-1990'!$H$1,0,IF(UrbanPopRate!F102&gt;=$J$1,0,1)),0)</f>
        <v>0</v>
      </c>
      <c r="K59">
        <f>IF($D59=1,IF(GDP_per_cap!G102&gt;'all_1961-1990'!$H$1,0,IF(UrbanPopRate!G102&gt;=$J$1,0,1)),0)</f>
        <v>0</v>
      </c>
      <c r="L59">
        <f>IF($D59=1,IF(GDP_per_cap!H102&gt;'all_1961-1990'!$H$1,0,IF(UrbanPopRate!H102&gt;=$J$1,0,1)),0)</f>
        <v>0</v>
      </c>
      <c r="M59">
        <f>IF($D59=1,IF(GDP_per_cap!I102&gt;'all_1961-1990'!$H$1,0,IF(UrbanPopRate!I102&gt;=$J$1,0,1)),0)</f>
        <v>0</v>
      </c>
      <c r="N59">
        <f>IF($D59=1,IF(GDP_per_cap!J102&gt;'all_1961-1990'!$H$1,0,IF(UrbanPopRate!J102&gt;=$J$1,0,1)),0)</f>
        <v>0</v>
      </c>
      <c r="O59">
        <f>IF($D59=1,IF(GDP_per_cap!K102&gt;'all_1961-1990'!$H$1,0,IF(UrbanPopRate!K102&gt;=$J$1,0,1)),0)</f>
        <v>0</v>
      </c>
      <c r="P59">
        <f>IF($D59=1,IF(GDP_per_cap!L102&gt;'all_1961-1990'!$H$1,0,IF(UrbanPopRate!L102&gt;=$J$1,0,1)),0)</f>
        <v>0</v>
      </c>
      <c r="Q59">
        <f>IF($D59=1,IF(GDP_per_cap!M102&gt;'all_1961-1990'!$H$1,0,IF(UrbanPopRate!M102&gt;=$J$1,0,1)),0)</f>
        <v>0</v>
      </c>
      <c r="R59">
        <f>IF($D59=1,IF(GDP_per_cap!N102&gt;'all_1961-1990'!$H$1,0,IF(UrbanPopRate!N102&gt;=$J$1,0,1)),0)</f>
        <v>0</v>
      </c>
      <c r="S59">
        <f>IF($D59=1,IF(GDP_per_cap!O102&gt;'all_1961-1990'!$H$1,0,IF(UrbanPopRate!O102&gt;=$J$1,0,1)),0)</f>
        <v>0</v>
      </c>
      <c r="T59">
        <f>IF($D59=1,IF(GDP_per_cap!P102&gt;'all_1961-1990'!$H$1,0,IF(UrbanPopRate!P102&gt;=$J$1,0,1)),0)</f>
        <v>0</v>
      </c>
      <c r="U59">
        <f>IF($D59=1,IF(GDP_per_cap!Q102&gt;'all_1961-1990'!$H$1,0,IF(UrbanPopRate!Q102&gt;=$J$1,0,1)),0)</f>
        <v>0</v>
      </c>
      <c r="V59">
        <f>IF($D59=1,IF(GDP_per_cap!R102&gt;'all_1961-1990'!$H$1,0,IF(UrbanPopRate!R102&gt;=$J$1,0,1)),0)</f>
        <v>0</v>
      </c>
      <c r="W59">
        <f>IF($D59=1,IF(GDP_per_cap!S102&gt;'all_1961-1990'!$H$1,0,IF(UrbanPopRate!S102&gt;=$J$1,0,1)),0)</f>
        <v>0</v>
      </c>
      <c r="X59">
        <f>IF($D59=1,IF(GDP_per_cap!T102&gt;'all_1961-1990'!$H$1,0,IF(UrbanPopRate!T102&gt;=$J$1,0,1)),0)</f>
        <v>0</v>
      </c>
      <c r="Y59">
        <f>IF($D59=1,IF(GDP_per_cap!U102&gt;'all_1961-1990'!$H$1,0,IF(UrbanPopRate!U102&gt;=$J$1,0,1)),0)</f>
        <v>0</v>
      </c>
      <c r="Z59">
        <f>IF($D59=1,IF(GDP_per_cap!V102&gt;'all_1961-1990'!$H$1,0,IF(UrbanPopRate!V102&gt;=$J$1,0,1)),0)</f>
        <v>0</v>
      </c>
      <c r="AA59">
        <f>IF($D59=1,IF(GDP_per_cap!W102&gt;'all_1961-1990'!$H$1,0,IF(UrbanPopRate!W102&gt;=$J$1,0,1)),0)</f>
        <v>0</v>
      </c>
      <c r="AB59">
        <f>IF($D59=1,IF(GDP_per_cap!X102&gt;'all_1961-1990'!$H$1,0,IF(UrbanPopRate!X102&gt;=$J$1,0,1)),0)</f>
        <v>0</v>
      </c>
      <c r="AC59">
        <f>IF($D59=1,IF(GDP_per_cap!Y102&gt;'all_1961-1990'!$H$1,0,IF(UrbanPopRate!Y102&gt;=$J$1,0,1)),0)</f>
        <v>0</v>
      </c>
      <c r="AD59">
        <f>IF($D59=1,IF(GDP_per_cap!Z102&gt;'all_1961-1990'!$H$1,0,IF(UrbanPopRate!Z102&gt;=$J$1,0,1)),0)</f>
        <v>0</v>
      </c>
      <c r="AE59">
        <f>IF($D59=1,IF(GDP_per_cap!AA102&gt;'all_1961-1990'!$H$1,0,IF(UrbanPopRate!AA102&gt;=$J$1,0,1)),0)</f>
        <v>0</v>
      </c>
      <c r="AF59">
        <f>IF($D59=1,IF(GDP_per_cap!AB102&gt;'all_1961-1990'!$H$1,0,IF(UrbanPopRate!AB102&gt;=$J$1,0,1)),0)</f>
        <v>0</v>
      </c>
      <c r="AG59">
        <f>IF($D59=1,IF(GDP_per_cap!AC102&gt;'all_1961-1990'!$H$1,0,IF(UrbanPopRate!AC102&gt;=$J$1,0,1)),0)</f>
        <v>0</v>
      </c>
      <c r="AH59">
        <f>IF($D59=1,IF(GDP_per_cap!AD102&gt;'all_1961-1990'!$H$1,0,IF(UrbanPopRate!AD102&gt;=$J$1,0,1)),0)</f>
        <v>0</v>
      </c>
      <c r="AI59">
        <f>IF($D59=1,IF(GDP_per_cap!AE102&gt;'all_1961-1990'!$H$1,0,IF(UrbanPopRate!AE102&gt;=$J$1,0,1)),0)</f>
        <v>0</v>
      </c>
      <c r="AJ59">
        <f>IF($D59=1,IF(GDP_per_cap!AF102&gt;'all_1961-1990'!$H$1,0,IF(UrbanPopRate!AF102&gt;=$J$1,0,1)),0)</f>
        <v>0</v>
      </c>
      <c r="AK59">
        <f>IF($D59=1,IF(GDP_per_cap!AG102&gt;'all_1961-1990'!$H$1,0,IF(UrbanPopRate!AG102&gt;=$J$1,0,1)),0)</f>
        <v>0</v>
      </c>
      <c r="AL59">
        <f>IF($D59=1,IF(GDP_per_cap!AH102&gt;'all_1961-1990'!$H$1,0,IF(UrbanPopRate!AH102&gt;=$J$1,0,1)),0)</f>
        <v>0</v>
      </c>
      <c r="AM59">
        <f>IF($D59=1,IF(GDP_per_cap!AI102&gt;'all_1961-1990'!$H$1,0,IF(UrbanPopRate!AI102&gt;=$J$1,0,1)),0)</f>
        <v>0</v>
      </c>
      <c r="AN59">
        <f>IF($D59=1,IF(GDP_per_cap!AJ102&gt;'all_1961-1990'!$H$1,0,IF(UrbanPopRate!AJ102&gt;=$J$1,0,1)),0)</f>
        <v>0</v>
      </c>
      <c r="AO59">
        <f>IF($D59=1,IF(GDP_per_cap!AK102&gt;'all_1961-1990'!$H$1,0,IF(UrbanPopRate!AK102&gt;=$J$1,0,1)),0)</f>
        <v>0</v>
      </c>
      <c r="AP59">
        <f>IF($D59=1,IF(GDP_per_cap!AL102&gt;'all_1961-1990'!$H$1,0,IF(UrbanPopRate!AL102&gt;=$J$1,0,1)),0)</f>
        <v>0</v>
      </c>
      <c r="AQ59">
        <f>IF($D59=1,IF(GDP_per_cap!AM102&gt;'all_1961-1990'!$H$1,0,IF(UrbanPopRate!AM102&gt;=$J$1,0,1)),0)</f>
        <v>0</v>
      </c>
      <c r="AR59">
        <f>IF($D59=1,IF(GDP_per_cap!AN102&gt;'all_1961-1990'!$H$1,0,IF(UrbanPopRate!AN102&gt;=$J$1,0,1)),0)</f>
        <v>0</v>
      </c>
      <c r="AS59">
        <f>IF($D59=1,IF(GDP_per_cap!AO102&gt;'all_1961-1990'!$H$1,0,IF(UrbanPopRate!AO102&gt;=$J$1,0,1)),0)</f>
        <v>0</v>
      </c>
      <c r="AT59">
        <f>IF($D59=1,IF(GDP_per_cap!AP102&gt;'all_1961-1990'!$H$1,0,IF(UrbanPopRate!AP102&gt;=$J$1,0,1)),0)</f>
        <v>0</v>
      </c>
      <c r="AU59">
        <f>IF($D59=1,IF(GDP_per_cap!AQ102&gt;'all_1961-1990'!$H$1,0,IF(UrbanPopRate!AQ102&gt;=$J$1,0,1)),0)</f>
        <v>0</v>
      </c>
      <c r="AV59">
        <f>IF($D59=1,IF(GDP_per_cap!AR102&gt;'all_1961-1990'!$H$1,0,IF(UrbanPopRate!AR102&gt;=$J$1,0,1)),0)</f>
        <v>0</v>
      </c>
      <c r="AW59">
        <f>IF($D59=1,IF(GDP_per_cap!AS102&gt;'all_1961-1990'!$H$1,0,IF(UrbanPopRate!AS102&gt;=$J$1,0,1)),0)</f>
        <v>0</v>
      </c>
      <c r="AX59">
        <f>IF($D59=1,IF(GDP_per_cap!AT102&gt;'all_1961-1990'!$H$1,0,IF(UrbanPopRate!AT102&gt;=$J$1,0,1)),0)</f>
        <v>0</v>
      </c>
      <c r="AY59">
        <f>IF($D59=1,IF(GDP_per_cap!AU102&gt;'all_1961-1990'!$H$1,0,IF(UrbanPopRate!AU102&gt;=$J$1,0,1)),0)</f>
        <v>0</v>
      </c>
      <c r="AZ59">
        <f>IF($D59=1,IF(GDP_per_cap!AV102&gt;'all_1961-1990'!$H$1,0,IF(UrbanPopRate!AV102&gt;=$J$1,0,1)),0)</f>
        <v>0</v>
      </c>
      <c r="BA59">
        <f>IF($D59=1,IF(GDP_per_cap!AW102&gt;'all_1961-1990'!$H$1,0,IF(UrbanPopRate!AW102&gt;=$J$1,0,1)),0)</f>
        <v>0</v>
      </c>
      <c r="BB59">
        <f>IF($D59=1,IF(GDP_per_cap!AX102&gt;'all_1961-1990'!$H$1,0,IF(UrbanPopRate!AX102&gt;=$J$1,0,1)),0)</f>
        <v>0</v>
      </c>
      <c r="BC59">
        <f>IF($D59=1,IF(GDP_per_cap!AY102&gt;'all_1961-1990'!$H$1,0,IF(UrbanPopRate!AY102&gt;=$J$1,0,1)),0)</f>
        <v>0</v>
      </c>
      <c r="BD59">
        <f>IF($D59=1,IF(GDP_per_cap!AZ102&gt;'all_1961-1990'!$H$1,0,IF(UrbanPopRate!AZ102&gt;=$J$1,0,1)),0)</f>
        <v>0</v>
      </c>
      <c r="BE59">
        <f>IF($D59=1,IF(GDP_per_cap!BA102&gt;'all_1961-1990'!$H$1,0,IF(UrbanPopRate!BA102&gt;=$J$1,0,1)),0)</f>
        <v>0</v>
      </c>
      <c r="BF59">
        <f>IF($D59=1,IF(GDP_per_cap!BB102&gt;'all_1961-1990'!$H$1,0,IF(UrbanPopRate!BB102&gt;=$J$1,0,1)),0)</f>
        <v>0</v>
      </c>
    </row>
    <row r="60" spans="1:58">
      <c r="A60" s="3">
        <v>37</v>
      </c>
      <c r="B60" s="3" t="s">
        <v>133</v>
      </c>
      <c r="C60" s="2">
        <v>2</v>
      </c>
      <c r="D60" s="35">
        <v>0</v>
      </c>
      <c r="E60" s="2">
        <v>11.259099999999998</v>
      </c>
      <c r="F60" s="36">
        <v>2000</v>
      </c>
      <c r="G60">
        <f>IF($D60=1,IF(GDP_per_cap!C23&gt;'all_1961-1990'!$H$1,0,IF(UrbanPopRate!C23&gt;=$J$1,0,1)),0)</f>
        <v>0</v>
      </c>
      <c r="H60">
        <f>IF($D60=1,IF(GDP_per_cap!D23&gt;'all_1961-1990'!$H$1,0,IF(UrbanPopRate!D23&gt;=$J$1,0,1)),0)</f>
        <v>0</v>
      </c>
      <c r="I60">
        <f>IF($D60=1,IF(GDP_per_cap!E23&gt;'all_1961-1990'!$H$1,0,IF(UrbanPopRate!E23&gt;=$J$1,0,1)),0)</f>
        <v>0</v>
      </c>
      <c r="J60">
        <f>IF($D60=1,IF(GDP_per_cap!F23&gt;'all_1961-1990'!$H$1,0,IF(UrbanPopRate!F23&gt;=$J$1,0,1)),0)</f>
        <v>0</v>
      </c>
      <c r="K60">
        <f>IF($D60=1,IF(GDP_per_cap!G23&gt;'all_1961-1990'!$H$1,0,IF(UrbanPopRate!G23&gt;=$J$1,0,1)),0)</f>
        <v>0</v>
      </c>
      <c r="L60">
        <f>IF($D60=1,IF(GDP_per_cap!H23&gt;'all_1961-1990'!$H$1,0,IF(UrbanPopRate!H23&gt;=$J$1,0,1)),0)</f>
        <v>0</v>
      </c>
      <c r="M60">
        <f>IF($D60=1,IF(GDP_per_cap!I23&gt;'all_1961-1990'!$H$1,0,IF(UrbanPopRate!I23&gt;=$J$1,0,1)),0)</f>
        <v>0</v>
      </c>
      <c r="N60">
        <f>IF($D60=1,IF(GDP_per_cap!J23&gt;'all_1961-1990'!$H$1,0,IF(UrbanPopRate!J23&gt;=$J$1,0,1)),0)</f>
        <v>0</v>
      </c>
      <c r="O60">
        <f>IF($D60=1,IF(GDP_per_cap!K23&gt;'all_1961-1990'!$H$1,0,IF(UrbanPopRate!K23&gt;=$J$1,0,1)),0)</f>
        <v>0</v>
      </c>
      <c r="P60">
        <f>IF($D60=1,IF(GDP_per_cap!L23&gt;'all_1961-1990'!$H$1,0,IF(UrbanPopRate!L23&gt;=$J$1,0,1)),0)</f>
        <v>0</v>
      </c>
      <c r="Q60">
        <f>IF($D60=1,IF(GDP_per_cap!M23&gt;'all_1961-1990'!$H$1,0,IF(UrbanPopRate!M23&gt;=$J$1,0,1)),0)</f>
        <v>0</v>
      </c>
      <c r="R60">
        <f>IF($D60=1,IF(GDP_per_cap!N23&gt;'all_1961-1990'!$H$1,0,IF(UrbanPopRate!N23&gt;=$J$1,0,1)),0)</f>
        <v>0</v>
      </c>
      <c r="S60">
        <f>IF($D60=1,IF(GDP_per_cap!O23&gt;'all_1961-1990'!$H$1,0,IF(UrbanPopRate!O23&gt;=$J$1,0,1)),0)</f>
        <v>0</v>
      </c>
      <c r="T60">
        <f>IF($D60=1,IF(GDP_per_cap!P23&gt;'all_1961-1990'!$H$1,0,IF(UrbanPopRate!P23&gt;=$J$1,0,1)),0)</f>
        <v>0</v>
      </c>
      <c r="U60">
        <f>IF($D60=1,IF(GDP_per_cap!Q23&gt;'all_1961-1990'!$H$1,0,IF(UrbanPopRate!Q23&gt;=$J$1,0,1)),0)</f>
        <v>0</v>
      </c>
      <c r="V60">
        <f>IF($D60=1,IF(GDP_per_cap!R23&gt;'all_1961-1990'!$H$1,0,IF(UrbanPopRate!R23&gt;=$J$1,0,1)),0)</f>
        <v>0</v>
      </c>
      <c r="W60">
        <f>IF($D60=1,IF(GDP_per_cap!S23&gt;'all_1961-1990'!$H$1,0,IF(UrbanPopRate!S23&gt;=$J$1,0,1)),0)</f>
        <v>0</v>
      </c>
      <c r="X60">
        <f>IF($D60=1,IF(GDP_per_cap!T23&gt;'all_1961-1990'!$H$1,0,IF(UrbanPopRate!T23&gt;=$J$1,0,1)),0)</f>
        <v>0</v>
      </c>
      <c r="Y60">
        <f>IF($D60=1,IF(GDP_per_cap!U23&gt;'all_1961-1990'!$H$1,0,IF(UrbanPopRate!U23&gt;=$J$1,0,1)),0)</f>
        <v>0</v>
      </c>
      <c r="Z60">
        <f>IF($D60=1,IF(GDP_per_cap!V23&gt;'all_1961-1990'!$H$1,0,IF(UrbanPopRate!V23&gt;=$J$1,0,1)),0)</f>
        <v>0</v>
      </c>
      <c r="AA60">
        <f>IF($D60=1,IF(GDP_per_cap!W23&gt;'all_1961-1990'!$H$1,0,IF(UrbanPopRate!W23&gt;=$J$1,0,1)),0)</f>
        <v>0</v>
      </c>
      <c r="AB60">
        <f>IF($D60=1,IF(GDP_per_cap!X23&gt;'all_1961-1990'!$H$1,0,IF(UrbanPopRate!X23&gt;=$J$1,0,1)),0)</f>
        <v>0</v>
      </c>
      <c r="AC60">
        <f>IF($D60=1,IF(GDP_per_cap!Y23&gt;'all_1961-1990'!$H$1,0,IF(UrbanPopRate!Y23&gt;=$J$1,0,1)),0)</f>
        <v>0</v>
      </c>
      <c r="AD60">
        <f>IF($D60=1,IF(GDP_per_cap!Z23&gt;'all_1961-1990'!$H$1,0,IF(UrbanPopRate!Z23&gt;=$J$1,0,1)),0)</f>
        <v>0</v>
      </c>
      <c r="AE60">
        <f>IF($D60=1,IF(GDP_per_cap!AA23&gt;'all_1961-1990'!$H$1,0,IF(UrbanPopRate!AA23&gt;=$J$1,0,1)),0)</f>
        <v>0</v>
      </c>
      <c r="AF60">
        <f>IF($D60=1,IF(GDP_per_cap!AB23&gt;'all_1961-1990'!$H$1,0,IF(UrbanPopRate!AB23&gt;=$J$1,0,1)),0)</f>
        <v>0</v>
      </c>
      <c r="AG60">
        <f>IF($D60=1,IF(GDP_per_cap!AC23&gt;'all_1961-1990'!$H$1,0,IF(UrbanPopRate!AC23&gt;=$J$1,0,1)),0)</f>
        <v>0</v>
      </c>
      <c r="AH60">
        <f>IF($D60=1,IF(GDP_per_cap!AD23&gt;'all_1961-1990'!$H$1,0,IF(UrbanPopRate!AD23&gt;=$J$1,0,1)),0)</f>
        <v>0</v>
      </c>
      <c r="AI60">
        <f>IF($D60=1,IF(GDP_per_cap!AE23&gt;'all_1961-1990'!$H$1,0,IF(UrbanPopRate!AE23&gt;=$J$1,0,1)),0)</f>
        <v>0</v>
      </c>
      <c r="AJ60">
        <f>IF($D60=1,IF(GDP_per_cap!AF23&gt;'all_1961-1990'!$H$1,0,IF(UrbanPopRate!AF23&gt;=$J$1,0,1)),0)</f>
        <v>0</v>
      </c>
      <c r="AK60">
        <f>IF($D60=1,IF(GDP_per_cap!AG23&gt;'all_1961-1990'!$H$1,0,IF(UrbanPopRate!AG23&gt;=$J$1,0,1)),0)</f>
        <v>0</v>
      </c>
      <c r="AL60">
        <f>IF($D60=1,IF(GDP_per_cap!AH23&gt;'all_1961-1990'!$H$1,0,IF(UrbanPopRate!AH23&gt;=$J$1,0,1)),0)</f>
        <v>0</v>
      </c>
      <c r="AM60">
        <f>IF($D60=1,IF(GDP_per_cap!AI23&gt;'all_1961-1990'!$H$1,0,IF(UrbanPopRate!AI23&gt;=$J$1,0,1)),0)</f>
        <v>0</v>
      </c>
      <c r="AN60">
        <f>IF($D60=1,IF(GDP_per_cap!AJ23&gt;'all_1961-1990'!$H$1,0,IF(UrbanPopRate!AJ23&gt;=$J$1,0,1)),0)</f>
        <v>0</v>
      </c>
      <c r="AO60">
        <f>IF($D60=1,IF(GDP_per_cap!AK23&gt;'all_1961-1990'!$H$1,0,IF(UrbanPopRate!AK23&gt;=$J$1,0,1)),0)</f>
        <v>0</v>
      </c>
      <c r="AP60">
        <f>IF($D60=1,IF(GDP_per_cap!AL23&gt;'all_1961-1990'!$H$1,0,IF(UrbanPopRate!AL23&gt;=$J$1,0,1)),0)</f>
        <v>0</v>
      </c>
      <c r="AQ60">
        <f>IF($D60=1,IF(GDP_per_cap!AM23&gt;'all_1961-1990'!$H$1,0,IF(UrbanPopRate!AM23&gt;=$J$1,0,1)),0)</f>
        <v>0</v>
      </c>
      <c r="AR60">
        <f>IF($D60=1,IF(GDP_per_cap!AN23&gt;'all_1961-1990'!$H$1,0,IF(UrbanPopRate!AN23&gt;=$J$1,0,1)),0)</f>
        <v>0</v>
      </c>
      <c r="AS60">
        <f>IF($D60=1,IF(GDP_per_cap!AO23&gt;'all_1961-1990'!$H$1,0,IF(UrbanPopRate!AO23&gt;=$J$1,0,1)),0)</f>
        <v>0</v>
      </c>
      <c r="AT60">
        <f>IF($D60=1,IF(GDP_per_cap!AP23&gt;'all_1961-1990'!$H$1,0,IF(UrbanPopRate!AP23&gt;=$J$1,0,1)),0)</f>
        <v>0</v>
      </c>
      <c r="AU60">
        <f>IF($D60=1,IF(GDP_per_cap!AQ23&gt;'all_1961-1990'!$H$1,0,IF(UrbanPopRate!AQ23&gt;=$J$1,0,1)),0)</f>
        <v>0</v>
      </c>
      <c r="AV60">
        <f>IF($D60=1,IF(GDP_per_cap!AR23&gt;'all_1961-1990'!$H$1,0,IF(UrbanPopRate!AR23&gt;=$J$1,0,1)),0)</f>
        <v>0</v>
      </c>
      <c r="AW60">
        <f>IF($D60=1,IF(GDP_per_cap!AS23&gt;'all_1961-1990'!$H$1,0,IF(UrbanPopRate!AS23&gt;=$J$1,0,1)),0)</f>
        <v>0</v>
      </c>
      <c r="AX60">
        <f>IF($D60=1,IF(GDP_per_cap!AT23&gt;'all_1961-1990'!$H$1,0,IF(UrbanPopRate!AT23&gt;=$J$1,0,1)),0)</f>
        <v>0</v>
      </c>
      <c r="AY60">
        <f>IF($D60=1,IF(GDP_per_cap!AU23&gt;'all_1961-1990'!$H$1,0,IF(UrbanPopRate!AU23&gt;=$J$1,0,1)),0)</f>
        <v>0</v>
      </c>
      <c r="AZ60">
        <f>IF($D60=1,IF(GDP_per_cap!AV23&gt;'all_1961-1990'!$H$1,0,IF(UrbanPopRate!AV23&gt;=$J$1,0,1)),0)</f>
        <v>0</v>
      </c>
      <c r="BA60">
        <f>IF($D60=1,IF(GDP_per_cap!AW23&gt;'all_1961-1990'!$H$1,0,IF(UrbanPopRate!AW23&gt;=$J$1,0,1)),0)</f>
        <v>0</v>
      </c>
      <c r="BB60">
        <f>IF($D60=1,IF(GDP_per_cap!AX23&gt;'all_1961-1990'!$H$1,0,IF(UrbanPopRate!AX23&gt;=$J$1,0,1)),0)</f>
        <v>0</v>
      </c>
      <c r="BC60">
        <f>IF($D60=1,IF(GDP_per_cap!AY23&gt;'all_1961-1990'!$H$1,0,IF(UrbanPopRate!AY23&gt;=$J$1,0,1)),0)</f>
        <v>0</v>
      </c>
      <c r="BD60">
        <f>IF($D60=1,IF(GDP_per_cap!AZ23&gt;'all_1961-1990'!$H$1,0,IF(UrbanPopRate!AZ23&gt;=$J$1,0,1)),0)</f>
        <v>0</v>
      </c>
      <c r="BE60">
        <f>IF($D60=1,IF(GDP_per_cap!BA23&gt;'all_1961-1990'!$H$1,0,IF(UrbanPopRate!BA23&gt;=$J$1,0,1)),0)</f>
        <v>0</v>
      </c>
      <c r="BF60">
        <f>IF($D60=1,IF(GDP_per_cap!BB23&gt;'all_1961-1990'!$H$1,0,IF(UrbanPopRate!BB23&gt;=$J$1,0,1)),0)</f>
        <v>0</v>
      </c>
    </row>
    <row r="61" spans="1:58">
      <c r="A61" s="3">
        <v>170</v>
      </c>
      <c r="B61" s="3" t="s">
        <v>46</v>
      </c>
      <c r="C61" s="2">
        <v>2</v>
      </c>
      <c r="D61" s="35">
        <v>0</v>
      </c>
      <c r="E61" s="2">
        <v>10.787900000000002</v>
      </c>
      <c r="F61" s="36">
        <v>1812.9961800000001</v>
      </c>
      <c r="G61">
        <f>IF($D61=1,IF(GDP_per_cap!C110&gt;'all_1961-1990'!$H$1,0,IF(UrbanPopRate!C110&gt;=$J$1,0,1)),0)</f>
        <v>0</v>
      </c>
      <c r="H61">
        <f>IF($D61=1,IF(GDP_per_cap!D110&gt;'all_1961-1990'!$H$1,0,IF(UrbanPopRate!D110&gt;=$J$1,0,1)),0)</f>
        <v>0</v>
      </c>
      <c r="I61">
        <f>IF($D61=1,IF(GDP_per_cap!E110&gt;'all_1961-1990'!$H$1,0,IF(UrbanPopRate!E110&gt;=$J$1,0,1)),0)</f>
        <v>0</v>
      </c>
      <c r="J61">
        <f>IF($D61=1,IF(GDP_per_cap!F110&gt;'all_1961-1990'!$H$1,0,IF(UrbanPopRate!F110&gt;=$J$1,0,1)),0)</f>
        <v>0</v>
      </c>
      <c r="K61">
        <f>IF($D61=1,IF(GDP_per_cap!G110&gt;'all_1961-1990'!$H$1,0,IF(UrbanPopRate!G110&gt;=$J$1,0,1)),0)</f>
        <v>0</v>
      </c>
      <c r="L61">
        <f>IF($D61=1,IF(GDP_per_cap!H110&gt;'all_1961-1990'!$H$1,0,IF(UrbanPopRate!H110&gt;=$J$1,0,1)),0)</f>
        <v>0</v>
      </c>
      <c r="M61">
        <f>IF($D61=1,IF(GDP_per_cap!I110&gt;'all_1961-1990'!$H$1,0,IF(UrbanPopRate!I110&gt;=$J$1,0,1)),0)</f>
        <v>0</v>
      </c>
      <c r="N61">
        <f>IF($D61=1,IF(GDP_per_cap!J110&gt;'all_1961-1990'!$H$1,0,IF(UrbanPopRate!J110&gt;=$J$1,0,1)),0)</f>
        <v>0</v>
      </c>
      <c r="O61">
        <f>IF($D61=1,IF(GDP_per_cap!K110&gt;'all_1961-1990'!$H$1,0,IF(UrbanPopRate!K110&gt;=$J$1,0,1)),0)</f>
        <v>0</v>
      </c>
      <c r="P61">
        <f>IF($D61=1,IF(GDP_per_cap!L110&gt;'all_1961-1990'!$H$1,0,IF(UrbanPopRate!L110&gt;=$J$1,0,1)),0)</f>
        <v>0</v>
      </c>
      <c r="Q61">
        <f>IF($D61=1,IF(GDP_per_cap!M110&gt;'all_1961-1990'!$H$1,0,IF(UrbanPopRate!M110&gt;=$J$1,0,1)),0)</f>
        <v>0</v>
      </c>
      <c r="R61">
        <f>IF($D61=1,IF(GDP_per_cap!N110&gt;'all_1961-1990'!$H$1,0,IF(UrbanPopRate!N110&gt;=$J$1,0,1)),0)</f>
        <v>0</v>
      </c>
      <c r="S61">
        <f>IF($D61=1,IF(GDP_per_cap!O110&gt;'all_1961-1990'!$H$1,0,IF(UrbanPopRate!O110&gt;=$J$1,0,1)),0)</f>
        <v>0</v>
      </c>
      <c r="T61">
        <f>IF($D61=1,IF(GDP_per_cap!P110&gt;'all_1961-1990'!$H$1,0,IF(UrbanPopRate!P110&gt;=$J$1,0,1)),0)</f>
        <v>0</v>
      </c>
      <c r="U61">
        <f>IF($D61=1,IF(GDP_per_cap!Q110&gt;'all_1961-1990'!$H$1,0,IF(UrbanPopRate!Q110&gt;=$J$1,0,1)),0)</f>
        <v>0</v>
      </c>
      <c r="V61">
        <f>IF($D61=1,IF(GDP_per_cap!R110&gt;'all_1961-1990'!$H$1,0,IF(UrbanPopRate!R110&gt;=$J$1,0,1)),0)</f>
        <v>0</v>
      </c>
      <c r="W61">
        <f>IF($D61=1,IF(GDP_per_cap!S110&gt;'all_1961-1990'!$H$1,0,IF(UrbanPopRate!S110&gt;=$J$1,0,1)),0)</f>
        <v>0</v>
      </c>
      <c r="X61">
        <f>IF($D61=1,IF(GDP_per_cap!T110&gt;'all_1961-1990'!$H$1,0,IF(UrbanPopRate!T110&gt;=$J$1,0,1)),0)</f>
        <v>0</v>
      </c>
      <c r="Y61">
        <f>IF($D61=1,IF(GDP_per_cap!U110&gt;'all_1961-1990'!$H$1,0,IF(UrbanPopRate!U110&gt;=$J$1,0,1)),0)</f>
        <v>0</v>
      </c>
      <c r="Z61">
        <f>IF($D61=1,IF(GDP_per_cap!V110&gt;'all_1961-1990'!$H$1,0,IF(UrbanPopRate!V110&gt;=$J$1,0,1)),0)</f>
        <v>0</v>
      </c>
      <c r="AA61">
        <f>IF($D61=1,IF(GDP_per_cap!W110&gt;'all_1961-1990'!$H$1,0,IF(UrbanPopRate!W110&gt;=$J$1,0,1)),0)</f>
        <v>0</v>
      </c>
      <c r="AB61">
        <f>IF($D61=1,IF(GDP_per_cap!X110&gt;'all_1961-1990'!$H$1,0,IF(UrbanPopRate!X110&gt;=$J$1,0,1)),0)</f>
        <v>0</v>
      </c>
      <c r="AC61">
        <f>IF($D61=1,IF(GDP_per_cap!Y110&gt;'all_1961-1990'!$H$1,0,IF(UrbanPopRate!Y110&gt;=$J$1,0,1)),0)</f>
        <v>0</v>
      </c>
      <c r="AD61">
        <f>IF($D61=1,IF(GDP_per_cap!Z110&gt;'all_1961-1990'!$H$1,0,IF(UrbanPopRate!Z110&gt;=$J$1,0,1)),0)</f>
        <v>0</v>
      </c>
      <c r="AE61">
        <f>IF($D61=1,IF(GDP_per_cap!AA110&gt;'all_1961-1990'!$H$1,0,IF(UrbanPopRate!AA110&gt;=$J$1,0,1)),0)</f>
        <v>0</v>
      </c>
      <c r="AF61">
        <f>IF($D61=1,IF(GDP_per_cap!AB110&gt;'all_1961-1990'!$H$1,0,IF(UrbanPopRate!AB110&gt;=$J$1,0,1)),0)</f>
        <v>0</v>
      </c>
      <c r="AG61">
        <f>IF($D61=1,IF(GDP_per_cap!AC110&gt;'all_1961-1990'!$H$1,0,IF(UrbanPopRate!AC110&gt;=$J$1,0,1)),0)</f>
        <v>0</v>
      </c>
      <c r="AH61">
        <f>IF($D61=1,IF(GDP_per_cap!AD110&gt;'all_1961-1990'!$H$1,0,IF(UrbanPopRate!AD110&gt;=$J$1,0,1)),0)</f>
        <v>0</v>
      </c>
      <c r="AI61">
        <f>IF($D61=1,IF(GDP_per_cap!AE110&gt;'all_1961-1990'!$H$1,0,IF(UrbanPopRate!AE110&gt;=$J$1,0,1)),0)</f>
        <v>0</v>
      </c>
      <c r="AJ61">
        <f>IF($D61=1,IF(GDP_per_cap!AF110&gt;'all_1961-1990'!$H$1,0,IF(UrbanPopRate!AF110&gt;=$J$1,0,1)),0)</f>
        <v>0</v>
      </c>
      <c r="AK61">
        <f>IF($D61=1,IF(GDP_per_cap!AG110&gt;'all_1961-1990'!$H$1,0,IF(UrbanPopRate!AG110&gt;=$J$1,0,1)),0)</f>
        <v>0</v>
      </c>
      <c r="AL61">
        <f>IF($D61=1,IF(GDP_per_cap!AH110&gt;'all_1961-1990'!$H$1,0,IF(UrbanPopRate!AH110&gt;=$J$1,0,1)),0)</f>
        <v>0</v>
      </c>
      <c r="AM61">
        <f>IF($D61=1,IF(GDP_per_cap!AI110&gt;'all_1961-1990'!$H$1,0,IF(UrbanPopRate!AI110&gt;=$J$1,0,1)),0)</f>
        <v>0</v>
      </c>
      <c r="AN61">
        <f>IF($D61=1,IF(GDP_per_cap!AJ110&gt;'all_1961-1990'!$H$1,0,IF(UrbanPopRate!AJ110&gt;=$J$1,0,1)),0)</f>
        <v>0</v>
      </c>
      <c r="AO61">
        <f>IF($D61=1,IF(GDP_per_cap!AK110&gt;'all_1961-1990'!$H$1,0,IF(UrbanPopRate!AK110&gt;=$J$1,0,1)),0)</f>
        <v>0</v>
      </c>
      <c r="AP61">
        <f>IF($D61=1,IF(GDP_per_cap!AL110&gt;'all_1961-1990'!$H$1,0,IF(UrbanPopRate!AL110&gt;=$J$1,0,1)),0)</f>
        <v>0</v>
      </c>
      <c r="AQ61">
        <f>IF($D61=1,IF(GDP_per_cap!AM110&gt;'all_1961-1990'!$H$1,0,IF(UrbanPopRate!AM110&gt;=$J$1,0,1)),0)</f>
        <v>0</v>
      </c>
      <c r="AR61">
        <f>IF($D61=1,IF(GDP_per_cap!AN110&gt;'all_1961-1990'!$H$1,0,IF(UrbanPopRate!AN110&gt;=$J$1,0,1)),0)</f>
        <v>0</v>
      </c>
      <c r="AS61">
        <f>IF($D61=1,IF(GDP_per_cap!AO110&gt;'all_1961-1990'!$H$1,0,IF(UrbanPopRate!AO110&gt;=$J$1,0,1)),0)</f>
        <v>0</v>
      </c>
      <c r="AT61">
        <f>IF($D61=1,IF(GDP_per_cap!AP110&gt;'all_1961-1990'!$H$1,0,IF(UrbanPopRate!AP110&gt;=$J$1,0,1)),0)</f>
        <v>0</v>
      </c>
      <c r="AU61">
        <f>IF($D61=1,IF(GDP_per_cap!AQ110&gt;'all_1961-1990'!$H$1,0,IF(UrbanPopRate!AQ110&gt;=$J$1,0,1)),0)</f>
        <v>0</v>
      </c>
      <c r="AV61">
        <f>IF($D61=1,IF(GDP_per_cap!AR110&gt;'all_1961-1990'!$H$1,0,IF(UrbanPopRate!AR110&gt;=$J$1,0,1)),0)</f>
        <v>0</v>
      </c>
      <c r="AW61">
        <f>IF($D61=1,IF(GDP_per_cap!AS110&gt;'all_1961-1990'!$H$1,0,IF(UrbanPopRate!AS110&gt;=$J$1,0,1)),0)</f>
        <v>0</v>
      </c>
      <c r="AX61">
        <f>IF($D61=1,IF(GDP_per_cap!AT110&gt;'all_1961-1990'!$H$1,0,IF(UrbanPopRate!AT110&gt;=$J$1,0,1)),0)</f>
        <v>0</v>
      </c>
      <c r="AY61">
        <f>IF($D61=1,IF(GDP_per_cap!AU110&gt;'all_1961-1990'!$H$1,0,IF(UrbanPopRate!AU110&gt;=$J$1,0,1)),0)</f>
        <v>0</v>
      </c>
      <c r="AZ61">
        <f>IF($D61=1,IF(GDP_per_cap!AV110&gt;'all_1961-1990'!$H$1,0,IF(UrbanPopRate!AV110&gt;=$J$1,0,1)),0)</f>
        <v>0</v>
      </c>
      <c r="BA61">
        <f>IF($D61=1,IF(GDP_per_cap!AW110&gt;'all_1961-1990'!$H$1,0,IF(UrbanPopRate!AW110&gt;=$J$1,0,1)),0)</f>
        <v>0</v>
      </c>
      <c r="BB61">
        <f>IF($D61=1,IF(GDP_per_cap!AX110&gt;'all_1961-1990'!$H$1,0,IF(UrbanPopRate!AX110&gt;=$J$1,0,1)),0)</f>
        <v>0</v>
      </c>
      <c r="BC61">
        <f>IF($D61=1,IF(GDP_per_cap!AY110&gt;'all_1961-1990'!$H$1,0,IF(UrbanPopRate!AY110&gt;=$J$1,0,1)),0)</f>
        <v>0</v>
      </c>
      <c r="BD61">
        <f>IF($D61=1,IF(GDP_per_cap!AZ110&gt;'all_1961-1990'!$H$1,0,IF(UrbanPopRate!AZ110&gt;=$J$1,0,1)),0)</f>
        <v>0</v>
      </c>
      <c r="BE61">
        <f>IF($D61=1,IF(GDP_per_cap!BA110&gt;'all_1961-1990'!$H$1,0,IF(UrbanPopRate!BA110&gt;=$J$1,0,1)),0)</f>
        <v>0</v>
      </c>
      <c r="BF61">
        <f>IF($D61=1,IF(GDP_per_cap!BB110&gt;'all_1961-1990'!$H$1,0,IF(UrbanPopRate!BB110&gt;=$J$1,0,1)),0)</f>
        <v>0</v>
      </c>
    </row>
    <row r="62" spans="1:58">
      <c r="A62" s="3">
        <v>116</v>
      </c>
      <c r="B62" s="3" t="s">
        <v>82</v>
      </c>
      <c r="C62" s="2">
        <v>2</v>
      </c>
      <c r="D62" s="35">
        <v>0</v>
      </c>
      <c r="E62" s="2">
        <v>53.607233333333348</v>
      </c>
      <c r="F62" s="36">
        <v>1800</v>
      </c>
      <c r="G62">
        <f>IF($D62=1,IF(GDP_per_cap!C74&gt;'all_1961-1990'!$H$1,0,IF(UrbanPopRate!C74&gt;=$J$1,0,1)),0)</f>
        <v>0</v>
      </c>
      <c r="H62">
        <f>IF($D62=1,IF(GDP_per_cap!D74&gt;'all_1961-1990'!$H$1,0,IF(UrbanPopRate!D74&gt;=$J$1,0,1)),0)</f>
        <v>0</v>
      </c>
      <c r="I62">
        <f>IF($D62=1,IF(GDP_per_cap!E74&gt;'all_1961-1990'!$H$1,0,IF(UrbanPopRate!E74&gt;=$J$1,0,1)),0)</f>
        <v>0</v>
      </c>
      <c r="J62">
        <f>IF($D62=1,IF(GDP_per_cap!F74&gt;'all_1961-1990'!$H$1,0,IF(UrbanPopRate!F74&gt;=$J$1,0,1)),0)</f>
        <v>0</v>
      </c>
      <c r="K62">
        <f>IF($D62=1,IF(GDP_per_cap!G74&gt;'all_1961-1990'!$H$1,0,IF(UrbanPopRate!G74&gt;=$J$1,0,1)),0)</f>
        <v>0</v>
      </c>
      <c r="L62">
        <f>IF($D62=1,IF(GDP_per_cap!H74&gt;'all_1961-1990'!$H$1,0,IF(UrbanPopRate!H74&gt;=$J$1,0,1)),0)</f>
        <v>0</v>
      </c>
      <c r="M62">
        <f>IF($D62=1,IF(GDP_per_cap!I74&gt;'all_1961-1990'!$H$1,0,IF(UrbanPopRate!I74&gt;=$J$1,0,1)),0)</f>
        <v>0</v>
      </c>
      <c r="N62">
        <f>IF($D62=1,IF(GDP_per_cap!J74&gt;'all_1961-1990'!$H$1,0,IF(UrbanPopRate!J74&gt;=$J$1,0,1)),0)</f>
        <v>0</v>
      </c>
      <c r="O62">
        <f>IF($D62=1,IF(GDP_per_cap!K74&gt;'all_1961-1990'!$H$1,0,IF(UrbanPopRate!K74&gt;=$J$1,0,1)),0)</f>
        <v>0</v>
      </c>
      <c r="P62">
        <f>IF($D62=1,IF(GDP_per_cap!L74&gt;'all_1961-1990'!$H$1,0,IF(UrbanPopRate!L74&gt;=$J$1,0,1)),0)</f>
        <v>0</v>
      </c>
      <c r="Q62">
        <f>IF($D62=1,IF(GDP_per_cap!M74&gt;'all_1961-1990'!$H$1,0,IF(UrbanPopRate!M74&gt;=$J$1,0,1)),0)</f>
        <v>0</v>
      </c>
      <c r="R62">
        <f>IF($D62=1,IF(GDP_per_cap!N74&gt;'all_1961-1990'!$H$1,0,IF(UrbanPopRate!N74&gt;=$J$1,0,1)),0)</f>
        <v>0</v>
      </c>
      <c r="S62">
        <f>IF($D62=1,IF(GDP_per_cap!O74&gt;'all_1961-1990'!$H$1,0,IF(UrbanPopRate!O74&gt;=$J$1,0,1)),0)</f>
        <v>0</v>
      </c>
      <c r="T62">
        <f>IF($D62=1,IF(GDP_per_cap!P74&gt;'all_1961-1990'!$H$1,0,IF(UrbanPopRate!P74&gt;=$J$1,0,1)),0)</f>
        <v>0</v>
      </c>
      <c r="U62">
        <f>IF($D62=1,IF(GDP_per_cap!Q74&gt;'all_1961-1990'!$H$1,0,IF(UrbanPopRate!Q74&gt;=$J$1,0,1)),0)</f>
        <v>0</v>
      </c>
      <c r="V62">
        <f>IF($D62=1,IF(GDP_per_cap!R74&gt;'all_1961-1990'!$H$1,0,IF(UrbanPopRate!R74&gt;=$J$1,0,1)),0)</f>
        <v>0</v>
      </c>
      <c r="W62">
        <f>IF($D62=1,IF(GDP_per_cap!S74&gt;'all_1961-1990'!$H$1,0,IF(UrbanPopRate!S74&gt;=$J$1,0,1)),0)</f>
        <v>0</v>
      </c>
      <c r="X62">
        <f>IF($D62=1,IF(GDP_per_cap!T74&gt;'all_1961-1990'!$H$1,0,IF(UrbanPopRate!T74&gt;=$J$1,0,1)),0)</f>
        <v>0</v>
      </c>
      <c r="Y62">
        <f>IF($D62=1,IF(GDP_per_cap!U74&gt;'all_1961-1990'!$H$1,0,IF(UrbanPopRate!U74&gt;=$J$1,0,1)),0)</f>
        <v>0</v>
      </c>
      <c r="Z62">
        <f>IF($D62=1,IF(GDP_per_cap!V74&gt;'all_1961-1990'!$H$1,0,IF(UrbanPopRate!V74&gt;=$J$1,0,1)),0)</f>
        <v>0</v>
      </c>
      <c r="AA62">
        <f>IF($D62=1,IF(GDP_per_cap!W74&gt;'all_1961-1990'!$H$1,0,IF(UrbanPopRate!W74&gt;=$J$1,0,1)),0)</f>
        <v>0</v>
      </c>
      <c r="AB62">
        <f>IF($D62=1,IF(GDP_per_cap!X74&gt;'all_1961-1990'!$H$1,0,IF(UrbanPopRate!X74&gt;=$J$1,0,1)),0)</f>
        <v>0</v>
      </c>
      <c r="AC62">
        <f>IF($D62=1,IF(GDP_per_cap!Y74&gt;'all_1961-1990'!$H$1,0,IF(UrbanPopRate!Y74&gt;=$J$1,0,1)),0)</f>
        <v>0</v>
      </c>
      <c r="AD62">
        <f>IF($D62=1,IF(GDP_per_cap!Z74&gt;'all_1961-1990'!$H$1,0,IF(UrbanPopRate!Z74&gt;=$J$1,0,1)),0)</f>
        <v>0</v>
      </c>
      <c r="AE62">
        <f>IF($D62=1,IF(GDP_per_cap!AA74&gt;'all_1961-1990'!$H$1,0,IF(UrbanPopRate!AA74&gt;=$J$1,0,1)),0)</f>
        <v>0</v>
      </c>
      <c r="AF62">
        <f>IF($D62=1,IF(GDP_per_cap!AB74&gt;'all_1961-1990'!$H$1,0,IF(UrbanPopRate!AB74&gt;=$J$1,0,1)),0)</f>
        <v>0</v>
      </c>
      <c r="AG62">
        <f>IF($D62=1,IF(GDP_per_cap!AC74&gt;'all_1961-1990'!$H$1,0,IF(UrbanPopRate!AC74&gt;=$J$1,0,1)),0)</f>
        <v>0</v>
      </c>
      <c r="AH62">
        <f>IF($D62=1,IF(GDP_per_cap!AD74&gt;'all_1961-1990'!$H$1,0,IF(UrbanPopRate!AD74&gt;=$J$1,0,1)),0)</f>
        <v>0</v>
      </c>
      <c r="AI62">
        <f>IF($D62=1,IF(GDP_per_cap!AE74&gt;'all_1961-1990'!$H$1,0,IF(UrbanPopRate!AE74&gt;=$J$1,0,1)),0)</f>
        <v>0</v>
      </c>
      <c r="AJ62">
        <f>IF($D62=1,IF(GDP_per_cap!AF74&gt;'all_1961-1990'!$H$1,0,IF(UrbanPopRate!AF74&gt;=$J$1,0,1)),0)</f>
        <v>0</v>
      </c>
      <c r="AK62">
        <f>IF($D62=1,IF(GDP_per_cap!AG74&gt;'all_1961-1990'!$H$1,0,IF(UrbanPopRate!AG74&gt;=$J$1,0,1)),0)</f>
        <v>0</v>
      </c>
      <c r="AL62">
        <f>IF($D62=1,IF(GDP_per_cap!AH74&gt;'all_1961-1990'!$H$1,0,IF(UrbanPopRate!AH74&gt;=$J$1,0,1)),0)</f>
        <v>0</v>
      </c>
      <c r="AM62">
        <f>IF($D62=1,IF(GDP_per_cap!AI74&gt;'all_1961-1990'!$H$1,0,IF(UrbanPopRate!AI74&gt;=$J$1,0,1)),0)</f>
        <v>0</v>
      </c>
      <c r="AN62">
        <f>IF($D62=1,IF(GDP_per_cap!AJ74&gt;'all_1961-1990'!$H$1,0,IF(UrbanPopRate!AJ74&gt;=$J$1,0,1)),0)</f>
        <v>0</v>
      </c>
      <c r="AO62">
        <f>IF($D62=1,IF(GDP_per_cap!AK74&gt;'all_1961-1990'!$H$1,0,IF(UrbanPopRate!AK74&gt;=$J$1,0,1)),0)</f>
        <v>0</v>
      </c>
      <c r="AP62">
        <f>IF($D62=1,IF(GDP_per_cap!AL74&gt;'all_1961-1990'!$H$1,0,IF(UrbanPopRate!AL74&gt;=$J$1,0,1)),0)</f>
        <v>0</v>
      </c>
      <c r="AQ62">
        <f>IF($D62=1,IF(GDP_per_cap!AM74&gt;'all_1961-1990'!$H$1,0,IF(UrbanPopRate!AM74&gt;=$J$1,0,1)),0)</f>
        <v>0</v>
      </c>
      <c r="AR62">
        <f>IF($D62=1,IF(GDP_per_cap!AN74&gt;'all_1961-1990'!$H$1,0,IF(UrbanPopRate!AN74&gt;=$J$1,0,1)),0)</f>
        <v>0</v>
      </c>
      <c r="AS62">
        <f>IF($D62=1,IF(GDP_per_cap!AO74&gt;'all_1961-1990'!$H$1,0,IF(UrbanPopRate!AO74&gt;=$J$1,0,1)),0)</f>
        <v>0</v>
      </c>
      <c r="AT62">
        <f>IF($D62=1,IF(GDP_per_cap!AP74&gt;'all_1961-1990'!$H$1,0,IF(UrbanPopRate!AP74&gt;=$J$1,0,1)),0)</f>
        <v>0</v>
      </c>
      <c r="AU62">
        <f>IF($D62=1,IF(GDP_per_cap!AQ74&gt;'all_1961-1990'!$H$1,0,IF(UrbanPopRate!AQ74&gt;=$J$1,0,1)),0)</f>
        <v>0</v>
      </c>
      <c r="AV62">
        <f>IF($D62=1,IF(GDP_per_cap!AR74&gt;'all_1961-1990'!$H$1,0,IF(UrbanPopRate!AR74&gt;=$J$1,0,1)),0)</f>
        <v>0</v>
      </c>
      <c r="AW62">
        <f>IF($D62=1,IF(GDP_per_cap!AS74&gt;'all_1961-1990'!$H$1,0,IF(UrbanPopRate!AS74&gt;=$J$1,0,1)),0)</f>
        <v>0</v>
      </c>
      <c r="AX62">
        <f>IF($D62=1,IF(GDP_per_cap!AT74&gt;'all_1961-1990'!$H$1,0,IF(UrbanPopRate!AT74&gt;=$J$1,0,1)),0)</f>
        <v>0</v>
      </c>
      <c r="AY62">
        <f>IF($D62=1,IF(GDP_per_cap!AU74&gt;'all_1961-1990'!$H$1,0,IF(UrbanPopRate!AU74&gt;=$J$1,0,1)),0)</f>
        <v>0</v>
      </c>
      <c r="AZ62">
        <f>IF($D62=1,IF(GDP_per_cap!AV74&gt;'all_1961-1990'!$H$1,0,IF(UrbanPopRate!AV74&gt;=$J$1,0,1)),0)</f>
        <v>0</v>
      </c>
      <c r="BA62">
        <f>IF($D62=1,IF(GDP_per_cap!AW74&gt;'all_1961-1990'!$H$1,0,IF(UrbanPopRate!AW74&gt;=$J$1,0,1)),0)</f>
        <v>0</v>
      </c>
      <c r="BB62">
        <f>IF($D62=1,IF(GDP_per_cap!AX74&gt;'all_1961-1990'!$H$1,0,IF(UrbanPopRate!AX74&gt;=$J$1,0,1)),0)</f>
        <v>0</v>
      </c>
      <c r="BC62">
        <f>IF($D62=1,IF(GDP_per_cap!AY74&gt;'all_1961-1990'!$H$1,0,IF(UrbanPopRate!AY74&gt;=$J$1,0,1)),0)</f>
        <v>0</v>
      </c>
      <c r="BD62">
        <f>IF($D62=1,IF(GDP_per_cap!AZ74&gt;'all_1961-1990'!$H$1,0,IF(UrbanPopRate!AZ74&gt;=$J$1,0,1)),0)</f>
        <v>0</v>
      </c>
      <c r="BE62">
        <f>IF($D62=1,IF(GDP_per_cap!BA74&gt;'all_1961-1990'!$H$1,0,IF(UrbanPopRate!BA74&gt;=$J$1,0,1)),0)</f>
        <v>0</v>
      </c>
      <c r="BF62">
        <f>IF($D62=1,IF(GDP_per_cap!BB74&gt;'all_1961-1990'!$H$1,0,IF(UrbanPopRate!BB74&gt;=$J$1,0,1)),0)</f>
        <v>0</v>
      </c>
    </row>
    <row r="63" spans="1:58">
      <c r="A63" s="3">
        <v>204</v>
      </c>
      <c r="B63" s="3" t="s">
        <v>26</v>
      </c>
      <c r="C63" s="2">
        <v>2</v>
      </c>
      <c r="D63" s="35">
        <v>0</v>
      </c>
      <c r="E63" s="2">
        <v>18.379633333333334</v>
      </c>
      <c r="F63" s="36">
        <v>1788.6289670000001</v>
      </c>
      <c r="G63">
        <f>IF($D63=1,IF(GDP_per_cap!C130&gt;'all_1961-1990'!$H$1,0,IF(UrbanPopRate!C130&gt;=$J$1,0,1)),0)</f>
        <v>0</v>
      </c>
      <c r="H63">
        <f>IF($D63=1,IF(GDP_per_cap!D130&gt;'all_1961-1990'!$H$1,0,IF(UrbanPopRate!D130&gt;=$J$1,0,1)),0)</f>
        <v>0</v>
      </c>
      <c r="I63">
        <f>IF($D63=1,IF(GDP_per_cap!E130&gt;'all_1961-1990'!$H$1,0,IF(UrbanPopRate!E130&gt;=$J$1,0,1)),0)</f>
        <v>0</v>
      </c>
      <c r="J63">
        <f>IF($D63=1,IF(GDP_per_cap!F130&gt;'all_1961-1990'!$H$1,0,IF(UrbanPopRate!F130&gt;=$J$1,0,1)),0)</f>
        <v>0</v>
      </c>
      <c r="K63">
        <f>IF($D63=1,IF(GDP_per_cap!G130&gt;'all_1961-1990'!$H$1,0,IF(UrbanPopRate!G130&gt;=$J$1,0,1)),0)</f>
        <v>0</v>
      </c>
      <c r="L63">
        <f>IF($D63=1,IF(GDP_per_cap!H130&gt;'all_1961-1990'!$H$1,0,IF(UrbanPopRate!H130&gt;=$J$1,0,1)),0)</f>
        <v>0</v>
      </c>
      <c r="M63">
        <f>IF($D63=1,IF(GDP_per_cap!I130&gt;'all_1961-1990'!$H$1,0,IF(UrbanPopRate!I130&gt;=$J$1,0,1)),0)</f>
        <v>0</v>
      </c>
      <c r="N63">
        <f>IF($D63=1,IF(GDP_per_cap!J130&gt;'all_1961-1990'!$H$1,0,IF(UrbanPopRate!J130&gt;=$J$1,0,1)),0)</f>
        <v>0</v>
      </c>
      <c r="O63">
        <f>IF($D63=1,IF(GDP_per_cap!K130&gt;'all_1961-1990'!$H$1,0,IF(UrbanPopRate!K130&gt;=$J$1,0,1)),0)</f>
        <v>0</v>
      </c>
      <c r="P63">
        <f>IF($D63=1,IF(GDP_per_cap!L130&gt;'all_1961-1990'!$H$1,0,IF(UrbanPopRate!L130&gt;=$J$1,0,1)),0)</f>
        <v>0</v>
      </c>
      <c r="Q63">
        <f>IF($D63=1,IF(GDP_per_cap!M130&gt;'all_1961-1990'!$H$1,0,IF(UrbanPopRate!M130&gt;=$J$1,0,1)),0)</f>
        <v>0</v>
      </c>
      <c r="R63">
        <f>IF($D63=1,IF(GDP_per_cap!N130&gt;'all_1961-1990'!$H$1,0,IF(UrbanPopRate!N130&gt;=$J$1,0,1)),0)</f>
        <v>0</v>
      </c>
      <c r="S63">
        <f>IF($D63=1,IF(GDP_per_cap!O130&gt;'all_1961-1990'!$H$1,0,IF(UrbanPopRate!O130&gt;=$J$1,0,1)),0)</f>
        <v>0</v>
      </c>
      <c r="T63">
        <f>IF($D63=1,IF(GDP_per_cap!P130&gt;'all_1961-1990'!$H$1,0,IF(UrbanPopRate!P130&gt;=$J$1,0,1)),0)</f>
        <v>0</v>
      </c>
      <c r="U63">
        <f>IF($D63=1,IF(GDP_per_cap!Q130&gt;'all_1961-1990'!$H$1,0,IF(UrbanPopRate!Q130&gt;=$J$1,0,1)),0)</f>
        <v>0</v>
      </c>
      <c r="V63">
        <f>IF($D63=1,IF(GDP_per_cap!R130&gt;'all_1961-1990'!$H$1,0,IF(UrbanPopRate!R130&gt;=$J$1,0,1)),0)</f>
        <v>0</v>
      </c>
      <c r="W63">
        <f>IF($D63=1,IF(GDP_per_cap!S130&gt;'all_1961-1990'!$H$1,0,IF(UrbanPopRate!S130&gt;=$J$1,0,1)),0)</f>
        <v>0</v>
      </c>
      <c r="X63">
        <f>IF($D63=1,IF(GDP_per_cap!T130&gt;'all_1961-1990'!$H$1,0,IF(UrbanPopRate!T130&gt;=$J$1,0,1)),0)</f>
        <v>0</v>
      </c>
      <c r="Y63">
        <f>IF($D63=1,IF(GDP_per_cap!U130&gt;'all_1961-1990'!$H$1,0,IF(UrbanPopRate!U130&gt;=$J$1,0,1)),0)</f>
        <v>0</v>
      </c>
      <c r="Z63">
        <f>IF($D63=1,IF(GDP_per_cap!V130&gt;'all_1961-1990'!$H$1,0,IF(UrbanPopRate!V130&gt;=$J$1,0,1)),0)</f>
        <v>0</v>
      </c>
      <c r="AA63">
        <f>IF($D63=1,IF(GDP_per_cap!W130&gt;'all_1961-1990'!$H$1,0,IF(UrbanPopRate!W130&gt;=$J$1,0,1)),0)</f>
        <v>0</v>
      </c>
      <c r="AB63">
        <f>IF($D63=1,IF(GDP_per_cap!X130&gt;'all_1961-1990'!$H$1,0,IF(UrbanPopRate!X130&gt;=$J$1,0,1)),0)</f>
        <v>0</v>
      </c>
      <c r="AC63">
        <f>IF($D63=1,IF(GDP_per_cap!Y130&gt;'all_1961-1990'!$H$1,0,IF(UrbanPopRate!Y130&gt;=$J$1,0,1)),0)</f>
        <v>0</v>
      </c>
      <c r="AD63">
        <f>IF($D63=1,IF(GDP_per_cap!Z130&gt;'all_1961-1990'!$H$1,0,IF(UrbanPopRate!Z130&gt;=$J$1,0,1)),0)</f>
        <v>0</v>
      </c>
      <c r="AE63">
        <f>IF($D63=1,IF(GDP_per_cap!AA130&gt;'all_1961-1990'!$H$1,0,IF(UrbanPopRate!AA130&gt;=$J$1,0,1)),0)</f>
        <v>0</v>
      </c>
      <c r="AF63">
        <f>IF($D63=1,IF(GDP_per_cap!AB130&gt;'all_1961-1990'!$H$1,0,IF(UrbanPopRate!AB130&gt;=$J$1,0,1)),0)</f>
        <v>0</v>
      </c>
      <c r="AG63">
        <f>IF($D63=1,IF(GDP_per_cap!AC130&gt;'all_1961-1990'!$H$1,0,IF(UrbanPopRate!AC130&gt;=$J$1,0,1)),0)</f>
        <v>0</v>
      </c>
      <c r="AH63">
        <f>IF($D63=1,IF(GDP_per_cap!AD130&gt;'all_1961-1990'!$H$1,0,IF(UrbanPopRate!AD130&gt;=$J$1,0,1)),0)</f>
        <v>0</v>
      </c>
      <c r="AI63">
        <f>IF($D63=1,IF(GDP_per_cap!AE130&gt;'all_1961-1990'!$H$1,0,IF(UrbanPopRate!AE130&gt;=$J$1,0,1)),0)</f>
        <v>0</v>
      </c>
      <c r="AJ63">
        <f>IF($D63=1,IF(GDP_per_cap!AF130&gt;'all_1961-1990'!$H$1,0,IF(UrbanPopRate!AF130&gt;=$J$1,0,1)),0)</f>
        <v>0</v>
      </c>
      <c r="AK63">
        <f>IF($D63=1,IF(GDP_per_cap!AG130&gt;'all_1961-1990'!$H$1,0,IF(UrbanPopRate!AG130&gt;=$J$1,0,1)),0)</f>
        <v>0</v>
      </c>
      <c r="AL63">
        <f>IF($D63=1,IF(GDP_per_cap!AH130&gt;'all_1961-1990'!$H$1,0,IF(UrbanPopRate!AH130&gt;=$J$1,0,1)),0)</f>
        <v>0</v>
      </c>
      <c r="AM63">
        <f>IF($D63=1,IF(GDP_per_cap!AI130&gt;'all_1961-1990'!$H$1,0,IF(UrbanPopRate!AI130&gt;=$J$1,0,1)),0)</f>
        <v>0</v>
      </c>
      <c r="AN63">
        <f>IF($D63=1,IF(GDP_per_cap!AJ130&gt;'all_1961-1990'!$H$1,0,IF(UrbanPopRate!AJ130&gt;=$J$1,0,1)),0)</f>
        <v>0</v>
      </c>
      <c r="AO63">
        <f>IF($D63=1,IF(GDP_per_cap!AK130&gt;'all_1961-1990'!$H$1,0,IF(UrbanPopRate!AK130&gt;=$J$1,0,1)),0)</f>
        <v>0</v>
      </c>
      <c r="AP63">
        <f>IF($D63=1,IF(GDP_per_cap!AL130&gt;'all_1961-1990'!$H$1,0,IF(UrbanPopRate!AL130&gt;=$J$1,0,1)),0)</f>
        <v>0</v>
      </c>
      <c r="AQ63">
        <f>IF($D63=1,IF(GDP_per_cap!AM130&gt;'all_1961-1990'!$H$1,0,IF(UrbanPopRate!AM130&gt;=$J$1,0,1)),0)</f>
        <v>0</v>
      </c>
      <c r="AR63">
        <f>IF($D63=1,IF(GDP_per_cap!AN130&gt;'all_1961-1990'!$H$1,0,IF(UrbanPopRate!AN130&gt;=$J$1,0,1)),0)</f>
        <v>0</v>
      </c>
      <c r="AS63">
        <f>IF($D63=1,IF(GDP_per_cap!AO130&gt;'all_1961-1990'!$H$1,0,IF(UrbanPopRate!AO130&gt;=$J$1,0,1)),0)</f>
        <v>0</v>
      </c>
      <c r="AT63">
        <f>IF($D63=1,IF(GDP_per_cap!AP130&gt;'all_1961-1990'!$H$1,0,IF(UrbanPopRate!AP130&gt;=$J$1,0,1)),0)</f>
        <v>0</v>
      </c>
      <c r="AU63">
        <f>IF($D63=1,IF(GDP_per_cap!AQ130&gt;'all_1961-1990'!$H$1,0,IF(UrbanPopRate!AQ130&gt;=$J$1,0,1)),0)</f>
        <v>0</v>
      </c>
      <c r="AV63">
        <f>IF($D63=1,IF(GDP_per_cap!AR130&gt;'all_1961-1990'!$H$1,0,IF(UrbanPopRate!AR130&gt;=$J$1,0,1)),0)</f>
        <v>0</v>
      </c>
      <c r="AW63">
        <f>IF($D63=1,IF(GDP_per_cap!AS130&gt;'all_1961-1990'!$H$1,0,IF(UrbanPopRate!AS130&gt;=$J$1,0,1)),0)</f>
        <v>0</v>
      </c>
      <c r="AX63">
        <f>IF($D63=1,IF(GDP_per_cap!AT130&gt;'all_1961-1990'!$H$1,0,IF(UrbanPopRate!AT130&gt;=$J$1,0,1)),0)</f>
        <v>0</v>
      </c>
      <c r="AY63">
        <f>IF($D63=1,IF(GDP_per_cap!AU130&gt;'all_1961-1990'!$H$1,0,IF(UrbanPopRate!AU130&gt;=$J$1,0,1)),0)</f>
        <v>0</v>
      </c>
      <c r="AZ63">
        <f>IF($D63=1,IF(GDP_per_cap!AV130&gt;'all_1961-1990'!$H$1,0,IF(UrbanPopRate!AV130&gt;=$J$1,0,1)),0)</f>
        <v>0</v>
      </c>
      <c r="BA63">
        <f>IF($D63=1,IF(GDP_per_cap!AW130&gt;'all_1961-1990'!$H$1,0,IF(UrbanPopRate!AW130&gt;=$J$1,0,1)),0)</f>
        <v>0</v>
      </c>
      <c r="BB63">
        <f>IF($D63=1,IF(GDP_per_cap!AX130&gt;'all_1961-1990'!$H$1,0,IF(UrbanPopRate!AX130&gt;=$J$1,0,1)),0)</f>
        <v>0</v>
      </c>
      <c r="BC63">
        <f>IF($D63=1,IF(GDP_per_cap!AY130&gt;'all_1961-1990'!$H$1,0,IF(UrbanPopRate!AY130&gt;=$J$1,0,1)),0)</f>
        <v>0</v>
      </c>
      <c r="BD63">
        <f>IF($D63=1,IF(GDP_per_cap!AZ130&gt;'all_1961-1990'!$H$1,0,IF(UrbanPopRate!AZ130&gt;=$J$1,0,1)),0)</f>
        <v>0</v>
      </c>
      <c r="BE63">
        <f>IF($D63=1,IF(GDP_per_cap!BA130&gt;'all_1961-1990'!$H$1,0,IF(UrbanPopRate!BA130&gt;=$J$1,0,1)),0)</f>
        <v>0</v>
      </c>
      <c r="BF63">
        <f>IF($D63=1,IF(GDP_per_cap!BB130&gt;'all_1961-1990'!$H$1,0,IF(UrbanPopRate!BB130&gt;=$J$1,0,1)),0)</f>
        <v>0</v>
      </c>
    </row>
    <row r="64" spans="1:58">
      <c r="A64" s="3">
        <v>166</v>
      </c>
      <c r="B64" s="3" t="s">
        <v>49</v>
      </c>
      <c r="C64" s="2">
        <v>2</v>
      </c>
      <c r="D64" s="35">
        <v>0</v>
      </c>
      <c r="E64" s="2">
        <v>26.544366666666672</v>
      </c>
      <c r="F64" s="36">
        <v>1450.905573</v>
      </c>
      <c r="G64">
        <f>IF($D64=1,IF(GDP_per_cap!C107&gt;'all_1961-1990'!$H$1,0,IF(UrbanPopRate!C107&gt;=$J$1,0,1)),0)</f>
        <v>0</v>
      </c>
      <c r="H64">
        <f>IF($D64=1,IF(GDP_per_cap!D107&gt;'all_1961-1990'!$H$1,0,IF(UrbanPopRate!D107&gt;=$J$1,0,1)),0)</f>
        <v>0</v>
      </c>
      <c r="I64">
        <f>IF($D64=1,IF(GDP_per_cap!E107&gt;'all_1961-1990'!$H$1,0,IF(UrbanPopRate!E107&gt;=$J$1,0,1)),0)</f>
        <v>0</v>
      </c>
      <c r="J64">
        <f>IF($D64=1,IF(GDP_per_cap!F107&gt;'all_1961-1990'!$H$1,0,IF(UrbanPopRate!F107&gt;=$J$1,0,1)),0)</f>
        <v>0</v>
      </c>
      <c r="K64">
        <f>IF($D64=1,IF(GDP_per_cap!G107&gt;'all_1961-1990'!$H$1,0,IF(UrbanPopRate!G107&gt;=$J$1,0,1)),0)</f>
        <v>0</v>
      </c>
      <c r="L64">
        <f>IF($D64=1,IF(GDP_per_cap!H107&gt;'all_1961-1990'!$H$1,0,IF(UrbanPopRate!H107&gt;=$J$1,0,1)),0)</f>
        <v>0</v>
      </c>
      <c r="M64">
        <f>IF($D64=1,IF(GDP_per_cap!I107&gt;'all_1961-1990'!$H$1,0,IF(UrbanPopRate!I107&gt;=$J$1,0,1)),0)</f>
        <v>0</v>
      </c>
      <c r="N64">
        <f>IF($D64=1,IF(GDP_per_cap!J107&gt;'all_1961-1990'!$H$1,0,IF(UrbanPopRate!J107&gt;=$J$1,0,1)),0)</f>
        <v>0</v>
      </c>
      <c r="O64">
        <f>IF($D64=1,IF(GDP_per_cap!K107&gt;'all_1961-1990'!$H$1,0,IF(UrbanPopRate!K107&gt;=$J$1,0,1)),0)</f>
        <v>0</v>
      </c>
      <c r="P64">
        <f>IF($D64=1,IF(GDP_per_cap!L107&gt;'all_1961-1990'!$H$1,0,IF(UrbanPopRate!L107&gt;=$J$1,0,1)),0)</f>
        <v>0</v>
      </c>
      <c r="Q64">
        <f>IF($D64=1,IF(GDP_per_cap!M107&gt;'all_1961-1990'!$H$1,0,IF(UrbanPopRate!M107&gt;=$J$1,0,1)),0)</f>
        <v>0</v>
      </c>
      <c r="R64">
        <f>IF($D64=1,IF(GDP_per_cap!N107&gt;'all_1961-1990'!$H$1,0,IF(UrbanPopRate!N107&gt;=$J$1,0,1)),0)</f>
        <v>0</v>
      </c>
      <c r="S64">
        <f>IF($D64=1,IF(GDP_per_cap!O107&gt;'all_1961-1990'!$H$1,0,IF(UrbanPopRate!O107&gt;=$J$1,0,1)),0)</f>
        <v>0</v>
      </c>
      <c r="T64">
        <f>IF($D64=1,IF(GDP_per_cap!P107&gt;'all_1961-1990'!$H$1,0,IF(UrbanPopRate!P107&gt;=$J$1,0,1)),0)</f>
        <v>0</v>
      </c>
      <c r="U64">
        <f>IF($D64=1,IF(GDP_per_cap!Q107&gt;'all_1961-1990'!$H$1,0,IF(UrbanPopRate!Q107&gt;=$J$1,0,1)),0)</f>
        <v>0</v>
      </c>
      <c r="V64">
        <f>IF($D64=1,IF(GDP_per_cap!R107&gt;'all_1961-1990'!$H$1,0,IF(UrbanPopRate!R107&gt;=$J$1,0,1)),0)</f>
        <v>0</v>
      </c>
      <c r="W64">
        <f>IF($D64=1,IF(GDP_per_cap!S107&gt;'all_1961-1990'!$H$1,0,IF(UrbanPopRate!S107&gt;=$J$1,0,1)),0)</f>
        <v>0</v>
      </c>
      <c r="X64">
        <f>IF($D64=1,IF(GDP_per_cap!T107&gt;'all_1961-1990'!$H$1,0,IF(UrbanPopRate!T107&gt;=$J$1,0,1)),0)</f>
        <v>0</v>
      </c>
      <c r="Y64">
        <f>IF($D64=1,IF(GDP_per_cap!U107&gt;'all_1961-1990'!$H$1,0,IF(UrbanPopRate!U107&gt;=$J$1,0,1)),0)</f>
        <v>0</v>
      </c>
      <c r="Z64">
        <f>IF($D64=1,IF(GDP_per_cap!V107&gt;'all_1961-1990'!$H$1,0,IF(UrbanPopRate!V107&gt;=$J$1,0,1)),0)</f>
        <v>0</v>
      </c>
      <c r="AA64">
        <f>IF($D64=1,IF(GDP_per_cap!W107&gt;'all_1961-1990'!$H$1,0,IF(UrbanPopRate!W107&gt;=$J$1,0,1)),0)</f>
        <v>0</v>
      </c>
      <c r="AB64">
        <f>IF($D64=1,IF(GDP_per_cap!X107&gt;'all_1961-1990'!$H$1,0,IF(UrbanPopRate!X107&gt;=$J$1,0,1)),0)</f>
        <v>0</v>
      </c>
      <c r="AC64">
        <f>IF($D64=1,IF(GDP_per_cap!Y107&gt;'all_1961-1990'!$H$1,0,IF(UrbanPopRate!Y107&gt;=$J$1,0,1)),0)</f>
        <v>0</v>
      </c>
      <c r="AD64">
        <f>IF($D64=1,IF(GDP_per_cap!Z107&gt;'all_1961-1990'!$H$1,0,IF(UrbanPopRate!Z107&gt;=$J$1,0,1)),0)</f>
        <v>0</v>
      </c>
      <c r="AE64">
        <f>IF($D64=1,IF(GDP_per_cap!AA107&gt;'all_1961-1990'!$H$1,0,IF(UrbanPopRate!AA107&gt;=$J$1,0,1)),0)</f>
        <v>0</v>
      </c>
      <c r="AF64">
        <f>IF($D64=1,IF(GDP_per_cap!AB107&gt;'all_1961-1990'!$H$1,0,IF(UrbanPopRate!AB107&gt;=$J$1,0,1)),0)</f>
        <v>0</v>
      </c>
      <c r="AG64">
        <f>IF($D64=1,IF(GDP_per_cap!AC107&gt;'all_1961-1990'!$H$1,0,IF(UrbanPopRate!AC107&gt;=$J$1,0,1)),0)</f>
        <v>0</v>
      </c>
      <c r="AH64">
        <f>IF($D64=1,IF(GDP_per_cap!AD107&gt;'all_1961-1990'!$H$1,0,IF(UrbanPopRate!AD107&gt;=$J$1,0,1)),0)</f>
        <v>0</v>
      </c>
      <c r="AI64">
        <f>IF($D64=1,IF(GDP_per_cap!AE107&gt;'all_1961-1990'!$H$1,0,IF(UrbanPopRate!AE107&gt;=$J$1,0,1)),0)</f>
        <v>0</v>
      </c>
      <c r="AJ64">
        <f>IF($D64=1,IF(GDP_per_cap!AF107&gt;'all_1961-1990'!$H$1,0,IF(UrbanPopRate!AF107&gt;=$J$1,0,1)),0)</f>
        <v>0</v>
      </c>
      <c r="AK64">
        <f>IF($D64=1,IF(GDP_per_cap!AG107&gt;'all_1961-1990'!$H$1,0,IF(UrbanPopRate!AG107&gt;=$J$1,0,1)),0)</f>
        <v>0</v>
      </c>
      <c r="AL64">
        <f>IF($D64=1,IF(GDP_per_cap!AH107&gt;'all_1961-1990'!$H$1,0,IF(UrbanPopRate!AH107&gt;=$J$1,0,1)),0)</f>
        <v>0</v>
      </c>
      <c r="AM64">
        <f>IF($D64=1,IF(GDP_per_cap!AI107&gt;'all_1961-1990'!$H$1,0,IF(UrbanPopRate!AI107&gt;=$J$1,0,1)),0)</f>
        <v>0</v>
      </c>
      <c r="AN64">
        <f>IF($D64=1,IF(GDP_per_cap!AJ107&gt;'all_1961-1990'!$H$1,0,IF(UrbanPopRate!AJ107&gt;=$J$1,0,1)),0)</f>
        <v>0</v>
      </c>
      <c r="AO64">
        <f>IF($D64=1,IF(GDP_per_cap!AK107&gt;'all_1961-1990'!$H$1,0,IF(UrbanPopRate!AK107&gt;=$J$1,0,1)),0)</f>
        <v>0</v>
      </c>
      <c r="AP64">
        <f>IF($D64=1,IF(GDP_per_cap!AL107&gt;'all_1961-1990'!$H$1,0,IF(UrbanPopRate!AL107&gt;=$J$1,0,1)),0)</f>
        <v>0</v>
      </c>
      <c r="AQ64">
        <f>IF($D64=1,IF(GDP_per_cap!AM107&gt;'all_1961-1990'!$H$1,0,IF(UrbanPopRate!AM107&gt;=$J$1,0,1)),0)</f>
        <v>0</v>
      </c>
      <c r="AR64">
        <f>IF($D64=1,IF(GDP_per_cap!AN107&gt;'all_1961-1990'!$H$1,0,IF(UrbanPopRate!AN107&gt;=$J$1,0,1)),0)</f>
        <v>0</v>
      </c>
      <c r="AS64">
        <f>IF($D64=1,IF(GDP_per_cap!AO107&gt;'all_1961-1990'!$H$1,0,IF(UrbanPopRate!AO107&gt;=$J$1,0,1)),0)</f>
        <v>0</v>
      </c>
      <c r="AT64">
        <f>IF($D64=1,IF(GDP_per_cap!AP107&gt;'all_1961-1990'!$H$1,0,IF(UrbanPopRate!AP107&gt;=$J$1,0,1)),0)</f>
        <v>0</v>
      </c>
      <c r="AU64">
        <f>IF($D64=1,IF(GDP_per_cap!AQ107&gt;'all_1961-1990'!$H$1,0,IF(UrbanPopRate!AQ107&gt;=$J$1,0,1)),0)</f>
        <v>0</v>
      </c>
      <c r="AV64">
        <f>IF($D64=1,IF(GDP_per_cap!AR107&gt;'all_1961-1990'!$H$1,0,IF(UrbanPopRate!AR107&gt;=$J$1,0,1)),0)</f>
        <v>0</v>
      </c>
      <c r="AW64">
        <f>IF($D64=1,IF(GDP_per_cap!AS107&gt;'all_1961-1990'!$H$1,0,IF(UrbanPopRate!AS107&gt;=$J$1,0,1)),0)</f>
        <v>0</v>
      </c>
      <c r="AX64">
        <f>IF($D64=1,IF(GDP_per_cap!AT107&gt;'all_1961-1990'!$H$1,0,IF(UrbanPopRate!AT107&gt;=$J$1,0,1)),0)</f>
        <v>0</v>
      </c>
      <c r="AY64">
        <f>IF($D64=1,IF(GDP_per_cap!AU107&gt;'all_1961-1990'!$H$1,0,IF(UrbanPopRate!AU107&gt;=$J$1,0,1)),0)</f>
        <v>0</v>
      </c>
      <c r="AZ64">
        <f>IF($D64=1,IF(GDP_per_cap!AV107&gt;'all_1961-1990'!$H$1,0,IF(UrbanPopRate!AV107&gt;=$J$1,0,1)),0)</f>
        <v>0</v>
      </c>
      <c r="BA64">
        <f>IF($D64=1,IF(GDP_per_cap!AW107&gt;'all_1961-1990'!$H$1,0,IF(UrbanPopRate!AW107&gt;=$J$1,0,1)),0)</f>
        <v>0</v>
      </c>
      <c r="BB64">
        <f>IF($D64=1,IF(GDP_per_cap!AX107&gt;'all_1961-1990'!$H$1,0,IF(UrbanPopRate!AX107&gt;=$J$1,0,1)),0)</f>
        <v>0</v>
      </c>
      <c r="BC64">
        <f>IF($D64=1,IF(GDP_per_cap!AY107&gt;'all_1961-1990'!$H$1,0,IF(UrbanPopRate!AY107&gt;=$J$1,0,1)),0)</f>
        <v>0</v>
      </c>
      <c r="BD64">
        <f>IF($D64=1,IF(GDP_per_cap!AZ107&gt;'all_1961-1990'!$H$1,0,IF(UrbanPopRate!AZ107&gt;=$J$1,0,1)),0)</f>
        <v>0</v>
      </c>
      <c r="BE64">
        <f>IF($D64=1,IF(GDP_per_cap!BA107&gt;'all_1961-1990'!$H$1,0,IF(UrbanPopRate!BA107&gt;=$J$1,0,1)),0)</f>
        <v>0</v>
      </c>
      <c r="BF64">
        <f>IF($D64=1,IF(GDP_per_cap!BB107&gt;'all_1961-1990'!$H$1,0,IF(UrbanPopRate!BB107&gt;=$J$1,0,1)),0)</f>
        <v>0</v>
      </c>
    </row>
    <row r="65" spans="1:58">
      <c r="A65" s="3">
        <v>124</v>
      </c>
      <c r="B65" s="3" t="s">
        <v>74</v>
      </c>
      <c r="C65" s="2">
        <v>2</v>
      </c>
      <c r="D65" s="35">
        <v>0</v>
      </c>
      <c r="E65" s="2">
        <v>30.827133333333336</v>
      </c>
      <c r="F65" s="36">
        <v>1303.3341129999999</v>
      </c>
      <c r="G65">
        <f>IF($D65=1,IF(GDP_per_cap!C82&gt;'all_1961-1990'!$H$1,0,IF(UrbanPopRate!C82&gt;=$J$1,0,1)),0)</f>
        <v>0</v>
      </c>
      <c r="H65">
        <f>IF($D65=1,IF(GDP_per_cap!D82&gt;'all_1961-1990'!$H$1,0,IF(UrbanPopRate!D82&gt;=$J$1,0,1)),0)</f>
        <v>0</v>
      </c>
      <c r="I65">
        <f>IF($D65=1,IF(GDP_per_cap!E82&gt;'all_1961-1990'!$H$1,0,IF(UrbanPopRate!E82&gt;=$J$1,0,1)),0)</f>
        <v>0</v>
      </c>
      <c r="J65">
        <f>IF($D65=1,IF(GDP_per_cap!F82&gt;'all_1961-1990'!$H$1,0,IF(UrbanPopRate!F82&gt;=$J$1,0,1)),0)</f>
        <v>0</v>
      </c>
      <c r="K65">
        <f>IF($D65=1,IF(GDP_per_cap!G82&gt;'all_1961-1990'!$H$1,0,IF(UrbanPopRate!G82&gt;=$J$1,0,1)),0)</f>
        <v>0</v>
      </c>
      <c r="L65">
        <f>IF($D65=1,IF(GDP_per_cap!H82&gt;'all_1961-1990'!$H$1,0,IF(UrbanPopRate!H82&gt;=$J$1,0,1)),0)</f>
        <v>0</v>
      </c>
      <c r="M65">
        <f>IF($D65=1,IF(GDP_per_cap!I82&gt;'all_1961-1990'!$H$1,0,IF(UrbanPopRate!I82&gt;=$J$1,0,1)),0)</f>
        <v>0</v>
      </c>
      <c r="N65">
        <f>IF($D65=1,IF(GDP_per_cap!J82&gt;'all_1961-1990'!$H$1,0,IF(UrbanPopRate!J82&gt;=$J$1,0,1)),0)</f>
        <v>0</v>
      </c>
      <c r="O65">
        <f>IF($D65=1,IF(GDP_per_cap!K82&gt;'all_1961-1990'!$H$1,0,IF(UrbanPopRate!K82&gt;=$J$1,0,1)),0)</f>
        <v>0</v>
      </c>
      <c r="P65">
        <f>IF($D65=1,IF(GDP_per_cap!L82&gt;'all_1961-1990'!$H$1,0,IF(UrbanPopRate!L82&gt;=$J$1,0,1)),0)</f>
        <v>0</v>
      </c>
      <c r="Q65">
        <f>IF($D65=1,IF(GDP_per_cap!M82&gt;'all_1961-1990'!$H$1,0,IF(UrbanPopRate!M82&gt;=$J$1,0,1)),0)</f>
        <v>0</v>
      </c>
      <c r="R65">
        <f>IF($D65=1,IF(GDP_per_cap!N82&gt;'all_1961-1990'!$H$1,0,IF(UrbanPopRate!N82&gt;=$J$1,0,1)),0)</f>
        <v>0</v>
      </c>
      <c r="S65">
        <f>IF($D65=1,IF(GDP_per_cap!O82&gt;'all_1961-1990'!$H$1,0,IF(UrbanPopRate!O82&gt;=$J$1,0,1)),0)</f>
        <v>0</v>
      </c>
      <c r="T65">
        <f>IF($D65=1,IF(GDP_per_cap!P82&gt;'all_1961-1990'!$H$1,0,IF(UrbanPopRate!P82&gt;=$J$1,0,1)),0)</f>
        <v>0</v>
      </c>
      <c r="U65">
        <f>IF($D65=1,IF(GDP_per_cap!Q82&gt;'all_1961-1990'!$H$1,0,IF(UrbanPopRate!Q82&gt;=$J$1,0,1)),0)</f>
        <v>0</v>
      </c>
      <c r="V65">
        <f>IF($D65=1,IF(GDP_per_cap!R82&gt;'all_1961-1990'!$H$1,0,IF(UrbanPopRate!R82&gt;=$J$1,0,1)),0)</f>
        <v>0</v>
      </c>
      <c r="W65">
        <f>IF($D65=1,IF(GDP_per_cap!S82&gt;'all_1961-1990'!$H$1,0,IF(UrbanPopRate!S82&gt;=$J$1,0,1)),0)</f>
        <v>0</v>
      </c>
      <c r="X65">
        <f>IF($D65=1,IF(GDP_per_cap!T82&gt;'all_1961-1990'!$H$1,0,IF(UrbanPopRate!T82&gt;=$J$1,0,1)),0)</f>
        <v>0</v>
      </c>
      <c r="Y65">
        <f>IF($D65=1,IF(GDP_per_cap!U82&gt;'all_1961-1990'!$H$1,0,IF(UrbanPopRate!U82&gt;=$J$1,0,1)),0)</f>
        <v>0</v>
      </c>
      <c r="Z65">
        <f>IF($D65=1,IF(GDP_per_cap!V82&gt;'all_1961-1990'!$H$1,0,IF(UrbanPopRate!V82&gt;=$J$1,0,1)),0)</f>
        <v>0</v>
      </c>
      <c r="AA65">
        <f>IF($D65=1,IF(GDP_per_cap!W82&gt;'all_1961-1990'!$H$1,0,IF(UrbanPopRate!W82&gt;=$J$1,0,1)),0)</f>
        <v>0</v>
      </c>
      <c r="AB65">
        <f>IF($D65=1,IF(GDP_per_cap!X82&gt;'all_1961-1990'!$H$1,0,IF(UrbanPopRate!X82&gt;=$J$1,0,1)),0)</f>
        <v>0</v>
      </c>
      <c r="AC65">
        <f>IF($D65=1,IF(GDP_per_cap!Y82&gt;'all_1961-1990'!$H$1,0,IF(UrbanPopRate!Y82&gt;=$J$1,0,1)),0)</f>
        <v>0</v>
      </c>
      <c r="AD65">
        <f>IF($D65=1,IF(GDP_per_cap!Z82&gt;'all_1961-1990'!$H$1,0,IF(UrbanPopRate!Z82&gt;=$J$1,0,1)),0)</f>
        <v>0</v>
      </c>
      <c r="AE65">
        <f>IF($D65=1,IF(GDP_per_cap!AA82&gt;'all_1961-1990'!$H$1,0,IF(UrbanPopRate!AA82&gt;=$J$1,0,1)),0)</f>
        <v>0</v>
      </c>
      <c r="AF65">
        <f>IF($D65=1,IF(GDP_per_cap!AB82&gt;'all_1961-1990'!$H$1,0,IF(UrbanPopRate!AB82&gt;=$J$1,0,1)),0)</f>
        <v>0</v>
      </c>
      <c r="AG65">
        <f>IF($D65=1,IF(GDP_per_cap!AC82&gt;'all_1961-1990'!$H$1,0,IF(UrbanPopRate!AC82&gt;=$J$1,0,1)),0)</f>
        <v>0</v>
      </c>
      <c r="AH65">
        <f>IF($D65=1,IF(GDP_per_cap!AD82&gt;'all_1961-1990'!$H$1,0,IF(UrbanPopRate!AD82&gt;=$J$1,0,1)),0)</f>
        <v>0</v>
      </c>
      <c r="AI65">
        <f>IF($D65=1,IF(GDP_per_cap!AE82&gt;'all_1961-1990'!$H$1,0,IF(UrbanPopRate!AE82&gt;=$J$1,0,1)),0)</f>
        <v>0</v>
      </c>
      <c r="AJ65">
        <f>IF($D65=1,IF(GDP_per_cap!AF82&gt;'all_1961-1990'!$H$1,0,IF(UrbanPopRate!AF82&gt;=$J$1,0,1)),0)</f>
        <v>0</v>
      </c>
      <c r="AK65">
        <f>IF($D65=1,IF(GDP_per_cap!AG82&gt;'all_1961-1990'!$H$1,0,IF(UrbanPopRate!AG82&gt;=$J$1,0,1)),0)</f>
        <v>0</v>
      </c>
      <c r="AL65">
        <f>IF($D65=1,IF(GDP_per_cap!AH82&gt;'all_1961-1990'!$H$1,0,IF(UrbanPopRate!AH82&gt;=$J$1,0,1)),0)</f>
        <v>0</v>
      </c>
      <c r="AM65">
        <f>IF($D65=1,IF(GDP_per_cap!AI82&gt;'all_1961-1990'!$H$1,0,IF(UrbanPopRate!AI82&gt;=$J$1,0,1)),0)</f>
        <v>0</v>
      </c>
      <c r="AN65">
        <f>IF($D65=1,IF(GDP_per_cap!AJ82&gt;'all_1961-1990'!$H$1,0,IF(UrbanPopRate!AJ82&gt;=$J$1,0,1)),0)</f>
        <v>0</v>
      </c>
      <c r="AO65">
        <f>IF($D65=1,IF(GDP_per_cap!AK82&gt;'all_1961-1990'!$H$1,0,IF(UrbanPopRate!AK82&gt;=$J$1,0,1)),0)</f>
        <v>0</v>
      </c>
      <c r="AP65">
        <f>IF($D65=1,IF(GDP_per_cap!AL82&gt;'all_1961-1990'!$H$1,0,IF(UrbanPopRate!AL82&gt;=$J$1,0,1)),0)</f>
        <v>0</v>
      </c>
      <c r="AQ65">
        <f>IF($D65=1,IF(GDP_per_cap!AM82&gt;'all_1961-1990'!$H$1,0,IF(UrbanPopRate!AM82&gt;=$J$1,0,1)),0)</f>
        <v>0</v>
      </c>
      <c r="AR65">
        <f>IF($D65=1,IF(GDP_per_cap!AN82&gt;'all_1961-1990'!$H$1,0,IF(UrbanPopRate!AN82&gt;=$J$1,0,1)),0)</f>
        <v>0</v>
      </c>
      <c r="AS65">
        <f>IF($D65=1,IF(GDP_per_cap!AO82&gt;'all_1961-1990'!$H$1,0,IF(UrbanPopRate!AO82&gt;=$J$1,0,1)),0)</f>
        <v>0</v>
      </c>
      <c r="AT65">
        <f>IF($D65=1,IF(GDP_per_cap!AP82&gt;'all_1961-1990'!$H$1,0,IF(UrbanPopRate!AP82&gt;=$J$1,0,1)),0)</f>
        <v>0</v>
      </c>
      <c r="AU65">
        <f>IF($D65=1,IF(GDP_per_cap!AQ82&gt;'all_1961-1990'!$H$1,0,IF(UrbanPopRate!AQ82&gt;=$J$1,0,1)),0)</f>
        <v>0</v>
      </c>
      <c r="AV65">
        <f>IF($D65=1,IF(GDP_per_cap!AR82&gt;'all_1961-1990'!$H$1,0,IF(UrbanPopRate!AR82&gt;=$J$1,0,1)),0)</f>
        <v>0</v>
      </c>
      <c r="AW65">
        <f>IF($D65=1,IF(GDP_per_cap!AS82&gt;'all_1961-1990'!$H$1,0,IF(UrbanPopRate!AS82&gt;=$J$1,0,1)),0)</f>
        <v>0</v>
      </c>
      <c r="AX65">
        <f>IF($D65=1,IF(GDP_per_cap!AT82&gt;'all_1961-1990'!$H$1,0,IF(UrbanPopRate!AT82&gt;=$J$1,0,1)),0)</f>
        <v>0</v>
      </c>
      <c r="AY65">
        <f>IF($D65=1,IF(GDP_per_cap!AU82&gt;'all_1961-1990'!$H$1,0,IF(UrbanPopRate!AU82&gt;=$J$1,0,1)),0)</f>
        <v>0</v>
      </c>
      <c r="AZ65">
        <f>IF($D65=1,IF(GDP_per_cap!AV82&gt;'all_1961-1990'!$H$1,0,IF(UrbanPopRate!AV82&gt;=$J$1,0,1)),0)</f>
        <v>0</v>
      </c>
      <c r="BA65">
        <f>IF($D65=1,IF(GDP_per_cap!AW82&gt;'all_1961-1990'!$H$1,0,IF(UrbanPopRate!AW82&gt;=$J$1,0,1)),0)</f>
        <v>0</v>
      </c>
      <c r="BB65">
        <f>IF($D65=1,IF(GDP_per_cap!AX82&gt;'all_1961-1990'!$H$1,0,IF(UrbanPopRate!AX82&gt;=$J$1,0,1)),0)</f>
        <v>0</v>
      </c>
      <c r="BC65">
        <f>IF($D65=1,IF(GDP_per_cap!AY82&gt;'all_1961-1990'!$H$1,0,IF(UrbanPopRate!AY82&gt;=$J$1,0,1)),0)</f>
        <v>0</v>
      </c>
      <c r="BD65">
        <f>IF($D65=1,IF(GDP_per_cap!AZ82&gt;'all_1961-1990'!$H$1,0,IF(UrbanPopRate!AZ82&gt;=$J$1,0,1)),0)</f>
        <v>0</v>
      </c>
      <c r="BE65">
        <f>IF($D65=1,IF(GDP_per_cap!BA82&gt;'all_1961-1990'!$H$1,0,IF(UrbanPopRate!BA82&gt;=$J$1,0,1)),0)</f>
        <v>0</v>
      </c>
      <c r="BF65">
        <f>IF($D65=1,IF(GDP_per_cap!BB82&gt;'all_1961-1990'!$H$1,0,IF(UrbanPopRate!BB82&gt;=$J$1,0,1)),0)</f>
        <v>0</v>
      </c>
    </row>
    <row r="66" spans="1:58">
      <c r="A66" s="3">
        <v>160</v>
      </c>
      <c r="B66" s="3" t="s">
        <v>52</v>
      </c>
      <c r="C66" s="2">
        <v>2</v>
      </c>
      <c r="D66" s="35">
        <v>0</v>
      </c>
      <c r="E66" s="2">
        <v>26.066600000000001</v>
      </c>
      <c r="F66" s="36">
        <v>1288.1260709999999</v>
      </c>
      <c r="G66">
        <f>IF($D66=1,IF(GDP_per_cap!C104&gt;'all_1961-1990'!$H$1,0,IF(UrbanPopRate!C104&gt;=$J$1,0,1)),0)</f>
        <v>0</v>
      </c>
      <c r="H66">
        <f>IF($D66=1,IF(GDP_per_cap!D104&gt;'all_1961-1990'!$H$1,0,IF(UrbanPopRate!D104&gt;=$J$1,0,1)),0)</f>
        <v>0</v>
      </c>
      <c r="I66">
        <f>IF($D66=1,IF(GDP_per_cap!E104&gt;'all_1961-1990'!$H$1,0,IF(UrbanPopRate!E104&gt;=$J$1,0,1)),0)</f>
        <v>0</v>
      </c>
      <c r="J66">
        <f>IF($D66=1,IF(GDP_per_cap!F104&gt;'all_1961-1990'!$H$1,0,IF(UrbanPopRate!F104&gt;=$J$1,0,1)),0)</f>
        <v>0</v>
      </c>
      <c r="K66">
        <f>IF($D66=1,IF(GDP_per_cap!G104&gt;'all_1961-1990'!$H$1,0,IF(UrbanPopRate!G104&gt;=$J$1,0,1)),0)</f>
        <v>0</v>
      </c>
      <c r="L66">
        <f>IF($D66=1,IF(GDP_per_cap!H104&gt;'all_1961-1990'!$H$1,0,IF(UrbanPopRate!H104&gt;=$J$1,0,1)),0)</f>
        <v>0</v>
      </c>
      <c r="M66">
        <f>IF($D66=1,IF(GDP_per_cap!I104&gt;'all_1961-1990'!$H$1,0,IF(UrbanPopRate!I104&gt;=$J$1,0,1)),0)</f>
        <v>0</v>
      </c>
      <c r="N66">
        <f>IF($D66=1,IF(GDP_per_cap!J104&gt;'all_1961-1990'!$H$1,0,IF(UrbanPopRate!J104&gt;=$J$1,0,1)),0)</f>
        <v>0</v>
      </c>
      <c r="O66">
        <f>IF($D66=1,IF(GDP_per_cap!K104&gt;'all_1961-1990'!$H$1,0,IF(UrbanPopRate!K104&gt;=$J$1,0,1)),0)</f>
        <v>0</v>
      </c>
      <c r="P66">
        <f>IF($D66=1,IF(GDP_per_cap!L104&gt;'all_1961-1990'!$H$1,0,IF(UrbanPopRate!L104&gt;=$J$1,0,1)),0)</f>
        <v>0</v>
      </c>
      <c r="Q66">
        <f>IF($D66=1,IF(GDP_per_cap!M104&gt;'all_1961-1990'!$H$1,0,IF(UrbanPopRate!M104&gt;=$J$1,0,1)),0)</f>
        <v>0</v>
      </c>
      <c r="R66">
        <f>IF($D66=1,IF(GDP_per_cap!N104&gt;'all_1961-1990'!$H$1,0,IF(UrbanPopRate!N104&gt;=$J$1,0,1)),0)</f>
        <v>0</v>
      </c>
      <c r="S66">
        <f>IF($D66=1,IF(GDP_per_cap!O104&gt;'all_1961-1990'!$H$1,0,IF(UrbanPopRate!O104&gt;=$J$1,0,1)),0)</f>
        <v>0</v>
      </c>
      <c r="T66">
        <f>IF($D66=1,IF(GDP_per_cap!P104&gt;'all_1961-1990'!$H$1,0,IF(UrbanPopRate!P104&gt;=$J$1,0,1)),0)</f>
        <v>0</v>
      </c>
      <c r="U66">
        <f>IF($D66=1,IF(GDP_per_cap!Q104&gt;'all_1961-1990'!$H$1,0,IF(UrbanPopRate!Q104&gt;=$J$1,0,1)),0)</f>
        <v>0</v>
      </c>
      <c r="V66">
        <f>IF($D66=1,IF(GDP_per_cap!R104&gt;'all_1961-1990'!$H$1,0,IF(UrbanPopRate!R104&gt;=$J$1,0,1)),0)</f>
        <v>0</v>
      </c>
      <c r="W66">
        <f>IF($D66=1,IF(GDP_per_cap!S104&gt;'all_1961-1990'!$H$1,0,IF(UrbanPopRate!S104&gt;=$J$1,0,1)),0)</f>
        <v>0</v>
      </c>
      <c r="X66">
        <f>IF($D66=1,IF(GDP_per_cap!T104&gt;'all_1961-1990'!$H$1,0,IF(UrbanPopRate!T104&gt;=$J$1,0,1)),0)</f>
        <v>0</v>
      </c>
      <c r="Y66">
        <f>IF($D66=1,IF(GDP_per_cap!U104&gt;'all_1961-1990'!$H$1,0,IF(UrbanPopRate!U104&gt;=$J$1,0,1)),0)</f>
        <v>0</v>
      </c>
      <c r="Z66">
        <f>IF($D66=1,IF(GDP_per_cap!V104&gt;'all_1961-1990'!$H$1,0,IF(UrbanPopRate!V104&gt;=$J$1,0,1)),0)</f>
        <v>0</v>
      </c>
      <c r="AA66">
        <f>IF($D66=1,IF(GDP_per_cap!W104&gt;'all_1961-1990'!$H$1,0,IF(UrbanPopRate!W104&gt;=$J$1,0,1)),0)</f>
        <v>0</v>
      </c>
      <c r="AB66">
        <f>IF($D66=1,IF(GDP_per_cap!X104&gt;'all_1961-1990'!$H$1,0,IF(UrbanPopRate!X104&gt;=$J$1,0,1)),0)</f>
        <v>0</v>
      </c>
      <c r="AC66">
        <f>IF($D66=1,IF(GDP_per_cap!Y104&gt;'all_1961-1990'!$H$1,0,IF(UrbanPopRate!Y104&gt;=$J$1,0,1)),0)</f>
        <v>0</v>
      </c>
      <c r="AD66">
        <f>IF($D66=1,IF(GDP_per_cap!Z104&gt;'all_1961-1990'!$H$1,0,IF(UrbanPopRate!Z104&gt;=$J$1,0,1)),0)</f>
        <v>0</v>
      </c>
      <c r="AE66">
        <f>IF($D66=1,IF(GDP_per_cap!AA104&gt;'all_1961-1990'!$H$1,0,IF(UrbanPopRate!AA104&gt;=$J$1,0,1)),0)</f>
        <v>0</v>
      </c>
      <c r="AF66">
        <f>IF($D66=1,IF(GDP_per_cap!AB104&gt;'all_1961-1990'!$H$1,0,IF(UrbanPopRate!AB104&gt;=$J$1,0,1)),0)</f>
        <v>0</v>
      </c>
      <c r="AG66">
        <f>IF($D66=1,IF(GDP_per_cap!AC104&gt;'all_1961-1990'!$H$1,0,IF(UrbanPopRate!AC104&gt;=$J$1,0,1)),0)</f>
        <v>0</v>
      </c>
      <c r="AH66">
        <f>IF($D66=1,IF(GDP_per_cap!AD104&gt;'all_1961-1990'!$H$1,0,IF(UrbanPopRate!AD104&gt;=$J$1,0,1)),0)</f>
        <v>0</v>
      </c>
      <c r="AI66">
        <f>IF($D66=1,IF(GDP_per_cap!AE104&gt;'all_1961-1990'!$H$1,0,IF(UrbanPopRate!AE104&gt;=$J$1,0,1)),0)</f>
        <v>0</v>
      </c>
      <c r="AJ66">
        <f>IF($D66=1,IF(GDP_per_cap!AF104&gt;'all_1961-1990'!$H$1,0,IF(UrbanPopRate!AF104&gt;=$J$1,0,1)),0)</f>
        <v>0</v>
      </c>
      <c r="AK66">
        <f>IF($D66=1,IF(GDP_per_cap!AG104&gt;'all_1961-1990'!$H$1,0,IF(UrbanPopRate!AG104&gt;=$J$1,0,1)),0)</f>
        <v>0</v>
      </c>
      <c r="AL66">
        <f>IF($D66=1,IF(GDP_per_cap!AH104&gt;'all_1961-1990'!$H$1,0,IF(UrbanPopRate!AH104&gt;=$J$1,0,1)),0)</f>
        <v>0</v>
      </c>
      <c r="AM66">
        <f>IF($D66=1,IF(GDP_per_cap!AI104&gt;'all_1961-1990'!$H$1,0,IF(UrbanPopRate!AI104&gt;=$J$1,0,1)),0)</f>
        <v>0</v>
      </c>
      <c r="AN66">
        <f>IF($D66=1,IF(GDP_per_cap!AJ104&gt;'all_1961-1990'!$H$1,0,IF(UrbanPopRate!AJ104&gt;=$J$1,0,1)),0)</f>
        <v>0</v>
      </c>
      <c r="AO66">
        <f>IF($D66=1,IF(GDP_per_cap!AK104&gt;'all_1961-1990'!$H$1,0,IF(UrbanPopRate!AK104&gt;=$J$1,0,1)),0)</f>
        <v>0</v>
      </c>
      <c r="AP66">
        <f>IF($D66=1,IF(GDP_per_cap!AL104&gt;'all_1961-1990'!$H$1,0,IF(UrbanPopRate!AL104&gt;=$J$1,0,1)),0)</f>
        <v>0</v>
      </c>
      <c r="AQ66">
        <f>IF($D66=1,IF(GDP_per_cap!AM104&gt;'all_1961-1990'!$H$1,0,IF(UrbanPopRate!AM104&gt;=$J$1,0,1)),0)</f>
        <v>0</v>
      </c>
      <c r="AR66">
        <f>IF($D66=1,IF(GDP_per_cap!AN104&gt;'all_1961-1990'!$H$1,0,IF(UrbanPopRate!AN104&gt;=$J$1,0,1)),0)</f>
        <v>0</v>
      </c>
      <c r="AS66">
        <f>IF($D66=1,IF(GDP_per_cap!AO104&gt;'all_1961-1990'!$H$1,0,IF(UrbanPopRate!AO104&gt;=$J$1,0,1)),0)</f>
        <v>0</v>
      </c>
      <c r="AT66">
        <f>IF($D66=1,IF(GDP_per_cap!AP104&gt;'all_1961-1990'!$H$1,0,IF(UrbanPopRate!AP104&gt;=$J$1,0,1)),0)</f>
        <v>0</v>
      </c>
      <c r="AU66">
        <f>IF($D66=1,IF(GDP_per_cap!AQ104&gt;'all_1961-1990'!$H$1,0,IF(UrbanPopRate!AQ104&gt;=$J$1,0,1)),0)</f>
        <v>0</v>
      </c>
      <c r="AV66">
        <f>IF($D66=1,IF(GDP_per_cap!AR104&gt;'all_1961-1990'!$H$1,0,IF(UrbanPopRate!AR104&gt;=$J$1,0,1)),0)</f>
        <v>0</v>
      </c>
      <c r="AW66">
        <f>IF($D66=1,IF(GDP_per_cap!AS104&gt;'all_1961-1990'!$H$1,0,IF(UrbanPopRate!AS104&gt;=$J$1,0,1)),0)</f>
        <v>0</v>
      </c>
      <c r="AX66">
        <f>IF($D66=1,IF(GDP_per_cap!AT104&gt;'all_1961-1990'!$H$1,0,IF(UrbanPopRate!AT104&gt;=$J$1,0,1)),0)</f>
        <v>0</v>
      </c>
      <c r="AY66">
        <f>IF($D66=1,IF(GDP_per_cap!AU104&gt;'all_1961-1990'!$H$1,0,IF(UrbanPopRate!AU104&gt;=$J$1,0,1)),0)</f>
        <v>0</v>
      </c>
      <c r="AZ66">
        <f>IF($D66=1,IF(GDP_per_cap!AV104&gt;'all_1961-1990'!$H$1,0,IF(UrbanPopRate!AV104&gt;=$J$1,0,1)),0)</f>
        <v>0</v>
      </c>
      <c r="BA66">
        <f>IF($D66=1,IF(GDP_per_cap!AW104&gt;'all_1961-1990'!$H$1,0,IF(UrbanPopRate!AW104&gt;=$J$1,0,1)),0)</f>
        <v>0</v>
      </c>
      <c r="BB66">
        <f>IF($D66=1,IF(GDP_per_cap!AX104&gt;'all_1961-1990'!$H$1,0,IF(UrbanPopRate!AX104&gt;=$J$1,0,1)),0)</f>
        <v>0</v>
      </c>
      <c r="BC66">
        <f>IF($D66=1,IF(GDP_per_cap!AY104&gt;'all_1961-1990'!$H$1,0,IF(UrbanPopRate!AY104&gt;=$J$1,0,1)),0)</f>
        <v>0</v>
      </c>
      <c r="BD66">
        <f>IF($D66=1,IF(GDP_per_cap!AZ104&gt;'all_1961-1990'!$H$1,0,IF(UrbanPopRate!AZ104&gt;=$J$1,0,1)),0)</f>
        <v>0</v>
      </c>
      <c r="BE66">
        <f>IF($D66=1,IF(GDP_per_cap!BA104&gt;'all_1961-1990'!$H$1,0,IF(UrbanPopRate!BA104&gt;=$J$1,0,1)),0)</f>
        <v>0</v>
      </c>
      <c r="BF66">
        <f>IF($D66=1,IF(GDP_per_cap!BB104&gt;'all_1961-1990'!$H$1,0,IF(UrbanPopRate!BB104&gt;=$J$1,0,1)),0)</f>
        <v>0</v>
      </c>
    </row>
    <row r="67" spans="1:58">
      <c r="A67" s="3">
        <v>79</v>
      </c>
      <c r="B67" s="3" t="s">
        <v>106</v>
      </c>
      <c r="C67" s="2">
        <v>2</v>
      </c>
      <c r="D67" s="35">
        <v>0</v>
      </c>
      <c r="E67" s="2">
        <v>24.621133333333329</v>
      </c>
      <c r="F67" s="36">
        <v>1164.1215010000001</v>
      </c>
      <c r="G67">
        <f>IF($D67=1,IF(GDP_per_cap!C50&gt;'all_1961-1990'!$H$1,0,IF(UrbanPopRate!C50&gt;=$J$1,0,1)),0)</f>
        <v>0</v>
      </c>
      <c r="H67">
        <f>IF($D67=1,IF(GDP_per_cap!D50&gt;'all_1961-1990'!$H$1,0,IF(UrbanPopRate!D50&gt;=$J$1,0,1)),0)</f>
        <v>0</v>
      </c>
      <c r="I67">
        <f>IF($D67=1,IF(GDP_per_cap!E50&gt;'all_1961-1990'!$H$1,0,IF(UrbanPopRate!E50&gt;=$J$1,0,1)),0)</f>
        <v>0</v>
      </c>
      <c r="J67">
        <f>IF($D67=1,IF(GDP_per_cap!F50&gt;'all_1961-1990'!$H$1,0,IF(UrbanPopRate!F50&gt;=$J$1,0,1)),0)</f>
        <v>0</v>
      </c>
      <c r="K67">
        <f>IF($D67=1,IF(GDP_per_cap!G50&gt;'all_1961-1990'!$H$1,0,IF(UrbanPopRate!G50&gt;=$J$1,0,1)),0)</f>
        <v>0</v>
      </c>
      <c r="L67">
        <f>IF($D67=1,IF(GDP_per_cap!H50&gt;'all_1961-1990'!$H$1,0,IF(UrbanPopRate!H50&gt;=$J$1,0,1)),0)</f>
        <v>0</v>
      </c>
      <c r="M67">
        <f>IF($D67=1,IF(GDP_per_cap!I50&gt;'all_1961-1990'!$H$1,0,IF(UrbanPopRate!I50&gt;=$J$1,0,1)),0)</f>
        <v>0</v>
      </c>
      <c r="N67">
        <f>IF($D67=1,IF(GDP_per_cap!J50&gt;'all_1961-1990'!$H$1,0,IF(UrbanPopRate!J50&gt;=$J$1,0,1)),0)</f>
        <v>0</v>
      </c>
      <c r="O67">
        <f>IF($D67=1,IF(GDP_per_cap!K50&gt;'all_1961-1990'!$H$1,0,IF(UrbanPopRate!K50&gt;=$J$1,0,1)),0)</f>
        <v>0</v>
      </c>
      <c r="P67">
        <f>IF($D67=1,IF(GDP_per_cap!L50&gt;'all_1961-1990'!$H$1,0,IF(UrbanPopRate!L50&gt;=$J$1,0,1)),0)</f>
        <v>0</v>
      </c>
      <c r="Q67">
        <f>IF($D67=1,IF(GDP_per_cap!M50&gt;'all_1961-1990'!$H$1,0,IF(UrbanPopRate!M50&gt;=$J$1,0,1)),0)</f>
        <v>0</v>
      </c>
      <c r="R67">
        <f>IF($D67=1,IF(GDP_per_cap!N50&gt;'all_1961-1990'!$H$1,0,IF(UrbanPopRate!N50&gt;=$J$1,0,1)),0)</f>
        <v>0</v>
      </c>
      <c r="S67">
        <f>IF($D67=1,IF(GDP_per_cap!O50&gt;'all_1961-1990'!$H$1,0,IF(UrbanPopRate!O50&gt;=$J$1,0,1)),0)</f>
        <v>0</v>
      </c>
      <c r="T67">
        <f>IF($D67=1,IF(GDP_per_cap!P50&gt;'all_1961-1990'!$H$1,0,IF(UrbanPopRate!P50&gt;=$J$1,0,1)),0)</f>
        <v>0</v>
      </c>
      <c r="U67">
        <f>IF($D67=1,IF(GDP_per_cap!Q50&gt;'all_1961-1990'!$H$1,0,IF(UrbanPopRate!Q50&gt;=$J$1,0,1)),0)</f>
        <v>0</v>
      </c>
      <c r="V67">
        <f>IF($D67=1,IF(GDP_per_cap!R50&gt;'all_1961-1990'!$H$1,0,IF(UrbanPopRate!R50&gt;=$J$1,0,1)),0)</f>
        <v>0</v>
      </c>
      <c r="W67">
        <f>IF($D67=1,IF(GDP_per_cap!S50&gt;'all_1961-1990'!$H$1,0,IF(UrbanPopRate!S50&gt;=$J$1,0,1)),0)</f>
        <v>0</v>
      </c>
      <c r="X67">
        <f>IF($D67=1,IF(GDP_per_cap!T50&gt;'all_1961-1990'!$H$1,0,IF(UrbanPopRate!T50&gt;=$J$1,0,1)),0)</f>
        <v>0</v>
      </c>
      <c r="Y67">
        <f>IF($D67=1,IF(GDP_per_cap!U50&gt;'all_1961-1990'!$H$1,0,IF(UrbanPopRate!U50&gt;=$J$1,0,1)),0)</f>
        <v>0</v>
      </c>
      <c r="Z67">
        <f>IF($D67=1,IF(GDP_per_cap!V50&gt;'all_1961-1990'!$H$1,0,IF(UrbanPopRate!V50&gt;=$J$1,0,1)),0)</f>
        <v>0</v>
      </c>
      <c r="AA67">
        <f>IF($D67=1,IF(GDP_per_cap!W50&gt;'all_1961-1990'!$H$1,0,IF(UrbanPopRate!W50&gt;=$J$1,0,1)),0)</f>
        <v>0</v>
      </c>
      <c r="AB67">
        <f>IF($D67=1,IF(GDP_per_cap!X50&gt;'all_1961-1990'!$H$1,0,IF(UrbanPopRate!X50&gt;=$J$1,0,1)),0)</f>
        <v>0</v>
      </c>
      <c r="AC67">
        <f>IF($D67=1,IF(GDP_per_cap!Y50&gt;'all_1961-1990'!$H$1,0,IF(UrbanPopRate!Y50&gt;=$J$1,0,1)),0)</f>
        <v>0</v>
      </c>
      <c r="AD67">
        <f>IF($D67=1,IF(GDP_per_cap!Z50&gt;'all_1961-1990'!$H$1,0,IF(UrbanPopRate!Z50&gt;=$J$1,0,1)),0)</f>
        <v>0</v>
      </c>
      <c r="AE67">
        <f>IF($D67=1,IF(GDP_per_cap!AA50&gt;'all_1961-1990'!$H$1,0,IF(UrbanPopRate!AA50&gt;=$J$1,0,1)),0)</f>
        <v>0</v>
      </c>
      <c r="AF67">
        <f>IF($D67=1,IF(GDP_per_cap!AB50&gt;'all_1961-1990'!$H$1,0,IF(UrbanPopRate!AB50&gt;=$J$1,0,1)),0)</f>
        <v>0</v>
      </c>
      <c r="AG67">
        <f>IF($D67=1,IF(GDP_per_cap!AC50&gt;'all_1961-1990'!$H$1,0,IF(UrbanPopRate!AC50&gt;=$J$1,0,1)),0)</f>
        <v>0</v>
      </c>
      <c r="AH67">
        <f>IF($D67=1,IF(GDP_per_cap!AD50&gt;'all_1961-1990'!$H$1,0,IF(UrbanPopRate!AD50&gt;=$J$1,0,1)),0)</f>
        <v>0</v>
      </c>
      <c r="AI67">
        <f>IF($D67=1,IF(GDP_per_cap!AE50&gt;'all_1961-1990'!$H$1,0,IF(UrbanPopRate!AE50&gt;=$J$1,0,1)),0)</f>
        <v>0</v>
      </c>
      <c r="AJ67">
        <f>IF($D67=1,IF(GDP_per_cap!AF50&gt;'all_1961-1990'!$H$1,0,IF(UrbanPopRate!AF50&gt;=$J$1,0,1)),0)</f>
        <v>0</v>
      </c>
      <c r="AK67">
        <f>IF($D67=1,IF(GDP_per_cap!AG50&gt;'all_1961-1990'!$H$1,0,IF(UrbanPopRate!AG50&gt;=$J$1,0,1)),0)</f>
        <v>0</v>
      </c>
      <c r="AL67">
        <f>IF($D67=1,IF(GDP_per_cap!AH50&gt;'all_1961-1990'!$H$1,0,IF(UrbanPopRate!AH50&gt;=$J$1,0,1)),0)</f>
        <v>0</v>
      </c>
      <c r="AM67">
        <f>IF($D67=1,IF(GDP_per_cap!AI50&gt;'all_1961-1990'!$H$1,0,IF(UrbanPopRate!AI50&gt;=$J$1,0,1)),0)</f>
        <v>0</v>
      </c>
      <c r="AN67">
        <f>IF($D67=1,IF(GDP_per_cap!AJ50&gt;'all_1961-1990'!$H$1,0,IF(UrbanPopRate!AJ50&gt;=$J$1,0,1)),0)</f>
        <v>0</v>
      </c>
      <c r="AO67">
        <f>IF($D67=1,IF(GDP_per_cap!AK50&gt;'all_1961-1990'!$H$1,0,IF(UrbanPopRate!AK50&gt;=$J$1,0,1)),0)</f>
        <v>0</v>
      </c>
      <c r="AP67">
        <f>IF($D67=1,IF(GDP_per_cap!AL50&gt;'all_1961-1990'!$H$1,0,IF(UrbanPopRate!AL50&gt;=$J$1,0,1)),0)</f>
        <v>0</v>
      </c>
      <c r="AQ67">
        <f>IF($D67=1,IF(GDP_per_cap!AM50&gt;'all_1961-1990'!$H$1,0,IF(UrbanPopRate!AM50&gt;=$J$1,0,1)),0)</f>
        <v>0</v>
      </c>
      <c r="AR67">
        <f>IF($D67=1,IF(GDP_per_cap!AN50&gt;'all_1961-1990'!$H$1,0,IF(UrbanPopRate!AN50&gt;=$J$1,0,1)),0)</f>
        <v>0</v>
      </c>
      <c r="AS67">
        <f>IF($D67=1,IF(GDP_per_cap!AO50&gt;'all_1961-1990'!$H$1,0,IF(UrbanPopRate!AO50&gt;=$J$1,0,1)),0)</f>
        <v>0</v>
      </c>
      <c r="AT67">
        <f>IF($D67=1,IF(GDP_per_cap!AP50&gt;'all_1961-1990'!$H$1,0,IF(UrbanPopRate!AP50&gt;=$J$1,0,1)),0)</f>
        <v>0</v>
      </c>
      <c r="AU67">
        <f>IF($D67=1,IF(GDP_per_cap!AQ50&gt;'all_1961-1990'!$H$1,0,IF(UrbanPopRate!AQ50&gt;=$J$1,0,1)),0)</f>
        <v>0</v>
      </c>
      <c r="AV67">
        <f>IF($D67=1,IF(GDP_per_cap!AR50&gt;'all_1961-1990'!$H$1,0,IF(UrbanPopRate!AR50&gt;=$J$1,0,1)),0)</f>
        <v>0</v>
      </c>
      <c r="AW67">
        <f>IF($D67=1,IF(GDP_per_cap!AS50&gt;'all_1961-1990'!$H$1,0,IF(UrbanPopRate!AS50&gt;=$J$1,0,1)),0)</f>
        <v>0</v>
      </c>
      <c r="AX67">
        <f>IF($D67=1,IF(GDP_per_cap!AT50&gt;'all_1961-1990'!$H$1,0,IF(UrbanPopRate!AT50&gt;=$J$1,0,1)),0)</f>
        <v>0</v>
      </c>
      <c r="AY67">
        <f>IF($D67=1,IF(GDP_per_cap!AU50&gt;'all_1961-1990'!$H$1,0,IF(UrbanPopRate!AU50&gt;=$J$1,0,1)),0)</f>
        <v>0</v>
      </c>
      <c r="AZ67">
        <f>IF($D67=1,IF(GDP_per_cap!AV50&gt;'all_1961-1990'!$H$1,0,IF(UrbanPopRate!AV50&gt;=$J$1,0,1)),0)</f>
        <v>0</v>
      </c>
      <c r="BA67">
        <f>IF($D67=1,IF(GDP_per_cap!AW50&gt;'all_1961-1990'!$H$1,0,IF(UrbanPopRate!AW50&gt;=$J$1,0,1)),0)</f>
        <v>0</v>
      </c>
      <c r="BB67">
        <f>IF($D67=1,IF(GDP_per_cap!AX50&gt;'all_1961-1990'!$H$1,0,IF(UrbanPopRate!AX50&gt;=$J$1,0,1)),0)</f>
        <v>0</v>
      </c>
      <c r="BC67">
        <f>IF($D67=1,IF(GDP_per_cap!AY50&gt;'all_1961-1990'!$H$1,0,IF(UrbanPopRate!AY50&gt;=$J$1,0,1)),0)</f>
        <v>0</v>
      </c>
      <c r="BD67">
        <f>IF($D67=1,IF(GDP_per_cap!AZ50&gt;'all_1961-1990'!$H$1,0,IF(UrbanPopRate!AZ50&gt;=$J$1,0,1)),0)</f>
        <v>0</v>
      </c>
      <c r="BE67">
        <f>IF($D67=1,IF(GDP_per_cap!BA50&gt;'all_1961-1990'!$H$1,0,IF(UrbanPopRate!BA50&gt;=$J$1,0,1)),0)</f>
        <v>0</v>
      </c>
      <c r="BF67">
        <f>IF($D67=1,IF(GDP_per_cap!BB50&gt;'all_1961-1990'!$H$1,0,IF(UrbanPopRate!BB50&gt;=$J$1,0,1)),0)</f>
        <v>0</v>
      </c>
    </row>
    <row r="68" spans="1:58">
      <c r="A68" s="3">
        <v>94</v>
      </c>
      <c r="B68" s="3" t="s">
        <v>98</v>
      </c>
      <c r="C68" s="2">
        <v>2</v>
      </c>
      <c r="D68" s="35">
        <v>0</v>
      </c>
      <c r="E68" s="2">
        <v>20.815199999999997</v>
      </c>
      <c r="F68" s="36">
        <v>1100</v>
      </c>
      <c r="G68">
        <f>IF($D68=1,IF(GDP_per_cap!C58&gt;'all_1961-1990'!$H$1,0,IF(UrbanPopRate!C58&gt;=$J$1,0,1)),0)</f>
        <v>0</v>
      </c>
      <c r="H68">
        <f>IF($D68=1,IF(GDP_per_cap!D58&gt;'all_1961-1990'!$H$1,0,IF(UrbanPopRate!D58&gt;=$J$1,0,1)),0)</f>
        <v>0</v>
      </c>
      <c r="I68">
        <f>IF($D68=1,IF(GDP_per_cap!E58&gt;'all_1961-1990'!$H$1,0,IF(UrbanPopRate!E58&gt;=$J$1,0,1)),0)</f>
        <v>0</v>
      </c>
      <c r="J68">
        <f>IF($D68=1,IF(GDP_per_cap!F58&gt;'all_1961-1990'!$H$1,0,IF(UrbanPopRate!F58&gt;=$J$1,0,1)),0)</f>
        <v>0</v>
      </c>
      <c r="K68">
        <f>IF($D68=1,IF(GDP_per_cap!G58&gt;'all_1961-1990'!$H$1,0,IF(UrbanPopRate!G58&gt;=$J$1,0,1)),0)</f>
        <v>0</v>
      </c>
      <c r="L68">
        <f>IF($D68=1,IF(GDP_per_cap!H58&gt;'all_1961-1990'!$H$1,0,IF(UrbanPopRate!H58&gt;=$J$1,0,1)),0)</f>
        <v>0</v>
      </c>
      <c r="M68">
        <f>IF($D68=1,IF(GDP_per_cap!I58&gt;'all_1961-1990'!$H$1,0,IF(UrbanPopRate!I58&gt;=$J$1,0,1)),0)</f>
        <v>0</v>
      </c>
      <c r="N68">
        <f>IF($D68=1,IF(GDP_per_cap!J58&gt;'all_1961-1990'!$H$1,0,IF(UrbanPopRate!J58&gt;=$J$1,0,1)),0)</f>
        <v>0</v>
      </c>
      <c r="O68">
        <f>IF($D68=1,IF(GDP_per_cap!K58&gt;'all_1961-1990'!$H$1,0,IF(UrbanPopRate!K58&gt;=$J$1,0,1)),0)</f>
        <v>0</v>
      </c>
      <c r="P68">
        <f>IF($D68=1,IF(GDP_per_cap!L58&gt;'all_1961-1990'!$H$1,0,IF(UrbanPopRate!L58&gt;=$J$1,0,1)),0)</f>
        <v>0</v>
      </c>
      <c r="Q68">
        <f>IF($D68=1,IF(GDP_per_cap!M58&gt;'all_1961-1990'!$H$1,0,IF(UrbanPopRate!M58&gt;=$J$1,0,1)),0)</f>
        <v>0</v>
      </c>
      <c r="R68">
        <f>IF($D68=1,IF(GDP_per_cap!N58&gt;'all_1961-1990'!$H$1,0,IF(UrbanPopRate!N58&gt;=$J$1,0,1)),0)</f>
        <v>0</v>
      </c>
      <c r="S68">
        <f>IF($D68=1,IF(GDP_per_cap!O58&gt;'all_1961-1990'!$H$1,0,IF(UrbanPopRate!O58&gt;=$J$1,0,1)),0)</f>
        <v>0</v>
      </c>
      <c r="T68">
        <f>IF($D68=1,IF(GDP_per_cap!P58&gt;'all_1961-1990'!$H$1,0,IF(UrbanPopRate!P58&gt;=$J$1,0,1)),0)</f>
        <v>0</v>
      </c>
      <c r="U68">
        <f>IF($D68=1,IF(GDP_per_cap!Q58&gt;'all_1961-1990'!$H$1,0,IF(UrbanPopRate!Q58&gt;=$J$1,0,1)),0)</f>
        <v>0</v>
      </c>
      <c r="V68">
        <f>IF($D68=1,IF(GDP_per_cap!R58&gt;'all_1961-1990'!$H$1,0,IF(UrbanPopRate!R58&gt;=$J$1,0,1)),0)</f>
        <v>0</v>
      </c>
      <c r="W68">
        <f>IF($D68=1,IF(GDP_per_cap!S58&gt;'all_1961-1990'!$H$1,0,IF(UrbanPopRate!S58&gt;=$J$1,0,1)),0)</f>
        <v>0</v>
      </c>
      <c r="X68">
        <f>IF($D68=1,IF(GDP_per_cap!T58&gt;'all_1961-1990'!$H$1,0,IF(UrbanPopRate!T58&gt;=$J$1,0,1)),0)</f>
        <v>0</v>
      </c>
      <c r="Y68">
        <f>IF($D68=1,IF(GDP_per_cap!U58&gt;'all_1961-1990'!$H$1,0,IF(UrbanPopRate!U58&gt;=$J$1,0,1)),0)</f>
        <v>0</v>
      </c>
      <c r="Z68">
        <f>IF($D68=1,IF(GDP_per_cap!V58&gt;'all_1961-1990'!$H$1,0,IF(UrbanPopRate!V58&gt;=$J$1,0,1)),0)</f>
        <v>0</v>
      </c>
      <c r="AA68">
        <f>IF($D68=1,IF(GDP_per_cap!W58&gt;'all_1961-1990'!$H$1,0,IF(UrbanPopRate!W58&gt;=$J$1,0,1)),0)</f>
        <v>0</v>
      </c>
      <c r="AB68">
        <f>IF($D68=1,IF(GDP_per_cap!X58&gt;'all_1961-1990'!$H$1,0,IF(UrbanPopRate!X58&gt;=$J$1,0,1)),0)</f>
        <v>0</v>
      </c>
      <c r="AC68">
        <f>IF($D68=1,IF(GDP_per_cap!Y58&gt;'all_1961-1990'!$H$1,0,IF(UrbanPopRate!Y58&gt;=$J$1,0,1)),0)</f>
        <v>0</v>
      </c>
      <c r="AD68">
        <f>IF($D68=1,IF(GDP_per_cap!Z58&gt;'all_1961-1990'!$H$1,0,IF(UrbanPopRate!Z58&gt;=$J$1,0,1)),0)</f>
        <v>0</v>
      </c>
      <c r="AE68">
        <f>IF($D68=1,IF(GDP_per_cap!AA58&gt;'all_1961-1990'!$H$1,0,IF(UrbanPopRate!AA58&gt;=$J$1,0,1)),0)</f>
        <v>0</v>
      </c>
      <c r="AF68">
        <f>IF($D68=1,IF(GDP_per_cap!AB58&gt;'all_1961-1990'!$H$1,0,IF(UrbanPopRate!AB58&gt;=$J$1,0,1)),0)</f>
        <v>0</v>
      </c>
      <c r="AG68">
        <f>IF($D68=1,IF(GDP_per_cap!AC58&gt;'all_1961-1990'!$H$1,0,IF(UrbanPopRate!AC58&gt;=$J$1,0,1)),0)</f>
        <v>0</v>
      </c>
      <c r="AH68">
        <f>IF($D68=1,IF(GDP_per_cap!AD58&gt;'all_1961-1990'!$H$1,0,IF(UrbanPopRate!AD58&gt;=$J$1,0,1)),0)</f>
        <v>0</v>
      </c>
      <c r="AI68">
        <f>IF($D68=1,IF(GDP_per_cap!AE58&gt;'all_1961-1990'!$H$1,0,IF(UrbanPopRate!AE58&gt;=$J$1,0,1)),0)</f>
        <v>0</v>
      </c>
      <c r="AJ68">
        <f>IF($D68=1,IF(GDP_per_cap!AF58&gt;'all_1961-1990'!$H$1,0,IF(UrbanPopRate!AF58&gt;=$J$1,0,1)),0)</f>
        <v>0</v>
      </c>
      <c r="AK68">
        <f>IF($D68=1,IF(GDP_per_cap!AG58&gt;'all_1961-1990'!$H$1,0,IF(UrbanPopRate!AG58&gt;=$J$1,0,1)),0)</f>
        <v>0</v>
      </c>
      <c r="AL68">
        <f>IF($D68=1,IF(GDP_per_cap!AH58&gt;'all_1961-1990'!$H$1,0,IF(UrbanPopRate!AH58&gt;=$J$1,0,1)),0)</f>
        <v>0</v>
      </c>
      <c r="AM68">
        <f>IF($D68=1,IF(GDP_per_cap!AI58&gt;'all_1961-1990'!$H$1,0,IF(UrbanPopRate!AI58&gt;=$J$1,0,1)),0)</f>
        <v>0</v>
      </c>
      <c r="AN68">
        <f>IF($D68=1,IF(GDP_per_cap!AJ58&gt;'all_1961-1990'!$H$1,0,IF(UrbanPopRate!AJ58&gt;=$J$1,0,1)),0)</f>
        <v>0</v>
      </c>
      <c r="AO68">
        <f>IF($D68=1,IF(GDP_per_cap!AK58&gt;'all_1961-1990'!$H$1,0,IF(UrbanPopRate!AK58&gt;=$J$1,0,1)),0)</f>
        <v>0</v>
      </c>
      <c r="AP68">
        <f>IF($D68=1,IF(GDP_per_cap!AL58&gt;'all_1961-1990'!$H$1,0,IF(UrbanPopRate!AL58&gt;=$J$1,0,1)),0)</f>
        <v>0</v>
      </c>
      <c r="AQ68">
        <f>IF($D68=1,IF(GDP_per_cap!AM58&gt;'all_1961-1990'!$H$1,0,IF(UrbanPopRate!AM58&gt;=$J$1,0,1)),0)</f>
        <v>0</v>
      </c>
      <c r="AR68">
        <f>IF($D68=1,IF(GDP_per_cap!AN58&gt;'all_1961-1990'!$H$1,0,IF(UrbanPopRate!AN58&gt;=$J$1,0,1)),0)</f>
        <v>0</v>
      </c>
      <c r="AS68">
        <f>IF($D68=1,IF(GDP_per_cap!AO58&gt;'all_1961-1990'!$H$1,0,IF(UrbanPopRate!AO58&gt;=$J$1,0,1)),0)</f>
        <v>0</v>
      </c>
      <c r="AT68">
        <f>IF($D68=1,IF(GDP_per_cap!AP58&gt;'all_1961-1990'!$H$1,0,IF(UrbanPopRate!AP58&gt;=$J$1,0,1)),0)</f>
        <v>0</v>
      </c>
      <c r="AU68">
        <f>IF($D68=1,IF(GDP_per_cap!AQ58&gt;'all_1961-1990'!$H$1,0,IF(UrbanPopRate!AQ58&gt;=$J$1,0,1)),0)</f>
        <v>0</v>
      </c>
      <c r="AV68">
        <f>IF($D68=1,IF(GDP_per_cap!AR58&gt;'all_1961-1990'!$H$1,0,IF(UrbanPopRate!AR58&gt;=$J$1,0,1)),0)</f>
        <v>0</v>
      </c>
      <c r="AW68">
        <f>IF($D68=1,IF(GDP_per_cap!AS58&gt;'all_1961-1990'!$H$1,0,IF(UrbanPopRate!AS58&gt;=$J$1,0,1)),0)</f>
        <v>0</v>
      </c>
      <c r="AX68">
        <f>IF($D68=1,IF(GDP_per_cap!AT58&gt;'all_1961-1990'!$H$1,0,IF(UrbanPopRate!AT58&gt;=$J$1,0,1)),0)</f>
        <v>0</v>
      </c>
      <c r="AY68">
        <f>IF($D68=1,IF(GDP_per_cap!AU58&gt;'all_1961-1990'!$H$1,0,IF(UrbanPopRate!AU58&gt;=$J$1,0,1)),0)</f>
        <v>0</v>
      </c>
      <c r="AZ68">
        <f>IF($D68=1,IF(GDP_per_cap!AV58&gt;'all_1961-1990'!$H$1,0,IF(UrbanPopRate!AV58&gt;=$J$1,0,1)),0)</f>
        <v>0</v>
      </c>
      <c r="BA68">
        <f>IF($D68=1,IF(GDP_per_cap!AW58&gt;'all_1961-1990'!$H$1,0,IF(UrbanPopRate!AW58&gt;=$J$1,0,1)),0)</f>
        <v>0</v>
      </c>
      <c r="BB68">
        <f>IF($D68=1,IF(GDP_per_cap!AX58&gt;'all_1961-1990'!$H$1,0,IF(UrbanPopRate!AX58&gt;=$J$1,0,1)),0)</f>
        <v>0</v>
      </c>
      <c r="BC68">
        <f>IF($D68=1,IF(GDP_per_cap!AY58&gt;'all_1961-1990'!$H$1,0,IF(UrbanPopRate!AY58&gt;=$J$1,0,1)),0)</f>
        <v>0</v>
      </c>
      <c r="BD68">
        <f>IF($D68=1,IF(GDP_per_cap!AZ58&gt;'all_1961-1990'!$H$1,0,IF(UrbanPopRate!AZ58&gt;=$J$1,0,1)),0)</f>
        <v>0</v>
      </c>
      <c r="BE68">
        <f>IF($D68=1,IF(GDP_per_cap!BA58&gt;'all_1961-1990'!$H$1,0,IF(UrbanPopRate!BA58&gt;=$J$1,0,1)),0)</f>
        <v>0</v>
      </c>
      <c r="BF68">
        <f>IF($D68=1,IF(GDP_per_cap!BB58&gt;'all_1961-1990'!$H$1,0,IF(UrbanPopRate!BB58&gt;=$J$1,0,1)),0)</f>
        <v>0</v>
      </c>
    </row>
    <row r="69" spans="1:58">
      <c r="A69" s="3">
        <v>92</v>
      </c>
      <c r="B69" s="3" t="s">
        <v>99</v>
      </c>
      <c r="C69" s="2">
        <v>2</v>
      </c>
      <c r="D69" s="35">
        <v>0</v>
      </c>
      <c r="E69" s="2">
        <v>17.964266666666671</v>
      </c>
      <c r="F69" s="36">
        <v>1096.2152530000001</v>
      </c>
      <c r="G69">
        <f>IF($D69=1,IF(GDP_per_cap!C57&gt;'all_1961-1990'!$H$1,0,IF(UrbanPopRate!C57&gt;=$J$1,0,1)),0)</f>
        <v>0</v>
      </c>
      <c r="H69">
        <f>IF($D69=1,IF(GDP_per_cap!D57&gt;'all_1961-1990'!$H$1,0,IF(UrbanPopRate!D57&gt;=$J$1,0,1)),0)</f>
        <v>0</v>
      </c>
      <c r="I69">
        <f>IF($D69=1,IF(GDP_per_cap!E57&gt;'all_1961-1990'!$H$1,0,IF(UrbanPopRate!E57&gt;=$J$1,0,1)),0)</f>
        <v>0</v>
      </c>
      <c r="J69">
        <f>IF($D69=1,IF(GDP_per_cap!F57&gt;'all_1961-1990'!$H$1,0,IF(UrbanPopRate!F57&gt;=$J$1,0,1)),0)</f>
        <v>0</v>
      </c>
      <c r="K69">
        <f>IF($D69=1,IF(GDP_per_cap!G57&gt;'all_1961-1990'!$H$1,0,IF(UrbanPopRate!G57&gt;=$J$1,0,1)),0)</f>
        <v>0</v>
      </c>
      <c r="L69">
        <f>IF($D69=1,IF(GDP_per_cap!H57&gt;'all_1961-1990'!$H$1,0,IF(UrbanPopRate!H57&gt;=$J$1,0,1)),0)</f>
        <v>0</v>
      </c>
      <c r="M69">
        <f>IF($D69=1,IF(GDP_per_cap!I57&gt;'all_1961-1990'!$H$1,0,IF(UrbanPopRate!I57&gt;=$J$1,0,1)),0)</f>
        <v>0</v>
      </c>
      <c r="N69">
        <f>IF($D69=1,IF(GDP_per_cap!J57&gt;'all_1961-1990'!$H$1,0,IF(UrbanPopRate!J57&gt;=$J$1,0,1)),0)</f>
        <v>0</v>
      </c>
      <c r="O69">
        <f>IF($D69=1,IF(GDP_per_cap!K57&gt;'all_1961-1990'!$H$1,0,IF(UrbanPopRate!K57&gt;=$J$1,0,1)),0)</f>
        <v>0</v>
      </c>
      <c r="P69">
        <f>IF($D69=1,IF(GDP_per_cap!L57&gt;'all_1961-1990'!$H$1,0,IF(UrbanPopRate!L57&gt;=$J$1,0,1)),0)</f>
        <v>0</v>
      </c>
      <c r="Q69">
        <f>IF($D69=1,IF(GDP_per_cap!M57&gt;'all_1961-1990'!$H$1,0,IF(UrbanPopRate!M57&gt;=$J$1,0,1)),0)</f>
        <v>0</v>
      </c>
      <c r="R69">
        <f>IF($D69=1,IF(GDP_per_cap!N57&gt;'all_1961-1990'!$H$1,0,IF(UrbanPopRate!N57&gt;=$J$1,0,1)),0)</f>
        <v>0</v>
      </c>
      <c r="S69">
        <f>IF($D69=1,IF(GDP_per_cap!O57&gt;'all_1961-1990'!$H$1,0,IF(UrbanPopRate!O57&gt;=$J$1,0,1)),0)</f>
        <v>0</v>
      </c>
      <c r="T69">
        <f>IF($D69=1,IF(GDP_per_cap!P57&gt;'all_1961-1990'!$H$1,0,IF(UrbanPopRate!P57&gt;=$J$1,0,1)),0)</f>
        <v>0</v>
      </c>
      <c r="U69">
        <f>IF($D69=1,IF(GDP_per_cap!Q57&gt;'all_1961-1990'!$H$1,0,IF(UrbanPopRate!Q57&gt;=$J$1,0,1)),0)</f>
        <v>0</v>
      </c>
      <c r="V69">
        <f>IF($D69=1,IF(GDP_per_cap!R57&gt;'all_1961-1990'!$H$1,0,IF(UrbanPopRate!R57&gt;=$J$1,0,1)),0)</f>
        <v>0</v>
      </c>
      <c r="W69">
        <f>IF($D69=1,IF(GDP_per_cap!S57&gt;'all_1961-1990'!$H$1,0,IF(UrbanPopRate!S57&gt;=$J$1,0,1)),0)</f>
        <v>0</v>
      </c>
      <c r="X69">
        <f>IF($D69=1,IF(GDP_per_cap!T57&gt;'all_1961-1990'!$H$1,0,IF(UrbanPopRate!T57&gt;=$J$1,0,1)),0)</f>
        <v>0</v>
      </c>
      <c r="Y69">
        <f>IF($D69=1,IF(GDP_per_cap!U57&gt;'all_1961-1990'!$H$1,0,IF(UrbanPopRate!U57&gt;=$J$1,0,1)),0)</f>
        <v>0</v>
      </c>
      <c r="Z69">
        <f>IF($D69=1,IF(GDP_per_cap!V57&gt;'all_1961-1990'!$H$1,0,IF(UrbanPopRate!V57&gt;=$J$1,0,1)),0)</f>
        <v>0</v>
      </c>
      <c r="AA69">
        <f>IF($D69=1,IF(GDP_per_cap!W57&gt;'all_1961-1990'!$H$1,0,IF(UrbanPopRate!W57&gt;=$J$1,0,1)),0)</f>
        <v>0</v>
      </c>
      <c r="AB69">
        <f>IF($D69=1,IF(GDP_per_cap!X57&gt;'all_1961-1990'!$H$1,0,IF(UrbanPopRate!X57&gt;=$J$1,0,1)),0)</f>
        <v>0</v>
      </c>
      <c r="AC69">
        <f>IF($D69=1,IF(GDP_per_cap!Y57&gt;'all_1961-1990'!$H$1,0,IF(UrbanPopRate!Y57&gt;=$J$1,0,1)),0)</f>
        <v>0</v>
      </c>
      <c r="AD69">
        <f>IF($D69=1,IF(GDP_per_cap!Z57&gt;'all_1961-1990'!$H$1,0,IF(UrbanPopRate!Z57&gt;=$J$1,0,1)),0)</f>
        <v>0</v>
      </c>
      <c r="AE69">
        <f>IF($D69=1,IF(GDP_per_cap!AA57&gt;'all_1961-1990'!$H$1,0,IF(UrbanPopRate!AA57&gt;=$J$1,0,1)),0)</f>
        <v>0</v>
      </c>
      <c r="AF69">
        <f>IF($D69=1,IF(GDP_per_cap!AB57&gt;'all_1961-1990'!$H$1,0,IF(UrbanPopRate!AB57&gt;=$J$1,0,1)),0)</f>
        <v>0</v>
      </c>
      <c r="AG69">
        <f>IF($D69=1,IF(GDP_per_cap!AC57&gt;'all_1961-1990'!$H$1,0,IF(UrbanPopRate!AC57&gt;=$J$1,0,1)),0)</f>
        <v>0</v>
      </c>
      <c r="AH69">
        <f>IF($D69=1,IF(GDP_per_cap!AD57&gt;'all_1961-1990'!$H$1,0,IF(UrbanPopRate!AD57&gt;=$J$1,0,1)),0)</f>
        <v>0</v>
      </c>
      <c r="AI69">
        <f>IF($D69=1,IF(GDP_per_cap!AE57&gt;'all_1961-1990'!$H$1,0,IF(UrbanPopRate!AE57&gt;=$J$1,0,1)),0)</f>
        <v>0</v>
      </c>
      <c r="AJ69">
        <f>IF($D69=1,IF(GDP_per_cap!AF57&gt;'all_1961-1990'!$H$1,0,IF(UrbanPopRate!AF57&gt;=$J$1,0,1)),0)</f>
        <v>0</v>
      </c>
      <c r="AK69">
        <f>IF($D69=1,IF(GDP_per_cap!AG57&gt;'all_1961-1990'!$H$1,0,IF(UrbanPopRate!AG57&gt;=$J$1,0,1)),0)</f>
        <v>0</v>
      </c>
      <c r="AL69">
        <f>IF($D69=1,IF(GDP_per_cap!AH57&gt;'all_1961-1990'!$H$1,0,IF(UrbanPopRate!AH57&gt;=$J$1,0,1)),0)</f>
        <v>0</v>
      </c>
      <c r="AM69">
        <f>IF($D69=1,IF(GDP_per_cap!AI57&gt;'all_1961-1990'!$H$1,0,IF(UrbanPopRate!AI57&gt;=$J$1,0,1)),0)</f>
        <v>0</v>
      </c>
      <c r="AN69">
        <f>IF($D69=1,IF(GDP_per_cap!AJ57&gt;'all_1961-1990'!$H$1,0,IF(UrbanPopRate!AJ57&gt;=$J$1,0,1)),0)</f>
        <v>0</v>
      </c>
      <c r="AO69">
        <f>IF($D69=1,IF(GDP_per_cap!AK57&gt;'all_1961-1990'!$H$1,0,IF(UrbanPopRate!AK57&gt;=$J$1,0,1)),0)</f>
        <v>0</v>
      </c>
      <c r="AP69">
        <f>IF($D69=1,IF(GDP_per_cap!AL57&gt;'all_1961-1990'!$H$1,0,IF(UrbanPopRate!AL57&gt;=$J$1,0,1)),0)</f>
        <v>0</v>
      </c>
      <c r="AQ69">
        <f>IF($D69=1,IF(GDP_per_cap!AM57&gt;'all_1961-1990'!$H$1,0,IF(UrbanPopRate!AM57&gt;=$J$1,0,1)),0)</f>
        <v>0</v>
      </c>
      <c r="AR69">
        <f>IF($D69=1,IF(GDP_per_cap!AN57&gt;'all_1961-1990'!$H$1,0,IF(UrbanPopRate!AN57&gt;=$J$1,0,1)),0)</f>
        <v>0</v>
      </c>
      <c r="AS69">
        <f>IF($D69=1,IF(GDP_per_cap!AO57&gt;'all_1961-1990'!$H$1,0,IF(UrbanPopRate!AO57&gt;=$J$1,0,1)),0)</f>
        <v>0</v>
      </c>
      <c r="AT69">
        <f>IF($D69=1,IF(GDP_per_cap!AP57&gt;'all_1961-1990'!$H$1,0,IF(UrbanPopRate!AP57&gt;=$J$1,0,1)),0)</f>
        <v>0</v>
      </c>
      <c r="AU69">
        <f>IF($D69=1,IF(GDP_per_cap!AQ57&gt;'all_1961-1990'!$H$1,0,IF(UrbanPopRate!AQ57&gt;=$J$1,0,1)),0)</f>
        <v>0</v>
      </c>
      <c r="AV69">
        <f>IF($D69=1,IF(GDP_per_cap!AR57&gt;'all_1961-1990'!$H$1,0,IF(UrbanPopRate!AR57&gt;=$J$1,0,1)),0)</f>
        <v>0</v>
      </c>
      <c r="AW69">
        <f>IF($D69=1,IF(GDP_per_cap!AS57&gt;'all_1961-1990'!$H$1,0,IF(UrbanPopRate!AS57&gt;=$J$1,0,1)),0)</f>
        <v>0</v>
      </c>
      <c r="AX69">
        <f>IF($D69=1,IF(GDP_per_cap!AT57&gt;'all_1961-1990'!$H$1,0,IF(UrbanPopRate!AT57&gt;=$J$1,0,1)),0)</f>
        <v>0</v>
      </c>
      <c r="AY69">
        <f>IF($D69=1,IF(GDP_per_cap!AU57&gt;'all_1961-1990'!$H$1,0,IF(UrbanPopRate!AU57&gt;=$J$1,0,1)),0)</f>
        <v>0</v>
      </c>
      <c r="AZ69">
        <f>IF($D69=1,IF(GDP_per_cap!AV57&gt;'all_1961-1990'!$H$1,0,IF(UrbanPopRate!AV57&gt;=$J$1,0,1)),0)</f>
        <v>0</v>
      </c>
      <c r="BA69">
        <f>IF($D69=1,IF(GDP_per_cap!AW57&gt;'all_1961-1990'!$H$1,0,IF(UrbanPopRate!AW57&gt;=$J$1,0,1)),0)</f>
        <v>0</v>
      </c>
      <c r="BB69">
        <f>IF($D69=1,IF(GDP_per_cap!AX57&gt;'all_1961-1990'!$H$1,0,IF(UrbanPopRate!AX57&gt;=$J$1,0,1)),0)</f>
        <v>0</v>
      </c>
      <c r="BC69">
        <f>IF($D69=1,IF(GDP_per_cap!AY57&gt;'all_1961-1990'!$H$1,0,IF(UrbanPopRate!AY57&gt;=$J$1,0,1)),0)</f>
        <v>0</v>
      </c>
      <c r="BD69">
        <f>IF($D69=1,IF(GDP_per_cap!AZ57&gt;'all_1961-1990'!$H$1,0,IF(UrbanPopRate!AZ57&gt;=$J$1,0,1)),0)</f>
        <v>0</v>
      </c>
      <c r="BE69">
        <f>IF($D69=1,IF(GDP_per_cap!BA57&gt;'all_1961-1990'!$H$1,0,IF(UrbanPopRate!BA57&gt;=$J$1,0,1)),0)</f>
        <v>0</v>
      </c>
      <c r="BF69">
        <f>IF($D69=1,IF(GDP_per_cap!BB57&gt;'all_1961-1990'!$H$1,0,IF(UrbanPopRate!BB57&gt;=$J$1,0,1)),0)</f>
        <v>0</v>
      </c>
    </row>
    <row r="70" spans="1:58">
      <c r="A70" s="3">
        <v>131</v>
      </c>
      <c r="B70" s="3" t="s">
        <v>70</v>
      </c>
      <c r="C70" s="2">
        <v>2</v>
      </c>
      <c r="D70" s="35">
        <v>0</v>
      </c>
      <c r="E70" s="2">
        <v>16.777733333333334</v>
      </c>
      <c r="F70" s="36">
        <v>1054.1358190000001</v>
      </c>
      <c r="G70">
        <f>IF($D70=1,IF(GDP_per_cap!C86&gt;'all_1961-1990'!$H$1,0,IF(UrbanPopRate!C86&gt;=$J$1,0,1)),0)</f>
        <v>0</v>
      </c>
      <c r="H70">
        <f>IF($D70=1,IF(GDP_per_cap!D86&gt;'all_1961-1990'!$H$1,0,IF(UrbanPopRate!D86&gt;=$J$1,0,1)),0)</f>
        <v>0</v>
      </c>
      <c r="I70">
        <f>IF($D70=1,IF(GDP_per_cap!E86&gt;'all_1961-1990'!$H$1,0,IF(UrbanPopRate!E86&gt;=$J$1,0,1)),0)</f>
        <v>0</v>
      </c>
      <c r="J70">
        <f>IF($D70=1,IF(GDP_per_cap!F86&gt;'all_1961-1990'!$H$1,0,IF(UrbanPopRate!F86&gt;=$J$1,0,1)),0)</f>
        <v>0</v>
      </c>
      <c r="K70">
        <f>IF($D70=1,IF(GDP_per_cap!G86&gt;'all_1961-1990'!$H$1,0,IF(UrbanPopRate!G86&gt;=$J$1,0,1)),0)</f>
        <v>0</v>
      </c>
      <c r="L70">
        <f>IF($D70=1,IF(GDP_per_cap!H86&gt;'all_1961-1990'!$H$1,0,IF(UrbanPopRate!H86&gt;=$J$1,0,1)),0)</f>
        <v>0</v>
      </c>
      <c r="M70">
        <f>IF($D70=1,IF(GDP_per_cap!I86&gt;'all_1961-1990'!$H$1,0,IF(UrbanPopRate!I86&gt;=$J$1,0,1)),0)</f>
        <v>0</v>
      </c>
      <c r="N70">
        <f>IF($D70=1,IF(GDP_per_cap!J86&gt;'all_1961-1990'!$H$1,0,IF(UrbanPopRate!J86&gt;=$J$1,0,1)),0)</f>
        <v>0</v>
      </c>
      <c r="O70">
        <f>IF($D70=1,IF(GDP_per_cap!K86&gt;'all_1961-1990'!$H$1,0,IF(UrbanPopRate!K86&gt;=$J$1,0,1)),0)</f>
        <v>0</v>
      </c>
      <c r="P70">
        <f>IF($D70=1,IF(GDP_per_cap!L86&gt;'all_1961-1990'!$H$1,0,IF(UrbanPopRate!L86&gt;=$J$1,0,1)),0)</f>
        <v>0</v>
      </c>
      <c r="Q70">
        <f>IF($D70=1,IF(GDP_per_cap!M86&gt;'all_1961-1990'!$H$1,0,IF(UrbanPopRate!M86&gt;=$J$1,0,1)),0)</f>
        <v>0</v>
      </c>
      <c r="R70">
        <f>IF($D70=1,IF(GDP_per_cap!N86&gt;'all_1961-1990'!$H$1,0,IF(UrbanPopRate!N86&gt;=$J$1,0,1)),0)</f>
        <v>0</v>
      </c>
      <c r="S70">
        <f>IF($D70=1,IF(GDP_per_cap!O86&gt;'all_1961-1990'!$H$1,0,IF(UrbanPopRate!O86&gt;=$J$1,0,1)),0)</f>
        <v>0</v>
      </c>
      <c r="T70">
        <f>IF($D70=1,IF(GDP_per_cap!P86&gt;'all_1961-1990'!$H$1,0,IF(UrbanPopRate!P86&gt;=$J$1,0,1)),0)</f>
        <v>0</v>
      </c>
      <c r="U70">
        <f>IF($D70=1,IF(GDP_per_cap!Q86&gt;'all_1961-1990'!$H$1,0,IF(UrbanPopRate!Q86&gt;=$J$1,0,1)),0)</f>
        <v>0</v>
      </c>
      <c r="V70">
        <f>IF($D70=1,IF(GDP_per_cap!R86&gt;'all_1961-1990'!$H$1,0,IF(UrbanPopRate!R86&gt;=$J$1,0,1)),0)</f>
        <v>0</v>
      </c>
      <c r="W70">
        <f>IF($D70=1,IF(GDP_per_cap!S86&gt;'all_1961-1990'!$H$1,0,IF(UrbanPopRate!S86&gt;=$J$1,0,1)),0)</f>
        <v>0</v>
      </c>
      <c r="X70">
        <f>IF($D70=1,IF(GDP_per_cap!T86&gt;'all_1961-1990'!$H$1,0,IF(UrbanPopRate!T86&gt;=$J$1,0,1)),0)</f>
        <v>0</v>
      </c>
      <c r="Y70">
        <f>IF($D70=1,IF(GDP_per_cap!U86&gt;'all_1961-1990'!$H$1,0,IF(UrbanPopRate!U86&gt;=$J$1,0,1)),0)</f>
        <v>0</v>
      </c>
      <c r="Z70">
        <f>IF($D70=1,IF(GDP_per_cap!V86&gt;'all_1961-1990'!$H$1,0,IF(UrbanPopRate!V86&gt;=$J$1,0,1)),0)</f>
        <v>0</v>
      </c>
      <c r="AA70">
        <f>IF($D70=1,IF(GDP_per_cap!W86&gt;'all_1961-1990'!$H$1,0,IF(UrbanPopRate!W86&gt;=$J$1,0,1)),0)</f>
        <v>0</v>
      </c>
      <c r="AB70">
        <f>IF($D70=1,IF(GDP_per_cap!X86&gt;'all_1961-1990'!$H$1,0,IF(UrbanPopRate!X86&gt;=$J$1,0,1)),0)</f>
        <v>0</v>
      </c>
      <c r="AC70">
        <f>IF($D70=1,IF(GDP_per_cap!Y86&gt;'all_1961-1990'!$H$1,0,IF(UrbanPopRate!Y86&gt;=$J$1,0,1)),0)</f>
        <v>0</v>
      </c>
      <c r="AD70">
        <f>IF($D70=1,IF(GDP_per_cap!Z86&gt;'all_1961-1990'!$H$1,0,IF(UrbanPopRate!Z86&gt;=$J$1,0,1)),0)</f>
        <v>0</v>
      </c>
      <c r="AE70">
        <f>IF($D70=1,IF(GDP_per_cap!AA86&gt;'all_1961-1990'!$H$1,0,IF(UrbanPopRate!AA86&gt;=$J$1,0,1)),0)</f>
        <v>0</v>
      </c>
      <c r="AF70">
        <f>IF($D70=1,IF(GDP_per_cap!AB86&gt;'all_1961-1990'!$H$1,0,IF(UrbanPopRate!AB86&gt;=$J$1,0,1)),0)</f>
        <v>0</v>
      </c>
      <c r="AG70">
        <f>IF($D70=1,IF(GDP_per_cap!AC86&gt;'all_1961-1990'!$H$1,0,IF(UrbanPopRate!AC86&gt;=$J$1,0,1)),0)</f>
        <v>0</v>
      </c>
      <c r="AH70">
        <f>IF($D70=1,IF(GDP_per_cap!AD86&gt;'all_1961-1990'!$H$1,0,IF(UrbanPopRate!AD86&gt;=$J$1,0,1)),0)</f>
        <v>0</v>
      </c>
      <c r="AI70">
        <f>IF($D70=1,IF(GDP_per_cap!AE86&gt;'all_1961-1990'!$H$1,0,IF(UrbanPopRate!AE86&gt;=$J$1,0,1)),0)</f>
        <v>0</v>
      </c>
      <c r="AJ70">
        <f>IF($D70=1,IF(GDP_per_cap!AF86&gt;'all_1961-1990'!$H$1,0,IF(UrbanPopRate!AF86&gt;=$J$1,0,1)),0)</f>
        <v>0</v>
      </c>
      <c r="AK70">
        <f>IF($D70=1,IF(GDP_per_cap!AG86&gt;'all_1961-1990'!$H$1,0,IF(UrbanPopRate!AG86&gt;=$J$1,0,1)),0)</f>
        <v>0</v>
      </c>
      <c r="AL70">
        <f>IF($D70=1,IF(GDP_per_cap!AH86&gt;'all_1961-1990'!$H$1,0,IF(UrbanPopRate!AH86&gt;=$J$1,0,1)),0)</f>
        <v>0</v>
      </c>
      <c r="AM70">
        <f>IF($D70=1,IF(GDP_per_cap!AI86&gt;'all_1961-1990'!$H$1,0,IF(UrbanPopRate!AI86&gt;=$J$1,0,1)),0)</f>
        <v>0</v>
      </c>
      <c r="AN70">
        <f>IF($D70=1,IF(GDP_per_cap!AJ86&gt;'all_1961-1990'!$H$1,0,IF(UrbanPopRate!AJ86&gt;=$J$1,0,1)),0)</f>
        <v>0</v>
      </c>
      <c r="AO70">
        <f>IF($D70=1,IF(GDP_per_cap!AK86&gt;'all_1961-1990'!$H$1,0,IF(UrbanPopRate!AK86&gt;=$J$1,0,1)),0)</f>
        <v>0</v>
      </c>
      <c r="AP70">
        <f>IF($D70=1,IF(GDP_per_cap!AL86&gt;'all_1961-1990'!$H$1,0,IF(UrbanPopRate!AL86&gt;=$J$1,0,1)),0)</f>
        <v>0</v>
      </c>
      <c r="AQ70">
        <f>IF($D70=1,IF(GDP_per_cap!AM86&gt;'all_1961-1990'!$H$1,0,IF(UrbanPopRate!AM86&gt;=$J$1,0,1)),0)</f>
        <v>0</v>
      </c>
      <c r="AR70">
        <f>IF($D70=1,IF(GDP_per_cap!AN86&gt;'all_1961-1990'!$H$1,0,IF(UrbanPopRate!AN86&gt;=$J$1,0,1)),0)</f>
        <v>0</v>
      </c>
      <c r="AS70">
        <f>IF($D70=1,IF(GDP_per_cap!AO86&gt;'all_1961-1990'!$H$1,0,IF(UrbanPopRate!AO86&gt;=$J$1,0,1)),0)</f>
        <v>0</v>
      </c>
      <c r="AT70">
        <f>IF($D70=1,IF(GDP_per_cap!AP86&gt;'all_1961-1990'!$H$1,0,IF(UrbanPopRate!AP86&gt;=$J$1,0,1)),0)</f>
        <v>0</v>
      </c>
      <c r="AU70">
        <f>IF($D70=1,IF(GDP_per_cap!AQ86&gt;'all_1961-1990'!$H$1,0,IF(UrbanPopRate!AQ86&gt;=$J$1,0,1)),0)</f>
        <v>0</v>
      </c>
      <c r="AV70">
        <f>IF($D70=1,IF(GDP_per_cap!AR86&gt;'all_1961-1990'!$H$1,0,IF(UrbanPopRate!AR86&gt;=$J$1,0,1)),0)</f>
        <v>0</v>
      </c>
      <c r="AW70">
        <f>IF($D70=1,IF(GDP_per_cap!AS86&gt;'all_1961-1990'!$H$1,0,IF(UrbanPopRate!AS86&gt;=$J$1,0,1)),0)</f>
        <v>0</v>
      </c>
      <c r="AX70">
        <f>IF($D70=1,IF(GDP_per_cap!AT86&gt;'all_1961-1990'!$H$1,0,IF(UrbanPopRate!AT86&gt;=$J$1,0,1)),0)</f>
        <v>0</v>
      </c>
      <c r="AY70">
        <f>IF($D70=1,IF(GDP_per_cap!AU86&gt;'all_1961-1990'!$H$1,0,IF(UrbanPopRate!AU86&gt;=$J$1,0,1)),0)</f>
        <v>0</v>
      </c>
      <c r="AZ70">
        <f>IF($D70=1,IF(GDP_per_cap!AV86&gt;'all_1961-1990'!$H$1,0,IF(UrbanPopRate!AV86&gt;=$J$1,0,1)),0)</f>
        <v>0</v>
      </c>
      <c r="BA70">
        <f>IF($D70=1,IF(GDP_per_cap!AW86&gt;'all_1961-1990'!$H$1,0,IF(UrbanPopRate!AW86&gt;=$J$1,0,1)),0)</f>
        <v>0</v>
      </c>
      <c r="BB70">
        <f>IF($D70=1,IF(GDP_per_cap!AX86&gt;'all_1961-1990'!$H$1,0,IF(UrbanPopRate!AX86&gt;=$J$1,0,1)),0)</f>
        <v>0</v>
      </c>
      <c r="BC70">
        <f>IF($D70=1,IF(GDP_per_cap!AY86&gt;'all_1961-1990'!$H$1,0,IF(UrbanPopRate!AY86&gt;=$J$1,0,1)),0)</f>
        <v>0</v>
      </c>
      <c r="BD70">
        <f>IF($D70=1,IF(GDP_per_cap!AZ86&gt;'all_1961-1990'!$H$1,0,IF(UrbanPopRate!AZ86&gt;=$J$1,0,1)),0)</f>
        <v>0</v>
      </c>
      <c r="BE70">
        <f>IF($D70=1,IF(GDP_per_cap!BA86&gt;'all_1961-1990'!$H$1,0,IF(UrbanPopRate!BA86&gt;=$J$1,0,1)),0)</f>
        <v>0</v>
      </c>
      <c r="BF70">
        <f>IF($D70=1,IF(GDP_per_cap!BB86&gt;'all_1961-1990'!$H$1,0,IF(UrbanPopRate!BB86&gt;=$J$1,0,1)),0)</f>
        <v>0</v>
      </c>
    </row>
    <row r="71" spans="1:58">
      <c r="A71" s="3">
        <v>1</v>
      </c>
      <c r="B71" s="3" t="s">
        <v>154</v>
      </c>
      <c r="C71" s="2">
        <v>2</v>
      </c>
      <c r="D71" s="35">
        <v>0</v>
      </c>
      <c r="E71" s="2">
        <v>13.3909</v>
      </c>
      <c r="F71" s="36">
        <v>1000</v>
      </c>
      <c r="G71">
        <f>IF($D71=1,IF(GDP_per_cap!C2&gt;'all_1961-1990'!$H$1,0,IF(UrbanPopRate!C2&gt;=$J$1,0,1)),0)</f>
        <v>0</v>
      </c>
      <c r="H71">
        <f>IF($D71=1,IF(GDP_per_cap!D2&gt;'all_1961-1990'!$H$1,0,IF(UrbanPopRate!D2&gt;=$J$1,0,1)),0)</f>
        <v>0</v>
      </c>
      <c r="I71">
        <f>IF($D71=1,IF(GDP_per_cap!E2&gt;'all_1961-1990'!$H$1,0,IF(UrbanPopRate!E2&gt;=$J$1,0,1)),0)</f>
        <v>0</v>
      </c>
      <c r="J71">
        <f>IF($D71=1,IF(GDP_per_cap!F2&gt;'all_1961-1990'!$H$1,0,IF(UrbanPopRate!F2&gt;=$J$1,0,1)),0)</f>
        <v>0</v>
      </c>
      <c r="K71">
        <f>IF($D71=1,IF(GDP_per_cap!G2&gt;'all_1961-1990'!$H$1,0,IF(UrbanPopRate!G2&gt;=$J$1,0,1)),0)</f>
        <v>0</v>
      </c>
      <c r="L71">
        <f>IF($D71=1,IF(GDP_per_cap!H2&gt;'all_1961-1990'!$H$1,0,IF(UrbanPopRate!H2&gt;=$J$1,0,1)),0)</f>
        <v>0</v>
      </c>
      <c r="M71">
        <f>IF($D71=1,IF(GDP_per_cap!I2&gt;'all_1961-1990'!$H$1,0,IF(UrbanPopRate!I2&gt;=$J$1,0,1)),0)</f>
        <v>0</v>
      </c>
      <c r="N71">
        <f>IF($D71=1,IF(GDP_per_cap!J2&gt;'all_1961-1990'!$H$1,0,IF(UrbanPopRate!J2&gt;=$J$1,0,1)),0)</f>
        <v>0</v>
      </c>
      <c r="O71">
        <f>IF($D71=1,IF(GDP_per_cap!K2&gt;'all_1961-1990'!$H$1,0,IF(UrbanPopRate!K2&gt;=$J$1,0,1)),0)</f>
        <v>0</v>
      </c>
      <c r="P71">
        <f>IF($D71=1,IF(GDP_per_cap!L2&gt;'all_1961-1990'!$H$1,0,IF(UrbanPopRate!L2&gt;=$J$1,0,1)),0)</f>
        <v>0</v>
      </c>
      <c r="Q71">
        <f>IF($D71=1,IF(GDP_per_cap!M2&gt;'all_1961-1990'!$H$1,0,IF(UrbanPopRate!M2&gt;=$J$1,0,1)),0)</f>
        <v>0</v>
      </c>
      <c r="R71">
        <f>IF($D71=1,IF(GDP_per_cap!N2&gt;'all_1961-1990'!$H$1,0,IF(UrbanPopRate!N2&gt;=$J$1,0,1)),0)</f>
        <v>0</v>
      </c>
      <c r="S71">
        <f>IF($D71=1,IF(GDP_per_cap!O2&gt;'all_1961-1990'!$H$1,0,IF(UrbanPopRate!O2&gt;=$J$1,0,1)),0)</f>
        <v>0</v>
      </c>
      <c r="T71">
        <f>IF($D71=1,IF(GDP_per_cap!P2&gt;'all_1961-1990'!$H$1,0,IF(UrbanPopRate!P2&gt;=$J$1,0,1)),0)</f>
        <v>0</v>
      </c>
      <c r="U71">
        <f>IF($D71=1,IF(GDP_per_cap!Q2&gt;'all_1961-1990'!$H$1,0,IF(UrbanPopRate!Q2&gt;=$J$1,0,1)),0)</f>
        <v>0</v>
      </c>
      <c r="V71">
        <f>IF($D71=1,IF(GDP_per_cap!R2&gt;'all_1961-1990'!$H$1,0,IF(UrbanPopRate!R2&gt;=$J$1,0,1)),0)</f>
        <v>0</v>
      </c>
      <c r="W71">
        <f>IF($D71=1,IF(GDP_per_cap!S2&gt;'all_1961-1990'!$H$1,0,IF(UrbanPopRate!S2&gt;=$J$1,0,1)),0)</f>
        <v>0</v>
      </c>
      <c r="X71">
        <f>IF($D71=1,IF(GDP_per_cap!T2&gt;'all_1961-1990'!$H$1,0,IF(UrbanPopRate!T2&gt;=$J$1,0,1)),0)</f>
        <v>0</v>
      </c>
      <c r="Y71">
        <f>IF($D71=1,IF(GDP_per_cap!U2&gt;'all_1961-1990'!$H$1,0,IF(UrbanPopRate!U2&gt;=$J$1,0,1)),0)</f>
        <v>0</v>
      </c>
      <c r="Z71">
        <f>IF($D71=1,IF(GDP_per_cap!V2&gt;'all_1961-1990'!$H$1,0,IF(UrbanPopRate!V2&gt;=$J$1,0,1)),0)</f>
        <v>0</v>
      </c>
      <c r="AA71">
        <f>IF($D71=1,IF(GDP_per_cap!W2&gt;'all_1961-1990'!$H$1,0,IF(UrbanPopRate!W2&gt;=$J$1,0,1)),0)</f>
        <v>0</v>
      </c>
      <c r="AB71">
        <f>IF($D71=1,IF(GDP_per_cap!X2&gt;'all_1961-1990'!$H$1,0,IF(UrbanPopRate!X2&gt;=$J$1,0,1)),0)</f>
        <v>0</v>
      </c>
      <c r="AC71">
        <f>IF($D71=1,IF(GDP_per_cap!Y2&gt;'all_1961-1990'!$H$1,0,IF(UrbanPopRate!Y2&gt;=$J$1,0,1)),0)</f>
        <v>0</v>
      </c>
      <c r="AD71">
        <f>IF($D71=1,IF(GDP_per_cap!Z2&gt;'all_1961-1990'!$H$1,0,IF(UrbanPopRate!Z2&gt;=$J$1,0,1)),0)</f>
        <v>0</v>
      </c>
      <c r="AE71">
        <f>IF($D71=1,IF(GDP_per_cap!AA2&gt;'all_1961-1990'!$H$1,0,IF(UrbanPopRate!AA2&gt;=$J$1,0,1)),0)</f>
        <v>0</v>
      </c>
      <c r="AF71">
        <f>IF($D71=1,IF(GDP_per_cap!AB2&gt;'all_1961-1990'!$H$1,0,IF(UrbanPopRate!AB2&gt;=$J$1,0,1)),0)</f>
        <v>0</v>
      </c>
      <c r="AG71">
        <f>IF($D71=1,IF(GDP_per_cap!AC2&gt;'all_1961-1990'!$H$1,0,IF(UrbanPopRate!AC2&gt;=$J$1,0,1)),0)</f>
        <v>0</v>
      </c>
      <c r="AH71">
        <f>IF($D71=1,IF(GDP_per_cap!AD2&gt;'all_1961-1990'!$H$1,0,IF(UrbanPopRate!AD2&gt;=$J$1,0,1)),0)</f>
        <v>0</v>
      </c>
      <c r="AI71">
        <f>IF($D71=1,IF(GDP_per_cap!AE2&gt;'all_1961-1990'!$H$1,0,IF(UrbanPopRate!AE2&gt;=$J$1,0,1)),0)</f>
        <v>0</v>
      </c>
      <c r="AJ71">
        <f>IF($D71=1,IF(GDP_per_cap!AF2&gt;'all_1961-1990'!$H$1,0,IF(UrbanPopRate!AF2&gt;=$J$1,0,1)),0)</f>
        <v>0</v>
      </c>
      <c r="AK71">
        <f>IF($D71=1,IF(GDP_per_cap!AG2&gt;'all_1961-1990'!$H$1,0,IF(UrbanPopRate!AG2&gt;=$J$1,0,1)),0)</f>
        <v>0</v>
      </c>
      <c r="AL71">
        <f>IF($D71=1,IF(GDP_per_cap!AH2&gt;'all_1961-1990'!$H$1,0,IF(UrbanPopRate!AH2&gt;=$J$1,0,1)),0)</f>
        <v>0</v>
      </c>
      <c r="AM71">
        <f>IF($D71=1,IF(GDP_per_cap!AI2&gt;'all_1961-1990'!$H$1,0,IF(UrbanPopRate!AI2&gt;=$J$1,0,1)),0)</f>
        <v>0</v>
      </c>
      <c r="AN71">
        <f>IF($D71=1,IF(GDP_per_cap!AJ2&gt;'all_1961-1990'!$H$1,0,IF(UrbanPopRate!AJ2&gt;=$J$1,0,1)),0)</f>
        <v>0</v>
      </c>
      <c r="AO71">
        <f>IF($D71=1,IF(GDP_per_cap!AK2&gt;'all_1961-1990'!$H$1,0,IF(UrbanPopRate!AK2&gt;=$J$1,0,1)),0)</f>
        <v>0</v>
      </c>
      <c r="AP71">
        <f>IF($D71=1,IF(GDP_per_cap!AL2&gt;'all_1961-1990'!$H$1,0,IF(UrbanPopRate!AL2&gt;=$J$1,0,1)),0)</f>
        <v>0</v>
      </c>
      <c r="AQ71">
        <f>IF($D71=1,IF(GDP_per_cap!AM2&gt;'all_1961-1990'!$H$1,0,IF(UrbanPopRate!AM2&gt;=$J$1,0,1)),0)</f>
        <v>0</v>
      </c>
      <c r="AR71">
        <f>IF($D71=1,IF(GDP_per_cap!AN2&gt;'all_1961-1990'!$H$1,0,IF(UrbanPopRate!AN2&gt;=$J$1,0,1)),0)</f>
        <v>0</v>
      </c>
      <c r="AS71">
        <f>IF($D71=1,IF(GDP_per_cap!AO2&gt;'all_1961-1990'!$H$1,0,IF(UrbanPopRate!AO2&gt;=$J$1,0,1)),0)</f>
        <v>0</v>
      </c>
      <c r="AT71">
        <f>IF($D71=1,IF(GDP_per_cap!AP2&gt;'all_1961-1990'!$H$1,0,IF(UrbanPopRate!AP2&gt;=$J$1,0,1)),0)</f>
        <v>0</v>
      </c>
      <c r="AU71">
        <f>IF($D71=1,IF(GDP_per_cap!AQ2&gt;'all_1961-1990'!$H$1,0,IF(UrbanPopRate!AQ2&gt;=$J$1,0,1)),0)</f>
        <v>0</v>
      </c>
      <c r="AV71">
        <f>IF($D71=1,IF(GDP_per_cap!AR2&gt;'all_1961-1990'!$H$1,0,IF(UrbanPopRate!AR2&gt;=$J$1,0,1)),0)</f>
        <v>0</v>
      </c>
      <c r="AW71">
        <f>IF($D71=1,IF(GDP_per_cap!AS2&gt;'all_1961-1990'!$H$1,0,IF(UrbanPopRate!AS2&gt;=$J$1,0,1)),0)</f>
        <v>0</v>
      </c>
      <c r="AX71">
        <f>IF($D71=1,IF(GDP_per_cap!AT2&gt;'all_1961-1990'!$H$1,0,IF(UrbanPopRate!AT2&gt;=$J$1,0,1)),0)</f>
        <v>0</v>
      </c>
      <c r="AY71">
        <f>IF($D71=1,IF(GDP_per_cap!AU2&gt;'all_1961-1990'!$H$1,0,IF(UrbanPopRate!AU2&gt;=$J$1,0,1)),0)</f>
        <v>0</v>
      </c>
      <c r="AZ71">
        <f>IF($D71=1,IF(GDP_per_cap!AV2&gt;'all_1961-1990'!$H$1,0,IF(UrbanPopRate!AV2&gt;=$J$1,0,1)),0)</f>
        <v>0</v>
      </c>
      <c r="BA71">
        <f>IF($D71=1,IF(GDP_per_cap!AW2&gt;'all_1961-1990'!$H$1,0,IF(UrbanPopRate!AW2&gt;=$J$1,0,1)),0)</f>
        <v>0</v>
      </c>
      <c r="BB71">
        <f>IF($D71=1,IF(GDP_per_cap!AX2&gt;'all_1961-1990'!$H$1,0,IF(UrbanPopRate!AX2&gt;=$J$1,0,1)),0)</f>
        <v>0</v>
      </c>
      <c r="BC71">
        <f>IF($D71=1,IF(GDP_per_cap!AY2&gt;'all_1961-1990'!$H$1,0,IF(UrbanPopRate!AY2&gt;=$J$1,0,1)),0)</f>
        <v>0</v>
      </c>
      <c r="BD71">
        <f>IF($D71=1,IF(GDP_per_cap!AZ2&gt;'all_1961-1990'!$H$1,0,IF(UrbanPopRate!AZ2&gt;=$J$1,0,1)),0)</f>
        <v>0</v>
      </c>
      <c r="BE71">
        <f>IF($D71=1,IF(GDP_per_cap!BA2&gt;'all_1961-1990'!$H$1,0,IF(UrbanPopRate!BA2&gt;=$J$1,0,1)),0)</f>
        <v>0</v>
      </c>
      <c r="BF71">
        <f>IF($D71=1,IF(GDP_per_cap!BB2&gt;'all_1961-1990'!$H$1,0,IF(UrbanPopRate!BB2&gt;=$J$1,0,1)),0)</f>
        <v>0</v>
      </c>
    </row>
    <row r="72" spans="1:58">
      <c r="A72" s="3">
        <v>42</v>
      </c>
      <c r="B72" s="3" t="s">
        <v>130</v>
      </c>
      <c r="C72" s="2">
        <v>2</v>
      </c>
      <c r="D72" s="35">
        <v>0</v>
      </c>
      <c r="E72" s="2">
        <v>30.390666666666679</v>
      </c>
      <c r="F72" s="36">
        <v>887.01545329999999</v>
      </c>
      <c r="G72">
        <f>IF($D72=1,IF(GDP_per_cap!C26&gt;'all_1961-1990'!$H$1,0,IF(UrbanPopRate!C26&gt;=$J$1,0,1)),0)</f>
        <v>0</v>
      </c>
      <c r="H72">
        <f>IF($D72=1,IF(GDP_per_cap!D26&gt;'all_1961-1990'!$H$1,0,IF(UrbanPopRate!D26&gt;=$J$1,0,1)),0)</f>
        <v>0</v>
      </c>
      <c r="I72">
        <f>IF($D72=1,IF(GDP_per_cap!E26&gt;'all_1961-1990'!$H$1,0,IF(UrbanPopRate!E26&gt;=$J$1,0,1)),0)</f>
        <v>0</v>
      </c>
      <c r="J72">
        <f>IF($D72=1,IF(GDP_per_cap!F26&gt;'all_1961-1990'!$H$1,0,IF(UrbanPopRate!F26&gt;=$J$1,0,1)),0)</f>
        <v>0</v>
      </c>
      <c r="K72">
        <f>IF($D72=1,IF(GDP_per_cap!G26&gt;'all_1961-1990'!$H$1,0,IF(UrbanPopRate!G26&gt;=$J$1,0,1)),0)</f>
        <v>0</v>
      </c>
      <c r="L72">
        <f>IF($D72=1,IF(GDP_per_cap!H26&gt;'all_1961-1990'!$H$1,0,IF(UrbanPopRate!H26&gt;=$J$1,0,1)),0)</f>
        <v>0</v>
      </c>
      <c r="M72">
        <f>IF($D72=1,IF(GDP_per_cap!I26&gt;'all_1961-1990'!$H$1,0,IF(UrbanPopRate!I26&gt;=$J$1,0,1)),0)</f>
        <v>0</v>
      </c>
      <c r="N72">
        <f>IF($D72=1,IF(GDP_per_cap!J26&gt;'all_1961-1990'!$H$1,0,IF(UrbanPopRate!J26&gt;=$J$1,0,1)),0)</f>
        <v>0</v>
      </c>
      <c r="O72">
        <f>IF($D72=1,IF(GDP_per_cap!K26&gt;'all_1961-1990'!$H$1,0,IF(UrbanPopRate!K26&gt;=$J$1,0,1)),0)</f>
        <v>0</v>
      </c>
      <c r="P72">
        <f>IF($D72=1,IF(GDP_per_cap!L26&gt;'all_1961-1990'!$H$1,0,IF(UrbanPopRate!L26&gt;=$J$1,0,1)),0)</f>
        <v>0</v>
      </c>
      <c r="Q72">
        <f>IF($D72=1,IF(GDP_per_cap!M26&gt;'all_1961-1990'!$H$1,0,IF(UrbanPopRate!M26&gt;=$J$1,0,1)),0)</f>
        <v>0</v>
      </c>
      <c r="R72">
        <f>IF($D72=1,IF(GDP_per_cap!N26&gt;'all_1961-1990'!$H$1,0,IF(UrbanPopRate!N26&gt;=$J$1,0,1)),0)</f>
        <v>0</v>
      </c>
      <c r="S72">
        <f>IF($D72=1,IF(GDP_per_cap!O26&gt;'all_1961-1990'!$H$1,0,IF(UrbanPopRate!O26&gt;=$J$1,0,1)),0)</f>
        <v>0</v>
      </c>
      <c r="T72">
        <f>IF($D72=1,IF(GDP_per_cap!P26&gt;'all_1961-1990'!$H$1,0,IF(UrbanPopRate!P26&gt;=$J$1,0,1)),0)</f>
        <v>0</v>
      </c>
      <c r="U72">
        <f>IF($D72=1,IF(GDP_per_cap!Q26&gt;'all_1961-1990'!$H$1,0,IF(UrbanPopRate!Q26&gt;=$J$1,0,1)),0)</f>
        <v>0</v>
      </c>
      <c r="V72">
        <f>IF($D72=1,IF(GDP_per_cap!R26&gt;'all_1961-1990'!$H$1,0,IF(UrbanPopRate!R26&gt;=$J$1,0,1)),0)</f>
        <v>0</v>
      </c>
      <c r="W72">
        <f>IF($D72=1,IF(GDP_per_cap!S26&gt;'all_1961-1990'!$H$1,0,IF(UrbanPopRate!S26&gt;=$J$1,0,1)),0)</f>
        <v>0</v>
      </c>
      <c r="X72">
        <f>IF($D72=1,IF(GDP_per_cap!T26&gt;'all_1961-1990'!$H$1,0,IF(UrbanPopRate!T26&gt;=$J$1,0,1)),0)</f>
        <v>0</v>
      </c>
      <c r="Y72">
        <f>IF($D72=1,IF(GDP_per_cap!U26&gt;'all_1961-1990'!$H$1,0,IF(UrbanPopRate!U26&gt;=$J$1,0,1)),0)</f>
        <v>0</v>
      </c>
      <c r="Z72">
        <f>IF($D72=1,IF(GDP_per_cap!V26&gt;'all_1961-1990'!$H$1,0,IF(UrbanPopRate!V26&gt;=$J$1,0,1)),0)</f>
        <v>0</v>
      </c>
      <c r="AA72">
        <f>IF($D72=1,IF(GDP_per_cap!W26&gt;'all_1961-1990'!$H$1,0,IF(UrbanPopRate!W26&gt;=$J$1,0,1)),0)</f>
        <v>0</v>
      </c>
      <c r="AB72">
        <f>IF($D72=1,IF(GDP_per_cap!X26&gt;'all_1961-1990'!$H$1,0,IF(UrbanPopRate!X26&gt;=$J$1,0,1)),0)</f>
        <v>0</v>
      </c>
      <c r="AC72">
        <f>IF($D72=1,IF(GDP_per_cap!Y26&gt;'all_1961-1990'!$H$1,0,IF(UrbanPopRate!Y26&gt;=$J$1,0,1)),0)</f>
        <v>0</v>
      </c>
      <c r="AD72">
        <f>IF($D72=1,IF(GDP_per_cap!Z26&gt;'all_1961-1990'!$H$1,0,IF(UrbanPopRate!Z26&gt;=$J$1,0,1)),0)</f>
        <v>0</v>
      </c>
      <c r="AE72">
        <f>IF($D72=1,IF(GDP_per_cap!AA26&gt;'all_1961-1990'!$H$1,0,IF(UrbanPopRate!AA26&gt;=$J$1,0,1)),0)</f>
        <v>0</v>
      </c>
      <c r="AF72">
        <f>IF($D72=1,IF(GDP_per_cap!AB26&gt;'all_1961-1990'!$H$1,0,IF(UrbanPopRate!AB26&gt;=$J$1,0,1)),0)</f>
        <v>0</v>
      </c>
      <c r="AG72">
        <f>IF($D72=1,IF(GDP_per_cap!AC26&gt;'all_1961-1990'!$H$1,0,IF(UrbanPopRate!AC26&gt;=$J$1,0,1)),0)</f>
        <v>0</v>
      </c>
      <c r="AH72">
        <f>IF($D72=1,IF(GDP_per_cap!AD26&gt;'all_1961-1990'!$H$1,0,IF(UrbanPopRate!AD26&gt;=$J$1,0,1)),0)</f>
        <v>0</v>
      </c>
      <c r="AI72">
        <f>IF($D72=1,IF(GDP_per_cap!AE26&gt;'all_1961-1990'!$H$1,0,IF(UrbanPopRate!AE26&gt;=$J$1,0,1)),0)</f>
        <v>0</v>
      </c>
      <c r="AJ72">
        <f>IF($D72=1,IF(GDP_per_cap!AF26&gt;'all_1961-1990'!$H$1,0,IF(UrbanPopRate!AF26&gt;=$J$1,0,1)),0)</f>
        <v>0</v>
      </c>
      <c r="AK72">
        <f>IF($D72=1,IF(GDP_per_cap!AG26&gt;'all_1961-1990'!$H$1,0,IF(UrbanPopRate!AG26&gt;=$J$1,0,1)),0)</f>
        <v>0</v>
      </c>
      <c r="AL72">
        <f>IF($D72=1,IF(GDP_per_cap!AH26&gt;'all_1961-1990'!$H$1,0,IF(UrbanPopRate!AH26&gt;=$J$1,0,1)),0)</f>
        <v>0</v>
      </c>
      <c r="AM72">
        <f>IF($D72=1,IF(GDP_per_cap!AI26&gt;'all_1961-1990'!$H$1,0,IF(UrbanPopRate!AI26&gt;=$J$1,0,1)),0)</f>
        <v>0</v>
      </c>
      <c r="AN72">
        <f>IF($D72=1,IF(GDP_per_cap!AJ26&gt;'all_1961-1990'!$H$1,0,IF(UrbanPopRate!AJ26&gt;=$J$1,0,1)),0)</f>
        <v>0</v>
      </c>
      <c r="AO72">
        <f>IF($D72=1,IF(GDP_per_cap!AK26&gt;'all_1961-1990'!$H$1,0,IF(UrbanPopRate!AK26&gt;=$J$1,0,1)),0)</f>
        <v>0</v>
      </c>
      <c r="AP72">
        <f>IF($D72=1,IF(GDP_per_cap!AL26&gt;'all_1961-1990'!$H$1,0,IF(UrbanPopRate!AL26&gt;=$J$1,0,1)),0)</f>
        <v>0</v>
      </c>
      <c r="AQ72">
        <f>IF($D72=1,IF(GDP_per_cap!AM26&gt;'all_1961-1990'!$H$1,0,IF(UrbanPopRate!AM26&gt;=$J$1,0,1)),0)</f>
        <v>0</v>
      </c>
      <c r="AR72">
        <f>IF($D72=1,IF(GDP_per_cap!AN26&gt;'all_1961-1990'!$H$1,0,IF(UrbanPopRate!AN26&gt;=$J$1,0,1)),0)</f>
        <v>0</v>
      </c>
      <c r="AS72">
        <f>IF($D72=1,IF(GDP_per_cap!AO26&gt;'all_1961-1990'!$H$1,0,IF(UrbanPopRate!AO26&gt;=$J$1,0,1)),0)</f>
        <v>0</v>
      </c>
      <c r="AT72">
        <f>IF($D72=1,IF(GDP_per_cap!AP26&gt;'all_1961-1990'!$H$1,0,IF(UrbanPopRate!AP26&gt;=$J$1,0,1)),0)</f>
        <v>0</v>
      </c>
      <c r="AU72">
        <f>IF($D72=1,IF(GDP_per_cap!AQ26&gt;'all_1961-1990'!$H$1,0,IF(UrbanPopRate!AQ26&gt;=$J$1,0,1)),0)</f>
        <v>0</v>
      </c>
      <c r="AV72">
        <f>IF($D72=1,IF(GDP_per_cap!AR26&gt;'all_1961-1990'!$H$1,0,IF(UrbanPopRate!AR26&gt;=$J$1,0,1)),0)</f>
        <v>0</v>
      </c>
      <c r="AW72">
        <f>IF($D72=1,IF(GDP_per_cap!AS26&gt;'all_1961-1990'!$H$1,0,IF(UrbanPopRate!AS26&gt;=$J$1,0,1)),0)</f>
        <v>0</v>
      </c>
      <c r="AX72">
        <f>IF($D72=1,IF(GDP_per_cap!AT26&gt;'all_1961-1990'!$H$1,0,IF(UrbanPopRate!AT26&gt;=$J$1,0,1)),0)</f>
        <v>0</v>
      </c>
      <c r="AY72">
        <f>IF($D72=1,IF(GDP_per_cap!AU26&gt;'all_1961-1990'!$H$1,0,IF(UrbanPopRate!AU26&gt;=$J$1,0,1)),0)</f>
        <v>0</v>
      </c>
      <c r="AZ72">
        <f>IF($D72=1,IF(GDP_per_cap!AV26&gt;'all_1961-1990'!$H$1,0,IF(UrbanPopRate!AV26&gt;=$J$1,0,1)),0)</f>
        <v>0</v>
      </c>
      <c r="BA72">
        <f>IF($D72=1,IF(GDP_per_cap!AW26&gt;'all_1961-1990'!$H$1,0,IF(UrbanPopRate!AW26&gt;=$J$1,0,1)),0)</f>
        <v>0</v>
      </c>
      <c r="BB72">
        <f>IF($D72=1,IF(GDP_per_cap!AX26&gt;'all_1961-1990'!$H$1,0,IF(UrbanPopRate!AX26&gt;=$J$1,0,1)),0)</f>
        <v>0</v>
      </c>
      <c r="BC72">
        <f>IF($D72=1,IF(GDP_per_cap!AY26&gt;'all_1961-1990'!$H$1,0,IF(UrbanPopRate!AY26&gt;=$J$1,0,1)),0)</f>
        <v>0</v>
      </c>
      <c r="BD72">
        <f>IF($D72=1,IF(GDP_per_cap!AZ26&gt;'all_1961-1990'!$H$1,0,IF(UrbanPopRate!AZ26&gt;=$J$1,0,1)),0)</f>
        <v>0</v>
      </c>
      <c r="BE72">
        <f>IF($D72=1,IF(GDP_per_cap!BA26&gt;'all_1961-1990'!$H$1,0,IF(UrbanPopRate!BA26&gt;=$J$1,0,1)),0)</f>
        <v>0</v>
      </c>
      <c r="BF72">
        <f>IF($D72=1,IF(GDP_per_cap!BB26&gt;'all_1961-1990'!$H$1,0,IF(UrbanPopRate!BB26&gt;=$J$1,0,1)),0)</f>
        <v>0</v>
      </c>
    </row>
    <row r="73" spans="1:58">
      <c r="A73" s="3">
        <v>214</v>
      </c>
      <c r="B73" s="3" t="s">
        <v>19</v>
      </c>
      <c r="C73" s="2">
        <v>2</v>
      </c>
      <c r="D73" s="35">
        <v>0</v>
      </c>
      <c r="E73" s="2">
        <v>11.629800000000001</v>
      </c>
      <c r="F73" s="36">
        <v>837.53527570000006</v>
      </c>
      <c r="G73">
        <f>IF($D73=1,IF(GDP_per_cap!C137&gt;'all_1961-1990'!$H$1,0,IF(UrbanPopRate!C137&gt;=$J$1,0,1)),0)</f>
        <v>0</v>
      </c>
      <c r="H73">
        <f>IF($D73=1,IF(GDP_per_cap!D137&gt;'all_1961-1990'!$H$1,0,IF(UrbanPopRate!D137&gt;=$J$1,0,1)),0)</f>
        <v>0</v>
      </c>
      <c r="I73">
        <f>IF($D73=1,IF(GDP_per_cap!E137&gt;'all_1961-1990'!$H$1,0,IF(UrbanPopRate!E137&gt;=$J$1,0,1)),0)</f>
        <v>0</v>
      </c>
      <c r="J73">
        <f>IF($D73=1,IF(GDP_per_cap!F137&gt;'all_1961-1990'!$H$1,0,IF(UrbanPopRate!F137&gt;=$J$1,0,1)),0)</f>
        <v>0</v>
      </c>
      <c r="K73">
        <f>IF($D73=1,IF(GDP_per_cap!G137&gt;'all_1961-1990'!$H$1,0,IF(UrbanPopRate!G137&gt;=$J$1,0,1)),0)</f>
        <v>0</v>
      </c>
      <c r="L73">
        <f>IF($D73=1,IF(GDP_per_cap!H137&gt;'all_1961-1990'!$H$1,0,IF(UrbanPopRate!H137&gt;=$J$1,0,1)),0)</f>
        <v>0</v>
      </c>
      <c r="M73">
        <f>IF($D73=1,IF(GDP_per_cap!I137&gt;'all_1961-1990'!$H$1,0,IF(UrbanPopRate!I137&gt;=$J$1,0,1)),0)</f>
        <v>0</v>
      </c>
      <c r="N73">
        <f>IF($D73=1,IF(GDP_per_cap!J137&gt;'all_1961-1990'!$H$1,0,IF(UrbanPopRate!J137&gt;=$J$1,0,1)),0)</f>
        <v>0</v>
      </c>
      <c r="O73">
        <f>IF($D73=1,IF(GDP_per_cap!K137&gt;'all_1961-1990'!$H$1,0,IF(UrbanPopRate!K137&gt;=$J$1,0,1)),0)</f>
        <v>0</v>
      </c>
      <c r="P73">
        <f>IF($D73=1,IF(GDP_per_cap!L137&gt;'all_1961-1990'!$H$1,0,IF(UrbanPopRate!L137&gt;=$J$1,0,1)),0)</f>
        <v>0</v>
      </c>
      <c r="Q73">
        <f>IF($D73=1,IF(GDP_per_cap!M137&gt;'all_1961-1990'!$H$1,0,IF(UrbanPopRate!M137&gt;=$J$1,0,1)),0)</f>
        <v>0</v>
      </c>
      <c r="R73">
        <f>IF($D73=1,IF(GDP_per_cap!N137&gt;'all_1961-1990'!$H$1,0,IF(UrbanPopRate!N137&gt;=$J$1,0,1)),0)</f>
        <v>0</v>
      </c>
      <c r="S73">
        <f>IF($D73=1,IF(GDP_per_cap!O137&gt;'all_1961-1990'!$H$1,0,IF(UrbanPopRate!O137&gt;=$J$1,0,1)),0)</f>
        <v>0</v>
      </c>
      <c r="T73">
        <f>IF($D73=1,IF(GDP_per_cap!P137&gt;'all_1961-1990'!$H$1,0,IF(UrbanPopRate!P137&gt;=$J$1,0,1)),0)</f>
        <v>0</v>
      </c>
      <c r="U73">
        <f>IF($D73=1,IF(GDP_per_cap!Q137&gt;'all_1961-1990'!$H$1,0,IF(UrbanPopRate!Q137&gt;=$J$1,0,1)),0)</f>
        <v>0</v>
      </c>
      <c r="V73">
        <f>IF($D73=1,IF(GDP_per_cap!R137&gt;'all_1961-1990'!$H$1,0,IF(UrbanPopRate!R137&gt;=$J$1,0,1)),0)</f>
        <v>0</v>
      </c>
      <c r="W73">
        <f>IF($D73=1,IF(GDP_per_cap!S137&gt;'all_1961-1990'!$H$1,0,IF(UrbanPopRate!S137&gt;=$J$1,0,1)),0)</f>
        <v>0</v>
      </c>
      <c r="X73">
        <f>IF($D73=1,IF(GDP_per_cap!T137&gt;'all_1961-1990'!$H$1,0,IF(UrbanPopRate!T137&gt;=$J$1,0,1)),0)</f>
        <v>0</v>
      </c>
      <c r="Y73">
        <f>IF($D73=1,IF(GDP_per_cap!U137&gt;'all_1961-1990'!$H$1,0,IF(UrbanPopRate!U137&gt;=$J$1,0,1)),0)</f>
        <v>0</v>
      </c>
      <c r="Z73">
        <f>IF($D73=1,IF(GDP_per_cap!V137&gt;'all_1961-1990'!$H$1,0,IF(UrbanPopRate!V137&gt;=$J$1,0,1)),0)</f>
        <v>0</v>
      </c>
      <c r="AA73">
        <f>IF($D73=1,IF(GDP_per_cap!W137&gt;'all_1961-1990'!$H$1,0,IF(UrbanPopRate!W137&gt;=$J$1,0,1)),0)</f>
        <v>0</v>
      </c>
      <c r="AB73">
        <f>IF($D73=1,IF(GDP_per_cap!X137&gt;'all_1961-1990'!$H$1,0,IF(UrbanPopRate!X137&gt;=$J$1,0,1)),0)</f>
        <v>0</v>
      </c>
      <c r="AC73">
        <f>IF($D73=1,IF(GDP_per_cap!Y137&gt;'all_1961-1990'!$H$1,0,IF(UrbanPopRate!Y137&gt;=$J$1,0,1)),0)</f>
        <v>0</v>
      </c>
      <c r="AD73">
        <f>IF($D73=1,IF(GDP_per_cap!Z137&gt;'all_1961-1990'!$H$1,0,IF(UrbanPopRate!Z137&gt;=$J$1,0,1)),0)</f>
        <v>0</v>
      </c>
      <c r="AE73">
        <f>IF($D73=1,IF(GDP_per_cap!AA137&gt;'all_1961-1990'!$H$1,0,IF(UrbanPopRate!AA137&gt;=$J$1,0,1)),0)</f>
        <v>0</v>
      </c>
      <c r="AF73">
        <f>IF($D73=1,IF(GDP_per_cap!AB137&gt;'all_1961-1990'!$H$1,0,IF(UrbanPopRate!AB137&gt;=$J$1,0,1)),0)</f>
        <v>0</v>
      </c>
      <c r="AG73">
        <f>IF($D73=1,IF(GDP_per_cap!AC137&gt;'all_1961-1990'!$H$1,0,IF(UrbanPopRate!AC137&gt;=$J$1,0,1)),0)</f>
        <v>0</v>
      </c>
      <c r="AH73">
        <f>IF($D73=1,IF(GDP_per_cap!AD137&gt;'all_1961-1990'!$H$1,0,IF(UrbanPopRate!AD137&gt;=$J$1,0,1)),0)</f>
        <v>0</v>
      </c>
      <c r="AI73">
        <f>IF($D73=1,IF(GDP_per_cap!AE137&gt;'all_1961-1990'!$H$1,0,IF(UrbanPopRate!AE137&gt;=$J$1,0,1)),0)</f>
        <v>0</v>
      </c>
      <c r="AJ73">
        <f>IF($D73=1,IF(GDP_per_cap!AF137&gt;'all_1961-1990'!$H$1,0,IF(UrbanPopRate!AF137&gt;=$J$1,0,1)),0)</f>
        <v>0</v>
      </c>
      <c r="AK73">
        <f>IF($D73=1,IF(GDP_per_cap!AG137&gt;'all_1961-1990'!$H$1,0,IF(UrbanPopRate!AG137&gt;=$J$1,0,1)),0)</f>
        <v>0</v>
      </c>
      <c r="AL73">
        <f>IF($D73=1,IF(GDP_per_cap!AH137&gt;'all_1961-1990'!$H$1,0,IF(UrbanPopRate!AH137&gt;=$J$1,0,1)),0)</f>
        <v>0</v>
      </c>
      <c r="AM73">
        <f>IF($D73=1,IF(GDP_per_cap!AI137&gt;'all_1961-1990'!$H$1,0,IF(UrbanPopRate!AI137&gt;=$J$1,0,1)),0)</f>
        <v>0</v>
      </c>
      <c r="AN73">
        <f>IF($D73=1,IF(GDP_per_cap!AJ137&gt;'all_1961-1990'!$H$1,0,IF(UrbanPopRate!AJ137&gt;=$J$1,0,1)),0)</f>
        <v>0</v>
      </c>
      <c r="AO73">
        <f>IF($D73=1,IF(GDP_per_cap!AK137&gt;'all_1961-1990'!$H$1,0,IF(UrbanPopRate!AK137&gt;=$J$1,0,1)),0)</f>
        <v>0</v>
      </c>
      <c r="AP73">
        <f>IF($D73=1,IF(GDP_per_cap!AL137&gt;'all_1961-1990'!$H$1,0,IF(UrbanPopRate!AL137&gt;=$J$1,0,1)),0)</f>
        <v>0</v>
      </c>
      <c r="AQ73">
        <f>IF($D73=1,IF(GDP_per_cap!AM137&gt;'all_1961-1990'!$H$1,0,IF(UrbanPopRate!AM137&gt;=$J$1,0,1)),0)</f>
        <v>0</v>
      </c>
      <c r="AR73">
        <f>IF($D73=1,IF(GDP_per_cap!AN137&gt;'all_1961-1990'!$H$1,0,IF(UrbanPopRate!AN137&gt;=$J$1,0,1)),0)</f>
        <v>0</v>
      </c>
      <c r="AS73">
        <f>IF($D73=1,IF(GDP_per_cap!AO137&gt;'all_1961-1990'!$H$1,0,IF(UrbanPopRate!AO137&gt;=$J$1,0,1)),0)</f>
        <v>0</v>
      </c>
      <c r="AT73">
        <f>IF($D73=1,IF(GDP_per_cap!AP137&gt;'all_1961-1990'!$H$1,0,IF(UrbanPopRate!AP137&gt;=$J$1,0,1)),0)</f>
        <v>0</v>
      </c>
      <c r="AU73">
        <f>IF($D73=1,IF(GDP_per_cap!AQ137&gt;'all_1961-1990'!$H$1,0,IF(UrbanPopRate!AQ137&gt;=$J$1,0,1)),0)</f>
        <v>0</v>
      </c>
      <c r="AV73">
        <f>IF($D73=1,IF(GDP_per_cap!AR137&gt;'all_1961-1990'!$H$1,0,IF(UrbanPopRate!AR137&gt;=$J$1,0,1)),0)</f>
        <v>0</v>
      </c>
      <c r="AW73">
        <f>IF($D73=1,IF(GDP_per_cap!AS137&gt;'all_1961-1990'!$H$1,0,IF(UrbanPopRate!AS137&gt;=$J$1,0,1)),0)</f>
        <v>0</v>
      </c>
      <c r="AX73">
        <f>IF($D73=1,IF(GDP_per_cap!AT137&gt;'all_1961-1990'!$H$1,0,IF(UrbanPopRate!AT137&gt;=$J$1,0,1)),0)</f>
        <v>0</v>
      </c>
      <c r="AY73">
        <f>IF($D73=1,IF(GDP_per_cap!AU137&gt;'all_1961-1990'!$H$1,0,IF(UrbanPopRate!AU137&gt;=$J$1,0,1)),0)</f>
        <v>0</v>
      </c>
      <c r="AZ73">
        <f>IF($D73=1,IF(GDP_per_cap!AV137&gt;'all_1961-1990'!$H$1,0,IF(UrbanPopRate!AV137&gt;=$J$1,0,1)),0)</f>
        <v>0</v>
      </c>
      <c r="BA73">
        <f>IF($D73=1,IF(GDP_per_cap!AW137&gt;'all_1961-1990'!$H$1,0,IF(UrbanPopRate!AW137&gt;=$J$1,0,1)),0)</f>
        <v>0</v>
      </c>
      <c r="BB73">
        <f>IF($D73=1,IF(GDP_per_cap!AX137&gt;'all_1961-1990'!$H$1,0,IF(UrbanPopRate!AX137&gt;=$J$1,0,1)),0)</f>
        <v>0</v>
      </c>
      <c r="BC73">
        <f>IF($D73=1,IF(GDP_per_cap!AY137&gt;'all_1961-1990'!$H$1,0,IF(UrbanPopRate!AY137&gt;=$J$1,0,1)),0)</f>
        <v>0</v>
      </c>
      <c r="BD73">
        <f>IF($D73=1,IF(GDP_per_cap!AZ137&gt;'all_1961-1990'!$H$1,0,IF(UrbanPopRate!AZ137&gt;=$J$1,0,1)),0)</f>
        <v>0</v>
      </c>
      <c r="BE73">
        <f>IF($D73=1,IF(GDP_per_cap!BA137&gt;'all_1961-1990'!$H$1,0,IF(UrbanPopRate!BA137&gt;=$J$1,0,1)),0)</f>
        <v>0</v>
      </c>
      <c r="BF73">
        <f>IF($D73=1,IF(GDP_per_cap!BB137&gt;'all_1961-1990'!$H$1,0,IF(UrbanPopRate!BB137&gt;=$J$1,0,1)),0)</f>
        <v>0</v>
      </c>
    </row>
    <row r="74" spans="1:58">
      <c r="A74" s="3">
        <v>45</v>
      </c>
      <c r="B74" s="3" t="s">
        <v>127</v>
      </c>
      <c r="C74" s="2">
        <v>2</v>
      </c>
      <c r="D74" s="35">
        <v>0</v>
      </c>
      <c r="E74" s="2">
        <v>19.577400000000001</v>
      </c>
      <c r="F74" s="36">
        <v>836.71728459999997</v>
      </c>
      <c r="G74">
        <f>IF($D74=1,IF(GDP_per_cap!C29&gt;'all_1961-1990'!$H$1,0,IF(UrbanPopRate!C29&gt;=$J$1,0,1)),0)</f>
        <v>0</v>
      </c>
      <c r="H74">
        <f>IF($D74=1,IF(GDP_per_cap!D29&gt;'all_1961-1990'!$H$1,0,IF(UrbanPopRate!D29&gt;=$J$1,0,1)),0)</f>
        <v>0</v>
      </c>
      <c r="I74">
        <f>IF($D74=1,IF(GDP_per_cap!E29&gt;'all_1961-1990'!$H$1,0,IF(UrbanPopRate!E29&gt;=$J$1,0,1)),0)</f>
        <v>0</v>
      </c>
      <c r="J74">
        <f>IF($D74=1,IF(GDP_per_cap!F29&gt;'all_1961-1990'!$H$1,0,IF(UrbanPopRate!F29&gt;=$J$1,0,1)),0)</f>
        <v>0</v>
      </c>
      <c r="K74">
        <f>IF($D74=1,IF(GDP_per_cap!G29&gt;'all_1961-1990'!$H$1,0,IF(UrbanPopRate!G29&gt;=$J$1,0,1)),0)</f>
        <v>0</v>
      </c>
      <c r="L74">
        <f>IF($D74=1,IF(GDP_per_cap!H29&gt;'all_1961-1990'!$H$1,0,IF(UrbanPopRate!H29&gt;=$J$1,0,1)),0)</f>
        <v>0</v>
      </c>
      <c r="M74">
        <f>IF($D74=1,IF(GDP_per_cap!I29&gt;'all_1961-1990'!$H$1,0,IF(UrbanPopRate!I29&gt;=$J$1,0,1)),0)</f>
        <v>0</v>
      </c>
      <c r="N74">
        <f>IF($D74=1,IF(GDP_per_cap!J29&gt;'all_1961-1990'!$H$1,0,IF(UrbanPopRate!J29&gt;=$J$1,0,1)),0)</f>
        <v>0</v>
      </c>
      <c r="O74">
        <f>IF($D74=1,IF(GDP_per_cap!K29&gt;'all_1961-1990'!$H$1,0,IF(UrbanPopRate!K29&gt;=$J$1,0,1)),0)</f>
        <v>0</v>
      </c>
      <c r="P74">
        <f>IF($D74=1,IF(GDP_per_cap!L29&gt;'all_1961-1990'!$H$1,0,IF(UrbanPopRate!L29&gt;=$J$1,0,1)),0)</f>
        <v>0</v>
      </c>
      <c r="Q74">
        <f>IF($D74=1,IF(GDP_per_cap!M29&gt;'all_1961-1990'!$H$1,0,IF(UrbanPopRate!M29&gt;=$J$1,0,1)),0)</f>
        <v>0</v>
      </c>
      <c r="R74">
        <f>IF($D74=1,IF(GDP_per_cap!N29&gt;'all_1961-1990'!$H$1,0,IF(UrbanPopRate!N29&gt;=$J$1,0,1)),0)</f>
        <v>0</v>
      </c>
      <c r="S74">
        <f>IF($D74=1,IF(GDP_per_cap!O29&gt;'all_1961-1990'!$H$1,0,IF(UrbanPopRate!O29&gt;=$J$1,0,1)),0)</f>
        <v>0</v>
      </c>
      <c r="T74">
        <f>IF($D74=1,IF(GDP_per_cap!P29&gt;'all_1961-1990'!$H$1,0,IF(UrbanPopRate!P29&gt;=$J$1,0,1)),0)</f>
        <v>0</v>
      </c>
      <c r="U74">
        <f>IF($D74=1,IF(GDP_per_cap!Q29&gt;'all_1961-1990'!$H$1,0,IF(UrbanPopRate!Q29&gt;=$J$1,0,1)),0)</f>
        <v>0</v>
      </c>
      <c r="V74">
        <f>IF($D74=1,IF(GDP_per_cap!R29&gt;'all_1961-1990'!$H$1,0,IF(UrbanPopRate!R29&gt;=$J$1,0,1)),0)</f>
        <v>0</v>
      </c>
      <c r="W74">
        <f>IF($D74=1,IF(GDP_per_cap!S29&gt;'all_1961-1990'!$H$1,0,IF(UrbanPopRate!S29&gt;=$J$1,0,1)),0)</f>
        <v>0</v>
      </c>
      <c r="X74">
        <f>IF($D74=1,IF(GDP_per_cap!T29&gt;'all_1961-1990'!$H$1,0,IF(UrbanPopRate!T29&gt;=$J$1,0,1)),0)</f>
        <v>0</v>
      </c>
      <c r="Y74">
        <f>IF($D74=1,IF(GDP_per_cap!U29&gt;'all_1961-1990'!$H$1,0,IF(UrbanPopRate!U29&gt;=$J$1,0,1)),0)</f>
        <v>0</v>
      </c>
      <c r="Z74">
        <f>IF($D74=1,IF(GDP_per_cap!V29&gt;'all_1961-1990'!$H$1,0,IF(UrbanPopRate!V29&gt;=$J$1,0,1)),0)</f>
        <v>0</v>
      </c>
      <c r="AA74">
        <f>IF($D74=1,IF(GDP_per_cap!W29&gt;'all_1961-1990'!$H$1,0,IF(UrbanPopRate!W29&gt;=$J$1,0,1)),0)</f>
        <v>0</v>
      </c>
      <c r="AB74">
        <f>IF($D74=1,IF(GDP_per_cap!X29&gt;'all_1961-1990'!$H$1,0,IF(UrbanPopRate!X29&gt;=$J$1,0,1)),0)</f>
        <v>0</v>
      </c>
      <c r="AC74">
        <f>IF($D74=1,IF(GDP_per_cap!Y29&gt;'all_1961-1990'!$H$1,0,IF(UrbanPopRate!Y29&gt;=$J$1,0,1)),0)</f>
        <v>0</v>
      </c>
      <c r="AD74">
        <f>IF($D74=1,IF(GDP_per_cap!Z29&gt;'all_1961-1990'!$H$1,0,IF(UrbanPopRate!Z29&gt;=$J$1,0,1)),0)</f>
        <v>0</v>
      </c>
      <c r="AE74">
        <f>IF($D74=1,IF(GDP_per_cap!AA29&gt;'all_1961-1990'!$H$1,0,IF(UrbanPopRate!AA29&gt;=$J$1,0,1)),0)</f>
        <v>0</v>
      </c>
      <c r="AF74">
        <f>IF($D74=1,IF(GDP_per_cap!AB29&gt;'all_1961-1990'!$H$1,0,IF(UrbanPopRate!AB29&gt;=$J$1,0,1)),0)</f>
        <v>0</v>
      </c>
      <c r="AG74">
        <f>IF($D74=1,IF(GDP_per_cap!AC29&gt;'all_1961-1990'!$H$1,0,IF(UrbanPopRate!AC29&gt;=$J$1,0,1)),0)</f>
        <v>0</v>
      </c>
      <c r="AH74">
        <f>IF($D74=1,IF(GDP_per_cap!AD29&gt;'all_1961-1990'!$H$1,0,IF(UrbanPopRate!AD29&gt;=$J$1,0,1)),0)</f>
        <v>0</v>
      </c>
      <c r="AI74">
        <f>IF($D74=1,IF(GDP_per_cap!AE29&gt;'all_1961-1990'!$H$1,0,IF(UrbanPopRate!AE29&gt;=$J$1,0,1)),0)</f>
        <v>0</v>
      </c>
      <c r="AJ74">
        <f>IF($D74=1,IF(GDP_per_cap!AF29&gt;'all_1961-1990'!$H$1,0,IF(UrbanPopRate!AF29&gt;=$J$1,0,1)),0)</f>
        <v>0</v>
      </c>
      <c r="AK74">
        <f>IF($D74=1,IF(GDP_per_cap!AG29&gt;'all_1961-1990'!$H$1,0,IF(UrbanPopRate!AG29&gt;=$J$1,0,1)),0)</f>
        <v>0</v>
      </c>
      <c r="AL74">
        <f>IF($D74=1,IF(GDP_per_cap!AH29&gt;'all_1961-1990'!$H$1,0,IF(UrbanPopRate!AH29&gt;=$J$1,0,1)),0)</f>
        <v>0</v>
      </c>
      <c r="AM74">
        <f>IF($D74=1,IF(GDP_per_cap!AI29&gt;'all_1961-1990'!$H$1,0,IF(UrbanPopRate!AI29&gt;=$J$1,0,1)),0)</f>
        <v>0</v>
      </c>
      <c r="AN74">
        <f>IF($D74=1,IF(GDP_per_cap!AJ29&gt;'all_1961-1990'!$H$1,0,IF(UrbanPopRate!AJ29&gt;=$J$1,0,1)),0)</f>
        <v>0</v>
      </c>
      <c r="AO74">
        <f>IF($D74=1,IF(GDP_per_cap!AK29&gt;'all_1961-1990'!$H$1,0,IF(UrbanPopRate!AK29&gt;=$J$1,0,1)),0)</f>
        <v>0</v>
      </c>
      <c r="AP74">
        <f>IF($D74=1,IF(GDP_per_cap!AL29&gt;'all_1961-1990'!$H$1,0,IF(UrbanPopRate!AL29&gt;=$J$1,0,1)),0)</f>
        <v>0</v>
      </c>
      <c r="AQ74">
        <f>IF($D74=1,IF(GDP_per_cap!AM29&gt;'all_1961-1990'!$H$1,0,IF(UrbanPopRate!AM29&gt;=$J$1,0,1)),0)</f>
        <v>0</v>
      </c>
      <c r="AR74">
        <f>IF($D74=1,IF(GDP_per_cap!AN29&gt;'all_1961-1990'!$H$1,0,IF(UrbanPopRate!AN29&gt;=$J$1,0,1)),0)</f>
        <v>0</v>
      </c>
      <c r="AS74">
        <f>IF($D74=1,IF(GDP_per_cap!AO29&gt;'all_1961-1990'!$H$1,0,IF(UrbanPopRate!AO29&gt;=$J$1,0,1)),0)</f>
        <v>0</v>
      </c>
      <c r="AT74">
        <f>IF($D74=1,IF(GDP_per_cap!AP29&gt;'all_1961-1990'!$H$1,0,IF(UrbanPopRate!AP29&gt;=$J$1,0,1)),0)</f>
        <v>0</v>
      </c>
      <c r="AU74">
        <f>IF($D74=1,IF(GDP_per_cap!AQ29&gt;'all_1961-1990'!$H$1,0,IF(UrbanPopRate!AQ29&gt;=$J$1,0,1)),0)</f>
        <v>0</v>
      </c>
      <c r="AV74">
        <f>IF($D74=1,IF(GDP_per_cap!AR29&gt;'all_1961-1990'!$H$1,0,IF(UrbanPopRate!AR29&gt;=$J$1,0,1)),0)</f>
        <v>0</v>
      </c>
      <c r="AW74">
        <f>IF($D74=1,IF(GDP_per_cap!AS29&gt;'all_1961-1990'!$H$1,0,IF(UrbanPopRate!AS29&gt;=$J$1,0,1)),0)</f>
        <v>0</v>
      </c>
      <c r="AX74">
        <f>IF($D74=1,IF(GDP_per_cap!AT29&gt;'all_1961-1990'!$H$1,0,IF(UrbanPopRate!AT29&gt;=$J$1,0,1)),0)</f>
        <v>0</v>
      </c>
      <c r="AY74">
        <f>IF($D74=1,IF(GDP_per_cap!AU29&gt;'all_1961-1990'!$H$1,0,IF(UrbanPopRate!AU29&gt;=$J$1,0,1)),0)</f>
        <v>0</v>
      </c>
      <c r="AZ74">
        <f>IF($D74=1,IF(GDP_per_cap!AV29&gt;'all_1961-1990'!$H$1,0,IF(UrbanPopRate!AV29&gt;=$J$1,0,1)),0)</f>
        <v>0</v>
      </c>
      <c r="BA74">
        <f>IF($D74=1,IF(GDP_per_cap!AW29&gt;'all_1961-1990'!$H$1,0,IF(UrbanPopRate!AW29&gt;=$J$1,0,1)),0)</f>
        <v>0</v>
      </c>
      <c r="BB74">
        <f>IF($D74=1,IF(GDP_per_cap!AX29&gt;'all_1961-1990'!$H$1,0,IF(UrbanPopRate!AX29&gt;=$J$1,0,1)),0)</f>
        <v>0</v>
      </c>
      <c r="BC74">
        <f>IF($D74=1,IF(GDP_per_cap!AY29&gt;'all_1961-1990'!$H$1,0,IF(UrbanPopRate!AY29&gt;=$J$1,0,1)),0)</f>
        <v>0</v>
      </c>
      <c r="BD74">
        <f>IF($D74=1,IF(GDP_per_cap!AZ29&gt;'all_1961-1990'!$H$1,0,IF(UrbanPopRate!AZ29&gt;=$J$1,0,1)),0)</f>
        <v>0</v>
      </c>
      <c r="BE74">
        <f>IF($D74=1,IF(GDP_per_cap!BA29&gt;'all_1961-1990'!$H$1,0,IF(UrbanPopRate!BA29&gt;=$J$1,0,1)),0)</f>
        <v>0</v>
      </c>
      <c r="BF74">
        <f>IF($D74=1,IF(GDP_per_cap!BB29&gt;'all_1961-1990'!$H$1,0,IF(UrbanPopRate!BB29&gt;=$J$1,0,1)),0)</f>
        <v>0</v>
      </c>
    </row>
    <row r="75" spans="1:58">
      <c r="A75" s="3">
        <v>236</v>
      </c>
      <c r="B75" s="3" t="s">
        <v>3</v>
      </c>
      <c r="C75" s="2">
        <v>2</v>
      </c>
      <c r="D75" s="35">
        <v>0</v>
      </c>
      <c r="E75" s="2">
        <v>18.390666666666664</v>
      </c>
      <c r="F75" s="36">
        <v>833.4864129</v>
      </c>
      <c r="G75">
        <f>IF($D75=1,IF(GDP_per_cap!C153&gt;'all_1961-1990'!$H$1,0,IF(UrbanPopRate!C153&gt;=$J$1,0,1)),0)</f>
        <v>0</v>
      </c>
      <c r="H75">
        <f>IF($D75=1,IF(GDP_per_cap!D153&gt;'all_1961-1990'!$H$1,0,IF(UrbanPopRate!D153&gt;=$J$1,0,1)),0)</f>
        <v>0</v>
      </c>
      <c r="I75">
        <f>IF($D75=1,IF(GDP_per_cap!E153&gt;'all_1961-1990'!$H$1,0,IF(UrbanPopRate!E153&gt;=$J$1,0,1)),0)</f>
        <v>0</v>
      </c>
      <c r="J75">
        <f>IF($D75=1,IF(GDP_per_cap!F153&gt;'all_1961-1990'!$H$1,0,IF(UrbanPopRate!F153&gt;=$J$1,0,1)),0)</f>
        <v>0</v>
      </c>
      <c r="K75">
        <f>IF($D75=1,IF(GDP_per_cap!G153&gt;'all_1961-1990'!$H$1,0,IF(UrbanPopRate!G153&gt;=$J$1,0,1)),0)</f>
        <v>0</v>
      </c>
      <c r="L75">
        <f>IF($D75=1,IF(GDP_per_cap!H153&gt;'all_1961-1990'!$H$1,0,IF(UrbanPopRate!H153&gt;=$J$1,0,1)),0)</f>
        <v>0</v>
      </c>
      <c r="M75">
        <f>IF($D75=1,IF(GDP_per_cap!I153&gt;'all_1961-1990'!$H$1,0,IF(UrbanPopRate!I153&gt;=$J$1,0,1)),0)</f>
        <v>0</v>
      </c>
      <c r="N75">
        <f>IF($D75=1,IF(GDP_per_cap!J153&gt;'all_1961-1990'!$H$1,0,IF(UrbanPopRate!J153&gt;=$J$1,0,1)),0)</f>
        <v>0</v>
      </c>
      <c r="O75">
        <f>IF($D75=1,IF(GDP_per_cap!K153&gt;'all_1961-1990'!$H$1,0,IF(UrbanPopRate!K153&gt;=$J$1,0,1)),0)</f>
        <v>0</v>
      </c>
      <c r="P75">
        <f>IF($D75=1,IF(GDP_per_cap!L153&gt;'all_1961-1990'!$H$1,0,IF(UrbanPopRate!L153&gt;=$J$1,0,1)),0)</f>
        <v>0</v>
      </c>
      <c r="Q75">
        <f>IF($D75=1,IF(GDP_per_cap!M153&gt;'all_1961-1990'!$H$1,0,IF(UrbanPopRate!M153&gt;=$J$1,0,1)),0)</f>
        <v>0</v>
      </c>
      <c r="R75">
        <f>IF($D75=1,IF(GDP_per_cap!N153&gt;'all_1961-1990'!$H$1,0,IF(UrbanPopRate!N153&gt;=$J$1,0,1)),0)</f>
        <v>0</v>
      </c>
      <c r="S75">
        <f>IF($D75=1,IF(GDP_per_cap!O153&gt;'all_1961-1990'!$H$1,0,IF(UrbanPopRate!O153&gt;=$J$1,0,1)),0)</f>
        <v>0</v>
      </c>
      <c r="T75">
        <f>IF($D75=1,IF(GDP_per_cap!P153&gt;'all_1961-1990'!$H$1,0,IF(UrbanPopRate!P153&gt;=$J$1,0,1)),0)</f>
        <v>0</v>
      </c>
      <c r="U75">
        <f>IF($D75=1,IF(GDP_per_cap!Q153&gt;'all_1961-1990'!$H$1,0,IF(UrbanPopRate!Q153&gt;=$J$1,0,1)),0)</f>
        <v>0</v>
      </c>
      <c r="V75">
        <f>IF($D75=1,IF(GDP_per_cap!R153&gt;'all_1961-1990'!$H$1,0,IF(UrbanPopRate!R153&gt;=$J$1,0,1)),0)</f>
        <v>0</v>
      </c>
      <c r="W75">
        <f>IF($D75=1,IF(GDP_per_cap!S153&gt;'all_1961-1990'!$H$1,0,IF(UrbanPopRate!S153&gt;=$J$1,0,1)),0)</f>
        <v>0</v>
      </c>
      <c r="X75">
        <f>IF($D75=1,IF(GDP_per_cap!T153&gt;'all_1961-1990'!$H$1,0,IF(UrbanPopRate!T153&gt;=$J$1,0,1)),0)</f>
        <v>0</v>
      </c>
      <c r="Y75">
        <f>IF($D75=1,IF(GDP_per_cap!U153&gt;'all_1961-1990'!$H$1,0,IF(UrbanPopRate!U153&gt;=$J$1,0,1)),0)</f>
        <v>0</v>
      </c>
      <c r="Z75">
        <f>IF($D75=1,IF(GDP_per_cap!V153&gt;'all_1961-1990'!$H$1,0,IF(UrbanPopRate!V153&gt;=$J$1,0,1)),0)</f>
        <v>0</v>
      </c>
      <c r="AA75">
        <f>IF($D75=1,IF(GDP_per_cap!W153&gt;'all_1961-1990'!$H$1,0,IF(UrbanPopRate!W153&gt;=$J$1,0,1)),0)</f>
        <v>0</v>
      </c>
      <c r="AB75">
        <f>IF($D75=1,IF(GDP_per_cap!X153&gt;'all_1961-1990'!$H$1,0,IF(UrbanPopRate!X153&gt;=$J$1,0,1)),0)</f>
        <v>0</v>
      </c>
      <c r="AC75">
        <f>IF($D75=1,IF(GDP_per_cap!Y153&gt;'all_1961-1990'!$H$1,0,IF(UrbanPopRate!Y153&gt;=$J$1,0,1)),0)</f>
        <v>0</v>
      </c>
      <c r="AD75">
        <f>IF($D75=1,IF(GDP_per_cap!Z153&gt;'all_1961-1990'!$H$1,0,IF(UrbanPopRate!Z153&gt;=$J$1,0,1)),0)</f>
        <v>0</v>
      </c>
      <c r="AE75">
        <f>IF($D75=1,IF(GDP_per_cap!AA153&gt;'all_1961-1990'!$H$1,0,IF(UrbanPopRate!AA153&gt;=$J$1,0,1)),0)</f>
        <v>0</v>
      </c>
      <c r="AF75">
        <f>IF($D75=1,IF(GDP_per_cap!AB153&gt;'all_1961-1990'!$H$1,0,IF(UrbanPopRate!AB153&gt;=$J$1,0,1)),0)</f>
        <v>0</v>
      </c>
      <c r="AG75">
        <f>IF($D75=1,IF(GDP_per_cap!AC153&gt;'all_1961-1990'!$H$1,0,IF(UrbanPopRate!AC153&gt;=$J$1,0,1)),0)</f>
        <v>0</v>
      </c>
      <c r="AH75">
        <f>IF($D75=1,IF(GDP_per_cap!AD153&gt;'all_1961-1990'!$H$1,0,IF(UrbanPopRate!AD153&gt;=$J$1,0,1)),0)</f>
        <v>0</v>
      </c>
      <c r="AI75">
        <f>IF($D75=1,IF(GDP_per_cap!AE153&gt;'all_1961-1990'!$H$1,0,IF(UrbanPopRate!AE153&gt;=$J$1,0,1)),0)</f>
        <v>0</v>
      </c>
      <c r="AJ75">
        <f>IF($D75=1,IF(GDP_per_cap!AF153&gt;'all_1961-1990'!$H$1,0,IF(UrbanPopRate!AF153&gt;=$J$1,0,1)),0)</f>
        <v>0</v>
      </c>
      <c r="AK75">
        <f>IF($D75=1,IF(GDP_per_cap!AG153&gt;'all_1961-1990'!$H$1,0,IF(UrbanPopRate!AG153&gt;=$J$1,0,1)),0)</f>
        <v>0</v>
      </c>
      <c r="AL75">
        <f>IF($D75=1,IF(GDP_per_cap!AH153&gt;'all_1961-1990'!$H$1,0,IF(UrbanPopRate!AH153&gt;=$J$1,0,1)),0)</f>
        <v>0</v>
      </c>
      <c r="AM75">
        <f>IF($D75=1,IF(GDP_per_cap!AI153&gt;'all_1961-1990'!$H$1,0,IF(UrbanPopRate!AI153&gt;=$J$1,0,1)),0)</f>
        <v>0</v>
      </c>
      <c r="AN75">
        <f>IF($D75=1,IF(GDP_per_cap!AJ153&gt;'all_1961-1990'!$H$1,0,IF(UrbanPopRate!AJ153&gt;=$J$1,0,1)),0)</f>
        <v>0</v>
      </c>
      <c r="AO75">
        <f>IF($D75=1,IF(GDP_per_cap!AK153&gt;'all_1961-1990'!$H$1,0,IF(UrbanPopRate!AK153&gt;=$J$1,0,1)),0)</f>
        <v>0</v>
      </c>
      <c r="AP75">
        <f>IF($D75=1,IF(GDP_per_cap!AL153&gt;'all_1961-1990'!$H$1,0,IF(UrbanPopRate!AL153&gt;=$J$1,0,1)),0)</f>
        <v>0</v>
      </c>
      <c r="AQ75">
        <f>IF($D75=1,IF(GDP_per_cap!AM153&gt;'all_1961-1990'!$H$1,0,IF(UrbanPopRate!AM153&gt;=$J$1,0,1)),0)</f>
        <v>0</v>
      </c>
      <c r="AR75">
        <f>IF($D75=1,IF(GDP_per_cap!AN153&gt;'all_1961-1990'!$H$1,0,IF(UrbanPopRate!AN153&gt;=$J$1,0,1)),0)</f>
        <v>0</v>
      </c>
      <c r="AS75">
        <f>IF($D75=1,IF(GDP_per_cap!AO153&gt;'all_1961-1990'!$H$1,0,IF(UrbanPopRate!AO153&gt;=$J$1,0,1)),0)</f>
        <v>0</v>
      </c>
      <c r="AT75">
        <f>IF($D75=1,IF(GDP_per_cap!AP153&gt;'all_1961-1990'!$H$1,0,IF(UrbanPopRate!AP153&gt;=$J$1,0,1)),0)</f>
        <v>0</v>
      </c>
      <c r="AU75">
        <f>IF($D75=1,IF(GDP_per_cap!AQ153&gt;'all_1961-1990'!$H$1,0,IF(UrbanPopRate!AQ153&gt;=$J$1,0,1)),0)</f>
        <v>0</v>
      </c>
      <c r="AV75">
        <f>IF($D75=1,IF(GDP_per_cap!AR153&gt;'all_1961-1990'!$H$1,0,IF(UrbanPopRate!AR153&gt;=$J$1,0,1)),0)</f>
        <v>0</v>
      </c>
      <c r="AW75">
        <f>IF($D75=1,IF(GDP_per_cap!AS153&gt;'all_1961-1990'!$H$1,0,IF(UrbanPopRate!AS153&gt;=$J$1,0,1)),0)</f>
        <v>0</v>
      </c>
      <c r="AX75">
        <f>IF($D75=1,IF(GDP_per_cap!AT153&gt;'all_1961-1990'!$H$1,0,IF(UrbanPopRate!AT153&gt;=$J$1,0,1)),0)</f>
        <v>0</v>
      </c>
      <c r="AY75">
        <f>IF($D75=1,IF(GDP_per_cap!AU153&gt;'all_1961-1990'!$H$1,0,IF(UrbanPopRate!AU153&gt;=$J$1,0,1)),0)</f>
        <v>0</v>
      </c>
      <c r="AZ75">
        <f>IF($D75=1,IF(GDP_per_cap!AV153&gt;'all_1961-1990'!$H$1,0,IF(UrbanPopRate!AV153&gt;=$J$1,0,1)),0)</f>
        <v>0</v>
      </c>
      <c r="BA75">
        <f>IF($D75=1,IF(GDP_per_cap!AW153&gt;'all_1961-1990'!$H$1,0,IF(UrbanPopRate!AW153&gt;=$J$1,0,1)),0)</f>
        <v>0</v>
      </c>
      <c r="BB75">
        <f>IF($D75=1,IF(GDP_per_cap!AX153&gt;'all_1961-1990'!$H$1,0,IF(UrbanPopRate!AX153&gt;=$J$1,0,1)),0)</f>
        <v>0</v>
      </c>
      <c r="BC75">
        <f>IF($D75=1,IF(GDP_per_cap!AY153&gt;'all_1961-1990'!$H$1,0,IF(UrbanPopRate!AY153&gt;=$J$1,0,1)),0)</f>
        <v>0</v>
      </c>
      <c r="BD75">
        <f>IF($D75=1,IF(GDP_per_cap!AZ153&gt;'all_1961-1990'!$H$1,0,IF(UrbanPopRate!AZ153&gt;=$J$1,0,1)),0)</f>
        <v>0</v>
      </c>
      <c r="BE75">
        <f>IF($D75=1,IF(GDP_per_cap!BA153&gt;'all_1961-1990'!$H$1,0,IF(UrbanPopRate!BA153&gt;=$J$1,0,1)),0)</f>
        <v>0</v>
      </c>
      <c r="BF75">
        <f>IF($D75=1,IF(GDP_per_cap!BB153&gt;'all_1961-1990'!$H$1,0,IF(UrbanPopRate!BB153&gt;=$J$1,0,1)),0)</f>
        <v>0</v>
      </c>
    </row>
    <row r="76" spans="1:58">
      <c r="A76" s="3">
        <v>182</v>
      </c>
      <c r="B76" s="3" t="s">
        <v>36</v>
      </c>
      <c r="C76" s="2">
        <v>2</v>
      </c>
      <c r="D76" s="35">
        <v>0</v>
      </c>
      <c r="E76" s="2">
        <v>3.9911000000000008</v>
      </c>
      <c r="F76" s="36">
        <v>786.26164070000004</v>
      </c>
      <c r="G76">
        <f>IF($D76=1,IF(GDP_per_cap!C120&gt;'all_1961-1990'!$H$1,0,IF(UrbanPopRate!C120&gt;=$J$1,0,1)),0)</f>
        <v>0</v>
      </c>
      <c r="H76">
        <f>IF($D76=1,IF(GDP_per_cap!D120&gt;'all_1961-1990'!$H$1,0,IF(UrbanPopRate!D120&gt;=$J$1,0,1)),0)</f>
        <v>0</v>
      </c>
      <c r="I76">
        <f>IF($D76=1,IF(GDP_per_cap!E120&gt;'all_1961-1990'!$H$1,0,IF(UrbanPopRate!E120&gt;=$J$1,0,1)),0)</f>
        <v>0</v>
      </c>
      <c r="J76">
        <f>IF($D76=1,IF(GDP_per_cap!F120&gt;'all_1961-1990'!$H$1,0,IF(UrbanPopRate!F120&gt;=$J$1,0,1)),0)</f>
        <v>0</v>
      </c>
      <c r="K76">
        <f>IF($D76=1,IF(GDP_per_cap!G120&gt;'all_1961-1990'!$H$1,0,IF(UrbanPopRate!G120&gt;=$J$1,0,1)),0)</f>
        <v>0</v>
      </c>
      <c r="L76">
        <f>IF($D76=1,IF(GDP_per_cap!H120&gt;'all_1961-1990'!$H$1,0,IF(UrbanPopRate!H120&gt;=$J$1,0,1)),0)</f>
        <v>0</v>
      </c>
      <c r="M76">
        <f>IF($D76=1,IF(GDP_per_cap!I120&gt;'all_1961-1990'!$H$1,0,IF(UrbanPopRate!I120&gt;=$J$1,0,1)),0)</f>
        <v>0</v>
      </c>
      <c r="N76">
        <f>IF($D76=1,IF(GDP_per_cap!J120&gt;'all_1961-1990'!$H$1,0,IF(UrbanPopRate!J120&gt;=$J$1,0,1)),0)</f>
        <v>0</v>
      </c>
      <c r="O76">
        <f>IF($D76=1,IF(GDP_per_cap!K120&gt;'all_1961-1990'!$H$1,0,IF(UrbanPopRate!K120&gt;=$J$1,0,1)),0)</f>
        <v>0</v>
      </c>
      <c r="P76">
        <f>IF($D76=1,IF(GDP_per_cap!L120&gt;'all_1961-1990'!$H$1,0,IF(UrbanPopRate!L120&gt;=$J$1,0,1)),0)</f>
        <v>0</v>
      </c>
      <c r="Q76">
        <f>IF($D76=1,IF(GDP_per_cap!M120&gt;'all_1961-1990'!$H$1,0,IF(UrbanPopRate!M120&gt;=$J$1,0,1)),0)</f>
        <v>0</v>
      </c>
      <c r="R76">
        <f>IF($D76=1,IF(GDP_per_cap!N120&gt;'all_1961-1990'!$H$1,0,IF(UrbanPopRate!N120&gt;=$J$1,0,1)),0)</f>
        <v>0</v>
      </c>
      <c r="S76">
        <f>IF($D76=1,IF(GDP_per_cap!O120&gt;'all_1961-1990'!$H$1,0,IF(UrbanPopRate!O120&gt;=$J$1,0,1)),0)</f>
        <v>0</v>
      </c>
      <c r="T76">
        <f>IF($D76=1,IF(GDP_per_cap!P120&gt;'all_1961-1990'!$H$1,0,IF(UrbanPopRate!P120&gt;=$J$1,0,1)),0)</f>
        <v>0</v>
      </c>
      <c r="U76">
        <f>IF($D76=1,IF(GDP_per_cap!Q120&gt;'all_1961-1990'!$H$1,0,IF(UrbanPopRate!Q120&gt;=$J$1,0,1)),0)</f>
        <v>0</v>
      </c>
      <c r="V76">
        <f>IF($D76=1,IF(GDP_per_cap!R120&gt;'all_1961-1990'!$H$1,0,IF(UrbanPopRate!R120&gt;=$J$1,0,1)),0)</f>
        <v>0</v>
      </c>
      <c r="W76">
        <f>IF($D76=1,IF(GDP_per_cap!S120&gt;'all_1961-1990'!$H$1,0,IF(UrbanPopRate!S120&gt;=$J$1,0,1)),0)</f>
        <v>0</v>
      </c>
      <c r="X76">
        <f>IF($D76=1,IF(GDP_per_cap!T120&gt;'all_1961-1990'!$H$1,0,IF(UrbanPopRate!T120&gt;=$J$1,0,1)),0)</f>
        <v>0</v>
      </c>
      <c r="Y76">
        <f>IF($D76=1,IF(GDP_per_cap!U120&gt;'all_1961-1990'!$H$1,0,IF(UrbanPopRate!U120&gt;=$J$1,0,1)),0)</f>
        <v>0</v>
      </c>
      <c r="Z76">
        <f>IF($D76=1,IF(GDP_per_cap!V120&gt;'all_1961-1990'!$H$1,0,IF(UrbanPopRate!V120&gt;=$J$1,0,1)),0)</f>
        <v>0</v>
      </c>
      <c r="AA76">
        <f>IF($D76=1,IF(GDP_per_cap!W120&gt;'all_1961-1990'!$H$1,0,IF(UrbanPopRate!W120&gt;=$J$1,0,1)),0)</f>
        <v>0</v>
      </c>
      <c r="AB76">
        <f>IF($D76=1,IF(GDP_per_cap!X120&gt;'all_1961-1990'!$H$1,0,IF(UrbanPopRate!X120&gt;=$J$1,0,1)),0)</f>
        <v>0</v>
      </c>
      <c r="AC76">
        <f>IF($D76=1,IF(GDP_per_cap!Y120&gt;'all_1961-1990'!$H$1,0,IF(UrbanPopRate!Y120&gt;=$J$1,0,1)),0)</f>
        <v>0</v>
      </c>
      <c r="AD76">
        <f>IF($D76=1,IF(GDP_per_cap!Z120&gt;'all_1961-1990'!$H$1,0,IF(UrbanPopRate!Z120&gt;=$J$1,0,1)),0)</f>
        <v>0</v>
      </c>
      <c r="AE76">
        <f>IF($D76=1,IF(GDP_per_cap!AA120&gt;'all_1961-1990'!$H$1,0,IF(UrbanPopRate!AA120&gt;=$J$1,0,1)),0)</f>
        <v>0</v>
      </c>
      <c r="AF76">
        <f>IF($D76=1,IF(GDP_per_cap!AB120&gt;'all_1961-1990'!$H$1,0,IF(UrbanPopRate!AB120&gt;=$J$1,0,1)),0)</f>
        <v>0</v>
      </c>
      <c r="AG76">
        <f>IF($D76=1,IF(GDP_per_cap!AC120&gt;'all_1961-1990'!$H$1,0,IF(UrbanPopRate!AC120&gt;=$J$1,0,1)),0)</f>
        <v>0</v>
      </c>
      <c r="AH76">
        <f>IF($D76=1,IF(GDP_per_cap!AD120&gt;'all_1961-1990'!$H$1,0,IF(UrbanPopRate!AD120&gt;=$J$1,0,1)),0)</f>
        <v>0</v>
      </c>
      <c r="AI76">
        <f>IF($D76=1,IF(GDP_per_cap!AE120&gt;'all_1961-1990'!$H$1,0,IF(UrbanPopRate!AE120&gt;=$J$1,0,1)),0)</f>
        <v>0</v>
      </c>
      <c r="AJ76">
        <f>IF($D76=1,IF(GDP_per_cap!AF120&gt;'all_1961-1990'!$H$1,0,IF(UrbanPopRate!AF120&gt;=$J$1,0,1)),0)</f>
        <v>0</v>
      </c>
      <c r="AK76">
        <f>IF($D76=1,IF(GDP_per_cap!AG120&gt;'all_1961-1990'!$H$1,0,IF(UrbanPopRate!AG120&gt;=$J$1,0,1)),0)</f>
        <v>0</v>
      </c>
      <c r="AL76">
        <f>IF($D76=1,IF(GDP_per_cap!AH120&gt;'all_1961-1990'!$H$1,0,IF(UrbanPopRate!AH120&gt;=$J$1,0,1)),0)</f>
        <v>0</v>
      </c>
      <c r="AM76">
        <f>IF($D76=1,IF(GDP_per_cap!AI120&gt;'all_1961-1990'!$H$1,0,IF(UrbanPopRate!AI120&gt;=$J$1,0,1)),0)</f>
        <v>0</v>
      </c>
      <c r="AN76">
        <f>IF($D76=1,IF(GDP_per_cap!AJ120&gt;'all_1961-1990'!$H$1,0,IF(UrbanPopRate!AJ120&gt;=$J$1,0,1)),0)</f>
        <v>0</v>
      </c>
      <c r="AO76">
        <f>IF($D76=1,IF(GDP_per_cap!AK120&gt;'all_1961-1990'!$H$1,0,IF(UrbanPopRate!AK120&gt;=$J$1,0,1)),0)</f>
        <v>0</v>
      </c>
      <c r="AP76">
        <f>IF($D76=1,IF(GDP_per_cap!AL120&gt;'all_1961-1990'!$H$1,0,IF(UrbanPopRate!AL120&gt;=$J$1,0,1)),0)</f>
        <v>0</v>
      </c>
      <c r="AQ76">
        <f>IF($D76=1,IF(GDP_per_cap!AM120&gt;'all_1961-1990'!$H$1,0,IF(UrbanPopRate!AM120&gt;=$J$1,0,1)),0)</f>
        <v>0</v>
      </c>
      <c r="AR76">
        <f>IF($D76=1,IF(GDP_per_cap!AN120&gt;'all_1961-1990'!$H$1,0,IF(UrbanPopRate!AN120&gt;=$J$1,0,1)),0)</f>
        <v>0</v>
      </c>
      <c r="AS76">
        <f>IF($D76=1,IF(GDP_per_cap!AO120&gt;'all_1961-1990'!$H$1,0,IF(UrbanPopRate!AO120&gt;=$J$1,0,1)),0)</f>
        <v>0</v>
      </c>
      <c r="AT76">
        <f>IF($D76=1,IF(GDP_per_cap!AP120&gt;'all_1961-1990'!$H$1,0,IF(UrbanPopRate!AP120&gt;=$J$1,0,1)),0)</f>
        <v>0</v>
      </c>
      <c r="AU76">
        <f>IF($D76=1,IF(GDP_per_cap!AQ120&gt;'all_1961-1990'!$H$1,0,IF(UrbanPopRate!AQ120&gt;=$J$1,0,1)),0)</f>
        <v>0</v>
      </c>
      <c r="AV76">
        <f>IF($D76=1,IF(GDP_per_cap!AR120&gt;'all_1961-1990'!$H$1,0,IF(UrbanPopRate!AR120&gt;=$J$1,0,1)),0)</f>
        <v>0</v>
      </c>
      <c r="AW76">
        <f>IF($D76=1,IF(GDP_per_cap!AS120&gt;'all_1961-1990'!$H$1,0,IF(UrbanPopRate!AS120&gt;=$J$1,0,1)),0)</f>
        <v>0</v>
      </c>
      <c r="AX76">
        <f>IF($D76=1,IF(GDP_per_cap!AT120&gt;'all_1961-1990'!$H$1,0,IF(UrbanPopRate!AT120&gt;=$J$1,0,1)),0)</f>
        <v>0</v>
      </c>
      <c r="AY76">
        <f>IF($D76=1,IF(GDP_per_cap!AU120&gt;'all_1961-1990'!$H$1,0,IF(UrbanPopRate!AU120&gt;=$J$1,0,1)),0)</f>
        <v>0</v>
      </c>
      <c r="AZ76">
        <f>IF($D76=1,IF(GDP_per_cap!AV120&gt;'all_1961-1990'!$H$1,0,IF(UrbanPopRate!AV120&gt;=$J$1,0,1)),0)</f>
        <v>0</v>
      </c>
      <c r="BA76">
        <f>IF($D76=1,IF(GDP_per_cap!AW120&gt;'all_1961-1990'!$H$1,0,IF(UrbanPopRate!AW120&gt;=$J$1,0,1)),0)</f>
        <v>0</v>
      </c>
      <c r="BB76">
        <f>IF($D76=1,IF(GDP_per_cap!AX120&gt;'all_1961-1990'!$H$1,0,IF(UrbanPopRate!AX120&gt;=$J$1,0,1)),0)</f>
        <v>0</v>
      </c>
      <c r="BC76">
        <f>IF($D76=1,IF(GDP_per_cap!AY120&gt;'all_1961-1990'!$H$1,0,IF(UrbanPopRate!AY120&gt;=$J$1,0,1)),0)</f>
        <v>0</v>
      </c>
      <c r="BD76">
        <f>IF($D76=1,IF(GDP_per_cap!AZ120&gt;'all_1961-1990'!$H$1,0,IF(UrbanPopRate!AZ120&gt;=$J$1,0,1)),0)</f>
        <v>0</v>
      </c>
      <c r="BE76">
        <f>IF($D76=1,IF(GDP_per_cap!BA120&gt;'all_1961-1990'!$H$1,0,IF(UrbanPopRate!BA120&gt;=$J$1,0,1)),0)</f>
        <v>0</v>
      </c>
      <c r="BF76">
        <f>IF($D76=1,IF(GDP_per_cap!BB120&gt;'all_1961-1990'!$H$1,0,IF(UrbanPopRate!BB120&gt;=$J$1,0,1)),0)</f>
        <v>0</v>
      </c>
    </row>
    <row r="77" spans="1:58">
      <c r="A77" s="3">
        <v>19</v>
      </c>
      <c r="B77" s="3" t="s">
        <v>144</v>
      </c>
      <c r="C77" s="2">
        <v>2</v>
      </c>
      <c r="D77" s="35">
        <v>0</v>
      </c>
      <c r="E77" s="2">
        <v>11.654599999999999</v>
      </c>
      <c r="F77" s="36">
        <v>710.9835468</v>
      </c>
      <c r="G77">
        <f>IF($D77=1,IF(GDP_per_cap!C12&gt;'all_1961-1990'!$H$1,0,IF(UrbanPopRate!C12&gt;=$J$1,0,1)),0)</f>
        <v>0</v>
      </c>
      <c r="H77">
        <f>IF($D77=1,IF(GDP_per_cap!D12&gt;'all_1961-1990'!$H$1,0,IF(UrbanPopRate!D12&gt;=$J$1,0,1)),0)</f>
        <v>0</v>
      </c>
      <c r="I77">
        <f>IF($D77=1,IF(GDP_per_cap!E12&gt;'all_1961-1990'!$H$1,0,IF(UrbanPopRate!E12&gt;=$J$1,0,1)),0)</f>
        <v>0</v>
      </c>
      <c r="J77">
        <f>IF($D77=1,IF(GDP_per_cap!F12&gt;'all_1961-1990'!$H$1,0,IF(UrbanPopRate!F12&gt;=$J$1,0,1)),0)</f>
        <v>0</v>
      </c>
      <c r="K77">
        <f>IF($D77=1,IF(GDP_per_cap!G12&gt;'all_1961-1990'!$H$1,0,IF(UrbanPopRate!G12&gt;=$J$1,0,1)),0)</f>
        <v>0</v>
      </c>
      <c r="L77">
        <f>IF($D77=1,IF(GDP_per_cap!H12&gt;'all_1961-1990'!$H$1,0,IF(UrbanPopRate!H12&gt;=$J$1,0,1)),0)</f>
        <v>0</v>
      </c>
      <c r="M77">
        <f>IF($D77=1,IF(GDP_per_cap!I12&gt;'all_1961-1990'!$H$1,0,IF(UrbanPopRate!I12&gt;=$J$1,0,1)),0)</f>
        <v>0</v>
      </c>
      <c r="N77">
        <f>IF($D77=1,IF(GDP_per_cap!J12&gt;'all_1961-1990'!$H$1,0,IF(UrbanPopRate!J12&gt;=$J$1,0,1)),0)</f>
        <v>0</v>
      </c>
      <c r="O77">
        <f>IF($D77=1,IF(GDP_per_cap!K12&gt;'all_1961-1990'!$H$1,0,IF(UrbanPopRate!K12&gt;=$J$1,0,1)),0)</f>
        <v>0</v>
      </c>
      <c r="P77">
        <f>IF($D77=1,IF(GDP_per_cap!L12&gt;'all_1961-1990'!$H$1,0,IF(UrbanPopRate!L12&gt;=$J$1,0,1)),0)</f>
        <v>0</v>
      </c>
      <c r="Q77">
        <f>IF($D77=1,IF(GDP_per_cap!M12&gt;'all_1961-1990'!$H$1,0,IF(UrbanPopRate!M12&gt;=$J$1,0,1)),0)</f>
        <v>0</v>
      </c>
      <c r="R77">
        <f>IF($D77=1,IF(GDP_per_cap!N12&gt;'all_1961-1990'!$H$1,0,IF(UrbanPopRate!N12&gt;=$J$1,0,1)),0)</f>
        <v>0</v>
      </c>
      <c r="S77">
        <f>IF($D77=1,IF(GDP_per_cap!O12&gt;'all_1961-1990'!$H$1,0,IF(UrbanPopRate!O12&gt;=$J$1,0,1)),0)</f>
        <v>0</v>
      </c>
      <c r="T77">
        <f>IF($D77=1,IF(GDP_per_cap!P12&gt;'all_1961-1990'!$H$1,0,IF(UrbanPopRate!P12&gt;=$J$1,0,1)),0)</f>
        <v>0</v>
      </c>
      <c r="U77">
        <f>IF($D77=1,IF(GDP_per_cap!Q12&gt;'all_1961-1990'!$H$1,0,IF(UrbanPopRate!Q12&gt;=$J$1,0,1)),0)</f>
        <v>0</v>
      </c>
      <c r="V77">
        <f>IF($D77=1,IF(GDP_per_cap!R12&gt;'all_1961-1990'!$H$1,0,IF(UrbanPopRate!R12&gt;=$J$1,0,1)),0)</f>
        <v>0</v>
      </c>
      <c r="W77">
        <f>IF($D77=1,IF(GDP_per_cap!S12&gt;'all_1961-1990'!$H$1,0,IF(UrbanPopRate!S12&gt;=$J$1,0,1)),0)</f>
        <v>0</v>
      </c>
      <c r="X77">
        <f>IF($D77=1,IF(GDP_per_cap!T12&gt;'all_1961-1990'!$H$1,0,IF(UrbanPopRate!T12&gt;=$J$1,0,1)),0)</f>
        <v>0</v>
      </c>
      <c r="Y77">
        <f>IF($D77=1,IF(GDP_per_cap!U12&gt;'all_1961-1990'!$H$1,0,IF(UrbanPopRate!U12&gt;=$J$1,0,1)),0)</f>
        <v>0</v>
      </c>
      <c r="Z77">
        <f>IF($D77=1,IF(GDP_per_cap!V12&gt;'all_1961-1990'!$H$1,0,IF(UrbanPopRate!V12&gt;=$J$1,0,1)),0)</f>
        <v>0</v>
      </c>
      <c r="AA77">
        <f>IF($D77=1,IF(GDP_per_cap!W12&gt;'all_1961-1990'!$H$1,0,IF(UrbanPopRate!W12&gt;=$J$1,0,1)),0)</f>
        <v>0</v>
      </c>
      <c r="AB77">
        <f>IF($D77=1,IF(GDP_per_cap!X12&gt;'all_1961-1990'!$H$1,0,IF(UrbanPopRate!X12&gt;=$J$1,0,1)),0)</f>
        <v>0</v>
      </c>
      <c r="AC77">
        <f>IF($D77=1,IF(GDP_per_cap!Y12&gt;'all_1961-1990'!$H$1,0,IF(UrbanPopRate!Y12&gt;=$J$1,0,1)),0)</f>
        <v>0</v>
      </c>
      <c r="AD77">
        <f>IF($D77=1,IF(GDP_per_cap!Z12&gt;'all_1961-1990'!$H$1,0,IF(UrbanPopRate!Z12&gt;=$J$1,0,1)),0)</f>
        <v>0</v>
      </c>
      <c r="AE77">
        <f>IF($D77=1,IF(GDP_per_cap!AA12&gt;'all_1961-1990'!$H$1,0,IF(UrbanPopRate!AA12&gt;=$J$1,0,1)),0)</f>
        <v>0</v>
      </c>
      <c r="AF77">
        <f>IF($D77=1,IF(GDP_per_cap!AB12&gt;'all_1961-1990'!$H$1,0,IF(UrbanPopRate!AB12&gt;=$J$1,0,1)),0)</f>
        <v>0</v>
      </c>
      <c r="AG77">
        <f>IF($D77=1,IF(GDP_per_cap!AC12&gt;'all_1961-1990'!$H$1,0,IF(UrbanPopRate!AC12&gt;=$J$1,0,1)),0)</f>
        <v>0</v>
      </c>
      <c r="AH77">
        <f>IF($D77=1,IF(GDP_per_cap!AD12&gt;'all_1961-1990'!$H$1,0,IF(UrbanPopRate!AD12&gt;=$J$1,0,1)),0)</f>
        <v>0</v>
      </c>
      <c r="AI77">
        <f>IF($D77=1,IF(GDP_per_cap!AE12&gt;'all_1961-1990'!$H$1,0,IF(UrbanPopRate!AE12&gt;=$J$1,0,1)),0)</f>
        <v>0</v>
      </c>
      <c r="AJ77">
        <f>IF($D77=1,IF(GDP_per_cap!AF12&gt;'all_1961-1990'!$H$1,0,IF(UrbanPopRate!AF12&gt;=$J$1,0,1)),0)</f>
        <v>0</v>
      </c>
      <c r="AK77">
        <f>IF($D77=1,IF(GDP_per_cap!AG12&gt;'all_1961-1990'!$H$1,0,IF(UrbanPopRate!AG12&gt;=$J$1,0,1)),0)</f>
        <v>0</v>
      </c>
      <c r="AL77">
        <f>IF($D77=1,IF(GDP_per_cap!AH12&gt;'all_1961-1990'!$H$1,0,IF(UrbanPopRate!AH12&gt;=$J$1,0,1)),0)</f>
        <v>0</v>
      </c>
      <c r="AM77">
        <f>IF($D77=1,IF(GDP_per_cap!AI12&gt;'all_1961-1990'!$H$1,0,IF(UrbanPopRate!AI12&gt;=$J$1,0,1)),0)</f>
        <v>0</v>
      </c>
      <c r="AN77">
        <f>IF($D77=1,IF(GDP_per_cap!AJ12&gt;'all_1961-1990'!$H$1,0,IF(UrbanPopRate!AJ12&gt;=$J$1,0,1)),0)</f>
        <v>0</v>
      </c>
      <c r="AO77">
        <f>IF($D77=1,IF(GDP_per_cap!AK12&gt;'all_1961-1990'!$H$1,0,IF(UrbanPopRate!AK12&gt;=$J$1,0,1)),0)</f>
        <v>0</v>
      </c>
      <c r="AP77">
        <f>IF($D77=1,IF(GDP_per_cap!AL12&gt;'all_1961-1990'!$H$1,0,IF(UrbanPopRate!AL12&gt;=$J$1,0,1)),0)</f>
        <v>0</v>
      </c>
      <c r="AQ77">
        <f>IF($D77=1,IF(GDP_per_cap!AM12&gt;'all_1961-1990'!$H$1,0,IF(UrbanPopRate!AM12&gt;=$J$1,0,1)),0)</f>
        <v>0</v>
      </c>
      <c r="AR77">
        <f>IF($D77=1,IF(GDP_per_cap!AN12&gt;'all_1961-1990'!$H$1,0,IF(UrbanPopRate!AN12&gt;=$J$1,0,1)),0)</f>
        <v>0</v>
      </c>
      <c r="AS77">
        <f>IF($D77=1,IF(GDP_per_cap!AO12&gt;'all_1961-1990'!$H$1,0,IF(UrbanPopRate!AO12&gt;=$J$1,0,1)),0)</f>
        <v>0</v>
      </c>
      <c r="AT77">
        <f>IF($D77=1,IF(GDP_per_cap!AP12&gt;'all_1961-1990'!$H$1,0,IF(UrbanPopRate!AP12&gt;=$J$1,0,1)),0)</f>
        <v>0</v>
      </c>
      <c r="AU77">
        <f>IF($D77=1,IF(GDP_per_cap!AQ12&gt;'all_1961-1990'!$H$1,0,IF(UrbanPopRate!AQ12&gt;=$J$1,0,1)),0)</f>
        <v>0</v>
      </c>
      <c r="AV77">
        <f>IF($D77=1,IF(GDP_per_cap!AR12&gt;'all_1961-1990'!$H$1,0,IF(UrbanPopRate!AR12&gt;=$J$1,0,1)),0)</f>
        <v>0</v>
      </c>
      <c r="AW77">
        <f>IF($D77=1,IF(GDP_per_cap!AS12&gt;'all_1961-1990'!$H$1,0,IF(UrbanPopRate!AS12&gt;=$J$1,0,1)),0)</f>
        <v>0</v>
      </c>
      <c r="AX77">
        <f>IF($D77=1,IF(GDP_per_cap!AT12&gt;'all_1961-1990'!$H$1,0,IF(UrbanPopRate!AT12&gt;=$J$1,0,1)),0)</f>
        <v>0</v>
      </c>
      <c r="AY77">
        <f>IF($D77=1,IF(GDP_per_cap!AU12&gt;'all_1961-1990'!$H$1,0,IF(UrbanPopRate!AU12&gt;=$J$1,0,1)),0)</f>
        <v>0</v>
      </c>
      <c r="AZ77">
        <f>IF($D77=1,IF(GDP_per_cap!AV12&gt;'all_1961-1990'!$H$1,0,IF(UrbanPopRate!AV12&gt;=$J$1,0,1)),0)</f>
        <v>0</v>
      </c>
      <c r="BA77">
        <f>IF($D77=1,IF(GDP_per_cap!AW12&gt;'all_1961-1990'!$H$1,0,IF(UrbanPopRate!AW12&gt;=$J$1,0,1)),0)</f>
        <v>0</v>
      </c>
      <c r="BB77">
        <f>IF($D77=1,IF(GDP_per_cap!AX12&gt;'all_1961-1990'!$H$1,0,IF(UrbanPopRate!AX12&gt;=$J$1,0,1)),0)</f>
        <v>0</v>
      </c>
      <c r="BC77">
        <f>IF($D77=1,IF(GDP_per_cap!AY12&gt;'all_1961-1990'!$H$1,0,IF(UrbanPopRate!AY12&gt;=$J$1,0,1)),0)</f>
        <v>0</v>
      </c>
      <c r="BD77">
        <f>IF($D77=1,IF(GDP_per_cap!AZ12&gt;'all_1961-1990'!$H$1,0,IF(UrbanPopRate!AZ12&gt;=$J$1,0,1)),0)</f>
        <v>0</v>
      </c>
      <c r="BE77">
        <f>IF($D77=1,IF(GDP_per_cap!BA12&gt;'all_1961-1990'!$H$1,0,IF(UrbanPopRate!BA12&gt;=$J$1,0,1)),0)</f>
        <v>0</v>
      </c>
      <c r="BF77">
        <f>IF($D77=1,IF(GDP_per_cap!BB12&gt;'all_1961-1990'!$H$1,0,IF(UrbanPopRate!BB12&gt;=$J$1,0,1)),0)</f>
        <v>0</v>
      </c>
    </row>
    <row r="78" spans="1:58">
      <c r="A78" s="3">
        <v>153</v>
      </c>
      <c r="B78" s="3" t="s">
        <v>57</v>
      </c>
      <c r="C78" s="2">
        <v>2</v>
      </c>
      <c r="D78" s="35">
        <v>0</v>
      </c>
      <c r="E78" s="2">
        <v>5.4507333333333312</v>
      </c>
      <c r="F78" s="36">
        <v>642.49515789999998</v>
      </c>
      <c r="G78">
        <f>IF($D78=1,IF(GDP_per_cap!C99&gt;'all_1961-1990'!$H$1,0,IF(UrbanPopRate!C99&gt;=$J$1,0,1)),0)</f>
        <v>0</v>
      </c>
      <c r="H78">
        <f>IF($D78=1,IF(GDP_per_cap!D99&gt;'all_1961-1990'!$H$1,0,IF(UrbanPopRate!D99&gt;=$J$1,0,1)),0)</f>
        <v>0</v>
      </c>
      <c r="I78">
        <f>IF($D78=1,IF(GDP_per_cap!E99&gt;'all_1961-1990'!$H$1,0,IF(UrbanPopRate!E99&gt;=$J$1,0,1)),0)</f>
        <v>0</v>
      </c>
      <c r="J78">
        <f>IF($D78=1,IF(GDP_per_cap!F99&gt;'all_1961-1990'!$H$1,0,IF(UrbanPopRate!F99&gt;=$J$1,0,1)),0)</f>
        <v>0</v>
      </c>
      <c r="K78">
        <f>IF($D78=1,IF(GDP_per_cap!G99&gt;'all_1961-1990'!$H$1,0,IF(UrbanPopRate!G99&gt;=$J$1,0,1)),0)</f>
        <v>0</v>
      </c>
      <c r="L78">
        <f>IF($D78=1,IF(GDP_per_cap!H99&gt;'all_1961-1990'!$H$1,0,IF(UrbanPopRate!H99&gt;=$J$1,0,1)),0)</f>
        <v>0</v>
      </c>
      <c r="M78">
        <f>IF($D78=1,IF(GDP_per_cap!I99&gt;'all_1961-1990'!$H$1,0,IF(UrbanPopRate!I99&gt;=$J$1,0,1)),0)</f>
        <v>0</v>
      </c>
      <c r="N78">
        <f>IF($D78=1,IF(GDP_per_cap!J99&gt;'all_1961-1990'!$H$1,0,IF(UrbanPopRate!J99&gt;=$J$1,0,1)),0)</f>
        <v>0</v>
      </c>
      <c r="O78">
        <f>IF($D78=1,IF(GDP_per_cap!K99&gt;'all_1961-1990'!$H$1,0,IF(UrbanPopRate!K99&gt;=$J$1,0,1)),0)</f>
        <v>0</v>
      </c>
      <c r="P78">
        <f>IF($D78=1,IF(GDP_per_cap!L99&gt;'all_1961-1990'!$H$1,0,IF(UrbanPopRate!L99&gt;=$J$1,0,1)),0)</f>
        <v>0</v>
      </c>
      <c r="Q78">
        <f>IF($D78=1,IF(GDP_per_cap!M99&gt;'all_1961-1990'!$H$1,0,IF(UrbanPopRate!M99&gt;=$J$1,0,1)),0)</f>
        <v>0</v>
      </c>
      <c r="R78">
        <f>IF($D78=1,IF(GDP_per_cap!N99&gt;'all_1961-1990'!$H$1,0,IF(UrbanPopRate!N99&gt;=$J$1,0,1)),0)</f>
        <v>0</v>
      </c>
      <c r="S78">
        <f>IF($D78=1,IF(GDP_per_cap!O99&gt;'all_1961-1990'!$H$1,0,IF(UrbanPopRate!O99&gt;=$J$1,0,1)),0)</f>
        <v>0</v>
      </c>
      <c r="T78">
        <f>IF($D78=1,IF(GDP_per_cap!P99&gt;'all_1961-1990'!$H$1,0,IF(UrbanPopRate!P99&gt;=$J$1,0,1)),0)</f>
        <v>0</v>
      </c>
      <c r="U78">
        <f>IF($D78=1,IF(GDP_per_cap!Q99&gt;'all_1961-1990'!$H$1,0,IF(UrbanPopRate!Q99&gt;=$J$1,0,1)),0)</f>
        <v>0</v>
      </c>
      <c r="V78">
        <f>IF($D78=1,IF(GDP_per_cap!R99&gt;'all_1961-1990'!$H$1,0,IF(UrbanPopRate!R99&gt;=$J$1,0,1)),0)</f>
        <v>0</v>
      </c>
      <c r="W78">
        <f>IF($D78=1,IF(GDP_per_cap!S99&gt;'all_1961-1990'!$H$1,0,IF(UrbanPopRate!S99&gt;=$J$1,0,1)),0)</f>
        <v>0</v>
      </c>
      <c r="X78">
        <f>IF($D78=1,IF(GDP_per_cap!T99&gt;'all_1961-1990'!$H$1,0,IF(UrbanPopRate!T99&gt;=$J$1,0,1)),0)</f>
        <v>0</v>
      </c>
      <c r="Y78">
        <f>IF($D78=1,IF(GDP_per_cap!U99&gt;'all_1961-1990'!$H$1,0,IF(UrbanPopRate!U99&gt;=$J$1,0,1)),0)</f>
        <v>0</v>
      </c>
      <c r="Z78">
        <f>IF($D78=1,IF(GDP_per_cap!V99&gt;'all_1961-1990'!$H$1,0,IF(UrbanPopRate!V99&gt;=$J$1,0,1)),0)</f>
        <v>0</v>
      </c>
      <c r="AA78">
        <f>IF($D78=1,IF(GDP_per_cap!W99&gt;'all_1961-1990'!$H$1,0,IF(UrbanPopRate!W99&gt;=$J$1,0,1)),0)</f>
        <v>0</v>
      </c>
      <c r="AB78">
        <f>IF($D78=1,IF(GDP_per_cap!X99&gt;'all_1961-1990'!$H$1,0,IF(UrbanPopRate!X99&gt;=$J$1,0,1)),0)</f>
        <v>0</v>
      </c>
      <c r="AC78">
        <f>IF($D78=1,IF(GDP_per_cap!Y99&gt;'all_1961-1990'!$H$1,0,IF(UrbanPopRate!Y99&gt;=$J$1,0,1)),0)</f>
        <v>0</v>
      </c>
      <c r="AD78">
        <f>IF($D78=1,IF(GDP_per_cap!Z99&gt;'all_1961-1990'!$H$1,0,IF(UrbanPopRate!Z99&gt;=$J$1,0,1)),0)</f>
        <v>0</v>
      </c>
      <c r="AE78">
        <f>IF($D78=1,IF(GDP_per_cap!AA99&gt;'all_1961-1990'!$H$1,0,IF(UrbanPopRate!AA99&gt;=$J$1,0,1)),0)</f>
        <v>0</v>
      </c>
      <c r="AF78">
        <f>IF($D78=1,IF(GDP_per_cap!AB99&gt;'all_1961-1990'!$H$1,0,IF(UrbanPopRate!AB99&gt;=$J$1,0,1)),0)</f>
        <v>0</v>
      </c>
      <c r="AG78">
        <f>IF($D78=1,IF(GDP_per_cap!AC99&gt;'all_1961-1990'!$H$1,0,IF(UrbanPopRate!AC99&gt;=$J$1,0,1)),0)</f>
        <v>0</v>
      </c>
      <c r="AH78">
        <f>IF($D78=1,IF(GDP_per_cap!AD99&gt;'all_1961-1990'!$H$1,0,IF(UrbanPopRate!AD99&gt;=$J$1,0,1)),0)</f>
        <v>0</v>
      </c>
      <c r="AI78">
        <f>IF($D78=1,IF(GDP_per_cap!AE99&gt;'all_1961-1990'!$H$1,0,IF(UrbanPopRate!AE99&gt;=$J$1,0,1)),0)</f>
        <v>0</v>
      </c>
      <c r="AJ78">
        <f>IF($D78=1,IF(GDP_per_cap!AF99&gt;'all_1961-1990'!$H$1,0,IF(UrbanPopRate!AF99&gt;=$J$1,0,1)),0)</f>
        <v>0</v>
      </c>
      <c r="AK78">
        <f>IF($D78=1,IF(GDP_per_cap!AG99&gt;'all_1961-1990'!$H$1,0,IF(UrbanPopRate!AG99&gt;=$J$1,0,1)),0)</f>
        <v>0</v>
      </c>
      <c r="AL78">
        <f>IF($D78=1,IF(GDP_per_cap!AH99&gt;'all_1961-1990'!$H$1,0,IF(UrbanPopRate!AH99&gt;=$J$1,0,1)),0)</f>
        <v>0</v>
      </c>
      <c r="AM78">
        <f>IF($D78=1,IF(GDP_per_cap!AI99&gt;'all_1961-1990'!$H$1,0,IF(UrbanPopRate!AI99&gt;=$J$1,0,1)),0)</f>
        <v>0</v>
      </c>
      <c r="AN78">
        <f>IF($D78=1,IF(GDP_per_cap!AJ99&gt;'all_1961-1990'!$H$1,0,IF(UrbanPopRate!AJ99&gt;=$J$1,0,1)),0)</f>
        <v>0</v>
      </c>
      <c r="AO78">
        <f>IF($D78=1,IF(GDP_per_cap!AK99&gt;'all_1961-1990'!$H$1,0,IF(UrbanPopRate!AK99&gt;=$J$1,0,1)),0)</f>
        <v>0</v>
      </c>
      <c r="AP78">
        <f>IF($D78=1,IF(GDP_per_cap!AL99&gt;'all_1961-1990'!$H$1,0,IF(UrbanPopRate!AL99&gt;=$J$1,0,1)),0)</f>
        <v>0</v>
      </c>
      <c r="AQ78">
        <f>IF($D78=1,IF(GDP_per_cap!AM99&gt;'all_1961-1990'!$H$1,0,IF(UrbanPopRate!AM99&gt;=$J$1,0,1)),0)</f>
        <v>0</v>
      </c>
      <c r="AR78">
        <f>IF($D78=1,IF(GDP_per_cap!AN99&gt;'all_1961-1990'!$H$1,0,IF(UrbanPopRate!AN99&gt;=$J$1,0,1)),0)</f>
        <v>0</v>
      </c>
      <c r="AS78">
        <f>IF($D78=1,IF(GDP_per_cap!AO99&gt;'all_1961-1990'!$H$1,0,IF(UrbanPopRate!AO99&gt;=$J$1,0,1)),0)</f>
        <v>0</v>
      </c>
      <c r="AT78">
        <f>IF($D78=1,IF(GDP_per_cap!AP99&gt;'all_1961-1990'!$H$1,0,IF(UrbanPopRate!AP99&gt;=$J$1,0,1)),0)</f>
        <v>0</v>
      </c>
      <c r="AU78">
        <f>IF($D78=1,IF(GDP_per_cap!AQ99&gt;'all_1961-1990'!$H$1,0,IF(UrbanPopRate!AQ99&gt;=$J$1,0,1)),0)</f>
        <v>0</v>
      </c>
      <c r="AV78">
        <f>IF($D78=1,IF(GDP_per_cap!AR99&gt;'all_1961-1990'!$H$1,0,IF(UrbanPopRate!AR99&gt;=$J$1,0,1)),0)</f>
        <v>0</v>
      </c>
      <c r="AW78">
        <f>IF($D78=1,IF(GDP_per_cap!AS99&gt;'all_1961-1990'!$H$1,0,IF(UrbanPopRate!AS99&gt;=$J$1,0,1)),0)</f>
        <v>0</v>
      </c>
      <c r="AX78">
        <f>IF($D78=1,IF(GDP_per_cap!AT99&gt;'all_1961-1990'!$H$1,0,IF(UrbanPopRate!AT99&gt;=$J$1,0,1)),0)</f>
        <v>0</v>
      </c>
      <c r="AY78">
        <f>IF($D78=1,IF(GDP_per_cap!AU99&gt;'all_1961-1990'!$H$1,0,IF(UrbanPopRate!AU99&gt;=$J$1,0,1)),0)</f>
        <v>0</v>
      </c>
      <c r="AZ78">
        <f>IF($D78=1,IF(GDP_per_cap!AV99&gt;'all_1961-1990'!$H$1,0,IF(UrbanPopRate!AV99&gt;=$J$1,0,1)),0)</f>
        <v>0</v>
      </c>
      <c r="BA78">
        <f>IF($D78=1,IF(GDP_per_cap!AW99&gt;'all_1961-1990'!$H$1,0,IF(UrbanPopRate!AW99&gt;=$J$1,0,1)),0)</f>
        <v>0</v>
      </c>
      <c r="BB78">
        <f>IF($D78=1,IF(GDP_per_cap!AX99&gt;'all_1961-1990'!$H$1,0,IF(UrbanPopRate!AX99&gt;=$J$1,0,1)),0)</f>
        <v>0</v>
      </c>
      <c r="BC78">
        <f>IF($D78=1,IF(GDP_per_cap!AY99&gt;'all_1961-1990'!$H$1,0,IF(UrbanPopRate!AY99&gt;=$J$1,0,1)),0)</f>
        <v>0</v>
      </c>
      <c r="BD78">
        <f>IF($D78=1,IF(GDP_per_cap!AZ99&gt;'all_1961-1990'!$H$1,0,IF(UrbanPopRate!AZ99&gt;=$J$1,0,1)),0)</f>
        <v>0</v>
      </c>
      <c r="BE78">
        <f>IF($D78=1,IF(GDP_per_cap!BA99&gt;'all_1961-1990'!$H$1,0,IF(UrbanPopRate!BA99&gt;=$J$1,0,1)),0)</f>
        <v>0</v>
      </c>
      <c r="BF78">
        <f>IF($D78=1,IF(GDP_per_cap!BB99&gt;'all_1961-1990'!$H$1,0,IF(UrbanPopRate!BB99&gt;=$J$1,0,1)),0)</f>
        <v>0</v>
      </c>
    </row>
    <row r="79" spans="1:58">
      <c r="A79" s="3">
        <v>69</v>
      </c>
      <c r="B79" s="3" t="s">
        <v>110</v>
      </c>
      <c r="C79" s="2">
        <v>2</v>
      </c>
      <c r="D79" s="35">
        <v>0</v>
      </c>
      <c r="E79" s="2">
        <v>9.6073000000000004</v>
      </c>
      <c r="F79" s="36">
        <v>566.39685069999996</v>
      </c>
      <c r="G79">
        <f>IF($D79=1,IF(GDP_per_cap!C46&gt;'all_1961-1990'!$H$1,0,IF(UrbanPopRate!C46&gt;=$J$1,0,1)),0)</f>
        <v>0</v>
      </c>
      <c r="H79">
        <f>IF($D79=1,IF(GDP_per_cap!D46&gt;'all_1961-1990'!$H$1,0,IF(UrbanPopRate!D46&gt;=$J$1,0,1)),0)</f>
        <v>0</v>
      </c>
      <c r="I79">
        <f>IF($D79=1,IF(GDP_per_cap!E46&gt;'all_1961-1990'!$H$1,0,IF(UrbanPopRate!E46&gt;=$J$1,0,1)),0)</f>
        <v>0</v>
      </c>
      <c r="J79">
        <f>IF($D79=1,IF(GDP_per_cap!F46&gt;'all_1961-1990'!$H$1,0,IF(UrbanPopRate!F46&gt;=$J$1,0,1)),0)</f>
        <v>0</v>
      </c>
      <c r="K79">
        <f>IF($D79=1,IF(GDP_per_cap!G46&gt;'all_1961-1990'!$H$1,0,IF(UrbanPopRate!G46&gt;=$J$1,0,1)),0)</f>
        <v>0</v>
      </c>
      <c r="L79">
        <f>IF($D79=1,IF(GDP_per_cap!H46&gt;'all_1961-1990'!$H$1,0,IF(UrbanPopRate!H46&gt;=$J$1,0,1)),0)</f>
        <v>0</v>
      </c>
      <c r="M79">
        <f>IF($D79=1,IF(GDP_per_cap!I46&gt;'all_1961-1990'!$H$1,0,IF(UrbanPopRate!I46&gt;=$J$1,0,1)),0)</f>
        <v>0</v>
      </c>
      <c r="N79">
        <f>IF($D79=1,IF(GDP_per_cap!J46&gt;'all_1961-1990'!$H$1,0,IF(UrbanPopRate!J46&gt;=$J$1,0,1)),0)</f>
        <v>0</v>
      </c>
      <c r="O79">
        <f>IF($D79=1,IF(GDP_per_cap!K46&gt;'all_1961-1990'!$H$1,0,IF(UrbanPopRate!K46&gt;=$J$1,0,1)),0)</f>
        <v>0</v>
      </c>
      <c r="P79">
        <f>IF($D79=1,IF(GDP_per_cap!L46&gt;'all_1961-1990'!$H$1,0,IF(UrbanPopRate!L46&gt;=$J$1,0,1)),0)</f>
        <v>0</v>
      </c>
      <c r="Q79">
        <f>IF($D79=1,IF(GDP_per_cap!M46&gt;'all_1961-1990'!$H$1,0,IF(UrbanPopRate!M46&gt;=$J$1,0,1)),0)</f>
        <v>0</v>
      </c>
      <c r="R79">
        <f>IF($D79=1,IF(GDP_per_cap!N46&gt;'all_1961-1990'!$H$1,0,IF(UrbanPopRate!N46&gt;=$J$1,0,1)),0)</f>
        <v>0</v>
      </c>
      <c r="S79">
        <f>IF($D79=1,IF(GDP_per_cap!O46&gt;'all_1961-1990'!$H$1,0,IF(UrbanPopRate!O46&gt;=$J$1,0,1)),0)</f>
        <v>0</v>
      </c>
      <c r="T79">
        <f>IF($D79=1,IF(GDP_per_cap!P46&gt;'all_1961-1990'!$H$1,0,IF(UrbanPopRate!P46&gt;=$J$1,0,1)),0)</f>
        <v>0</v>
      </c>
      <c r="U79">
        <f>IF($D79=1,IF(GDP_per_cap!Q46&gt;'all_1961-1990'!$H$1,0,IF(UrbanPopRate!Q46&gt;=$J$1,0,1)),0)</f>
        <v>0</v>
      </c>
      <c r="V79">
        <f>IF($D79=1,IF(GDP_per_cap!R46&gt;'all_1961-1990'!$H$1,0,IF(UrbanPopRate!R46&gt;=$J$1,0,1)),0)</f>
        <v>0</v>
      </c>
      <c r="W79">
        <f>IF($D79=1,IF(GDP_per_cap!S46&gt;'all_1961-1990'!$H$1,0,IF(UrbanPopRate!S46&gt;=$J$1,0,1)),0)</f>
        <v>0</v>
      </c>
      <c r="X79">
        <f>IF($D79=1,IF(GDP_per_cap!T46&gt;'all_1961-1990'!$H$1,0,IF(UrbanPopRate!T46&gt;=$J$1,0,1)),0)</f>
        <v>0</v>
      </c>
      <c r="Y79">
        <f>IF($D79=1,IF(GDP_per_cap!U46&gt;'all_1961-1990'!$H$1,0,IF(UrbanPopRate!U46&gt;=$J$1,0,1)),0)</f>
        <v>0</v>
      </c>
      <c r="Z79">
        <f>IF($D79=1,IF(GDP_per_cap!V46&gt;'all_1961-1990'!$H$1,0,IF(UrbanPopRate!V46&gt;=$J$1,0,1)),0)</f>
        <v>0</v>
      </c>
      <c r="AA79">
        <f>IF($D79=1,IF(GDP_per_cap!W46&gt;'all_1961-1990'!$H$1,0,IF(UrbanPopRate!W46&gt;=$J$1,0,1)),0)</f>
        <v>0</v>
      </c>
      <c r="AB79">
        <f>IF($D79=1,IF(GDP_per_cap!X46&gt;'all_1961-1990'!$H$1,0,IF(UrbanPopRate!X46&gt;=$J$1,0,1)),0)</f>
        <v>0</v>
      </c>
      <c r="AC79">
        <f>IF($D79=1,IF(GDP_per_cap!Y46&gt;'all_1961-1990'!$H$1,0,IF(UrbanPopRate!Y46&gt;=$J$1,0,1)),0)</f>
        <v>0</v>
      </c>
      <c r="AD79">
        <f>IF($D79=1,IF(GDP_per_cap!Z46&gt;'all_1961-1990'!$H$1,0,IF(UrbanPopRate!Z46&gt;=$J$1,0,1)),0)</f>
        <v>0</v>
      </c>
      <c r="AE79">
        <f>IF($D79=1,IF(GDP_per_cap!AA46&gt;'all_1961-1990'!$H$1,0,IF(UrbanPopRate!AA46&gt;=$J$1,0,1)),0)</f>
        <v>0</v>
      </c>
      <c r="AF79">
        <f>IF($D79=1,IF(GDP_per_cap!AB46&gt;'all_1961-1990'!$H$1,0,IF(UrbanPopRate!AB46&gt;=$J$1,0,1)),0)</f>
        <v>0</v>
      </c>
      <c r="AG79">
        <f>IF($D79=1,IF(GDP_per_cap!AC46&gt;'all_1961-1990'!$H$1,0,IF(UrbanPopRate!AC46&gt;=$J$1,0,1)),0)</f>
        <v>0</v>
      </c>
      <c r="AH79">
        <f>IF($D79=1,IF(GDP_per_cap!AD46&gt;'all_1961-1990'!$H$1,0,IF(UrbanPopRate!AD46&gt;=$J$1,0,1)),0)</f>
        <v>0</v>
      </c>
      <c r="AI79">
        <f>IF($D79=1,IF(GDP_per_cap!AE46&gt;'all_1961-1990'!$H$1,0,IF(UrbanPopRate!AE46&gt;=$J$1,0,1)),0)</f>
        <v>0</v>
      </c>
      <c r="AJ79">
        <f>IF($D79=1,IF(GDP_per_cap!AF46&gt;'all_1961-1990'!$H$1,0,IF(UrbanPopRate!AF46&gt;=$J$1,0,1)),0)</f>
        <v>0</v>
      </c>
      <c r="AK79">
        <f>IF($D79=1,IF(GDP_per_cap!AG46&gt;'all_1961-1990'!$H$1,0,IF(UrbanPopRate!AG46&gt;=$J$1,0,1)),0)</f>
        <v>0</v>
      </c>
      <c r="AL79">
        <f>IF($D79=1,IF(GDP_per_cap!AH46&gt;'all_1961-1990'!$H$1,0,IF(UrbanPopRate!AH46&gt;=$J$1,0,1)),0)</f>
        <v>0</v>
      </c>
      <c r="AM79">
        <f>IF($D79=1,IF(GDP_per_cap!AI46&gt;'all_1961-1990'!$H$1,0,IF(UrbanPopRate!AI46&gt;=$J$1,0,1)),0)</f>
        <v>0</v>
      </c>
      <c r="AN79">
        <f>IF($D79=1,IF(GDP_per_cap!AJ46&gt;'all_1961-1990'!$H$1,0,IF(UrbanPopRate!AJ46&gt;=$J$1,0,1)),0)</f>
        <v>0</v>
      </c>
      <c r="AO79">
        <f>IF($D79=1,IF(GDP_per_cap!AK46&gt;'all_1961-1990'!$H$1,0,IF(UrbanPopRate!AK46&gt;=$J$1,0,1)),0)</f>
        <v>0</v>
      </c>
      <c r="AP79">
        <f>IF($D79=1,IF(GDP_per_cap!AL46&gt;'all_1961-1990'!$H$1,0,IF(UrbanPopRate!AL46&gt;=$J$1,0,1)),0)</f>
        <v>0</v>
      </c>
      <c r="AQ79">
        <f>IF($D79=1,IF(GDP_per_cap!AM46&gt;'all_1961-1990'!$H$1,0,IF(UrbanPopRate!AM46&gt;=$J$1,0,1)),0)</f>
        <v>0</v>
      </c>
      <c r="AR79">
        <f>IF($D79=1,IF(GDP_per_cap!AN46&gt;'all_1961-1990'!$H$1,0,IF(UrbanPopRate!AN46&gt;=$J$1,0,1)),0)</f>
        <v>0</v>
      </c>
      <c r="AS79">
        <f>IF($D79=1,IF(GDP_per_cap!AO46&gt;'all_1961-1990'!$H$1,0,IF(UrbanPopRate!AO46&gt;=$J$1,0,1)),0)</f>
        <v>0</v>
      </c>
      <c r="AT79">
        <f>IF($D79=1,IF(GDP_per_cap!AP46&gt;'all_1961-1990'!$H$1,0,IF(UrbanPopRate!AP46&gt;=$J$1,0,1)),0)</f>
        <v>0</v>
      </c>
      <c r="AU79">
        <f>IF($D79=1,IF(GDP_per_cap!AQ46&gt;'all_1961-1990'!$H$1,0,IF(UrbanPopRate!AQ46&gt;=$J$1,0,1)),0)</f>
        <v>0</v>
      </c>
      <c r="AV79">
        <f>IF($D79=1,IF(GDP_per_cap!AR46&gt;'all_1961-1990'!$H$1,0,IF(UrbanPopRate!AR46&gt;=$J$1,0,1)),0)</f>
        <v>0</v>
      </c>
      <c r="AW79">
        <f>IF($D79=1,IF(GDP_per_cap!AS46&gt;'all_1961-1990'!$H$1,0,IF(UrbanPopRate!AS46&gt;=$J$1,0,1)),0)</f>
        <v>0</v>
      </c>
      <c r="AX79">
        <f>IF($D79=1,IF(GDP_per_cap!AT46&gt;'all_1961-1990'!$H$1,0,IF(UrbanPopRate!AT46&gt;=$J$1,0,1)),0)</f>
        <v>0</v>
      </c>
      <c r="AY79">
        <f>IF($D79=1,IF(GDP_per_cap!AU46&gt;'all_1961-1990'!$H$1,0,IF(UrbanPopRate!AU46&gt;=$J$1,0,1)),0)</f>
        <v>0</v>
      </c>
      <c r="AZ79">
        <f>IF($D79=1,IF(GDP_per_cap!AV46&gt;'all_1961-1990'!$H$1,0,IF(UrbanPopRate!AV46&gt;=$J$1,0,1)),0)</f>
        <v>0</v>
      </c>
      <c r="BA79">
        <f>IF($D79=1,IF(GDP_per_cap!AW46&gt;'all_1961-1990'!$H$1,0,IF(UrbanPopRate!AW46&gt;=$J$1,0,1)),0)</f>
        <v>0</v>
      </c>
      <c r="BB79">
        <f>IF($D79=1,IF(GDP_per_cap!AX46&gt;'all_1961-1990'!$H$1,0,IF(UrbanPopRate!AX46&gt;=$J$1,0,1)),0)</f>
        <v>0</v>
      </c>
      <c r="BC79">
        <f>IF($D79=1,IF(GDP_per_cap!AY46&gt;'all_1961-1990'!$H$1,0,IF(UrbanPopRate!AY46&gt;=$J$1,0,1)),0)</f>
        <v>0</v>
      </c>
      <c r="BD79">
        <f>IF($D79=1,IF(GDP_per_cap!AZ46&gt;'all_1961-1990'!$H$1,0,IF(UrbanPopRate!AZ46&gt;=$J$1,0,1)),0)</f>
        <v>0</v>
      </c>
      <c r="BE79">
        <f>IF($D79=1,IF(GDP_per_cap!BA46&gt;'all_1961-1990'!$H$1,0,IF(UrbanPopRate!BA46&gt;=$J$1,0,1)),0)</f>
        <v>0</v>
      </c>
      <c r="BF79">
        <f>IF($D79=1,IF(GDP_per_cap!BB46&gt;'all_1961-1990'!$H$1,0,IF(UrbanPopRate!BB46&gt;=$J$1,0,1)),0)</f>
        <v>0</v>
      </c>
    </row>
    <row r="80" spans="1:58">
      <c r="A80" s="3">
        <v>36</v>
      </c>
      <c r="B80" s="3" t="s">
        <v>134</v>
      </c>
      <c r="C80" s="2">
        <v>2</v>
      </c>
      <c r="D80" s="35">
        <v>0</v>
      </c>
      <c r="E80" s="2">
        <v>3.6581333333333337</v>
      </c>
      <c r="F80" s="36">
        <v>470.15290929999998</v>
      </c>
      <c r="G80">
        <f>IF($D80=1,IF(GDP_per_cap!C22&gt;'all_1961-1990'!$H$1,0,IF(UrbanPopRate!C22&gt;=$J$1,0,1)),0)</f>
        <v>0</v>
      </c>
      <c r="H80">
        <f>IF($D80=1,IF(GDP_per_cap!D22&gt;'all_1961-1990'!$H$1,0,IF(UrbanPopRate!D22&gt;=$J$1,0,1)),0)</f>
        <v>0</v>
      </c>
      <c r="I80">
        <f>IF($D80=1,IF(GDP_per_cap!E22&gt;'all_1961-1990'!$H$1,0,IF(UrbanPopRate!E22&gt;=$J$1,0,1)),0)</f>
        <v>0</v>
      </c>
      <c r="J80">
        <f>IF($D80=1,IF(GDP_per_cap!F22&gt;'all_1961-1990'!$H$1,0,IF(UrbanPopRate!F22&gt;=$J$1,0,1)),0)</f>
        <v>0</v>
      </c>
      <c r="K80">
        <f>IF($D80=1,IF(GDP_per_cap!G22&gt;'all_1961-1990'!$H$1,0,IF(UrbanPopRate!G22&gt;=$J$1,0,1)),0)</f>
        <v>0</v>
      </c>
      <c r="L80">
        <f>IF($D80=1,IF(GDP_per_cap!H22&gt;'all_1961-1990'!$H$1,0,IF(UrbanPopRate!H22&gt;=$J$1,0,1)),0)</f>
        <v>0</v>
      </c>
      <c r="M80">
        <f>IF($D80=1,IF(GDP_per_cap!I22&gt;'all_1961-1990'!$H$1,0,IF(UrbanPopRate!I22&gt;=$J$1,0,1)),0)</f>
        <v>0</v>
      </c>
      <c r="N80">
        <f>IF($D80=1,IF(GDP_per_cap!J22&gt;'all_1961-1990'!$H$1,0,IF(UrbanPopRate!J22&gt;=$J$1,0,1)),0)</f>
        <v>0</v>
      </c>
      <c r="O80">
        <f>IF($D80=1,IF(GDP_per_cap!K22&gt;'all_1961-1990'!$H$1,0,IF(UrbanPopRate!K22&gt;=$J$1,0,1)),0)</f>
        <v>0</v>
      </c>
      <c r="P80">
        <f>IF($D80=1,IF(GDP_per_cap!L22&gt;'all_1961-1990'!$H$1,0,IF(UrbanPopRate!L22&gt;=$J$1,0,1)),0)</f>
        <v>0</v>
      </c>
      <c r="Q80">
        <f>IF($D80=1,IF(GDP_per_cap!M22&gt;'all_1961-1990'!$H$1,0,IF(UrbanPopRate!M22&gt;=$J$1,0,1)),0)</f>
        <v>0</v>
      </c>
      <c r="R80">
        <f>IF($D80=1,IF(GDP_per_cap!N22&gt;'all_1961-1990'!$H$1,0,IF(UrbanPopRate!N22&gt;=$J$1,0,1)),0)</f>
        <v>0</v>
      </c>
      <c r="S80">
        <f>IF($D80=1,IF(GDP_per_cap!O22&gt;'all_1961-1990'!$H$1,0,IF(UrbanPopRate!O22&gt;=$J$1,0,1)),0)</f>
        <v>0</v>
      </c>
      <c r="T80">
        <f>IF($D80=1,IF(GDP_per_cap!P22&gt;'all_1961-1990'!$H$1,0,IF(UrbanPopRate!P22&gt;=$J$1,0,1)),0)</f>
        <v>0</v>
      </c>
      <c r="U80">
        <f>IF($D80=1,IF(GDP_per_cap!Q22&gt;'all_1961-1990'!$H$1,0,IF(UrbanPopRate!Q22&gt;=$J$1,0,1)),0)</f>
        <v>0</v>
      </c>
      <c r="V80">
        <f>IF($D80=1,IF(GDP_per_cap!R22&gt;'all_1961-1990'!$H$1,0,IF(UrbanPopRate!R22&gt;=$J$1,0,1)),0)</f>
        <v>0</v>
      </c>
      <c r="W80">
        <f>IF($D80=1,IF(GDP_per_cap!S22&gt;'all_1961-1990'!$H$1,0,IF(UrbanPopRate!S22&gt;=$J$1,0,1)),0)</f>
        <v>0</v>
      </c>
      <c r="X80">
        <f>IF($D80=1,IF(GDP_per_cap!T22&gt;'all_1961-1990'!$H$1,0,IF(UrbanPopRate!T22&gt;=$J$1,0,1)),0)</f>
        <v>0</v>
      </c>
      <c r="Y80">
        <f>IF($D80=1,IF(GDP_per_cap!U22&gt;'all_1961-1990'!$H$1,0,IF(UrbanPopRate!U22&gt;=$J$1,0,1)),0)</f>
        <v>0</v>
      </c>
      <c r="Z80">
        <f>IF($D80=1,IF(GDP_per_cap!V22&gt;'all_1961-1990'!$H$1,0,IF(UrbanPopRate!V22&gt;=$J$1,0,1)),0)</f>
        <v>0</v>
      </c>
      <c r="AA80">
        <f>IF($D80=1,IF(GDP_per_cap!W22&gt;'all_1961-1990'!$H$1,0,IF(UrbanPopRate!W22&gt;=$J$1,0,1)),0)</f>
        <v>0</v>
      </c>
      <c r="AB80">
        <f>IF($D80=1,IF(GDP_per_cap!X22&gt;'all_1961-1990'!$H$1,0,IF(UrbanPopRate!X22&gt;=$J$1,0,1)),0)</f>
        <v>0</v>
      </c>
      <c r="AC80">
        <f>IF($D80=1,IF(GDP_per_cap!Y22&gt;'all_1961-1990'!$H$1,0,IF(UrbanPopRate!Y22&gt;=$J$1,0,1)),0)</f>
        <v>0</v>
      </c>
      <c r="AD80">
        <f>IF($D80=1,IF(GDP_per_cap!Z22&gt;'all_1961-1990'!$H$1,0,IF(UrbanPopRate!Z22&gt;=$J$1,0,1)),0)</f>
        <v>0</v>
      </c>
      <c r="AE80">
        <f>IF($D80=1,IF(GDP_per_cap!AA22&gt;'all_1961-1990'!$H$1,0,IF(UrbanPopRate!AA22&gt;=$J$1,0,1)),0)</f>
        <v>0</v>
      </c>
      <c r="AF80">
        <f>IF($D80=1,IF(GDP_per_cap!AB22&gt;'all_1961-1990'!$H$1,0,IF(UrbanPopRate!AB22&gt;=$J$1,0,1)),0)</f>
        <v>0</v>
      </c>
      <c r="AG80">
        <f>IF($D80=1,IF(GDP_per_cap!AC22&gt;'all_1961-1990'!$H$1,0,IF(UrbanPopRate!AC22&gt;=$J$1,0,1)),0)</f>
        <v>0</v>
      </c>
      <c r="AH80">
        <f>IF($D80=1,IF(GDP_per_cap!AD22&gt;'all_1961-1990'!$H$1,0,IF(UrbanPopRate!AD22&gt;=$J$1,0,1)),0)</f>
        <v>0</v>
      </c>
      <c r="AI80">
        <f>IF($D80=1,IF(GDP_per_cap!AE22&gt;'all_1961-1990'!$H$1,0,IF(UrbanPopRate!AE22&gt;=$J$1,0,1)),0)</f>
        <v>0</v>
      </c>
      <c r="AJ80">
        <f>IF($D80=1,IF(GDP_per_cap!AF22&gt;'all_1961-1990'!$H$1,0,IF(UrbanPopRate!AF22&gt;=$J$1,0,1)),0)</f>
        <v>0</v>
      </c>
      <c r="AK80">
        <f>IF($D80=1,IF(GDP_per_cap!AG22&gt;'all_1961-1990'!$H$1,0,IF(UrbanPopRate!AG22&gt;=$J$1,0,1)),0)</f>
        <v>0</v>
      </c>
      <c r="AL80">
        <f>IF($D80=1,IF(GDP_per_cap!AH22&gt;'all_1961-1990'!$H$1,0,IF(UrbanPopRate!AH22&gt;=$J$1,0,1)),0)</f>
        <v>0</v>
      </c>
      <c r="AM80">
        <f>IF($D80=1,IF(GDP_per_cap!AI22&gt;'all_1961-1990'!$H$1,0,IF(UrbanPopRate!AI22&gt;=$J$1,0,1)),0)</f>
        <v>0</v>
      </c>
      <c r="AN80">
        <f>IF($D80=1,IF(GDP_per_cap!AJ22&gt;'all_1961-1990'!$H$1,0,IF(UrbanPopRate!AJ22&gt;=$J$1,0,1)),0)</f>
        <v>0</v>
      </c>
      <c r="AO80">
        <f>IF($D80=1,IF(GDP_per_cap!AK22&gt;'all_1961-1990'!$H$1,0,IF(UrbanPopRate!AK22&gt;=$J$1,0,1)),0)</f>
        <v>0</v>
      </c>
      <c r="AP80">
        <f>IF($D80=1,IF(GDP_per_cap!AL22&gt;'all_1961-1990'!$H$1,0,IF(UrbanPopRate!AL22&gt;=$J$1,0,1)),0)</f>
        <v>0</v>
      </c>
      <c r="AQ80">
        <f>IF($D80=1,IF(GDP_per_cap!AM22&gt;'all_1961-1990'!$H$1,0,IF(UrbanPopRate!AM22&gt;=$J$1,0,1)),0)</f>
        <v>0</v>
      </c>
      <c r="AR80">
        <f>IF($D80=1,IF(GDP_per_cap!AN22&gt;'all_1961-1990'!$H$1,0,IF(UrbanPopRate!AN22&gt;=$J$1,0,1)),0)</f>
        <v>0</v>
      </c>
      <c r="AS80">
        <f>IF($D80=1,IF(GDP_per_cap!AO22&gt;'all_1961-1990'!$H$1,0,IF(UrbanPopRate!AO22&gt;=$J$1,0,1)),0)</f>
        <v>0</v>
      </c>
      <c r="AT80">
        <f>IF($D80=1,IF(GDP_per_cap!AP22&gt;'all_1961-1990'!$H$1,0,IF(UrbanPopRate!AP22&gt;=$J$1,0,1)),0)</f>
        <v>0</v>
      </c>
      <c r="AU80">
        <f>IF($D80=1,IF(GDP_per_cap!AQ22&gt;'all_1961-1990'!$H$1,0,IF(UrbanPopRate!AQ22&gt;=$J$1,0,1)),0)</f>
        <v>0</v>
      </c>
      <c r="AV80">
        <f>IF($D80=1,IF(GDP_per_cap!AR22&gt;'all_1961-1990'!$H$1,0,IF(UrbanPopRate!AR22&gt;=$J$1,0,1)),0)</f>
        <v>0</v>
      </c>
      <c r="AW80">
        <f>IF($D80=1,IF(GDP_per_cap!AS22&gt;'all_1961-1990'!$H$1,0,IF(UrbanPopRate!AS22&gt;=$J$1,0,1)),0)</f>
        <v>0</v>
      </c>
      <c r="AX80">
        <f>IF($D80=1,IF(GDP_per_cap!AT22&gt;'all_1961-1990'!$H$1,0,IF(UrbanPopRate!AT22&gt;=$J$1,0,1)),0)</f>
        <v>0</v>
      </c>
      <c r="AY80">
        <f>IF($D80=1,IF(GDP_per_cap!AU22&gt;'all_1961-1990'!$H$1,0,IF(UrbanPopRate!AU22&gt;=$J$1,0,1)),0)</f>
        <v>0</v>
      </c>
      <c r="AZ80">
        <f>IF($D80=1,IF(GDP_per_cap!AV22&gt;'all_1961-1990'!$H$1,0,IF(UrbanPopRate!AV22&gt;=$J$1,0,1)),0)</f>
        <v>0</v>
      </c>
      <c r="BA80">
        <f>IF($D80=1,IF(GDP_per_cap!AW22&gt;'all_1961-1990'!$H$1,0,IF(UrbanPopRate!AW22&gt;=$J$1,0,1)),0)</f>
        <v>0</v>
      </c>
      <c r="BB80">
        <f>IF($D80=1,IF(GDP_per_cap!AX22&gt;'all_1961-1990'!$H$1,0,IF(UrbanPopRate!AX22&gt;=$J$1,0,1)),0)</f>
        <v>0</v>
      </c>
      <c r="BC80">
        <f>IF($D80=1,IF(GDP_per_cap!AY22&gt;'all_1961-1990'!$H$1,0,IF(UrbanPopRate!AY22&gt;=$J$1,0,1)),0)</f>
        <v>0</v>
      </c>
      <c r="BD80">
        <f>IF($D80=1,IF(GDP_per_cap!AZ22&gt;'all_1961-1990'!$H$1,0,IF(UrbanPopRate!AZ22&gt;=$J$1,0,1)),0)</f>
        <v>0</v>
      </c>
      <c r="BE80">
        <f>IF($D80=1,IF(GDP_per_cap!BA22&gt;'all_1961-1990'!$H$1,0,IF(UrbanPopRate!BA22&gt;=$J$1,0,1)),0)</f>
        <v>0</v>
      </c>
      <c r="BF80">
        <f>IF($D80=1,IF(GDP_per_cap!BB22&gt;'all_1961-1990'!$H$1,0,IF(UrbanPopRate!BB22&gt;=$J$1,0,1)),0)</f>
        <v>0</v>
      </c>
    </row>
    <row r="81" spans="1:58">
      <c r="A81" s="3">
        <v>123</v>
      </c>
      <c r="B81" s="3" t="s">
        <v>75</v>
      </c>
      <c r="C81" s="2">
        <v>2</v>
      </c>
      <c r="D81" s="35">
        <v>0</v>
      </c>
      <c r="E81" s="2">
        <v>9.7866999999999997</v>
      </c>
      <c r="F81" s="36">
        <v>412.09228869999998</v>
      </c>
      <c r="G81">
        <f>IF($D81=1,IF(GDP_per_cap!C81&gt;'all_1961-1990'!$H$1,0,IF(UrbanPopRate!C81&gt;=$J$1,0,1)),0)</f>
        <v>0</v>
      </c>
      <c r="H81">
        <f>IF($D81=1,IF(GDP_per_cap!D81&gt;'all_1961-1990'!$H$1,0,IF(UrbanPopRate!D81&gt;=$J$1,0,1)),0)</f>
        <v>0</v>
      </c>
      <c r="I81">
        <f>IF($D81=1,IF(GDP_per_cap!E81&gt;'all_1961-1990'!$H$1,0,IF(UrbanPopRate!E81&gt;=$J$1,0,1)),0)</f>
        <v>0</v>
      </c>
      <c r="J81">
        <f>IF($D81=1,IF(GDP_per_cap!F81&gt;'all_1961-1990'!$H$1,0,IF(UrbanPopRate!F81&gt;=$J$1,0,1)),0)</f>
        <v>0</v>
      </c>
      <c r="K81">
        <f>IF($D81=1,IF(GDP_per_cap!G81&gt;'all_1961-1990'!$H$1,0,IF(UrbanPopRate!G81&gt;=$J$1,0,1)),0)</f>
        <v>0</v>
      </c>
      <c r="L81">
        <f>IF($D81=1,IF(GDP_per_cap!H81&gt;'all_1961-1990'!$H$1,0,IF(UrbanPopRate!H81&gt;=$J$1,0,1)),0)</f>
        <v>0</v>
      </c>
      <c r="M81">
        <f>IF($D81=1,IF(GDP_per_cap!I81&gt;'all_1961-1990'!$H$1,0,IF(UrbanPopRate!I81&gt;=$J$1,0,1)),0)</f>
        <v>0</v>
      </c>
      <c r="N81">
        <f>IF($D81=1,IF(GDP_per_cap!J81&gt;'all_1961-1990'!$H$1,0,IF(UrbanPopRate!J81&gt;=$J$1,0,1)),0)</f>
        <v>0</v>
      </c>
      <c r="O81">
        <f>IF($D81=1,IF(GDP_per_cap!K81&gt;'all_1961-1990'!$H$1,0,IF(UrbanPopRate!K81&gt;=$J$1,0,1)),0)</f>
        <v>0</v>
      </c>
      <c r="P81">
        <f>IF($D81=1,IF(GDP_per_cap!L81&gt;'all_1961-1990'!$H$1,0,IF(UrbanPopRate!L81&gt;=$J$1,0,1)),0)</f>
        <v>0</v>
      </c>
      <c r="Q81">
        <f>IF($D81=1,IF(GDP_per_cap!M81&gt;'all_1961-1990'!$H$1,0,IF(UrbanPopRate!M81&gt;=$J$1,0,1)),0)</f>
        <v>0</v>
      </c>
      <c r="R81">
        <f>IF($D81=1,IF(GDP_per_cap!N81&gt;'all_1961-1990'!$H$1,0,IF(UrbanPopRate!N81&gt;=$J$1,0,1)),0)</f>
        <v>0</v>
      </c>
      <c r="S81">
        <f>IF($D81=1,IF(GDP_per_cap!O81&gt;'all_1961-1990'!$H$1,0,IF(UrbanPopRate!O81&gt;=$J$1,0,1)),0)</f>
        <v>0</v>
      </c>
      <c r="T81">
        <f>IF($D81=1,IF(GDP_per_cap!P81&gt;'all_1961-1990'!$H$1,0,IF(UrbanPopRate!P81&gt;=$J$1,0,1)),0)</f>
        <v>0</v>
      </c>
      <c r="U81">
        <f>IF($D81=1,IF(GDP_per_cap!Q81&gt;'all_1961-1990'!$H$1,0,IF(UrbanPopRate!Q81&gt;=$J$1,0,1)),0)</f>
        <v>0</v>
      </c>
      <c r="V81">
        <f>IF($D81=1,IF(GDP_per_cap!R81&gt;'all_1961-1990'!$H$1,0,IF(UrbanPopRate!R81&gt;=$J$1,0,1)),0)</f>
        <v>0</v>
      </c>
      <c r="W81">
        <f>IF($D81=1,IF(GDP_per_cap!S81&gt;'all_1961-1990'!$H$1,0,IF(UrbanPopRate!S81&gt;=$J$1,0,1)),0)</f>
        <v>0</v>
      </c>
      <c r="X81">
        <f>IF($D81=1,IF(GDP_per_cap!T81&gt;'all_1961-1990'!$H$1,0,IF(UrbanPopRate!T81&gt;=$J$1,0,1)),0)</f>
        <v>0</v>
      </c>
      <c r="Y81">
        <f>IF($D81=1,IF(GDP_per_cap!U81&gt;'all_1961-1990'!$H$1,0,IF(UrbanPopRate!U81&gt;=$J$1,0,1)),0)</f>
        <v>0</v>
      </c>
      <c r="Z81">
        <f>IF($D81=1,IF(GDP_per_cap!V81&gt;'all_1961-1990'!$H$1,0,IF(UrbanPopRate!V81&gt;=$J$1,0,1)),0)</f>
        <v>0</v>
      </c>
      <c r="AA81">
        <f>IF($D81=1,IF(GDP_per_cap!W81&gt;'all_1961-1990'!$H$1,0,IF(UrbanPopRate!W81&gt;=$J$1,0,1)),0)</f>
        <v>0</v>
      </c>
      <c r="AB81">
        <f>IF($D81=1,IF(GDP_per_cap!X81&gt;'all_1961-1990'!$H$1,0,IF(UrbanPopRate!X81&gt;=$J$1,0,1)),0)</f>
        <v>0</v>
      </c>
      <c r="AC81">
        <f>IF($D81=1,IF(GDP_per_cap!Y81&gt;'all_1961-1990'!$H$1,0,IF(UrbanPopRate!Y81&gt;=$J$1,0,1)),0)</f>
        <v>0</v>
      </c>
      <c r="AD81">
        <f>IF($D81=1,IF(GDP_per_cap!Z81&gt;'all_1961-1990'!$H$1,0,IF(UrbanPopRate!Z81&gt;=$J$1,0,1)),0)</f>
        <v>0</v>
      </c>
      <c r="AE81">
        <f>IF($D81=1,IF(GDP_per_cap!AA81&gt;'all_1961-1990'!$H$1,0,IF(UrbanPopRate!AA81&gt;=$J$1,0,1)),0)</f>
        <v>0</v>
      </c>
      <c r="AF81">
        <f>IF($D81=1,IF(GDP_per_cap!AB81&gt;'all_1961-1990'!$H$1,0,IF(UrbanPopRate!AB81&gt;=$J$1,0,1)),0)</f>
        <v>0</v>
      </c>
      <c r="AG81">
        <f>IF($D81=1,IF(GDP_per_cap!AC81&gt;'all_1961-1990'!$H$1,0,IF(UrbanPopRate!AC81&gt;=$J$1,0,1)),0)</f>
        <v>0</v>
      </c>
      <c r="AH81">
        <f>IF($D81=1,IF(GDP_per_cap!AD81&gt;'all_1961-1990'!$H$1,0,IF(UrbanPopRate!AD81&gt;=$J$1,0,1)),0)</f>
        <v>0</v>
      </c>
      <c r="AI81">
        <f>IF($D81=1,IF(GDP_per_cap!AE81&gt;'all_1961-1990'!$H$1,0,IF(UrbanPopRate!AE81&gt;=$J$1,0,1)),0)</f>
        <v>0</v>
      </c>
      <c r="AJ81">
        <f>IF($D81=1,IF(GDP_per_cap!AF81&gt;'all_1961-1990'!$H$1,0,IF(UrbanPopRate!AF81&gt;=$J$1,0,1)),0)</f>
        <v>0</v>
      </c>
      <c r="AK81">
        <f>IF($D81=1,IF(GDP_per_cap!AG81&gt;'all_1961-1990'!$H$1,0,IF(UrbanPopRate!AG81&gt;=$J$1,0,1)),0)</f>
        <v>0</v>
      </c>
      <c r="AL81">
        <f>IF($D81=1,IF(GDP_per_cap!AH81&gt;'all_1961-1990'!$H$1,0,IF(UrbanPopRate!AH81&gt;=$J$1,0,1)),0)</f>
        <v>0</v>
      </c>
      <c r="AM81">
        <f>IF($D81=1,IF(GDP_per_cap!AI81&gt;'all_1961-1990'!$H$1,0,IF(UrbanPopRate!AI81&gt;=$J$1,0,1)),0)</f>
        <v>0</v>
      </c>
      <c r="AN81">
        <f>IF($D81=1,IF(GDP_per_cap!AJ81&gt;'all_1961-1990'!$H$1,0,IF(UrbanPopRate!AJ81&gt;=$J$1,0,1)),0)</f>
        <v>0</v>
      </c>
      <c r="AO81">
        <f>IF($D81=1,IF(GDP_per_cap!AK81&gt;'all_1961-1990'!$H$1,0,IF(UrbanPopRate!AK81&gt;=$J$1,0,1)),0)</f>
        <v>0</v>
      </c>
      <c r="AP81">
        <f>IF($D81=1,IF(GDP_per_cap!AL81&gt;'all_1961-1990'!$H$1,0,IF(UrbanPopRate!AL81&gt;=$J$1,0,1)),0)</f>
        <v>0</v>
      </c>
      <c r="AQ81">
        <f>IF($D81=1,IF(GDP_per_cap!AM81&gt;'all_1961-1990'!$H$1,0,IF(UrbanPopRate!AM81&gt;=$J$1,0,1)),0)</f>
        <v>0</v>
      </c>
      <c r="AR81">
        <f>IF($D81=1,IF(GDP_per_cap!AN81&gt;'all_1961-1990'!$H$1,0,IF(UrbanPopRate!AN81&gt;=$J$1,0,1)),0)</f>
        <v>0</v>
      </c>
      <c r="AS81">
        <f>IF($D81=1,IF(GDP_per_cap!AO81&gt;'all_1961-1990'!$H$1,0,IF(UrbanPopRate!AO81&gt;=$J$1,0,1)),0)</f>
        <v>0</v>
      </c>
      <c r="AT81">
        <f>IF($D81=1,IF(GDP_per_cap!AP81&gt;'all_1961-1990'!$H$1,0,IF(UrbanPopRate!AP81&gt;=$J$1,0,1)),0)</f>
        <v>0</v>
      </c>
      <c r="AU81">
        <f>IF($D81=1,IF(GDP_per_cap!AQ81&gt;'all_1961-1990'!$H$1,0,IF(UrbanPopRate!AQ81&gt;=$J$1,0,1)),0)</f>
        <v>0</v>
      </c>
      <c r="AV81">
        <f>IF($D81=1,IF(GDP_per_cap!AR81&gt;'all_1961-1990'!$H$1,0,IF(UrbanPopRate!AR81&gt;=$J$1,0,1)),0)</f>
        <v>0</v>
      </c>
      <c r="AW81">
        <f>IF($D81=1,IF(GDP_per_cap!AS81&gt;'all_1961-1990'!$H$1,0,IF(UrbanPopRate!AS81&gt;=$J$1,0,1)),0)</f>
        <v>0</v>
      </c>
      <c r="AX81">
        <f>IF($D81=1,IF(GDP_per_cap!AT81&gt;'all_1961-1990'!$H$1,0,IF(UrbanPopRate!AT81&gt;=$J$1,0,1)),0)</f>
        <v>0</v>
      </c>
      <c r="AY81">
        <f>IF($D81=1,IF(GDP_per_cap!AU81&gt;'all_1961-1990'!$H$1,0,IF(UrbanPopRate!AU81&gt;=$J$1,0,1)),0)</f>
        <v>0</v>
      </c>
      <c r="AZ81">
        <f>IF($D81=1,IF(GDP_per_cap!AV81&gt;'all_1961-1990'!$H$1,0,IF(UrbanPopRate!AV81&gt;=$J$1,0,1)),0)</f>
        <v>0</v>
      </c>
      <c r="BA81">
        <f>IF($D81=1,IF(GDP_per_cap!AW81&gt;'all_1961-1990'!$H$1,0,IF(UrbanPopRate!AW81&gt;=$J$1,0,1)),0)</f>
        <v>0</v>
      </c>
      <c r="BB81">
        <f>IF($D81=1,IF(GDP_per_cap!AX81&gt;'all_1961-1990'!$H$1,0,IF(UrbanPopRate!AX81&gt;=$J$1,0,1)),0)</f>
        <v>0</v>
      </c>
      <c r="BC81">
        <f>IF($D81=1,IF(GDP_per_cap!AY81&gt;'all_1961-1990'!$H$1,0,IF(UrbanPopRate!AY81&gt;=$J$1,0,1)),0)</f>
        <v>0</v>
      </c>
      <c r="BD81">
        <f>IF($D81=1,IF(GDP_per_cap!AZ81&gt;'all_1961-1990'!$H$1,0,IF(UrbanPopRate!AZ81&gt;=$J$1,0,1)),0)</f>
        <v>0</v>
      </c>
      <c r="BE81">
        <f>IF($D81=1,IF(GDP_per_cap!BA81&gt;'all_1961-1990'!$H$1,0,IF(UrbanPopRate!BA81&gt;=$J$1,0,1)),0)</f>
        <v>0</v>
      </c>
      <c r="BF81">
        <f>IF($D81=1,IF(GDP_per_cap!BB81&gt;'all_1961-1990'!$H$1,0,IF(UrbanPopRate!BB81&gt;=$J$1,0,1)),0)</f>
        <v>0</v>
      </c>
    </row>
    <row r="82" spans="1:58">
      <c r="A82" s="3">
        <v>150</v>
      </c>
      <c r="B82" s="3" t="s">
        <v>59</v>
      </c>
      <c r="C82" s="2">
        <v>2</v>
      </c>
      <c r="D82" s="35">
        <v>0</v>
      </c>
      <c r="E82" s="2">
        <v>23.038733333333344</v>
      </c>
      <c r="F82" s="36">
        <v>378.93861290000001</v>
      </c>
      <c r="G82">
        <f>IF($D82=1,IF(GDP_per_cap!C97&gt;'all_1961-1990'!$H$1,0,IF(UrbanPopRate!C97&gt;=$J$1,0,1)),0)</f>
        <v>0</v>
      </c>
      <c r="H82">
        <f>IF($D82=1,IF(GDP_per_cap!D97&gt;'all_1961-1990'!$H$1,0,IF(UrbanPopRate!D97&gt;=$J$1,0,1)),0)</f>
        <v>0</v>
      </c>
      <c r="I82">
        <f>IF($D82=1,IF(GDP_per_cap!E97&gt;'all_1961-1990'!$H$1,0,IF(UrbanPopRate!E97&gt;=$J$1,0,1)),0)</f>
        <v>0</v>
      </c>
      <c r="J82">
        <f>IF($D82=1,IF(GDP_per_cap!F97&gt;'all_1961-1990'!$H$1,0,IF(UrbanPopRate!F97&gt;=$J$1,0,1)),0)</f>
        <v>0</v>
      </c>
      <c r="K82">
        <f>IF($D82=1,IF(GDP_per_cap!G97&gt;'all_1961-1990'!$H$1,0,IF(UrbanPopRate!G97&gt;=$J$1,0,1)),0)</f>
        <v>0</v>
      </c>
      <c r="L82">
        <f>IF($D82=1,IF(GDP_per_cap!H97&gt;'all_1961-1990'!$H$1,0,IF(UrbanPopRate!H97&gt;=$J$1,0,1)),0)</f>
        <v>0</v>
      </c>
      <c r="M82">
        <f>IF($D82=1,IF(GDP_per_cap!I97&gt;'all_1961-1990'!$H$1,0,IF(UrbanPopRate!I97&gt;=$J$1,0,1)),0)</f>
        <v>0</v>
      </c>
      <c r="N82">
        <f>IF($D82=1,IF(GDP_per_cap!J97&gt;'all_1961-1990'!$H$1,0,IF(UrbanPopRate!J97&gt;=$J$1,0,1)),0)</f>
        <v>0</v>
      </c>
      <c r="O82">
        <f>IF($D82=1,IF(GDP_per_cap!K97&gt;'all_1961-1990'!$H$1,0,IF(UrbanPopRate!K97&gt;=$J$1,0,1)),0)</f>
        <v>0</v>
      </c>
      <c r="P82">
        <f>IF($D82=1,IF(GDP_per_cap!L97&gt;'all_1961-1990'!$H$1,0,IF(UrbanPopRate!L97&gt;=$J$1,0,1)),0)</f>
        <v>0</v>
      </c>
      <c r="Q82">
        <f>IF($D82=1,IF(GDP_per_cap!M97&gt;'all_1961-1990'!$H$1,0,IF(UrbanPopRate!M97&gt;=$J$1,0,1)),0)</f>
        <v>0</v>
      </c>
      <c r="R82">
        <f>IF($D82=1,IF(GDP_per_cap!N97&gt;'all_1961-1990'!$H$1,0,IF(UrbanPopRate!N97&gt;=$J$1,0,1)),0)</f>
        <v>0</v>
      </c>
      <c r="S82">
        <f>IF($D82=1,IF(GDP_per_cap!O97&gt;'all_1961-1990'!$H$1,0,IF(UrbanPopRate!O97&gt;=$J$1,0,1)),0)</f>
        <v>0</v>
      </c>
      <c r="T82">
        <f>IF($D82=1,IF(GDP_per_cap!P97&gt;'all_1961-1990'!$H$1,0,IF(UrbanPopRate!P97&gt;=$J$1,0,1)),0)</f>
        <v>0</v>
      </c>
      <c r="U82">
        <f>IF($D82=1,IF(GDP_per_cap!Q97&gt;'all_1961-1990'!$H$1,0,IF(UrbanPopRate!Q97&gt;=$J$1,0,1)),0)</f>
        <v>0</v>
      </c>
      <c r="V82">
        <f>IF($D82=1,IF(GDP_per_cap!R97&gt;'all_1961-1990'!$H$1,0,IF(UrbanPopRate!R97&gt;=$J$1,0,1)),0)</f>
        <v>0</v>
      </c>
      <c r="W82">
        <f>IF($D82=1,IF(GDP_per_cap!S97&gt;'all_1961-1990'!$H$1,0,IF(UrbanPopRate!S97&gt;=$J$1,0,1)),0)</f>
        <v>0</v>
      </c>
      <c r="X82">
        <f>IF($D82=1,IF(GDP_per_cap!T97&gt;'all_1961-1990'!$H$1,0,IF(UrbanPopRate!T97&gt;=$J$1,0,1)),0)</f>
        <v>0</v>
      </c>
      <c r="Y82">
        <f>IF($D82=1,IF(GDP_per_cap!U97&gt;'all_1961-1990'!$H$1,0,IF(UrbanPopRate!U97&gt;=$J$1,0,1)),0)</f>
        <v>0</v>
      </c>
      <c r="Z82">
        <f>IF($D82=1,IF(GDP_per_cap!V97&gt;'all_1961-1990'!$H$1,0,IF(UrbanPopRate!V97&gt;=$J$1,0,1)),0)</f>
        <v>0</v>
      </c>
      <c r="AA82">
        <f>IF($D82=1,IF(GDP_per_cap!W97&gt;'all_1961-1990'!$H$1,0,IF(UrbanPopRate!W97&gt;=$J$1,0,1)),0)</f>
        <v>0</v>
      </c>
      <c r="AB82">
        <f>IF($D82=1,IF(GDP_per_cap!X97&gt;'all_1961-1990'!$H$1,0,IF(UrbanPopRate!X97&gt;=$J$1,0,1)),0)</f>
        <v>0</v>
      </c>
      <c r="AC82">
        <f>IF($D82=1,IF(GDP_per_cap!Y97&gt;'all_1961-1990'!$H$1,0,IF(UrbanPopRate!Y97&gt;=$J$1,0,1)),0)</f>
        <v>0</v>
      </c>
      <c r="AD82">
        <f>IF($D82=1,IF(GDP_per_cap!Z97&gt;'all_1961-1990'!$H$1,0,IF(UrbanPopRate!Z97&gt;=$J$1,0,1)),0)</f>
        <v>0</v>
      </c>
      <c r="AE82">
        <f>IF($D82=1,IF(GDP_per_cap!AA97&gt;'all_1961-1990'!$H$1,0,IF(UrbanPopRate!AA97&gt;=$J$1,0,1)),0)</f>
        <v>0</v>
      </c>
      <c r="AF82">
        <f>IF($D82=1,IF(GDP_per_cap!AB97&gt;'all_1961-1990'!$H$1,0,IF(UrbanPopRate!AB97&gt;=$J$1,0,1)),0)</f>
        <v>0</v>
      </c>
      <c r="AG82">
        <f>IF($D82=1,IF(GDP_per_cap!AC97&gt;'all_1961-1990'!$H$1,0,IF(UrbanPopRate!AC97&gt;=$J$1,0,1)),0)</f>
        <v>0</v>
      </c>
      <c r="AH82">
        <f>IF($D82=1,IF(GDP_per_cap!AD97&gt;'all_1961-1990'!$H$1,0,IF(UrbanPopRate!AD97&gt;=$J$1,0,1)),0)</f>
        <v>0</v>
      </c>
      <c r="AI82">
        <f>IF($D82=1,IF(GDP_per_cap!AE97&gt;'all_1961-1990'!$H$1,0,IF(UrbanPopRate!AE97&gt;=$J$1,0,1)),0)</f>
        <v>0</v>
      </c>
      <c r="AJ82">
        <f>IF($D82=1,IF(GDP_per_cap!AF97&gt;'all_1961-1990'!$H$1,0,IF(UrbanPopRate!AF97&gt;=$J$1,0,1)),0)</f>
        <v>0</v>
      </c>
      <c r="AK82">
        <f>IF($D82=1,IF(GDP_per_cap!AG97&gt;'all_1961-1990'!$H$1,0,IF(UrbanPopRate!AG97&gt;=$J$1,0,1)),0)</f>
        <v>0</v>
      </c>
      <c r="AL82">
        <f>IF($D82=1,IF(GDP_per_cap!AH97&gt;'all_1961-1990'!$H$1,0,IF(UrbanPopRate!AH97&gt;=$J$1,0,1)),0)</f>
        <v>0</v>
      </c>
      <c r="AM82">
        <f>IF($D82=1,IF(GDP_per_cap!AI97&gt;'all_1961-1990'!$H$1,0,IF(UrbanPopRate!AI97&gt;=$J$1,0,1)),0)</f>
        <v>0</v>
      </c>
      <c r="AN82">
        <f>IF($D82=1,IF(GDP_per_cap!AJ97&gt;'all_1961-1990'!$H$1,0,IF(UrbanPopRate!AJ97&gt;=$J$1,0,1)),0)</f>
        <v>0</v>
      </c>
      <c r="AO82">
        <f>IF($D82=1,IF(GDP_per_cap!AK97&gt;'all_1961-1990'!$H$1,0,IF(UrbanPopRate!AK97&gt;=$J$1,0,1)),0)</f>
        <v>0</v>
      </c>
      <c r="AP82">
        <f>IF($D82=1,IF(GDP_per_cap!AL97&gt;'all_1961-1990'!$H$1,0,IF(UrbanPopRate!AL97&gt;=$J$1,0,1)),0)</f>
        <v>0</v>
      </c>
      <c r="AQ82">
        <f>IF($D82=1,IF(GDP_per_cap!AM97&gt;'all_1961-1990'!$H$1,0,IF(UrbanPopRate!AM97&gt;=$J$1,0,1)),0)</f>
        <v>0</v>
      </c>
      <c r="AR82">
        <f>IF($D82=1,IF(GDP_per_cap!AN97&gt;'all_1961-1990'!$H$1,0,IF(UrbanPopRate!AN97&gt;=$J$1,0,1)),0)</f>
        <v>0</v>
      </c>
      <c r="AS82">
        <f>IF($D82=1,IF(GDP_per_cap!AO97&gt;'all_1961-1990'!$H$1,0,IF(UrbanPopRate!AO97&gt;=$J$1,0,1)),0)</f>
        <v>0</v>
      </c>
      <c r="AT82">
        <f>IF($D82=1,IF(GDP_per_cap!AP97&gt;'all_1961-1990'!$H$1,0,IF(UrbanPopRate!AP97&gt;=$J$1,0,1)),0)</f>
        <v>0</v>
      </c>
      <c r="AU82">
        <f>IF($D82=1,IF(GDP_per_cap!AQ97&gt;'all_1961-1990'!$H$1,0,IF(UrbanPopRate!AQ97&gt;=$J$1,0,1)),0)</f>
        <v>0</v>
      </c>
      <c r="AV82">
        <f>IF($D82=1,IF(GDP_per_cap!AR97&gt;'all_1961-1990'!$H$1,0,IF(UrbanPopRate!AR97&gt;=$J$1,0,1)),0)</f>
        <v>0</v>
      </c>
      <c r="AW82">
        <f>IF($D82=1,IF(GDP_per_cap!AS97&gt;'all_1961-1990'!$H$1,0,IF(UrbanPopRate!AS97&gt;=$J$1,0,1)),0)</f>
        <v>0</v>
      </c>
      <c r="AX82">
        <f>IF($D82=1,IF(GDP_per_cap!AT97&gt;'all_1961-1990'!$H$1,0,IF(UrbanPopRate!AT97&gt;=$J$1,0,1)),0)</f>
        <v>0</v>
      </c>
      <c r="AY82">
        <f>IF($D82=1,IF(GDP_per_cap!AU97&gt;'all_1961-1990'!$H$1,0,IF(UrbanPopRate!AU97&gt;=$J$1,0,1)),0)</f>
        <v>0</v>
      </c>
      <c r="AZ82">
        <f>IF($D82=1,IF(GDP_per_cap!AV97&gt;'all_1961-1990'!$H$1,0,IF(UrbanPopRate!AV97&gt;=$J$1,0,1)),0)</f>
        <v>0</v>
      </c>
      <c r="BA82">
        <f>IF($D82=1,IF(GDP_per_cap!AW97&gt;'all_1961-1990'!$H$1,0,IF(UrbanPopRate!AW97&gt;=$J$1,0,1)),0)</f>
        <v>0</v>
      </c>
      <c r="BB82">
        <f>IF($D82=1,IF(GDP_per_cap!AX97&gt;'all_1961-1990'!$H$1,0,IF(UrbanPopRate!AX97&gt;=$J$1,0,1)),0)</f>
        <v>0</v>
      </c>
      <c r="BC82">
        <f>IF($D82=1,IF(GDP_per_cap!AY97&gt;'all_1961-1990'!$H$1,0,IF(UrbanPopRate!AY97&gt;=$J$1,0,1)),0)</f>
        <v>0</v>
      </c>
      <c r="BD82">
        <f>IF($D82=1,IF(GDP_per_cap!AZ97&gt;'all_1961-1990'!$H$1,0,IF(UrbanPopRate!AZ97&gt;=$J$1,0,1)),0)</f>
        <v>0</v>
      </c>
      <c r="BE82">
        <f>IF($D82=1,IF(GDP_per_cap!BA97&gt;'all_1961-1990'!$H$1,0,IF(UrbanPopRate!BA97&gt;=$J$1,0,1)),0)</f>
        <v>0</v>
      </c>
      <c r="BF82">
        <f>IF($D82=1,IF(GDP_per_cap!BB97&gt;'all_1961-1990'!$H$1,0,IF(UrbanPopRate!BB97&gt;=$J$1,0,1)),0)</f>
        <v>0</v>
      </c>
    </row>
    <row r="83" spans="1:58">
      <c r="A83" s="3">
        <v>149</v>
      </c>
      <c r="B83" s="3" t="s">
        <v>60</v>
      </c>
      <c r="C83" s="2">
        <v>2</v>
      </c>
      <c r="D83" s="35">
        <v>0</v>
      </c>
      <c r="E83" s="2">
        <v>10.510733333333331</v>
      </c>
      <c r="F83" s="36">
        <v>365.23229900000001</v>
      </c>
      <c r="G83">
        <f>IF($D83=1,IF(GDP_per_cap!C96&gt;'all_1961-1990'!$H$1,0,IF(UrbanPopRate!C96&gt;=$J$1,0,1)),0)</f>
        <v>0</v>
      </c>
      <c r="H83">
        <f>IF($D83=1,IF(GDP_per_cap!D96&gt;'all_1961-1990'!$H$1,0,IF(UrbanPopRate!D96&gt;=$J$1,0,1)),0)</f>
        <v>0</v>
      </c>
      <c r="I83">
        <f>IF($D83=1,IF(GDP_per_cap!E96&gt;'all_1961-1990'!$H$1,0,IF(UrbanPopRate!E96&gt;=$J$1,0,1)),0)</f>
        <v>0</v>
      </c>
      <c r="J83">
        <f>IF($D83=1,IF(GDP_per_cap!F96&gt;'all_1961-1990'!$H$1,0,IF(UrbanPopRate!F96&gt;=$J$1,0,1)),0)</f>
        <v>0</v>
      </c>
      <c r="K83">
        <f>IF($D83=1,IF(GDP_per_cap!G96&gt;'all_1961-1990'!$H$1,0,IF(UrbanPopRate!G96&gt;=$J$1,0,1)),0)</f>
        <v>0</v>
      </c>
      <c r="L83">
        <f>IF($D83=1,IF(GDP_per_cap!H96&gt;'all_1961-1990'!$H$1,0,IF(UrbanPopRate!H96&gt;=$J$1,0,1)),0)</f>
        <v>0</v>
      </c>
      <c r="M83">
        <f>IF($D83=1,IF(GDP_per_cap!I96&gt;'all_1961-1990'!$H$1,0,IF(UrbanPopRate!I96&gt;=$J$1,0,1)),0)</f>
        <v>0</v>
      </c>
      <c r="N83">
        <f>IF($D83=1,IF(GDP_per_cap!J96&gt;'all_1961-1990'!$H$1,0,IF(UrbanPopRate!J96&gt;=$J$1,0,1)),0)</f>
        <v>0</v>
      </c>
      <c r="O83">
        <f>IF($D83=1,IF(GDP_per_cap!K96&gt;'all_1961-1990'!$H$1,0,IF(UrbanPopRate!K96&gt;=$J$1,0,1)),0)</f>
        <v>0</v>
      </c>
      <c r="P83">
        <f>IF($D83=1,IF(GDP_per_cap!L96&gt;'all_1961-1990'!$H$1,0,IF(UrbanPopRate!L96&gt;=$J$1,0,1)),0)</f>
        <v>0</v>
      </c>
      <c r="Q83">
        <f>IF($D83=1,IF(GDP_per_cap!M96&gt;'all_1961-1990'!$H$1,0,IF(UrbanPopRate!M96&gt;=$J$1,0,1)),0)</f>
        <v>0</v>
      </c>
      <c r="R83">
        <f>IF($D83=1,IF(GDP_per_cap!N96&gt;'all_1961-1990'!$H$1,0,IF(UrbanPopRate!N96&gt;=$J$1,0,1)),0)</f>
        <v>0</v>
      </c>
      <c r="S83">
        <f>IF($D83=1,IF(GDP_per_cap!O96&gt;'all_1961-1990'!$H$1,0,IF(UrbanPopRate!O96&gt;=$J$1,0,1)),0)</f>
        <v>0</v>
      </c>
      <c r="T83">
        <f>IF($D83=1,IF(GDP_per_cap!P96&gt;'all_1961-1990'!$H$1,0,IF(UrbanPopRate!P96&gt;=$J$1,0,1)),0)</f>
        <v>0</v>
      </c>
      <c r="U83">
        <f>IF($D83=1,IF(GDP_per_cap!Q96&gt;'all_1961-1990'!$H$1,0,IF(UrbanPopRate!Q96&gt;=$J$1,0,1)),0)</f>
        <v>0</v>
      </c>
      <c r="V83">
        <f>IF($D83=1,IF(GDP_per_cap!R96&gt;'all_1961-1990'!$H$1,0,IF(UrbanPopRate!R96&gt;=$J$1,0,1)),0)</f>
        <v>0</v>
      </c>
      <c r="W83">
        <f>IF($D83=1,IF(GDP_per_cap!S96&gt;'all_1961-1990'!$H$1,0,IF(UrbanPopRate!S96&gt;=$J$1,0,1)),0)</f>
        <v>0</v>
      </c>
      <c r="X83">
        <f>IF($D83=1,IF(GDP_per_cap!T96&gt;'all_1961-1990'!$H$1,0,IF(UrbanPopRate!T96&gt;=$J$1,0,1)),0)</f>
        <v>0</v>
      </c>
      <c r="Y83">
        <f>IF($D83=1,IF(GDP_per_cap!U96&gt;'all_1961-1990'!$H$1,0,IF(UrbanPopRate!U96&gt;=$J$1,0,1)),0)</f>
        <v>0</v>
      </c>
      <c r="Z83">
        <f>IF($D83=1,IF(GDP_per_cap!V96&gt;'all_1961-1990'!$H$1,0,IF(UrbanPopRate!V96&gt;=$J$1,0,1)),0)</f>
        <v>0</v>
      </c>
      <c r="AA83">
        <f>IF($D83=1,IF(GDP_per_cap!W96&gt;'all_1961-1990'!$H$1,0,IF(UrbanPopRate!W96&gt;=$J$1,0,1)),0)</f>
        <v>0</v>
      </c>
      <c r="AB83">
        <f>IF($D83=1,IF(GDP_per_cap!X96&gt;'all_1961-1990'!$H$1,0,IF(UrbanPopRate!X96&gt;=$J$1,0,1)),0)</f>
        <v>0</v>
      </c>
      <c r="AC83">
        <f>IF($D83=1,IF(GDP_per_cap!Y96&gt;'all_1961-1990'!$H$1,0,IF(UrbanPopRate!Y96&gt;=$J$1,0,1)),0)</f>
        <v>0</v>
      </c>
      <c r="AD83">
        <f>IF($D83=1,IF(GDP_per_cap!Z96&gt;'all_1961-1990'!$H$1,0,IF(UrbanPopRate!Z96&gt;=$J$1,0,1)),0)</f>
        <v>0</v>
      </c>
      <c r="AE83">
        <f>IF($D83=1,IF(GDP_per_cap!AA96&gt;'all_1961-1990'!$H$1,0,IF(UrbanPopRate!AA96&gt;=$J$1,0,1)),0)</f>
        <v>0</v>
      </c>
      <c r="AF83">
        <f>IF($D83=1,IF(GDP_per_cap!AB96&gt;'all_1961-1990'!$H$1,0,IF(UrbanPopRate!AB96&gt;=$J$1,0,1)),0)</f>
        <v>0</v>
      </c>
      <c r="AG83">
        <f>IF($D83=1,IF(GDP_per_cap!AC96&gt;'all_1961-1990'!$H$1,0,IF(UrbanPopRate!AC96&gt;=$J$1,0,1)),0)</f>
        <v>0</v>
      </c>
      <c r="AH83">
        <f>IF($D83=1,IF(GDP_per_cap!AD96&gt;'all_1961-1990'!$H$1,0,IF(UrbanPopRate!AD96&gt;=$J$1,0,1)),0)</f>
        <v>0</v>
      </c>
      <c r="AI83">
        <f>IF($D83=1,IF(GDP_per_cap!AE96&gt;'all_1961-1990'!$H$1,0,IF(UrbanPopRate!AE96&gt;=$J$1,0,1)),0)</f>
        <v>0</v>
      </c>
      <c r="AJ83">
        <f>IF($D83=1,IF(GDP_per_cap!AF96&gt;'all_1961-1990'!$H$1,0,IF(UrbanPopRate!AF96&gt;=$J$1,0,1)),0)</f>
        <v>0</v>
      </c>
      <c r="AK83">
        <f>IF($D83=1,IF(GDP_per_cap!AG96&gt;'all_1961-1990'!$H$1,0,IF(UrbanPopRate!AG96&gt;=$J$1,0,1)),0)</f>
        <v>0</v>
      </c>
      <c r="AL83">
        <f>IF($D83=1,IF(GDP_per_cap!AH96&gt;'all_1961-1990'!$H$1,0,IF(UrbanPopRate!AH96&gt;=$J$1,0,1)),0)</f>
        <v>0</v>
      </c>
      <c r="AM83">
        <f>IF($D83=1,IF(GDP_per_cap!AI96&gt;'all_1961-1990'!$H$1,0,IF(UrbanPopRate!AI96&gt;=$J$1,0,1)),0)</f>
        <v>0</v>
      </c>
      <c r="AN83">
        <f>IF($D83=1,IF(GDP_per_cap!AJ96&gt;'all_1961-1990'!$H$1,0,IF(UrbanPopRate!AJ96&gt;=$J$1,0,1)),0)</f>
        <v>0</v>
      </c>
      <c r="AO83">
        <f>IF($D83=1,IF(GDP_per_cap!AK96&gt;'all_1961-1990'!$H$1,0,IF(UrbanPopRate!AK96&gt;=$J$1,0,1)),0)</f>
        <v>0</v>
      </c>
      <c r="AP83">
        <f>IF($D83=1,IF(GDP_per_cap!AL96&gt;'all_1961-1990'!$H$1,0,IF(UrbanPopRate!AL96&gt;=$J$1,0,1)),0)</f>
        <v>0</v>
      </c>
      <c r="AQ83">
        <f>IF($D83=1,IF(GDP_per_cap!AM96&gt;'all_1961-1990'!$H$1,0,IF(UrbanPopRate!AM96&gt;=$J$1,0,1)),0)</f>
        <v>0</v>
      </c>
      <c r="AR83">
        <f>IF($D83=1,IF(GDP_per_cap!AN96&gt;'all_1961-1990'!$H$1,0,IF(UrbanPopRate!AN96&gt;=$J$1,0,1)),0)</f>
        <v>0</v>
      </c>
      <c r="AS83">
        <f>IF($D83=1,IF(GDP_per_cap!AO96&gt;'all_1961-1990'!$H$1,0,IF(UrbanPopRate!AO96&gt;=$J$1,0,1)),0)</f>
        <v>0</v>
      </c>
      <c r="AT83">
        <f>IF($D83=1,IF(GDP_per_cap!AP96&gt;'all_1961-1990'!$H$1,0,IF(UrbanPopRate!AP96&gt;=$J$1,0,1)),0)</f>
        <v>0</v>
      </c>
      <c r="AU83">
        <f>IF($D83=1,IF(GDP_per_cap!AQ96&gt;'all_1961-1990'!$H$1,0,IF(UrbanPopRate!AQ96&gt;=$J$1,0,1)),0)</f>
        <v>0</v>
      </c>
      <c r="AV83">
        <f>IF($D83=1,IF(GDP_per_cap!AR96&gt;'all_1961-1990'!$H$1,0,IF(UrbanPopRate!AR96&gt;=$J$1,0,1)),0)</f>
        <v>0</v>
      </c>
      <c r="AW83">
        <f>IF($D83=1,IF(GDP_per_cap!AS96&gt;'all_1961-1990'!$H$1,0,IF(UrbanPopRate!AS96&gt;=$J$1,0,1)),0)</f>
        <v>0</v>
      </c>
      <c r="AX83">
        <f>IF($D83=1,IF(GDP_per_cap!AT96&gt;'all_1961-1990'!$H$1,0,IF(UrbanPopRate!AT96&gt;=$J$1,0,1)),0)</f>
        <v>0</v>
      </c>
      <c r="AY83">
        <f>IF($D83=1,IF(GDP_per_cap!AU96&gt;'all_1961-1990'!$H$1,0,IF(UrbanPopRate!AU96&gt;=$J$1,0,1)),0)</f>
        <v>0</v>
      </c>
      <c r="AZ83">
        <f>IF($D83=1,IF(GDP_per_cap!AV96&gt;'all_1961-1990'!$H$1,0,IF(UrbanPopRate!AV96&gt;=$J$1,0,1)),0)</f>
        <v>0</v>
      </c>
      <c r="BA83">
        <f>IF($D83=1,IF(GDP_per_cap!AW96&gt;'all_1961-1990'!$H$1,0,IF(UrbanPopRate!AW96&gt;=$J$1,0,1)),0)</f>
        <v>0</v>
      </c>
      <c r="BB83">
        <f>IF($D83=1,IF(GDP_per_cap!AX96&gt;'all_1961-1990'!$H$1,0,IF(UrbanPopRate!AX96&gt;=$J$1,0,1)),0)</f>
        <v>0</v>
      </c>
      <c r="BC83">
        <f>IF($D83=1,IF(GDP_per_cap!AY96&gt;'all_1961-1990'!$H$1,0,IF(UrbanPopRate!AY96&gt;=$J$1,0,1)),0)</f>
        <v>0</v>
      </c>
      <c r="BD83">
        <f>IF($D83=1,IF(GDP_per_cap!AZ96&gt;'all_1961-1990'!$H$1,0,IF(UrbanPopRate!AZ96&gt;=$J$1,0,1)),0)</f>
        <v>0</v>
      </c>
      <c r="BE83">
        <f>IF($D83=1,IF(GDP_per_cap!BA96&gt;'all_1961-1990'!$H$1,0,IF(UrbanPopRate!BA96&gt;=$J$1,0,1)),0)</f>
        <v>0</v>
      </c>
      <c r="BF83">
        <f>IF($D83=1,IF(GDP_per_cap!BB96&gt;'all_1961-1990'!$H$1,0,IF(UrbanPopRate!BB96&gt;=$J$1,0,1)),0)</f>
        <v>0</v>
      </c>
    </row>
    <row r="84" spans="1:58">
      <c r="A84" s="3">
        <v>230</v>
      </c>
      <c r="B84" s="3" t="s">
        <v>7</v>
      </c>
      <c r="C84" s="2">
        <v>3</v>
      </c>
      <c r="D84" s="35">
        <v>1</v>
      </c>
      <c r="E84" s="2">
        <v>73.424066666666675</v>
      </c>
      <c r="F84" s="36">
        <v>28697.708030000002</v>
      </c>
      <c r="G84">
        <f>IF($D84=1,IF(GDP_per_cap!C149&gt;'all_1961-1990'!$H$1,0,IF(UrbanPopRate!C149&gt;=$J$1,0,1)),0)</f>
        <v>0</v>
      </c>
      <c r="H84">
        <f>IF($D84=1,IF(GDP_per_cap!D149&gt;'all_1961-1990'!$H$1,0,IF(UrbanPopRate!D149&gt;=$J$1,0,1)),0)</f>
        <v>0</v>
      </c>
      <c r="I84">
        <f>IF($D84=1,IF(GDP_per_cap!E149&gt;'all_1961-1990'!$H$1,0,IF(UrbanPopRate!E149&gt;=$J$1,0,1)),0)</f>
        <v>0</v>
      </c>
      <c r="J84">
        <f>IF($D84=1,IF(GDP_per_cap!F149&gt;'all_1961-1990'!$H$1,0,IF(UrbanPopRate!F149&gt;=$J$1,0,1)),0)</f>
        <v>0</v>
      </c>
      <c r="K84">
        <f>IF($D84=1,IF(GDP_per_cap!G149&gt;'all_1961-1990'!$H$1,0,IF(UrbanPopRate!G149&gt;=$J$1,0,1)),0)</f>
        <v>0</v>
      </c>
      <c r="L84">
        <f>IF($D84=1,IF(GDP_per_cap!H149&gt;'all_1961-1990'!$H$1,0,IF(UrbanPopRate!H149&gt;=$J$1,0,1)),0)</f>
        <v>0</v>
      </c>
      <c r="M84">
        <f>IF($D84=1,IF(GDP_per_cap!I149&gt;'all_1961-1990'!$H$1,0,IF(UrbanPopRate!I149&gt;=$J$1,0,1)),0)</f>
        <v>0</v>
      </c>
      <c r="N84">
        <f>IF($D84=1,IF(GDP_per_cap!J149&gt;'all_1961-1990'!$H$1,0,IF(UrbanPopRate!J149&gt;=$J$1,0,1)),0)</f>
        <v>0</v>
      </c>
      <c r="O84">
        <f>IF($D84=1,IF(GDP_per_cap!K149&gt;'all_1961-1990'!$H$1,0,IF(UrbanPopRate!K149&gt;=$J$1,0,1)),0)</f>
        <v>0</v>
      </c>
      <c r="P84">
        <f>IF($D84=1,IF(GDP_per_cap!L149&gt;'all_1961-1990'!$H$1,0,IF(UrbanPopRate!L149&gt;=$J$1,0,1)),0)</f>
        <v>0</v>
      </c>
      <c r="Q84">
        <f>IF($D84=1,IF(GDP_per_cap!M149&gt;'all_1961-1990'!$H$1,0,IF(UrbanPopRate!M149&gt;=$J$1,0,1)),0)</f>
        <v>0</v>
      </c>
      <c r="R84">
        <f>IF($D84=1,IF(GDP_per_cap!N149&gt;'all_1961-1990'!$H$1,0,IF(UrbanPopRate!N149&gt;=$J$1,0,1)),0)</f>
        <v>0</v>
      </c>
      <c r="S84">
        <f>IF($D84=1,IF(GDP_per_cap!O149&gt;'all_1961-1990'!$H$1,0,IF(UrbanPopRate!O149&gt;=$J$1,0,1)),0)</f>
        <v>0</v>
      </c>
      <c r="T84">
        <f>IF($D84=1,IF(GDP_per_cap!P149&gt;'all_1961-1990'!$H$1,0,IF(UrbanPopRate!P149&gt;=$J$1,0,1)),0)</f>
        <v>0</v>
      </c>
      <c r="U84">
        <f>IF($D84=1,IF(GDP_per_cap!Q149&gt;'all_1961-1990'!$H$1,0,IF(UrbanPopRate!Q149&gt;=$J$1,0,1)),0)</f>
        <v>0</v>
      </c>
      <c r="V84">
        <f>IF($D84=1,IF(GDP_per_cap!R149&gt;'all_1961-1990'!$H$1,0,IF(UrbanPopRate!R149&gt;=$J$1,0,1)),0)</f>
        <v>0</v>
      </c>
      <c r="W84">
        <f>IF($D84=1,IF(GDP_per_cap!S149&gt;'all_1961-1990'!$H$1,0,IF(UrbanPopRate!S149&gt;=$J$1,0,1)),0)</f>
        <v>0</v>
      </c>
      <c r="X84">
        <f>IF($D84=1,IF(GDP_per_cap!T149&gt;'all_1961-1990'!$H$1,0,IF(UrbanPopRate!T149&gt;=$J$1,0,1)),0)</f>
        <v>0</v>
      </c>
      <c r="Y84">
        <f>IF($D84=1,IF(GDP_per_cap!U149&gt;'all_1961-1990'!$H$1,0,IF(UrbanPopRate!U149&gt;=$J$1,0,1)),0)</f>
        <v>0</v>
      </c>
      <c r="Z84">
        <f>IF($D84=1,IF(GDP_per_cap!V149&gt;'all_1961-1990'!$H$1,0,IF(UrbanPopRate!V149&gt;=$J$1,0,1)),0)</f>
        <v>0</v>
      </c>
      <c r="AA84">
        <f>IF($D84=1,IF(GDP_per_cap!W149&gt;'all_1961-1990'!$H$1,0,IF(UrbanPopRate!W149&gt;=$J$1,0,1)),0)</f>
        <v>0</v>
      </c>
      <c r="AB84">
        <f>IF($D84=1,IF(GDP_per_cap!X149&gt;'all_1961-1990'!$H$1,0,IF(UrbanPopRate!X149&gt;=$J$1,0,1)),0)</f>
        <v>0</v>
      </c>
      <c r="AC84">
        <f>IF($D84=1,IF(GDP_per_cap!Y149&gt;'all_1961-1990'!$H$1,0,IF(UrbanPopRate!Y149&gt;=$J$1,0,1)),0)</f>
        <v>0</v>
      </c>
      <c r="AD84">
        <f>IF($D84=1,IF(GDP_per_cap!Z149&gt;'all_1961-1990'!$H$1,0,IF(UrbanPopRate!Z149&gt;=$J$1,0,1)),0)</f>
        <v>0</v>
      </c>
      <c r="AE84">
        <f>IF($D84=1,IF(GDP_per_cap!AA149&gt;'all_1961-1990'!$H$1,0,IF(UrbanPopRate!AA149&gt;=$J$1,0,1)),0)</f>
        <v>0</v>
      </c>
      <c r="AF84">
        <f>IF($D84=1,IF(GDP_per_cap!AB149&gt;'all_1961-1990'!$H$1,0,IF(UrbanPopRate!AB149&gt;=$J$1,0,1)),0)</f>
        <v>0</v>
      </c>
      <c r="AG84">
        <f>IF($D84=1,IF(GDP_per_cap!AC149&gt;'all_1961-1990'!$H$1,0,IF(UrbanPopRate!AC149&gt;=$J$1,0,1)),0)</f>
        <v>0</v>
      </c>
      <c r="AH84">
        <f>IF($D84=1,IF(GDP_per_cap!AD149&gt;'all_1961-1990'!$H$1,0,IF(UrbanPopRate!AD149&gt;=$J$1,0,1)),0)</f>
        <v>0</v>
      </c>
      <c r="AI84">
        <f>IF($D84=1,IF(GDP_per_cap!AE149&gt;'all_1961-1990'!$H$1,0,IF(UrbanPopRate!AE149&gt;=$J$1,0,1)),0)</f>
        <v>0</v>
      </c>
      <c r="AJ84">
        <f>IF($D84=1,IF(GDP_per_cap!AF149&gt;'all_1961-1990'!$H$1,0,IF(UrbanPopRate!AF149&gt;=$J$1,0,1)),0)</f>
        <v>0</v>
      </c>
      <c r="AK84">
        <f>IF($D84=1,IF(GDP_per_cap!AG149&gt;'all_1961-1990'!$H$1,0,IF(UrbanPopRate!AG149&gt;=$J$1,0,1)),0)</f>
        <v>0</v>
      </c>
      <c r="AL84">
        <f>IF($D84=1,IF(GDP_per_cap!AH149&gt;'all_1961-1990'!$H$1,0,IF(UrbanPopRate!AH149&gt;=$J$1,0,1)),0)</f>
        <v>0</v>
      </c>
      <c r="AM84">
        <f>IF($D84=1,IF(GDP_per_cap!AI149&gt;'all_1961-1990'!$H$1,0,IF(UrbanPopRate!AI149&gt;=$J$1,0,1)),0)</f>
        <v>0</v>
      </c>
      <c r="AN84">
        <f>IF($D84=1,IF(GDP_per_cap!AJ149&gt;'all_1961-1990'!$H$1,0,IF(UrbanPopRate!AJ149&gt;=$J$1,0,1)),0)</f>
        <v>0</v>
      </c>
      <c r="AO84">
        <f>IF($D84=1,IF(GDP_per_cap!AK149&gt;'all_1961-1990'!$H$1,0,IF(UrbanPopRate!AK149&gt;=$J$1,0,1)),0)</f>
        <v>0</v>
      </c>
      <c r="AP84">
        <f>IF($D84=1,IF(GDP_per_cap!AL149&gt;'all_1961-1990'!$H$1,0,IF(UrbanPopRate!AL149&gt;=$J$1,0,1)),0)</f>
        <v>0</v>
      </c>
      <c r="AQ84">
        <f>IF($D84=1,IF(GDP_per_cap!AM149&gt;'all_1961-1990'!$H$1,0,IF(UrbanPopRate!AM149&gt;=$J$1,0,1)),0)</f>
        <v>0</v>
      </c>
      <c r="AR84">
        <f>IF($D84=1,IF(GDP_per_cap!AN149&gt;'all_1961-1990'!$H$1,0,IF(UrbanPopRate!AN149&gt;=$J$1,0,1)),0)</f>
        <v>0</v>
      </c>
      <c r="AS84">
        <f>IF($D84=1,IF(GDP_per_cap!AO149&gt;'all_1961-1990'!$H$1,0,IF(UrbanPopRate!AO149&gt;=$J$1,0,1)),0)</f>
        <v>0</v>
      </c>
      <c r="AT84">
        <f>IF($D84=1,IF(GDP_per_cap!AP149&gt;'all_1961-1990'!$H$1,0,IF(UrbanPopRate!AP149&gt;=$J$1,0,1)),0)</f>
        <v>0</v>
      </c>
      <c r="AU84">
        <f>IF($D84=1,IF(GDP_per_cap!AQ149&gt;'all_1961-1990'!$H$1,0,IF(UrbanPopRate!AQ149&gt;=$J$1,0,1)),0)</f>
        <v>0</v>
      </c>
      <c r="AV84">
        <f>IF($D84=1,IF(GDP_per_cap!AR149&gt;'all_1961-1990'!$H$1,0,IF(UrbanPopRate!AR149&gt;=$J$1,0,1)),0)</f>
        <v>0</v>
      </c>
      <c r="AW84">
        <f>IF($D84=1,IF(GDP_per_cap!AS149&gt;'all_1961-1990'!$H$1,0,IF(UrbanPopRate!AS149&gt;=$J$1,0,1)),0)</f>
        <v>0</v>
      </c>
      <c r="AX84">
        <f>IF($D84=1,IF(GDP_per_cap!AT149&gt;'all_1961-1990'!$H$1,0,IF(UrbanPopRate!AT149&gt;=$J$1,0,1)),0)</f>
        <v>0</v>
      </c>
      <c r="AY84">
        <f>IF($D84=1,IF(GDP_per_cap!AU149&gt;'all_1961-1990'!$H$1,0,IF(UrbanPopRate!AU149&gt;=$J$1,0,1)),0)</f>
        <v>0</v>
      </c>
      <c r="AZ84">
        <f>IF($D84=1,IF(GDP_per_cap!AV149&gt;'all_1961-1990'!$H$1,0,IF(UrbanPopRate!AV149&gt;=$J$1,0,1)),0)</f>
        <v>0</v>
      </c>
      <c r="BA84">
        <f>IF($D84=1,IF(GDP_per_cap!AW149&gt;'all_1961-1990'!$H$1,0,IF(UrbanPopRate!AW149&gt;=$J$1,0,1)),0)</f>
        <v>0</v>
      </c>
      <c r="BB84">
        <f>IF($D84=1,IF(GDP_per_cap!AX149&gt;'all_1961-1990'!$H$1,0,IF(UrbanPopRate!AX149&gt;=$J$1,0,1)),0)</f>
        <v>0</v>
      </c>
      <c r="BC84">
        <f>IF($D84=1,IF(GDP_per_cap!AY149&gt;'all_1961-1990'!$H$1,0,IF(UrbanPopRate!AY149&gt;=$J$1,0,1)),0)</f>
        <v>0</v>
      </c>
      <c r="BD84">
        <f>IF($D84=1,IF(GDP_per_cap!AZ149&gt;'all_1961-1990'!$H$1,0,IF(UrbanPopRate!AZ149&gt;=$J$1,0,1)),0)</f>
        <v>0</v>
      </c>
      <c r="BE84">
        <f>IF($D84=1,IF(GDP_per_cap!BA149&gt;'all_1961-1990'!$H$1,0,IF(UrbanPopRate!BA149&gt;=$J$1,0,1)),0)</f>
        <v>0</v>
      </c>
      <c r="BF84">
        <f>IF($D84=1,IF(GDP_per_cap!BB149&gt;'all_1961-1990'!$H$1,0,IF(UrbanPopRate!BB149&gt;=$J$1,0,1)),0)</f>
        <v>0</v>
      </c>
    </row>
    <row r="85" spans="1:58">
      <c r="A85" s="3">
        <v>39</v>
      </c>
      <c r="B85" s="3" t="s">
        <v>131</v>
      </c>
      <c r="C85" s="2">
        <v>3</v>
      </c>
      <c r="D85" s="35">
        <v>1</v>
      </c>
      <c r="E85" s="2">
        <v>74.95793333333333</v>
      </c>
      <c r="F85" s="36">
        <v>25123.678609999999</v>
      </c>
      <c r="G85">
        <f>IF($D85=1,IF(GDP_per_cap!C25&gt;'all_1961-1990'!$H$1,0,IF(UrbanPopRate!C25&gt;=$J$1,0,1)),0)</f>
        <v>0</v>
      </c>
      <c r="H85">
        <f>IF($D85=1,IF(GDP_per_cap!D25&gt;'all_1961-1990'!$H$1,0,IF(UrbanPopRate!D25&gt;=$J$1,0,1)),0)</f>
        <v>0</v>
      </c>
      <c r="I85">
        <f>IF($D85=1,IF(GDP_per_cap!E25&gt;'all_1961-1990'!$H$1,0,IF(UrbanPopRate!E25&gt;=$J$1,0,1)),0)</f>
        <v>0</v>
      </c>
      <c r="J85">
        <f>IF($D85=1,IF(GDP_per_cap!F25&gt;'all_1961-1990'!$H$1,0,IF(UrbanPopRate!F25&gt;=$J$1,0,1)),0)</f>
        <v>0</v>
      </c>
      <c r="K85">
        <f>IF($D85=1,IF(GDP_per_cap!G25&gt;'all_1961-1990'!$H$1,0,IF(UrbanPopRate!G25&gt;=$J$1,0,1)),0)</f>
        <v>0</v>
      </c>
      <c r="L85">
        <f>IF($D85=1,IF(GDP_per_cap!H25&gt;'all_1961-1990'!$H$1,0,IF(UrbanPopRate!H25&gt;=$J$1,0,1)),0)</f>
        <v>0</v>
      </c>
      <c r="M85">
        <f>IF($D85=1,IF(GDP_per_cap!I25&gt;'all_1961-1990'!$H$1,0,IF(UrbanPopRate!I25&gt;=$J$1,0,1)),0)</f>
        <v>0</v>
      </c>
      <c r="N85">
        <f>IF($D85=1,IF(GDP_per_cap!J25&gt;'all_1961-1990'!$H$1,0,IF(UrbanPopRate!J25&gt;=$J$1,0,1)),0)</f>
        <v>0</v>
      </c>
      <c r="O85">
        <f>IF($D85=1,IF(GDP_per_cap!K25&gt;'all_1961-1990'!$H$1,0,IF(UrbanPopRate!K25&gt;=$J$1,0,1)),0)</f>
        <v>0</v>
      </c>
      <c r="P85">
        <f>IF($D85=1,IF(GDP_per_cap!L25&gt;'all_1961-1990'!$H$1,0,IF(UrbanPopRate!L25&gt;=$J$1,0,1)),0)</f>
        <v>0</v>
      </c>
      <c r="Q85">
        <f>IF($D85=1,IF(GDP_per_cap!M25&gt;'all_1961-1990'!$H$1,0,IF(UrbanPopRate!M25&gt;=$J$1,0,1)),0)</f>
        <v>0</v>
      </c>
      <c r="R85">
        <f>IF($D85=1,IF(GDP_per_cap!N25&gt;'all_1961-1990'!$H$1,0,IF(UrbanPopRate!N25&gt;=$J$1,0,1)),0)</f>
        <v>0</v>
      </c>
      <c r="S85">
        <f>IF($D85=1,IF(GDP_per_cap!O25&gt;'all_1961-1990'!$H$1,0,IF(UrbanPopRate!O25&gt;=$J$1,0,1)),0)</f>
        <v>0</v>
      </c>
      <c r="T85">
        <f>IF($D85=1,IF(GDP_per_cap!P25&gt;'all_1961-1990'!$H$1,0,IF(UrbanPopRate!P25&gt;=$J$1,0,1)),0)</f>
        <v>0</v>
      </c>
      <c r="U85">
        <f>IF($D85=1,IF(GDP_per_cap!Q25&gt;'all_1961-1990'!$H$1,0,IF(UrbanPopRate!Q25&gt;=$J$1,0,1)),0)</f>
        <v>0</v>
      </c>
      <c r="V85">
        <f>IF($D85=1,IF(GDP_per_cap!R25&gt;'all_1961-1990'!$H$1,0,IF(UrbanPopRate!R25&gt;=$J$1,0,1)),0)</f>
        <v>0</v>
      </c>
      <c r="W85">
        <f>IF($D85=1,IF(GDP_per_cap!S25&gt;'all_1961-1990'!$H$1,0,IF(UrbanPopRate!S25&gt;=$J$1,0,1)),0)</f>
        <v>0</v>
      </c>
      <c r="X85">
        <f>IF($D85=1,IF(GDP_per_cap!T25&gt;'all_1961-1990'!$H$1,0,IF(UrbanPopRate!T25&gt;=$J$1,0,1)),0)</f>
        <v>0</v>
      </c>
      <c r="Y85">
        <f>IF($D85=1,IF(GDP_per_cap!U25&gt;'all_1961-1990'!$H$1,0,IF(UrbanPopRate!U25&gt;=$J$1,0,1)),0)</f>
        <v>0</v>
      </c>
      <c r="Z85">
        <f>IF($D85=1,IF(GDP_per_cap!V25&gt;'all_1961-1990'!$H$1,0,IF(UrbanPopRate!V25&gt;=$J$1,0,1)),0)</f>
        <v>0</v>
      </c>
      <c r="AA85">
        <f>IF($D85=1,IF(GDP_per_cap!W25&gt;'all_1961-1990'!$H$1,0,IF(UrbanPopRate!W25&gt;=$J$1,0,1)),0)</f>
        <v>0</v>
      </c>
      <c r="AB85">
        <f>IF($D85=1,IF(GDP_per_cap!X25&gt;'all_1961-1990'!$H$1,0,IF(UrbanPopRate!X25&gt;=$J$1,0,1)),0)</f>
        <v>0</v>
      </c>
      <c r="AC85">
        <f>IF($D85=1,IF(GDP_per_cap!Y25&gt;'all_1961-1990'!$H$1,0,IF(UrbanPopRate!Y25&gt;=$J$1,0,1)),0)</f>
        <v>0</v>
      </c>
      <c r="AD85">
        <f>IF($D85=1,IF(GDP_per_cap!Z25&gt;'all_1961-1990'!$H$1,0,IF(UrbanPopRate!Z25&gt;=$J$1,0,1)),0)</f>
        <v>0</v>
      </c>
      <c r="AE85">
        <f>IF($D85=1,IF(GDP_per_cap!AA25&gt;'all_1961-1990'!$H$1,0,IF(UrbanPopRate!AA25&gt;=$J$1,0,1)),0)</f>
        <v>0</v>
      </c>
      <c r="AF85">
        <f>IF($D85=1,IF(GDP_per_cap!AB25&gt;'all_1961-1990'!$H$1,0,IF(UrbanPopRate!AB25&gt;=$J$1,0,1)),0)</f>
        <v>0</v>
      </c>
      <c r="AG85">
        <f>IF($D85=1,IF(GDP_per_cap!AC25&gt;'all_1961-1990'!$H$1,0,IF(UrbanPopRate!AC25&gt;=$J$1,0,1)),0)</f>
        <v>0</v>
      </c>
      <c r="AH85">
        <f>IF($D85=1,IF(GDP_per_cap!AD25&gt;'all_1961-1990'!$H$1,0,IF(UrbanPopRate!AD25&gt;=$J$1,0,1)),0)</f>
        <v>0</v>
      </c>
      <c r="AI85">
        <f>IF($D85=1,IF(GDP_per_cap!AE25&gt;'all_1961-1990'!$H$1,0,IF(UrbanPopRate!AE25&gt;=$J$1,0,1)),0)</f>
        <v>0</v>
      </c>
      <c r="AJ85">
        <f>IF($D85=1,IF(GDP_per_cap!AF25&gt;'all_1961-1990'!$H$1,0,IF(UrbanPopRate!AF25&gt;=$J$1,0,1)),0)</f>
        <v>0</v>
      </c>
      <c r="AK85">
        <f>IF($D85=1,IF(GDP_per_cap!AG25&gt;'all_1961-1990'!$H$1,0,IF(UrbanPopRate!AG25&gt;=$J$1,0,1)),0)</f>
        <v>0</v>
      </c>
      <c r="AL85">
        <f>IF($D85=1,IF(GDP_per_cap!AH25&gt;'all_1961-1990'!$H$1,0,IF(UrbanPopRate!AH25&gt;=$J$1,0,1)),0)</f>
        <v>0</v>
      </c>
      <c r="AM85">
        <f>IF($D85=1,IF(GDP_per_cap!AI25&gt;'all_1961-1990'!$H$1,0,IF(UrbanPopRate!AI25&gt;=$J$1,0,1)),0)</f>
        <v>0</v>
      </c>
      <c r="AN85">
        <f>IF($D85=1,IF(GDP_per_cap!AJ25&gt;'all_1961-1990'!$H$1,0,IF(UrbanPopRate!AJ25&gt;=$J$1,0,1)),0)</f>
        <v>0</v>
      </c>
      <c r="AO85">
        <f>IF($D85=1,IF(GDP_per_cap!AK25&gt;'all_1961-1990'!$H$1,0,IF(UrbanPopRate!AK25&gt;=$J$1,0,1)),0)</f>
        <v>0</v>
      </c>
      <c r="AP85">
        <f>IF($D85=1,IF(GDP_per_cap!AL25&gt;'all_1961-1990'!$H$1,0,IF(UrbanPopRate!AL25&gt;=$J$1,0,1)),0)</f>
        <v>0</v>
      </c>
      <c r="AQ85">
        <f>IF($D85=1,IF(GDP_per_cap!AM25&gt;'all_1961-1990'!$H$1,0,IF(UrbanPopRate!AM25&gt;=$J$1,0,1)),0)</f>
        <v>0</v>
      </c>
      <c r="AR85">
        <f>IF($D85=1,IF(GDP_per_cap!AN25&gt;'all_1961-1990'!$H$1,0,IF(UrbanPopRate!AN25&gt;=$J$1,0,1)),0)</f>
        <v>0</v>
      </c>
      <c r="AS85">
        <f>IF($D85=1,IF(GDP_per_cap!AO25&gt;'all_1961-1990'!$H$1,0,IF(UrbanPopRate!AO25&gt;=$J$1,0,1)),0)</f>
        <v>0</v>
      </c>
      <c r="AT85">
        <f>IF($D85=1,IF(GDP_per_cap!AP25&gt;'all_1961-1990'!$H$1,0,IF(UrbanPopRate!AP25&gt;=$J$1,0,1)),0)</f>
        <v>0</v>
      </c>
      <c r="AU85">
        <f>IF($D85=1,IF(GDP_per_cap!AQ25&gt;'all_1961-1990'!$H$1,0,IF(UrbanPopRate!AQ25&gt;=$J$1,0,1)),0)</f>
        <v>0</v>
      </c>
      <c r="AV85">
        <f>IF($D85=1,IF(GDP_per_cap!AR25&gt;'all_1961-1990'!$H$1,0,IF(UrbanPopRate!AR25&gt;=$J$1,0,1)),0)</f>
        <v>0</v>
      </c>
      <c r="AW85">
        <f>IF($D85=1,IF(GDP_per_cap!AS25&gt;'all_1961-1990'!$H$1,0,IF(UrbanPopRate!AS25&gt;=$J$1,0,1)),0)</f>
        <v>0</v>
      </c>
      <c r="AX85">
        <f>IF($D85=1,IF(GDP_per_cap!AT25&gt;'all_1961-1990'!$H$1,0,IF(UrbanPopRate!AT25&gt;=$J$1,0,1)),0)</f>
        <v>0</v>
      </c>
      <c r="AY85">
        <f>IF($D85=1,IF(GDP_per_cap!AU25&gt;'all_1961-1990'!$H$1,0,IF(UrbanPopRate!AU25&gt;=$J$1,0,1)),0)</f>
        <v>0</v>
      </c>
      <c r="AZ85">
        <f>IF($D85=1,IF(GDP_per_cap!AV25&gt;'all_1961-1990'!$H$1,0,IF(UrbanPopRate!AV25&gt;=$J$1,0,1)),0)</f>
        <v>0</v>
      </c>
      <c r="BA85">
        <f>IF($D85=1,IF(GDP_per_cap!AW25&gt;'all_1961-1990'!$H$1,0,IF(UrbanPopRate!AW25&gt;=$J$1,0,1)),0)</f>
        <v>0</v>
      </c>
      <c r="BB85">
        <f>IF($D85=1,IF(GDP_per_cap!AX25&gt;'all_1961-1990'!$H$1,0,IF(UrbanPopRate!AX25&gt;=$J$1,0,1)),0)</f>
        <v>0</v>
      </c>
      <c r="BC85">
        <f>IF($D85=1,IF(GDP_per_cap!AY25&gt;'all_1961-1990'!$H$1,0,IF(UrbanPopRate!AY25&gt;=$J$1,0,1)),0)</f>
        <v>0</v>
      </c>
      <c r="BD85">
        <f>IF($D85=1,IF(GDP_per_cap!AZ25&gt;'all_1961-1990'!$H$1,0,IF(UrbanPopRate!AZ25&gt;=$J$1,0,1)),0)</f>
        <v>0</v>
      </c>
      <c r="BE85">
        <f>IF($D85=1,IF(GDP_per_cap!BA25&gt;'all_1961-1990'!$H$1,0,IF(UrbanPopRate!BA25&gt;=$J$1,0,1)),0)</f>
        <v>0</v>
      </c>
      <c r="BF85">
        <f>IF($D85=1,IF(GDP_per_cap!BB25&gt;'all_1961-1990'!$H$1,0,IF(UrbanPopRate!BB25&gt;=$J$1,0,1)),0)</f>
        <v>0</v>
      </c>
    </row>
    <row r="86" spans="1:58">
      <c r="A86" s="3">
        <v>59</v>
      </c>
      <c r="B86" s="3" t="s">
        <v>117</v>
      </c>
      <c r="C86" s="2">
        <v>3</v>
      </c>
      <c r="D86" s="35">
        <v>1</v>
      </c>
      <c r="E86" s="2">
        <v>81.230933333333311</v>
      </c>
      <c r="F86" s="36">
        <v>23612.410929999998</v>
      </c>
      <c r="G86">
        <f>IF($D86=1,IF(GDP_per_cap!C39&gt;'all_1961-1990'!$H$1,0,IF(UrbanPopRate!C39&gt;=$J$1,0,1)),0)</f>
        <v>0</v>
      </c>
      <c r="H86">
        <f>IF($D86=1,IF(GDP_per_cap!D39&gt;'all_1961-1990'!$H$1,0,IF(UrbanPopRate!D39&gt;=$J$1,0,1)),0)</f>
        <v>0</v>
      </c>
      <c r="I86">
        <f>IF($D86=1,IF(GDP_per_cap!E39&gt;'all_1961-1990'!$H$1,0,IF(UrbanPopRate!E39&gt;=$J$1,0,1)),0)</f>
        <v>0</v>
      </c>
      <c r="J86">
        <f>IF($D86=1,IF(GDP_per_cap!F39&gt;'all_1961-1990'!$H$1,0,IF(UrbanPopRate!F39&gt;=$J$1,0,1)),0)</f>
        <v>0</v>
      </c>
      <c r="K86">
        <f>IF($D86=1,IF(GDP_per_cap!G39&gt;'all_1961-1990'!$H$1,0,IF(UrbanPopRate!G39&gt;=$J$1,0,1)),0)</f>
        <v>0</v>
      </c>
      <c r="L86">
        <f>IF($D86=1,IF(GDP_per_cap!H39&gt;'all_1961-1990'!$H$1,0,IF(UrbanPopRate!H39&gt;=$J$1,0,1)),0)</f>
        <v>0</v>
      </c>
      <c r="M86">
        <f>IF($D86=1,IF(GDP_per_cap!I39&gt;'all_1961-1990'!$H$1,0,IF(UrbanPopRate!I39&gt;=$J$1,0,1)),0)</f>
        <v>0</v>
      </c>
      <c r="N86">
        <f>IF($D86=1,IF(GDP_per_cap!J39&gt;'all_1961-1990'!$H$1,0,IF(UrbanPopRate!J39&gt;=$J$1,0,1)),0)</f>
        <v>0</v>
      </c>
      <c r="O86">
        <f>IF($D86=1,IF(GDP_per_cap!K39&gt;'all_1961-1990'!$H$1,0,IF(UrbanPopRate!K39&gt;=$J$1,0,1)),0)</f>
        <v>0</v>
      </c>
      <c r="P86">
        <f>IF($D86=1,IF(GDP_per_cap!L39&gt;'all_1961-1990'!$H$1,0,IF(UrbanPopRate!L39&gt;=$J$1,0,1)),0)</f>
        <v>0</v>
      </c>
      <c r="Q86">
        <f>IF($D86=1,IF(GDP_per_cap!M39&gt;'all_1961-1990'!$H$1,0,IF(UrbanPopRate!M39&gt;=$J$1,0,1)),0)</f>
        <v>0</v>
      </c>
      <c r="R86">
        <f>IF($D86=1,IF(GDP_per_cap!N39&gt;'all_1961-1990'!$H$1,0,IF(UrbanPopRate!N39&gt;=$J$1,0,1)),0)</f>
        <v>0</v>
      </c>
      <c r="S86">
        <f>IF($D86=1,IF(GDP_per_cap!O39&gt;'all_1961-1990'!$H$1,0,IF(UrbanPopRate!O39&gt;=$J$1,0,1)),0)</f>
        <v>0</v>
      </c>
      <c r="T86">
        <f>IF($D86=1,IF(GDP_per_cap!P39&gt;'all_1961-1990'!$H$1,0,IF(UrbanPopRate!P39&gt;=$J$1,0,1)),0)</f>
        <v>0</v>
      </c>
      <c r="U86">
        <f>IF($D86=1,IF(GDP_per_cap!Q39&gt;'all_1961-1990'!$H$1,0,IF(UrbanPopRate!Q39&gt;=$J$1,0,1)),0)</f>
        <v>0</v>
      </c>
      <c r="V86">
        <f>IF($D86=1,IF(GDP_per_cap!R39&gt;'all_1961-1990'!$H$1,0,IF(UrbanPopRate!R39&gt;=$J$1,0,1)),0)</f>
        <v>0</v>
      </c>
      <c r="W86">
        <f>IF($D86=1,IF(GDP_per_cap!S39&gt;'all_1961-1990'!$H$1,0,IF(UrbanPopRate!S39&gt;=$J$1,0,1)),0)</f>
        <v>0</v>
      </c>
      <c r="X86">
        <f>IF($D86=1,IF(GDP_per_cap!T39&gt;'all_1961-1990'!$H$1,0,IF(UrbanPopRate!T39&gt;=$J$1,0,1)),0)</f>
        <v>0</v>
      </c>
      <c r="Y86">
        <f>IF($D86=1,IF(GDP_per_cap!U39&gt;'all_1961-1990'!$H$1,0,IF(UrbanPopRate!U39&gt;=$J$1,0,1)),0)</f>
        <v>0</v>
      </c>
      <c r="Z86">
        <f>IF($D86=1,IF(GDP_per_cap!V39&gt;'all_1961-1990'!$H$1,0,IF(UrbanPopRate!V39&gt;=$J$1,0,1)),0)</f>
        <v>0</v>
      </c>
      <c r="AA86">
        <f>IF($D86=1,IF(GDP_per_cap!W39&gt;'all_1961-1990'!$H$1,0,IF(UrbanPopRate!W39&gt;=$J$1,0,1)),0)</f>
        <v>0</v>
      </c>
      <c r="AB86">
        <f>IF($D86=1,IF(GDP_per_cap!X39&gt;'all_1961-1990'!$H$1,0,IF(UrbanPopRate!X39&gt;=$J$1,0,1)),0)</f>
        <v>0</v>
      </c>
      <c r="AC86">
        <f>IF($D86=1,IF(GDP_per_cap!Y39&gt;'all_1961-1990'!$H$1,0,IF(UrbanPopRate!Y39&gt;=$J$1,0,1)),0)</f>
        <v>0</v>
      </c>
      <c r="AD86">
        <f>IF($D86=1,IF(GDP_per_cap!Z39&gt;'all_1961-1990'!$H$1,0,IF(UrbanPopRate!Z39&gt;=$J$1,0,1)),0)</f>
        <v>0</v>
      </c>
      <c r="AE86">
        <f>IF($D86=1,IF(GDP_per_cap!AA39&gt;'all_1961-1990'!$H$1,0,IF(UrbanPopRate!AA39&gt;=$J$1,0,1)),0)</f>
        <v>0</v>
      </c>
      <c r="AF86">
        <f>IF($D86=1,IF(GDP_per_cap!AB39&gt;'all_1961-1990'!$H$1,0,IF(UrbanPopRate!AB39&gt;=$J$1,0,1)),0)</f>
        <v>0</v>
      </c>
      <c r="AG86">
        <f>IF($D86=1,IF(GDP_per_cap!AC39&gt;'all_1961-1990'!$H$1,0,IF(UrbanPopRate!AC39&gt;=$J$1,0,1)),0)</f>
        <v>0</v>
      </c>
      <c r="AH86">
        <f>IF($D86=1,IF(GDP_per_cap!AD39&gt;'all_1961-1990'!$H$1,0,IF(UrbanPopRate!AD39&gt;=$J$1,0,1)),0)</f>
        <v>0</v>
      </c>
      <c r="AI86">
        <f>IF($D86=1,IF(GDP_per_cap!AE39&gt;'all_1961-1990'!$H$1,0,IF(UrbanPopRate!AE39&gt;=$J$1,0,1)),0)</f>
        <v>0</v>
      </c>
      <c r="AJ86">
        <f>IF($D86=1,IF(GDP_per_cap!AF39&gt;'all_1961-1990'!$H$1,0,IF(UrbanPopRate!AF39&gt;=$J$1,0,1)),0)</f>
        <v>0</v>
      </c>
      <c r="AK86">
        <f>IF($D86=1,IF(GDP_per_cap!AG39&gt;'all_1961-1990'!$H$1,0,IF(UrbanPopRate!AG39&gt;=$J$1,0,1)),0)</f>
        <v>0</v>
      </c>
      <c r="AL86">
        <f>IF($D86=1,IF(GDP_per_cap!AH39&gt;'all_1961-1990'!$H$1,0,IF(UrbanPopRate!AH39&gt;=$J$1,0,1)),0)</f>
        <v>0</v>
      </c>
      <c r="AM86">
        <f>IF($D86=1,IF(GDP_per_cap!AI39&gt;'all_1961-1990'!$H$1,0,IF(UrbanPopRate!AI39&gt;=$J$1,0,1)),0)</f>
        <v>0</v>
      </c>
      <c r="AN86">
        <f>IF($D86=1,IF(GDP_per_cap!AJ39&gt;'all_1961-1990'!$H$1,0,IF(UrbanPopRate!AJ39&gt;=$J$1,0,1)),0)</f>
        <v>0</v>
      </c>
      <c r="AO86">
        <f>IF($D86=1,IF(GDP_per_cap!AK39&gt;'all_1961-1990'!$H$1,0,IF(UrbanPopRate!AK39&gt;=$J$1,0,1)),0)</f>
        <v>0</v>
      </c>
      <c r="AP86">
        <f>IF($D86=1,IF(GDP_per_cap!AL39&gt;'all_1961-1990'!$H$1,0,IF(UrbanPopRate!AL39&gt;=$J$1,0,1)),0)</f>
        <v>0</v>
      </c>
      <c r="AQ86">
        <f>IF($D86=1,IF(GDP_per_cap!AM39&gt;'all_1961-1990'!$H$1,0,IF(UrbanPopRate!AM39&gt;=$J$1,0,1)),0)</f>
        <v>0</v>
      </c>
      <c r="AR86">
        <f>IF($D86=1,IF(GDP_per_cap!AN39&gt;'all_1961-1990'!$H$1,0,IF(UrbanPopRate!AN39&gt;=$J$1,0,1)),0)</f>
        <v>0</v>
      </c>
      <c r="AS86">
        <f>IF($D86=1,IF(GDP_per_cap!AO39&gt;'all_1961-1990'!$H$1,0,IF(UrbanPopRate!AO39&gt;=$J$1,0,1)),0)</f>
        <v>0</v>
      </c>
      <c r="AT86">
        <f>IF($D86=1,IF(GDP_per_cap!AP39&gt;'all_1961-1990'!$H$1,0,IF(UrbanPopRate!AP39&gt;=$J$1,0,1)),0)</f>
        <v>0</v>
      </c>
      <c r="AU86">
        <f>IF($D86=1,IF(GDP_per_cap!AQ39&gt;'all_1961-1990'!$H$1,0,IF(UrbanPopRate!AQ39&gt;=$J$1,0,1)),0)</f>
        <v>0</v>
      </c>
      <c r="AV86">
        <f>IF($D86=1,IF(GDP_per_cap!AR39&gt;'all_1961-1990'!$H$1,0,IF(UrbanPopRate!AR39&gt;=$J$1,0,1)),0)</f>
        <v>0</v>
      </c>
      <c r="AW86">
        <f>IF($D86=1,IF(GDP_per_cap!AS39&gt;'all_1961-1990'!$H$1,0,IF(UrbanPopRate!AS39&gt;=$J$1,0,1)),0)</f>
        <v>0</v>
      </c>
      <c r="AX86">
        <f>IF($D86=1,IF(GDP_per_cap!AT39&gt;'all_1961-1990'!$H$1,0,IF(UrbanPopRate!AT39&gt;=$J$1,0,1)),0)</f>
        <v>0</v>
      </c>
      <c r="AY86">
        <f>IF($D86=1,IF(GDP_per_cap!AU39&gt;'all_1961-1990'!$H$1,0,IF(UrbanPopRate!AU39&gt;=$J$1,0,1)),0)</f>
        <v>0</v>
      </c>
      <c r="AZ86">
        <f>IF($D86=1,IF(GDP_per_cap!AV39&gt;'all_1961-1990'!$H$1,0,IF(UrbanPopRate!AV39&gt;=$J$1,0,1)),0)</f>
        <v>0</v>
      </c>
      <c r="BA86">
        <f>IF($D86=1,IF(GDP_per_cap!AW39&gt;'all_1961-1990'!$H$1,0,IF(UrbanPopRate!AW39&gt;=$J$1,0,1)),0)</f>
        <v>0</v>
      </c>
      <c r="BB86">
        <f>IF($D86=1,IF(GDP_per_cap!AX39&gt;'all_1961-1990'!$H$1,0,IF(UrbanPopRate!AX39&gt;=$J$1,0,1)),0)</f>
        <v>0</v>
      </c>
      <c r="BC86">
        <f>IF($D86=1,IF(GDP_per_cap!AY39&gt;'all_1961-1990'!$H$1,0,IF(UrbanPopRate!AY39&gt;=$J$1,0,1)),0)</f>
        <v>0</v>
      </c>
      <c r="BD86">
        <f>IF($D86=1,IF(GDP_per_cap!AZ39&gt;'all_1961-1990'!$H$1,0,IF(UrbanPopRate!AZ39&gt;=$J$1,0,1)),0)</f>
        <v>0</v>
      </c>
      <c r="BE86">
        <f>IF($D86=1,IF(GDP_per_cap!BA39&gt;'all_1961-1990'!$H$1,0,IF(UrbanPopRate!BA39&gt;=$J$1,0,1)),0)</f>
        <v>0</v>
      </c>
      <c r="BF86">
        <f>IF($D86=1,IF(GDP_per_cap!BB39&gt;'all_1961-1990'!$H$1,0,IF(UrbanPopRate!BB39&gt;=$J$1,0,1)),0)</f>
        <v>0</v>
      </c>
    </row>
    <row r="87" spans="1:58">
      <c r="A87" s="3">
        <v>154</v>
      </c>
      <c r="B87" s="3" t="s">
        <v>56</v>
      </c>
      <c r="C87" s="2">
        <v>3</v>
      </c>
      <c r="D87" s="35">
        <v>1</v>
      </c>
      <c r="E87" s="2">
        <v>63.695700000000009</v>
      </c>
      <c r="F87" s="36">
        <v>23441.659670000001</v>
      </c>
      <c r="G87">
        <f>IF($D87=1,IF(GDP_per_cap!C100&gt;'all_1961-1990'!$H$1,0,IF(UrbanPopRate!C100&gt;=$J$1,0,1)),0)</f>
        <v>0</v>
      </c>
      <c r="H87">
        <f>IF($D87=1,IF(GDP_per_cap!D100&gt;'all_1961-1990'!$H$1,0,IF(UrbanPopRate!D100&gt;=$J$1,0,1)),0)</f>
        <v>0</v>
      </c>
      <c r="I87">
        <f>IF($D87=1,IF(GDP_per_cap!E100&gt;'all_1961-1990'!$H$1,0,IF(UrbanPopRate!E100&gt;=$J$1,0,1)),0)</f>
        <v>0</v>
      </c>
      <c r="J87">
        <f>IF($D87=1,IF(GDP_per_cap!F100&gt;'all_1961-1990'!$H$1,0,IF(UrbanPopRate!F100&gt;=$J$1,0,1)),0)</f>
        <v>0</v>
      </c>
      <c r="K87">
        <f>IF($D87=1,IF(GDP_per_cap!G100&gt;'all_1961-1990'!$H$1,0,IF(UrbanPopRate!G100&gt;=$J$1,0,1)),0)</f>
        <v>0</v>
      </c>
      <c r="L87">
        <f>IF($D87=1,IF(GDP_per_cap!H100&gt;'all_1961-1990'!$H$1,0,IF(UrbanPopRate!H100&gt;=$J$1,0,1)),0)</f>
        <v>0</v>
      </c>
      <c r="M87">
        <f>IF($D87=1,IF(GDP_per_cap!I100&gt;'all_1961-1990'!$H$1,0,IF(UrbanPopRate!I100&gt;=$J$1,0,1)),0)</f>
        <v>0</v>
      </c>
      <c r="N87">
        <f>IF($D87=1,IF(GDP_per_cap!J100&gt;'all_1961-1990'!$H$1,0,IF(UrbanPopRate!J100&gt;=$J$1,0,1)),0)</f>
        <v>0</v>
      </c>
      <c r="O87">
        <f>IF($D87=1,IF(GDP_per_cap!K100&gt;'all_1961-1990'!$H$1,0,IF(UrbanPopRate!K100&gt;=$J$1,0,1)),0)</f>
        <v>0</v>
      </c>
      <c r="P87">
        <f>IF($D87=1,IF(GDP_per_cap!L100&gt;'all_1961-1990'!$H$1,0,IF(UrbanPopRate!L100&gt;=$J$1,0,1)),0)</f>
        <v>0</v>
      </c>
      <c r="Q87">
        <f>IF($D87=1,IF(GDP_per_cap!M100&gt;'all_1961-1990'!$H$1,0,IF(UrbanPopRate!M100&gt;=$J$1,0,1)),0)</f>
        <v>0</v>
      </c>
      <c r="R87">
        <f>IF($D87=1,IF(GDP_per_cap!N100&gt;'all_1961-1990'!$H$1,0,IF(UrbanPopRate!N100&gt;=$J$1,0,1)),0)</f>
        <v>0</v>
      </c>
      <c r="S87">
        <f>IF($D87=1,IF(GDP_per_cap!O100&gt;'all_1961-1990'!$H$1,0,IF(UrbanPopRate!O100&gt;=$J$1,0,1)),0)</f>
        <v>0</v>
      </c>
      <c r="T87">
        <f>IF($D87=1,IF(GDP_per_cap!P100&gt;'all_1961-1990'!$H$1,0,IF(UrbanPopRate!P100&gt;=$J$1,0,1)),0)</f>
        <v>0</v>
      </c>
      <c r="U87">
        <f>IF($D87=1,IF(GDP_per_cap!Q100&gt;'all_1961-1990'!$H$1,0,IF(UrbanPopRate!Q100&gt;=$J$1,0,1)),0)</f>
        <v>0</v>
      </c>
      <c r="V87">
        <f>IF($D87=1,IF(GDP_per_cap!R100&gt;'all_1961-1990'!$H$1,0,IF(UrbanPopRate!R100&gt;=$J$1,0,1)),0)</f>
        <v>0</v>
      </c>
      <c r="W87">
        <f>IF($D87=1,IF(GDP_per_cap!S100&gt;'all_1961-1990'!$H$1,0,IF(UrbanPopRate!S100&gt;=$J$1,0,1)),0)</f>
        <v>0</v>
      </c>
      <c r="X87">
        <f>IF($D87=1,IF(GDP_per_cap!T100&gt;'all_1961-1990'!$H$1,0,IF(UrbanPopRate!T100&gt;=$J$1,0,1)),0)</f>
        <v>0</v>
      </c>
      <c r="Y87">
        <f>IF($D87=1,IF(GDP_per_cap!U100&gt;'all_1961-1990'!$H$1,0,IF(UrbanPopRate!U100&gt;=$J$1,0,1)),0)</f>
        <v>0</v>
      </c>
      <c r="Z87">
        <f>IF($D87=1,IF(GDP_per_cap!V100&gt;'all_1961-1990'!$H$1,0,IF(UrbanPopRate!V100&gt;=$J$1,0,1)),0)</f>
        <v>0</v>
      </c>
      <c r="AA87">
        <f>IF($D87=1,IF(GDP_per_cap!W100&gt;'all_1961-1990'!$H$1,0,IF(UrbanPopRate!W100&gt;=$J$1,0,1)),0)</f>
        <v>0</v>
      </c>
      <c r="AB87">
        <f>IF($D87=1,IF(GDP_per_cap!X100&gt;'all_1961-1990'!$H$1,0,IF(UrbanPopRate!X100&gt;=$J$1,0,1)),0)</f>
        <v>0</v>
      </c>
      <c r="AC87">
        <f>IF($D87=1,IF(GDP_per_cap!Y100&gt;'all_1961-1990'!$H$1,0,IF(UrbanPopRate!Y100&gt;=$J$1,0,1)),0)</f>
        <v>0</v>
      </c>
      <c r="AD87">
        <f>IF($D87=1,IF(GDP_per_cap!Z100&gt;'all_1961-1990'!$H$1,0,IF(UrbanPopRate!Z100&gt;=$J$1,0,1)),0)</f>
        <v>0</v>
      </c>
      <c r="AE87">
        <f>IF($D87=1,IF(GDP_per_cap!AA100&gt;'all_1961-1990'!$H$1,0,IF(UrbanPopRate!AA100&gt;=$J$1,0,1)),0)</f>
        <v>0</v>
      </c>
      <c r="AF87">
        <f>IF($D87=1,IF(GDP_per_cap!AB100&gt;'all_1961-1990'!$H$1,0,IF(UrbanPopRate!AB100&gt;=$J$1,0,1)),0)</f>
        <v>0</v>
      </c>
      <c r="AG87">
        <f>IF($D87=1,IF(GDP_per_cap!AC100&gt;'all_1961-1990'!$H$1,0,IF(UrbanPopRate!AC100&gt;=$J$1,0,1)),0)</f>
        <v>0</v>
      </c>
      <c r="AH87">
        <f>IF($D87=1,IF(GDP_per_cap!AD100&gt;'all_1961-1990'!$H$1,0,IF(UrbanPopRate!AD100&gt;=$J$1,0,1)),0)</f>
        <v>0</v>
      </c>
      <c r="AI87">
        <f>IF($D87=1,IF(GDP_per_cap!AE100&gt;'all_1961-1990'!$H$1,0,IF(UrbanPopRate!AE100&gt;=$J$1,0,1)),0)</f>
        <v>0</v>
      </c>
      <c r="AJ87">
        <f>IF($D87=1,IF(GDP_per_cap!AF100&gt;'all_1961-1990'!$H$1,0,IF(UrbanPopRate!AF100&gt;=$J$1,0,1)),0)</f>
        <v>0</v>
      </c>
      <c r="AK87">
        <f>IF($D87=1,IF(GDP_per_cap!AG100&gt;'all_1961-1990'!$H$1,0,IF(UrbanPopRate!AG100&gt;=$J$1,0,1)),0)</f>
        <v>0</v>
      </c>
      <c r="AL87">
        <f>IF($D87=1,IF(GDP_per_cap!AH100&gt;'all_1961-1990'!$H$1,0,IF(UrbanPopRate!AH100&gt;=$J$1,0,1)),0)</f>
        <v>0</v>
      </c>
      <c r="AM87">
        <f>IF($D87=1,IF(GDP_per_cap!AI100&gt;'all_1961-1990'!$H$1,0,IF(UrbanPopRate!AI100&gt;=$J$1,0,1)),0)</f>
        <v>0</v>
      </c>
      <c r="AN87">
        <f>IF($D87=1,IF(GDP_per_cap!AJ100&gt;'all_1961-1990'!$H$1,0,IF(UrbanPopRate!AJ100&gt;=$J$1,0,1)),0)</f>
        <v>0</v>
      </c>
      <c r="AO87">
        <f>IF($D87=1,IF(GDP_per_cap!AK100&gt;'all_1961-1990'!$H$1,0,IF(UrbanPopRate!AK100&gt;=$J$1,0,1)),0)</f>
        <v>0</v>
      </c>
      <c r="AP87">
        <f>IF($D87=1,IF(GDP_per_cap!AL100&gt;'all_1961-1990'!$H$1,0,IF(UrbanPopRate!AL100&gt;=$J$1,0,1)),0)</f>
        <v>0</v>
      </c>
      <c r="AQ87">
        <f>IF($D87=1,IF(GDP_per_cap!AM100&gt;'all_1961-1990'!$H$1,0,IF(UrbanPopRate!AM100&gt;=$J$1,0,1)),0)</f>
        <v>0</v>
      </c>
      <c r="AR87">
        <f>IF($D87=1,IF(GDP_per_cap!AN100&gt;'all_1961-1990'!$H$1,0,IF(UrbanPopRate!AN100&gt;=$J$1,0,1)),0)</f>
        <v>0</v>
      </c>
      <c r="AS87">
        <f>IF($D87=1,IF(GDP_per_cap!AO100&gt;'all_1961-1990'!$H$1,0,IF(UrbanPopRate!AO100&gt;=$J$1,0,1)),0)</f>
        <v>0</v>
      </c>
      <c r="AT87">
        <f>IF($D87=1,IF(GDP_per_cap!AP100&gt;'all_1961-1990'!$H$1,0,IF(UrbanPopRate!AP100&gt;=$J$1,0,1)),0)</f>
        <v>0</v>
      </c>
      <c r="AU87">
        <f>IF($D87=1,IF(GDP_per_cap!AQ100&gt;'all_1961-1990'!$H$1,0,IF(UrbanPopRate!AQ100&gt;=$J$1,0,1)),0)</f>
        <v>0</v>
      </c>
      <c r="AV87">
        <f>IF($D87=1,IF(GDP_per_cap!AR100&gt;'all_1961-1990'!$H$1,0,IF(UrbanPopRate!AR100&gt;=$J$1,0,1)),0)</f>
        <v>0</v>
      </c>
      <c r="AW87">
        <f>IF($D87=1,IF(GDP_per_cap!AS100&gt;'all_1961-1990'!$H$1,0,IF(UrbanPopRate!AS100&gt;=$J$1,0,1)),0)</f>
        <v>0</v>
      </c>
      <c r="AX87">
        <f>IF($D87=1,IF(GDP_per_cap!AT100&gt;'all_1961-1990'!$H$1,0,IF(UrbanPopRate!AT100&gt;=$J$1,0,1)),0)</f>
        <v>0</v>
      </c>
      <c r="AY87">
        <f>IF($D87=1,IF(GDP_per_cap!AU100&gt;'all_1961-1990'!$H$1,0,IF(UrbanPopRate!AU100&gt;=$J$1,0,1)),0)</f>
        <v>0</v>
      </c>
      <c r="AZ87">
        <f>IF($D87=1,IF(GDP_per_cap!AV100&gt;'all_1961-1990'!$H$1,0,IF(UrbanPopRate!AV100&gt;=$J$1,0,1)),0)</f>
        <v>0</v>
      </c>
      <c r="BA87">
        <f>IF($D87=1,IF(GDP_per_cap!AW100&gt;'all_1961-1990'!$H$1,0,IF(UrbanPopRate!AW100&gt;=$J$1,0,1)),0)</f>
        <v>0</v>
      </c>
      <c r="BB87">
        <f>IF($D87=1,IF(GDP_per_cap!AX100&gt;'all_1961-1990'!$H$1,0,IF(UrbanPopRate!AX100&gt;=$J$1,0,1)),0)</f>
        <v>0</v>
      </c>
      <c r="BC87">
        <f>IF($D87=1,IF(GDP_per_cap!AY100&gt;'all_1961-1990'!$H$1,0,IF(UrbanPopRate!AY100&gt;=$J$1,0,1)),0)</f>
        <v>0</v>
      </c>
      <c r="BD87">
        <f>IF($D87=1,IF(GDP_per_cap!AZ100&gt;'all_1961-1990'!$H$1,0,IF(UrbanPopRate!AZ100&gt;=$J$1,0,1)),0)</f>
        <v>0</v>
      </c>
      <c r="BE87">
        <f>IF($D87=1,IF(GDP_per_cap!BA100&gt;'all_1961-1990'!$H$1,0,IF(UrbanPopRate!BA100&gt;=$J$1,0,1)),0)</f>
        <v>0</v>
      </c>
      <c r="BF87">
        <f>IF($D87=1,IF(GDP_per_cap!BB100&gt;'all_1961-1990'!$H$1,0,IF(UrbanPopRate!BB100&gt;=$J$1,0,1)),0)</f>
        <v>0</v>
      </c>
    </row>
    <row r="88" spans="1:58">
      <c r="A88" s="3">
        <v>22</v>
      </c>
      <c r="B88" s="3" t="s">
        <v>142</v>
      </c>
      <c r="C88" s="2">
        <v>3</v>
      </c>
      <c r="D88" s="35">
        <v>1</v>
      </c>
      <c r="E88" s="2">
        <v>94.596866666666685</v>
      </c>
      <c r="F88" s="36">
        <v>22382.896489999999</v>
      </c>
      <c r="G88">
        <f>IF($D88=1,IF(GDP_per_cap!C14&gt;'all_1961-1990'!$H$1,0,IF(UrbanPopRate!C14&gt;=$J$1,0,1)),0)</f>
        <v>0</v>
      </c>
      <c r="H88">
        <f>IF($D88=1,IF(GDP_per_cap!D14&gt;'all_1961-1990'!$H$1,0,IF(UrbanPopRate!D14&gt;=$J$1,0,1)),0)</f>
        <v>0</v>
      </c>
      <c r="I88">
        <f>IF($D88=1,IF(GDP_per_cap!E14&gt;'all_1961-1990'!$H$1,0,IF(UrbanPopRate!E14&gt;=$J$1,0,1)),0)</f>
        <v>0</v>
      </c>
      <c r="J88">
        <f>IF($D88=1,IF(GDP_per_cap!F14&gt;'all_1961-1990'!$H$1,0,IF(UrbanPopRate!F14&gt;=$J$1,0,1)),0)</f>
        <v>0</v>
      </c>
      <c r="K88">
        <f>IF($D88=1,IF(GDP_per_cap!G14&gt;'all_1961-1990'!$H$1,0,IF(UrbanPopRate!G14&gt;=$J$1,0,1)),0)</f>
        <v>0</v>
      </c>
      <c r="L88">
        <f>IF($D88=1,IF(GDP_per_cap!H14&gt;'all_1961-1990'!$H$1,0,IF(UrbanPopRate!H14&gt;=$J$1,0,1)),0)</f>
        <v>0</v>
      </c>
      <c r="M88">
        <f>IF($D88=1,IF(GDP_per_cap!I14&gt;'all_1961-1990'!$H$1,0,IF(UrbanPopRate!I14&gt;=$J$1,0,1)),0)</f>
        <v>0</v>
      </c>
      <c r="N88">
        <f>IF($D88=1,IF(GDP_per_cap!J14&gt;'all_1961-1990'!$H$1,0,IF(UrbanPopRate!J14&gt;=$J$1,0,1)),0)</f>
        <v>0</v>
      </c>
      <c r="O88">
        <f>IF($D88=1,IF(GDP_per_cap!K14&gt;'all_1961-1990'!$H$1,0,IF(UrbanPopRate!K14&gt;=$J$1,0,1)),0)</f>
        <v>0</v>
      </c>
      <c r="P88">
        <f>IF($D88=1,IF(GDP_per_cap!L14&gt;'all_1961-1990'!$H$1,0,IF(UrbanPopRate!L14&gt;=$J$1,0,1)),0)</f>
        <v>0</v>
      </c>
      <c r="Q88">
        <f>IF($D88=1,IF(GDP_per_cap!M14&gt;'all_1961-1990'!$H$1,0,IF(UrbanPopRate!M14&gt;=$J$1,0,1)),0)</f>
        <v>0</v>
      </c>
      <c r="R88">
        <f>IF($D88=1,IF(GDP_per_cap!N14&gt;'all_1961-1990'!$H$1,0,IF(UrbanPopRate!N14&gt;=$J$1,0,1)),0)</f>
        <v>0</v>
      </c>
      <c r="S88">
        <f>IF($D88=1,IF(GDP_per_cap!O14&gt;'all_1961-1990'!$H$1,0,IF(UrbanPopRate!O14&gt;=$J$1,0,1)),0)</f>
        <v>0</v>
      </c>
      <c r="T88">
        <f>IF($D88=1,IF(GDP_per_cap!P14&gt;'all_1961-1990'!$H$1,0,IF(UrbanPopRate!P14&gt;=$J$1,0,1)),0)</f>
        <v>0</v>
      </c>
      <c r="U88">
        <f>IF($D88=1,IF(GDP_per_cap!Q14&gt;'all_1961-1990'!$H$1,0,IF(UrbanPopRate!Q14&gt;=$J$1,0,1)),0)</f>
        <v>0</v>
      </c>
      <c r="V88">
        <f>IF($D88=1,IF(GDP_per_cap!R14&gt;'all_1961-1990'!$H$1,0,IF(UrbanPopRate!R14&gt;=$J$1,0,1)),0)</f>
        <v>0</v>
      </c>
      <c r="W88">
        <f>IF($D88=1,IF(GDP_per_cap!S14&gt;'all_1961-1990'!$H$1,0,IF(UrbanPopRate!S14&gt;=$J$1,0,1)),0)</f>
        <v>0</v>
      </c>
      <c r="X88">
        <f>IF($D88=1,IF(GDP_per_cap!T14&gt;'all_1961-1990'!$H$1,0,IF(UrbanPopRate!T14&gt;=$J$1,0,1)),0)</f>
        <v>0</v>
      </c>
      <c r="Y88">
        <f>IF($D88=1,IF(GDP_per_cap!U14&gt;'all_1961-1990'!$H$1,0,IF(UrbanPopRate!U14&gt;=$J$1,0,1)),0)</f>
        <v>0</v>
      </c>
      <c r="Z88">
        <f>IF($D88=1,IF(GDP_per_cap!V14&gt;'all_1961-1990'!$H$1,0,IF(UrbanPopRate!V14&gt;=$J$1,0,1)),0)</f>
        <v>0</v>
      </c>
      <c r="AA88">
        <f>IF($D88=1,IF(GDP_per_cap!W14&gt;'all_1961-1990'!$H$1,0,IF(UrbanPopRate!W14&gt;=$J$1,0,1)),0)</f>
        <v>0</v>
      </c>
      <c r="AB88">
        <f>IF($D88=1,IF(GDP_per_cap!X14&gt;'all_1961-1990'!$H$1,0,IF(UrbanPopRate!X14&gt;=$J$1,0,1)),0)</f>
        <v>0</v>
      </c>
      <c r="AC88">
        <f>IF($D88=1,IF(GDP_per_cap!Y14&gt;'all_1961-1990'!$H$1,0,IF(UrbanPopRate!Y14&gt;=$J$1,0,1)),0)</f>
        <v>0</v>
      </c>
      <c r="AD88">
        <f>IF($D88=1,IF(GDP_per_cap!Z14&gt;'all_1961-1990'!$H$1,0,IF(UrbanPopRate!Z14&gt;=$J$1,0,1)),0)</f>
        <v>0</v>
      </c>
      <c r="AE88">
        <f>IF($D88=1,IF(GDP_per_cap!AA14&gt;'all_1961-1990'!$H$1,0,IF(UrbanPopRate!AA14&gt;=$J$1,0,1)),0)</f>
        <v>0</v>
      </c>
      <c r="AF88">
        <f>IF($D88=1,IF(GDP_per_cap!AB14&gt;'all_1961-1990'!$H$1,0,IF(UrbanPopRate!AB14&gt;=$J$1,0,1)),0)</f>
        <v>0</v>
      </c>
      <c r="AG88">
        <f>IF($D88=1,IF(GDP_per_cap!AC14&gt;'all_1961-1990'!$H$1,0,IF(UrbanPopRate!AC14&gt;=$J$1,0,1)),0)</f>
        <v>0</v>
      </c>
      <c r="AH88">
        <f>IF($D88=1,IF(GDP_per_cap!AD14&gt;'all_1961-1990'!$H$1,0,IF(UrbanPopRate!AD14&gt;=$J$1,0,1)),0)</f>
        <v>0</v>
      </c>
      <c r="AI88">
        <f>IF($D88=1,IF(GDP_per_cap!AE14&gt;'all_1961-1990'!$H$1,0,IF(UrbanPopRate!AE14&gt;=$J$1,0,1)),0)</f>
        <v>0</v>
      </c>
      <c r="AJ88">
        <f>IF($D88=1,IF(GDP_per_cap!AF14&gt;'all_1961-1990'!$H$1,0,IF(UrbanPopRate!AF14&gt;=$J$1,0,1)),0)</f>
        <v>0</v>
      </c>
      <c r="AK88">
        <f>IF($D88=1,IF(GDP_per_cap!AG14&gt;'all_1961-1990'!$H$1,0,IF(UrbanPopRate!AG14&gt;=$J$1,0,1)),0)</f>
        <v>0</v>
      </c>
      <c r="AL88">
        <f>IF($D88=1,IF(GDP_per_cap!AH14&gt;'all_1961-1990'!$H$1,0,IF(UrbanPopRate!AH14&gt;=$J$1,0,1)),0)</f>
        <v>0</v>
      </c>
      <c r="AM88">
        <f>IF($D88=1,IF(GDP_per_cap!AI14&gt;'all_1961-1990'!$H$1,0,IF(UrbanPopRate!AI14&gt;=$J$1,0,1)),0)</f>
        <v>0</v>
      </c>
      <c r="AN88">
        <f>IF($D88=1,IF(GDP_per_cap!AJ14&gt;'all_1961-1990'!$H$1,0,IF(UrbanPopRate!AJ14&gt;=$J$1,0,1)),0)</f>
        <v>0</v>
      </c>
      <c r="AO88">
        <f>IF($D88=1,IF(GDP_per_cap!AK14&gt;'all_1961-1990'!$H$1,0,IF(UrbanPopRate!AK14&gt;=$J$1,0,1)),0)</f>
        <v>0</v>
      </c>
      <c r="AP88">
        <f>IF($D88=1,IF(GDP_per_cap!AL14&gt;'all_1961-1990'!$H$1,0,IF(UrbanPopRate!AL14&gt;=$J$1,0,1)),0)</f>
        <v>0</v>
      </c>
      <c r="AQ88">
        <f>IF($D88=1,IF(GDP_per_cap!AM14&gt;'all_1961-1990'!$H$1,0,IF(UrbanPopRate!AM14&gt;=$J$1,0,1)),0)</f>
        <v>0</v>
      </c>
      <c r="AR88">
        <f>IF($D88=1,IF(GDP_per_cap!AN14&gt;'all_1961-1990'!$H$1,0,IF(UrbanPopRate!AN14&gt;=$J$1,0,1)),0)</f>
        <v>0</v>
      </c>
      <c r="AS88">
        <f>IF($D88=1,IF(GDP_per_cap!AO14&gt;'all_1961-1990'!$H$1,0,IF(UrbanPopRate!AO14&gt;=$J$1,0,1)),0)</f>
        <v>0</v>
      </c>
      <c r="AT88">
        <f>IF($D88=1,IF(GDP_per_cap!AP14&gt;'all_1961-1990'!$H$1,0,IF(UrbanPopRate!AP14&gt;=$J$1,0,1)),0)</f>
        <v>0</v>
      </c>
      <c r="AU88">
        <f>IF($D88=1,IF(GDP_per_cap!AQ14&gt;'all_1961-1990'!$H$1,0,IF(UrbanPopRate!AQ14&gt;=$J$1,0,1)),0)</f>
        <v>0</v>
      </c>
      <c r="AV88">
        <f>IF($D88=1,IF(GDP_per_cap!AR14&gt;'all_1961-1990'!$H$1,0,IF(UrbanPopRate!AR14&gt;=$J$1,0,1)),0)</f>
        <v>0</v>
      </c>
      <c r="AW88">
        <f>IF($D88=1,IF(GDP_per_cap!AS14&gt;'all_1961-1990'!$H$1,0,IF(UrbanPopRate!AS14&gt;=$J$1,0,1)),0)</f>
        <v>0</v>
      </c>
      <c r="AX88">
        <f>IF($D88=1,IF(GDP_per_cap!AT14&gt;'all_1961-1990'!$H$1,0,IF(UrbanPopRate!AT14&gt;=$J$1,0,1)),0)</f>
        <v>0</v>
      </c>
      <c r="AY88">
        <f>IF($D88=1,IF(GDP_per_cap!AU14&gt;'all_1961-1990'!$H$1,0,IF(UrbanPopRate!AU14&gt;=$J$1,0,1)),0)</f>
        <v>0</v>
      </c>
      <c r="AZ88">
        <f>IF($D88=1,IF(GDP_per_cap!AV14&gt;'all_1961-1990'!$H$1,0,IF(UrbanPopRate!AV14&gt;=$J$1,0,1)),0)</f>
        <v>0</v>
      </c>
      <c r="BA88">
        <f>IF($D88=1,IF(GDP_per_cap!AW14&gt;'all_1961-1990'!$H$1,0,IF(UrbanPopRate!AW14&gt;=$J$1,0,1)),0)</f>
        <v>0</v>
      </c>
      <c r="BB88">
        <f>IF($D88=1,IF(GDP_per_cap!AX14&gt;'all_1961-1990'!$H$1,0,IF(UrbanPopRate!AX14&gt;=$J$1,0,1)),0)</f>
        <v>0</v>
      </c>
      <c r="BC88">
        <f>IF($D88=1,IF(GDP_per_cap!AY14&gt;'all_1961-1990'!$H$1,0,IF(UrbanPopRate!AY14&gt;=$J$1,0,1)),0)</f>
        <v>0</v>
      </c>
      <c r="BD88">
        <f>IF($D88=1,IF(GDP_per_cap!AZ14&gt;'all_1961-1990'!$H$1,0,IF(UrbanPopRate!AZ14&gt;=$J$1,0,1)),0)</f>
        <v>0</v>
      </c>
      <c r="BE88">
        <f>IF($D88=1,IF(GDP_per_cap!BA14&gt;'all_1961-1990'!$H$1,0,IF(UrbanPopRate!BA14&gt;=$J$1,0,1)),0)</f>
        <v>0</v>
      </c>
      <c r="BF88">
        <f>IF($D88=1,IF(GDP_per_cap!BB14&gt;'all_1961-1990'!$H$1,0,IF(UrbanPopRate!BB14&gt;=$J$1,0,1)),0)</f>
        <v>0</v>
      </c>
    </row>
    <row r="89" spans="1:58">
      <c r="A89" s="3">
        <v>14</v>
      </c>
      <c r="B89" s="3" t="s">
        <v>148</v>
      </c>
      <c r="C89" s="2">
        <v>3</v>
      </c>
      <c r="D89" s="35">
        <v>1</v>
      </c>
      <c r="E89" s="2">
        <v>84.957100000000011</v>
      </c>
      <c r="F89" s="36">
        <v>21811.427919999998</v>
      </c>
      <c r="G89">
        <f>IF($D89=1,IF(GDP_per_cap!C8&gt;'all_1961-1990'!$H$1,0,IF(UrbanPopRate!C8&gt;=$J$1,0,1)),0)</f>
        <v>0</v>
      </c>
      <c r="H89">
        <f>IF($D89=1,IF(GDP_per_cap!D8&gt;'all_1961-1990'!$H$1,0,IF(UrbanPopRate!D8&gt;=$J$1,0,1)),0)</f>
        <v>0</v>
      </c>
      <c r="I89">
        <f>IF($D89=1,IF(GDP_per_cap!E8&gt;'all_1961-1990'!$H$1,0,IF(UrbanPopRate!E8&gt;=$J$1,0,1)),0)</f>
        <v>0</v>
      </c>
      <c r="J89">
        <f>IF($D89=1,IF(GDP_per_cap!F8&gt;'all_1961-1990'!$H$1,0,IF(UrbanPopRate!F8&gt;=$J$1,0,1)),0)</f>
        <v>0</v>
      </c>
      <c r="K89">
        <f>IF($D89=1,IF(GDP_per_cap!G8&gt;'all_1961-1990'!$H$1,0,IF(UrbanPopRate!G8&gt;=$J$1,0,1)),0)</f>
        <v>0</v>
      </c>
      <c r="L89">
        <f>IF($D89=1,IF(GDP_per_cap!H8&gt;'all_1961-1990'!$H$1,0,IF(UrbanPopRate!H8&gt;=$J$1,0,1)),0)</f>
        <v>0</v>
      </c>
      <c r="M89">
        <f>IF($D89=1,IF(GDP_per_cap!I8&gt;'all_1961-1990'!$H$1,0,IF(UrbanPopRate!I8&gt;=$J$1,0,1)),0)</f>
        <v>0</v>
      </c>
      <c r="N89">
        <f>IF($D89=1,IF(GDP_per_cap!J8&gt;'all_1961-1990'!$H$1,0,IF(UrbanPopRate!J8&gt;=$J$1,0,1)),0)</f>
        <v>0</v>
      </c>
      <c r="O89">
        <f>IF($D89=1,IF(GDP_per_cap!K8&gt;'all_1961-1990'!$H$1,0,IF(UrbanPopRate!K8&gt;=$J$1,0,1)),0)</f>
        <v>0</v>
      </c>
      <c r="P89">
        <f>IF($D89=1,IF(GDP_per_cap!L8&gt;'all_1961-1990'!$H$1,0,IF(UrbanPopRate!L8&gt;=$J$1,0,1)),0)</f>
        <v>0</v>
      </c>
      <c r="Q89">
        <f>IF($D89=1,IF(GDP_per_cap!M8&gt;'all_1961-1990'!$H$1,0,IF(UrbanPopRate!M8&gt;=$J$1,0,1)),0)</f>
        <v>0</v>
      </c>
      <c r="R89">
        <f>IF($D89=1,IF(GDP_per_cap!N8&gt;'all_1961-1990'!$H$1,0,IF(UrbanPopRate!N8&gt;=$J$1,0,1)),0)</f>
        <v>0</v>
      </c>
      <c r="S89">
        <f>IF($D89=1,IF(GDP_per_cap!O8&gt;'all_1961-1990'!$H$1,0,IF(UrbanPopRate!O8&gt;=$J$1,0,1)),0)</f>
        <v>0</v>
      </c>
      <c r="T89">
        <f>IF($D89=1,IF(GDP_per_cap!P8&gt;'all_1961-1990'!$H$1,0,IF(UrbanPopRate!P8&gt;=$J$1,0,1)),0)</f>
        <v>0</v>
      </c>
      <c r="U89">
        <f>IF($D89=1,IF(GDP_per_cap!Q8&gt;'all_1961-1990'!$H$1,0,IF(UrbanPopRate!Q8&gt;=$J$1,0,1)),0)</f>
        <v>0</v>
      </c>
      <c r="V89">
        <f>IF($D89=1,IF(GDP_per_cap!R8&gt;'all_1961-1990'!$H$1,0,IF(UrbanPopRate!R8&gt;=$J$1,0,1)),0)</f>
        <v>0</v>
      </c>
      <c r="W89">
        <f>IF($D89=1,IF(GDP_per_cap!S8&gt;'all_1961-1990'!$H$1,0,IF(UrbanPopRate!S8&gt;=$J$1,0,1)),0)</f>
        <v>0</v>
      </c>
      <c r="X89">
        <f>IF($D89=1,IF(GDP_per_cap!T8&gt;'all_1961-1990'!$H$1,0,IF(UrbanPopRate!T8&gt;=$J$1,0,1)),0)</f>
        <v>0</v>
      </c>
      <c r="Y89">
        <f>IF($D89=1,IF(GDP_per_cap!U8&gt;'all_1961-1990'!$H$1,0,IF(UrbanPopRate!U8&gt;=$J$1,0,1)),0)</f>
        <v>0</v>
      </c>
      <c r="Z89">
        <f>IF($D89=1,IF(GDP_per_cap!V8&gt;'all_1961-1990'!$H$1,0,IF(UrbanPopRate!V8&gt;=$J$1,0,1)),0)</f>
        <v>0</v>
      </c>
      <c r="AA89">
        <f>IF($D89=1,IF(GDP_per_cap!W8&gt;'all_1961-1990'!$H$1,0,IF(UrbanPopRate!W8&gt;=$J$1,0,1)),0)</f>
        <v>0</v>
      </c>
      <c r="AB89">
        <f>IF($D89=1,IF(GDP_per_cap!X8&gt;'all_1961-1990'!$H$1,0,IF(UrbanPopRate!X8&gt;=$J$1,0,1)),0)</f>
        <v>0</v>
      </c>
      <c r="AC89">
        <f>IF($D89=1,IF(GDP_per_cap!Y8&gt;'all_1961-1990'!$H$1,0,IF(UrbanPopRate!Y8&gt;=$J$1,0,1)),0)</f>
        <v>0</v>
      </c>
      <c r="AD89">
        <f>IF($D89=1,IF(GDP_per_cap!Z8&gt;'all_1961-1990'!$H$1,0,IF(UrbanPopRate!Z8&gt;=$J$1,0,1)),0)</f>
        <v>0</v>
      </c>
      <c r="AE89">
        <f>IF($D89=1,IF(GDP_per_cap!AA8&gt;'all_1961-1990'!$H$1,0,IF(UrbanPopRate!AA8&gt;=$J$1,0,1)),0)</f>
        <v>0</v>
      </c>
      <c r="AF89">
        <f>IF($D89=1,IF(GDP_per_cap!AB8&gt;'all_1961-1990'!$H$1,0,IF(UrbanPopRate!AB8&gt;=$J$1,0,1)),0)</f>
        <v>0</v>
      </c>
      <c r="AG89">
        <f>IF($D89=1,IF(GDP_per_cap!AC8&gt;'all_1961-1990'!$H$1,0,IF(UrbanPopRate!AC8&gt;=$J$1,0,1)),0)</f>
        <v>0</v>
      </c>
      <c r="AH89">
        <f>IF($D89=1,IF(GDP_per_cap!AD8&gt;'all_1961-1990'!$H$1,0,IF(UrbanPopRate!AD8&gt;=$J$1,0,1)),0)</f>
        <v>0</v>
      </c>
      <c r="AI89">
        <f>IF($D89=1,IF(GDP_per_cap!AE8&gt;'all_1961-1990'!$H$1,0,IF(UrbanPopRate!AE8&gt;=$J$1,0,1)),0)</f>
        <v>0</v>
      </c>
      <c r="AJ89">
        <f>IF($D89=1,IF(GDP_per_cap!AF8&gt;'all_1961-1990'!$H$1,0,IF(UrbanPopRate!AF8&gt;=$J$1,0,1)),0)</f>
        <v>0</v>
      </c>
      <c r="AK89">
        <f>IF($D89=1,IF(GDP_per_cap!AG8&gt;'all_1961-1990'!$H$1,0,IF(UrbanPopRate!AG8&gt;=$J$1,0,1)),0)</f>
        <v>0</v>
      </c>
      <c r="AL89">
        <f>IF($D89=1,IF(GDP_per_cap!AH8&gt;'all_1961-1990'!$H$1,0,IF(UrbanPopRate!AH8&gt;=$J$1,0,1)),0)</f>
        <v>0</v>
      </c>
      <c r="AM89">
        <f>IF($D89=1,IF(GDP_per_cap!AI8&gt;'all_1961-1990'!$H$1,0,IF(UrbanPopRate!AI8&gt;=$J$1,0,1)),0)</f>
        <v>0</v>
      </c>
      <c r="AN89">
        <f>IF($D89=1,IF(GDP_per_cap!AJ8&gt;'all_1961-1990'!$H$1,0,IF(UrbanPopRate!AJ8&gt;=$J$1,0,1)),0)</f>
        <v>0</v>
      </c>
      <c r="AO89">
        <f>IF($D89=1,IF(GDP_per_cap!AK8&gt;'all_1961-1990'!$H$1,0,IF(UrbanPopRate!AK8&gt;=$J$1,0,1)),0)</f>
        <v>0</v>
      </c>
      <c r="AP89">
        <f>IF($D89=1,IF(GDP_per_cap!AL8&gt;'all_1961-1990'!$H$1,0,IF(UrbanPopRate!AL8&gt;=$J$1,0,1)),0)</f>
        <v>0</v>
      </c>
      <c r="AQ89">
        <f>IF($D89=1,IF(GDP_per_cap!AM8&gt;'all_1961-1990'!$H$1,0,IF(UrbanPopRate!AM8&gt;=$J$1,0,1)),0)</f>
        <v>0</v>
      </c>
      <c r="AR89">
        <f>IF($D89=1,IF(GDP_per_cap!AN8&gt;'all_1961-1990'!$H$1,0,IF(UrbanPopRate!AN8&gt;=$J$1,0,1)),0)</f>
        <v>0</v>
      </c>
      <c r="AS89">
        <f>IF($D89=1,IF(GDP_per_cap!AO8&gt;'all_1961-1990'!$H$1,0,IF(UrbanPopRate!AO8&gt;=$J$1,0,1)),0)</f>
        <v>0</v>
      </c>
      <c r="AT89">
        <f>IF($D89=1,IF(GDP_per_cap!AP8&gt;'all_1961-1990'!$H$1,0,IF(UrbanPopRate!AP8&gt;=$J$1,0,1)),0)</f>
        <v>0</v>
      </c>
      <c r="AU89">
        <f>IF($D89=1,IF(GDP_per_cap!AQ8&gt;'all_1961-1990'!$H$1,0,IF(UrbanPopRate!AQ8&gt;=$J$1,0,1)),0)</f>
        <v>0</v>
      </c>
      <c r="AV89">
        <f>IF($D89=1,IF(GDP_per_cap!AR8&gt;'all_1961-1990'!$H$1,0,IF(UrbanPopRate!AR8&gt;=$J$1,0,1)),0)</f>
        <v>0</v>
      </c>
      <c r="AW89">
        <f>IF($D89=1,IF(GDP_per_cap!AS8&gt;'all_1961-1990'!$H$1,0,IF(UrbanPopRate!AS8&gt;=$J$1,0,1)),0)</f>
        <v>0</v>
      </c>
      <c r="AX89">
        <f>IF($D89=1,IF(GDP_per_cap!AT8&gt;'all_1961-1990'!$H$1,0,IF(UrbanPopRate!AT8&gt;=$J$1,0,1)),0)</f>
        <v>0</v>
      </c>
      <c r="AY89">
        <f>IF($D89=1,IF(GDP_per_cap!AU8&gt;'all_1961-1990'!$H$1,0,IF(UrbanPopRate!AU8&gt;=$J$1,0,1)),0)</f>
        <v>0</v>
      </c>
      <c r="AZ89">
        <f>IF($D89=1,IF(GDP_per_cap!AV8&gt;'all_1961-1990'!$H$1,0,IF(UrbanPopRate!AV8&gt;=$J$1,0,1)),0)</f>
        <v>0</v>
      </c>
      <c r="BA89">
        <f>IF($D89=1,IF(GDP_per_cap!AW8&gt;'all_1961-1990'!$H$1,0,IF(UrbanPopRate!AW8&gt;=$J$1,0,1)),0)</f>
        <v>0</v>
      </c>
      <c r="BB89">
        <f>IF($D89=1,IF(GDP_per_cap!AX8&gt;'all_1961-1990'!$H$1,0,IF(UrbanPopRate!AX8&gt;=$J$1,0,1)),0)</f>
        <v>0</v>
      </c>
      <c r="BC89">
        <f>IF($D89=1,IF(GDP_per_cap!AY8&gt;'all_1961-1990'!$H$1,0,IF(UrbanPopRate!AY8&gt;=$J$1,0,1)),0)</f>
        <v>0</v>
      </c>
      <c r="BD89">
        <f>IF($D89=1,IF(GDP_per_cap!AZ8&gt;'all_1961-1990'!$H$1,0,IF(UrbanPopRate!AZ8&gt;=$J$1,0,1)),0)</f>
        <v>0</v>
      </c>
      <c r="BE89">
        <f>IF($D89=1,IF(GDP_per_cap!BA8&gt;'all_1961-1990'!$H$1,0,IF(UrbanPopRate!BA8&gt;=$J$1,0,1)),0)</f>
        <v>0</v>
      </c>
      <c r="BF89">
        <f>IF($D89=1,IF(GDP_per_cap!BB8&gt;'all_1961-1990'!$H$1,0,IF(UrbanPopRate!BB8&gt;=$J$1,0,1)),0)</f>
        <v>0</v>
      </c>
    </row>
    <row r="90" spans="1:58">
      <c r="A90" s="3">
        <v>108</v>
      </c>
      <c r="B90" s="3" t="s">
        <v>88</v>
      </c>
      <c r="C90" s="2">
        <v>3</v>
      </c>
      <c r="D90" s="35">
        <v>1</v>
      </c>
      <c r="E90" s="2">
        <v>64.834000000000017</v>
      </c>
      <c r="F90" s="36">
        <v>20988.681850000001</v>
      </c>
      <c r="G90">
        <f>IF($D90=1,IF(GDP_per_cap!C68&gt;'all_1961-1990'!$H$1,0,IF(UrbanPopRate!C68&gt;=$J$1,0,1)),0)</f>
        <v>0</v>
      </c>
      <c r="H90">
        <f>IF($D90=1,IF(GDP_per_cap!D68&gt;'all_1961-1990'!$H$1,0,IF(UrbanPopRate!D68&gt;=$J$1,0,1)),0)</f>
        <v>0</v>
      </c>
      <c r="I90">
        <f>IF($D90=1,IF(GDP_per_cap!E68&gt;'all_1961-1990'!$H$1,0,IF(UrbanPopRate!E68&gt;=$J$1,0,1)),0)</f>
        <v>0</v>
      </c>
      <c r="J90">
        <f>IF($D90=1,IF(GDP_per_cap!F68&gt;'all_1961-1990'!$H$1,0,IF(UrbanPopRate!F68&gt;=$J$1,0,1)),0)</f>
        <v>0</v>
      </c>
      <c r="K90">
        <f>IF($D90=1,IF(GDP_per_cap!G68&gt;'all_1961-1990'!$H$1,0,IF(UrbanPopRate!G68&gt;=$J$1,0,1)),0)</f>
        <v>0</v>
      </c>
      <c r="L90">
        <f>IF($D90=1,IF(GDP_per_cap!H68&gt;'all_1961-1990'!$H$1,0,IF(UrbanPopRate!H68&gt;=$J$1,0,1)),0)</f>
        <v>0</v>
      </c>
      <c r="M90">
        <f>IF($D90=1,IF(GDP_per_cap!I68&gt;'all_1961-1990'!$H$1,0,IF(UrbanPopRate!I68&gt;=$J$1,0,1)),0)</f>
        <v>0</v>
      </c>
      <c r="N90">
        <f>IF($D90=1,IF(GDP_per_cap!J68&gt;'all_1961-1990'!$H$1,0,IF(UrbanPopRate!J68&gt;=$J$1,0,1)),0)</f>
        <v>0</v>
      </c>
      <c r="O90">
        <f>IF($D90=1,IF(GDP_per_cap!K68&gt;'all_1961-1990'!$H$1,0,IF(UrbanPopRate!K68&gt;=$J$1,0,1)),0)</f>
        <v>0</v>
      </c>
      <c r="P90">
        <f>IF($D90=1,IF(GDP_per_cap!L68&gt;'all_1961-1990'!$H$1,0,IF(UrbanPopRate!L68&gt;=$J$1,0,1)),0)</f>
        <v>0</v>
      </c>
      <c r="Q90">
        <f>IF($D90=1,IF(GDP_per_cap!M68&gt;'all_1961-1990'!$H$1,0,IF(UrbanPopRate!M68&gt;=$J$1,0,1)),0)</f>
        <v>0</v>
      </c>
      <c r="R90">
        <f>IF($D90=1,IF(GDP_per_cap!N68&gt;'all_1961-1990'!$H$1,0,IF(UrbanPopRate!N68&gt;=$J$1,0,1)),0)</f>
        <v>0</v>
      </c>
      <c r="S90">
        <f>IF($D90=1,IF(GDP_per_cap!O68&gt;'all_1961-1990'!$H$1,0,IF(UrbanPopRate!O68&gt;=$J$1,0,1)),0)</f>
        <v>0</v>
      </c>
      <c r="T90">
        <f>IF($D90=1,IF(GDP_per_cap!P68&gt;'all_1961-1990'!$H$1,0,IF(UrbanPopRate!P68&gt;=$J$1,0,1)),0)</f>
        <v>0</v>
      </c>
      <c r="U90">
        <f>IF($D90=1,IF(GDP_per_cap!Q68&gt;'all_1961-1990'!$H$1,0,IF(UrbanPopRate!Q68&gt;=$J$1,0,1)),0)</f>
        <v>0</v>
      </c>
      <c r="V90">
        <f>IF($D90=1,IF(GDP_per_cap!R68&gt;'all_1961-1990'!$H$1,0,IF(UrbanPopRate!R68&gt;=$J$1,0,1)),0)</f>
        <v>0</v>
      </c>
      <c r="W90">
        <f>IF($D90=1,IF(GDP_per_cap!S68&gt;'all_1961-1990'!$H$1,0,IF(UrbanPopRate!S68&gt;=$J$1,0,1)),0)</f>
        <v>0</v>
      </c>
      <c r="X90">
        <f>IF($D90=1,IF(GDP_per_cap!T68&gt;'all_1961-1990'!$H$1,0,IF(UrbanPopRate!T68&gt;=$J$1,0,1)),0)</f>
        <v>0</v>
      </c>
      <c r="Y90">
        <f>IF($D90=1,IF(GDP_per_cap!U68&gt;'all_1961-1990'!$H$1,0,IF(UrbanPopRate!U68&gt;=$J$1,0,1)),0)</f>
        <v>0</v>
      </c>
      <c r="Z90">
        <f>IF($D90=1,IF(GDP_per_cap!V68&gt;'all_1961-1990'!$H$1,0,IF(UrbanPopRate!V68&gt;=$J$1,0,1)),0)</f>
        <v>0</v>
      </c>
      <c r="AA90">
        <f>IF($D90=1,IF(GDP_per_cap!W68&gt;'all_1961-1990'!$H$1,0,IF(UrbanPopRate!W68&gt;=$J$1,0,1)),0)</f>
        <v>0</v>
      </c>
      <c r="AB90">
        <f>IF($D90=1,IF(GDP_per_cap!X68&gt;'all_1961-1990'!$H$1,0,IF(UrbanPopRate!X68&gt;=$J$1,0,1)),0)</f>
        <v>0</v>
      </c>
      <c r="AC90">
        <f>IF($D90=1,IF(GDP_per_cap!Y68&gt;'all_1961-1990'!$H$1,0,IF(UrbanPopRate!Y68&gt;=$J$1,0,1)),0)</f>
        <v>0</v>
      </c>
      <c r="AD90">
        <f>IF($D90=1,IF(GDP_per_cap!Z68&gt;'all_1961-1990'!$H$1,0,IF(UrbanPopRate!Z68&gt;=$J$1,0,1)),0)</f>
        <v>0</v>
      </c>
      <c r="AE90">
        <f>IF($D90=1,IF(GDP_per_cap!AA68&gt;'all_1961-1990'!$H$1,0,IF(UrbanPopRate!AA68&gt;=$J$1,0,1)),0)</f>
        <v>0</v>
      </c>
      <c r="AF90">
        <f>IF($D90=1,IF(GDP_per_cap!AB68&gt;'all_1961-1990'!$H$1,0,IF(UrbanPopRate!AB68&gt;=$J$1,0,1)),0)</f>
        <v>0</v>
      </c>
      <c r="AG90">
        <f>IF($D90=1,IF(GDP_per_cap!AC68&gt;'all_1961-1990'!$H$1,0,IF(UrbanPopRate!AC68&gt;=$J$1,0,1)),0)</f>
        <v>0</v>
      </c>
      <c r="AH90">
        <f>IF($D90=1,IF(GDP_per_cap!AD68&gt;'all_1961-1990'!$H$1,0,IF(UrbanPopRate!AD68&gt;=$J$1,0,1)),0)</f>
        <v>0</v>
      </c>
      <c r="AI90">
        <f>IF($D90=1,IF(GDP_per_cap!AE68&gt;'all_1961-1990'!$H$1,0,IF(UrbanPopRate!AE68&gt;=$J$1,0,1)),0)</f>
        <v>0</v>
      </c>
      <c r="AJ90">
        <f>IF($D90=1,IF(GDP_per_cap!AF68&gt;'all_1961-1990'!$H$1,0,IF(UrbanPopRate!AF68&gt;=$J$1,0,1)),0)</f>
        <v>0</v>
      </c>
      <c r="AK90">
        <f>IF($D90=1,IF(GDP_per_cap!AG68&gt;'all_1961-1990'!$H$1,0,IF(UrbanPopRate!AG68&gt;=$J$1,0,1)),0)</f>
        <v>0</v>
      </c>
      <c r="AL90">
        <f>IF($D90=1,IF(GDP_per_cap!AH68&gt;'all_1961-1990'!$H$1,0,IF(UrbanPopRate!AH68&gt;=$J$1,0,1)),0)</f>
        <v>0</v>
      </c>
      <c r="AM90">
        <f>IF($D90=1,IF(GDP_per_cap!AI68&gt;'all_1961-1990'!$H$1,0,IF(UrbanPopRate!AI68&gt;=$J$1,0,1)),0)</f>
        <v>0</v>
      </c>
      <c r="AN90">
        <f>IF($D90=1,IF(GDP_per_cap!AJ68&gt;'all_1961-1990'!$H$1,0,IF(UrbanPopRate!AJ68&gt;=$J$1,0,1)),0)</f>
        <v>0</v>
      </c>
      <c r="AO90">
        <f>IF($D90=1,IF(GDP_per_cap!AK68&gt;'all_1961-1990'!$H$1,0,IF(UrbanPopRate!AK68&gt;=$J$1,0,1)),0)</f>
        <v>0</v>
      </c>
      <c r="AP90">
        <f>IF($D90=1,IF(GDP_per_cap!AL68&gt;'all_1961-1990'!$H$1,0,IF(UrbanPopRate!AL68&gt;=$J$1,0,1)),0)</f>
        <v>0</v>
      </c>
      <c r="AQ90">
        <f>IF($D90=1,IF(GDP_per_cap!AM68&gt;'all_1961-1990'!$H$1,0,IF(UrbanPopRate!AM68&gt;=$J$1,0,1)),0)</f>
        <v>0</v>
      </c>
      <c r="AR90">
        <f>IF($D90=1,IF(GDP_per_cap!AN68&gt;'all_1961-1990'!$H$1,0,IF(UrbanPopRate!AN68&gt;=$J$1,0,1)),0)</f>
        <v>0</v>
      </c>
      <c r="AS90">
        <f>IF($D90=1,IF(GDP_per_cap!AO68&gt;'all_1961-1990'!$H$1,0,IF(UrbanPopRate!AO68&gt;=$J$1,0,1)),0)</f>
        <v>0</v>
      </c>
      <c r="AT90">
        <f>IF($D90=1,IF(GDP_per_cap!AP68&gt;'all_1961-1990'!$H$1,0,IF(UrbanPopRate!AP68&gt;=$J$1,0,1)),0)</f>
        <v>0</v>
      </c>
      <c r="AU90">
        <f>IF($D90=1,IF(GDP_per_cap!AQ68&gt;'all_1961-1990'!$H$1,0,IF(UrbanPopRate!AQ68&gt;=$J$1,0,1)),0)</f>
        <v>0</v>
      </c>
      <c r="AV90">
        <f>IF($D90=1,IF(GDP_per_cap!AR68&gt;'all_1961-1990'!$H$1,0,IF(UrbanPopRate!AR68&gt;=$J$1,0,1)),0)</f>
        <v>0</v>
      </c>
      <c r="AW90">
        <f>IF($D90=1,IF(GDP_per_cap!AS68&gt;'all_1961-1990'!$H$1,0,IF(UrbanPopRate!AS68&gt;=$J$1,0,1)),0)</f>
        <v>0</v>
      </c>
      <c r="AX90">
        <f>IF($D90=1,IF(GDP_per_cap!AT68&gt;'all_1961-1990'!$H$1,0,IF(UrbanPopRate!AT68&gt;=$J$1,0,1)),0)</f>
        <v>0</v>
      </c>
      <c r="AY90">
        <f>IF($D90=1,IF(GDP_per_cap!AU68&gt;'all_1961-1990'!$H$1,0,IF(UrbanPopRate!AU68&gt;=$J$1,0,1)),0)</f>
        <v>0</v>
      </c>
      <c r="AZ90">
        <f>IF($D90=1,IF(GDP_per_cap!AV68&gt;'all_1961-1990'!$H$1,0,IF(UrbanPopRate!AV68&gt;=$J$1,0,1)),0)</f>
        <v>0</v>
      </c>
      <c r="BA90">
        <f>IF($D90=1,IF(GDP_per_cap!AW68&gt;'all_1961-1990'!$H$1,0,IF(UrbanPopRate!AW68&gt;=$J$1,0,1)),0)</f>
        <v>0</v>
      </c>
      <c r="BB90">
        <f>IF($D90=1,IF(GDP_per_cap!AX68&gt;'all_1961-1990'!$H$1,0,IF(UrbanPopRate!AX68&gt;=$J$1,0,1)),0)</f>
        <v>0</v>
      </c>
      <c r="BC90">
        <f>IF($D90=1,IF(GDP_per_cap!AY68&gt;'all_1961-1990'!$H$1,0,IF(UrbanPopRate!AY68&gt;=$J$1,0,1)),0)</f>
        <v>0</v>
      </c>
      <c r="BD90">
        <f>IF($D90=1,IF(GDP_per_cap!AZ68&gt;'all_1961-1990'!$H$1,0,IF(UrbanPopRate!AZ68&gt;=$J$1,0,1)),0)</f>
        <v>0</v>
      </c>
      <c r="BE90">
        <f>IF($D90=1,IF(GDP_per_cap!BA68&gt;'all_1961-1990'!$H$1,0,IF(UrbanPopRate!BA68&gt;=$J$1,0,1)),0)</f>
        <v>0</v>
      </c>
      <c r="BF90">
        <f>IF($D90=1,IF(GDP_per_cap!BB68&gt;'all_1961-1990'!$H$1,0,IF(UrbanPopRate!BB68&gt;=$J$1,0,1)),0)</f>
        <v>0</v>
      </c>
    </row>
    <row r="91" spans="1:58">
      <c r="A91" s="3">
        <v>229</v>
      </c>
      <c r="B91" s="3" t="s">
        <v>8</v>
      </c>
      <c r="C91" s="2">
        <v>3</v>
      </c>
      <c r="D91" s="35">
        <v>1</v>
      </c>
      <c r="E91" s="2">
        <v>77.958933333333334</v>
      </c>
      <c r="F91" s="36">
        <v>20957.243709999999</v>
      </c>
      <c r="G91">
        <f>IF($D91=1,IF(GDP_per_cap!C148&gt;'all_1961-1990'!$H$1,0,IF(UrbanPopRate!C148&gt;=$J$1,0,1)),0)</f>
        <v>0</v>
      </c>
      <c r="H91">
        <f>IF($D91=1,IF(GDP_per_cap!D148&gt;'all_1961-1990'!$H$1,0,IF(UrbanPopRate!D148&gt;=$J$1,0,1)),0)</f>
        <v>0</v>
      </c>
      <c r="I91">
        <f>IF($D91=1,IF(GDP_per_cap!E148&gt;'all_1961-1990'!$H$1,0,IF(UrbanPopRate!E148&gt;=$J$1,0,1)),0)</f>
        <v>0</v>
      </c>
      <c r="J91">
        <f>IF($D91=1,IF(GDP_per_cap!F148&gt;'all_1961-1990'!$H$1,0,IF(UrbanPopRate!F148&gt;=$J$1,0,1)),0)</f>
        <v>0</v>
      </c>
      <c r="K91">
        <f>IF($D91=1,IF(GDP_per_cap!G148&gt;'all_1961-1990'!$H$1,0,IF(UrbanPopRate!G148&gt;=$J$1,0,1)),0)</f>
        <v>0</v>
      </c>
      <c r="L91">
        <f>IF($D91=1,IF(GDP_per_cap!H148&gt;'all_1961-1990'!$H$1,0,IF(UrbanPopRate!H148&gt;=$J$1,0,1)),0)</f>
        <v>0</v>
      </c>
      <c r="M91">
        <f>IF($D91=1,IF(GDP_per_cap!I148&gt;'all_1961-1990'!$H$1,0,IF(UrbanPopRate!I148&gt;=$J$1,0,1)),0)</f>
        <v>0</v>
      </c>
      <c r="N91">
        <f>IF($D91=1,IF(GDP_per_cap!J148&gt;'all_1961-1990'!$H$1,0,IF(UrbanPopRate!J148&gt;=$J$1,0,1)),0)</f>
        <v>0</v>
      </c>
      <c r="O91">
        <f>IF($D91=1,IF(GDP_per_cap!K148&gt;'all_1961-1990'!$H$1,0,IF(UrbanPopRate!K148&gt;=$J$1,0,1)),0)</f>
        <v>0</v>
      </c>
      <c r="P91">
        <f>IF($D91=1,IF(GDP_per_cap!L148&gt;'all_1961-1990'!$H$1,0,IF(UrbanPopRate!L148&gt;=$J$1,0,1)),0)</f>
        <v>0</v>
      </c>
      <c r="Q91">
        <f>IF($D91=1,IF(GDP_per_cap!M148&gt;'all_1961-1990'!$H$1,0,IF(UrbanPopRate!M148&gt;=$J$1,0,1)),0)</f>
        <v>0</v>
      </c>
      <c r="R91">
        <f>IF($D91=1,IF(GDP_per_cap!N148&gt;'all_1961-1990'!$H$1,0,IF(UrbanPopRate!N148&gt;=$J$1,0,1)),0)</f>
        <v>0</v>
      </c>
      <c r="S91">
        <f>IF($D91=1,IF(GDP_per_cap!O148&gt;'all_1961-1990'!$H$1,0,IF(UrbanPopRate!O148&gt;=$J$1,0,1)),0)</f>
        <v>0</v>
      </c>
      <c r="T91">
        <f>IF($D91=1,IF(GDP_per_cap!P148&gt;'all_1961-1990'!$H$1,0,IF(UrbanPopRate!P148&gt;=$J$1,0,1)),0)</f>
        <v>0</v>
      </c>
      <c r="U91">
        <f>IF($D91=1,IF(GDP_per_cap!Q148&gt;'all_1961-1990'!$H$1,0,IF(UrbanPopRate!Q148&gt;=$J$1,0,1)),0)</f>
        <v>0</v>
      </c>
      <c r="V91">
        <f>IF($D91=1,IF(GDP_per_cap!R148&gt;'all_1961-1990'!$H$1,0,IF(UrbanPopRate!R148&gt;=$J$1,0,1)),0)</f>
        <v>0</v>
      </c>
      <c r="W91">
        <f>IF($D91=1,IF(GDP_per_cap!S148&gt;'all_1961-1990'!$H$1,0,IF(UrbanPopRate!S148&gt;=$J$1,0,1)),0)</f>
        <v>0</v>
      </c>
      <c r="X91">
        <f>IF($D91=1,IF(GDP_per_cap!T148&gt;'all_1961-1990'!$H$1,0,IF(UrbanPopRate!T148&gt;=$J$1,0,1)),0)</f>
        <v>0</v>
      </c>
      <c r="Y91">
        <f>IF($D91=1,IF(GDP_per_cap!U148&gt;'all_1961-1990'!$H$1,0,IF(UrbanPopRate!U148&gt;=$J$1,0,1)),0)</f>
        <v>0</v>
      </c>
      <c r="Z91">
        <f>IF($D91=1,IF(GDP_per_cap!V148&gt;'all_1961-1990'!$H$1,0,IF(UrbanPopRate!V148&gt;=$J$1,0,1)),0)</f>
        <v>0</v>
      </c>
      <c r="AA91">
        <f>IF($D91=1,IF(GDP_per_cap!W148&gt;'all_1961-1990'!$H$1,0,IF(UrbanPopRate!W148&gt;=$J$1,0,1)),0)</f>
        <v>0</v>
      </c>
      <c r="AB91">
        <f>IF($D91=1,IF(GDP_per_cap!X148&gt;'all_1961-1990'!$H$1,0,IF(UrbanPopRate!X148&gt;=$J$1,0,1)),0)</f>
        <v>0</v>
      </c>
      <c r="AC91">
        <f>IF($D91=1,IF(GDP_per_cap!Y148&gt;'all_1961-1990'!$H$1,0,IF(UrbanPopRate!Y148&gt;=$J$1,0,1)),0)</f>
        <v>0</v>
      </c>
      <c r="AD91">
        <f>IF($D91=1,IF(GDP_per_cap!Z148&gt;'all_1961-1990'!$H$1,0,IF(UrbanPopRate!Z148&gt;=$J$1,0,1)),0)</f>
        <v>0</v>
      </c>
      <c r="AE91">
        <f>IF($D91=1,IF(GDP_per_cap!AA148&gt;'all_1961-1990'!$H$1,0,IF(UrbanPopRate!AA148&gt;=$J$1,0,1)),0)</f>
        <v>0</v>
      </c>
      <c r="AF91">
        <f>IF($D91=1,IF(GDP_per_cap!AB148&gt;'all_1961-1990'!$H$1,0,IF(UrbanPopRate!AB148&gt;=$J$1,0,1)),0)</f>
        <v>0</v>
      </c>
      <c r="AG91">
        <f>IF($D91=1,IF(GDP_per_cap!AC148&gt;'all_1961-1990'!$H$1,0,IF(UrbanPopRate!AC148&gt;=$J$1,0,1)),0)</f>
        <v>0</v>
      </c>
      <c r="AH91">
        <f>IF($D91=1,IF(GDP_per_cap!AD148&gt;'all_1961-1990'!$H$1,0,IF(UrbanPopRate!AD148&gt;=$J$1,0,1)),0)</f>
        <v>0</v>
      </c>
      <c r="AI91">
        <f>IF($D91=1,IF(GDP_per_cap!AE148&gt;'all_1961-1990'!$H$1,0,IF(UrbanPopRate!AE148&gt;=$J$1,0,1)),0)</f>
        <v>0</v>
      </c>
      <c r="AJ91">
        <f>IF($D91=1,IF(GDP_per_cap!AF148&gt;'all_1961-1990'!$H$1,0,IF(UrbanPopRate!AF148&gt;=$J$1,0,1)),0)</f>
        <v>0</v>
      </c>
      <c r="AK91">
        <f>IF($D91=1,IF(GDP_per_cap!AG148&gt;'all_1961-1990'!$H$1,0,IF(UrbanPopRate!AG148&gt;=$J$1,0,1)),0)</f>
        <v>0</v>
      </c>
      <c r="AL91">
        <f>IF($D91=1,IF(GDP_per_cap!AH148&gt;'all_1961-1990'!$H$1,0,IF(UrbanPopRate!AH148&gt;=$J$1,0,1)),0)</f>
        <v>0</v>
      </c>
      <c r="AM91">
        <f>IF($D91=1,IF(GDP_per_cap!AI148&gt;'all_1961-1990'!$H$1,0,IF(UrbanPopRate!AI148&gt;=$J$1,0,1)),0)</f>
        <v>0</v>
      </c>
      <c r="AN91">
        <f>IF($D91=1,IF(GDP_per_cap!AJ148&gt;'all_1961-1990'!$H$1,0,IF(UrbanPopRate!AJ148&gt;=$J$1,0,1)),0)</f>
        <v>0</v>
      </c>
      <c r="AO91">
        <f>IF($D91=1,IF(GDP_per_cap!AK148&gt;'all_1961-1990'!$H$1,0,IF(UrbanPopRate!AK148&gt;=$J$1,0,1)),0)</f>
        <v>0</v>
      </c>
      <c r="AP91">
        <f>IF($D91=1,IF(GDP_per_cap!AL148&gt;'all_1961-1990'!$H$1,0,IF(UrbanPopRate!AL148&gt;=$J$1,0,1)),0)</f>
        <v>0</v>
      </c>
      <c r="AQ91">
        <f>IF($D91=1,IF(GDP_per_cap!AM148&gt;'all_1961-1990'!$H$1,0,IF(UrbanPopRate!AM148&gt;=$J$1,0,1)),0)</f>
        <v>0</v>
      </c>
      <c r="AR91">
        <f>IF($D91=1,IF(GDP_per_cap!AN148&gt;'all_1961-1990'!$H$1,0,IF(UrbanPopRate!AN148&gt;=$J$1,0,1)),0)</f>
        <v>0</v>
      </c>
      <c r="AS91">
        <f>IF($D91=1,IF(GDP_per_cap!AO148&gt;'all_1961-1990'!$H$1,0,IF(UrbanPopRate!AO148&gt;=$J$1,0,1)),0)</f>
        <v>0</v>
      </c>
      <c r="AT91">
        <f>IF($D91=1,IF(GDP_per_cap!AP148&gt;'all_1961-1990'!$H$1,0,IF(UrbanPopRate!AP148&gt;=$J$1,0,1)),0)</f>
        <v>0</v>
      </c>
      <c r="AU91">
        <f>IF($D91=1,IF(GDP_per_cap!AQ148&gt;'all_1961-1990'!$H$1,0,IF(UrbanPopRate!AQ148&gt;=$J$1,0,1)),0)</f>
        <v>0</v>
      </c>
      <c r="AV91">
        <f>IF($D91=1,IF(GDP_per_cap!AR148&gt;'all_1961-1990'!$H$1,0,IF(UrbanPopRate!AR148&gt;=$J$1,0,1)),0)</f>
        <v>0</v>
      </c>
      <c r="AW91">
        <f>IF($D91=1,IF(GDP_per_cap!AS148&gt;'all_1961-1990'!$H$1,0,IF(UrbanPopRate!AS148&gt;=$J$1,0,1)),0)</f>
        <v>0</v>
      </c>
      <c r="AX91">
        <f>IF($D91=1,IF(GDP_per_cap!AT148&gt;'all_1961-1990'!$H$1,0,IF(UrbanPopRate!AT148&gt;=$J$1,0,1)),0)</f>
        <v>0</v>
      </c>
      <c r="AY91">
        <f>IF($D91=1,IF(GDP_per_cap!AU148&gt;'all_1961-1990'!$H$1,0,IF(UrbanPopRate!AU148&gt;=$J$1,0,1)),0)</f>
        <v>0</v>
      </c>
      <c r="AZ91">
        <f>IF($D91=1,IF(GDP_per_cap!AV148&gt;'all_1961-1990'!$H$1,0,IF(UrbanPopRate!AV148&gt;=$J$1,0,1)),0)</f>
        <v>0</v>
      </c>
      <c r="BA91">
        <f>IF($D91=1,IF(GDP_per_cap!AW148&gt;'all_1961-1990'!$H$1,0,IF(UrbanPopRate!AW148&gt;=$J$1,0,1)),0)</f>
        <v>0</v>
      </c>
      <c r="BB91">
        <f>IF($D91=1,IF(GDP_per_cap!AX148&gt;'all_1961-1990'!$H$1,0,IF(UrbanPopRate!AX148&gt;=$J$1,0,1)),0)</f>
        <v>0</v>
      </c>
      <c r="BC91">
        <f>IF($D91=1,IF(GDP_per_cap!AY148&gt;'all_1961-1990'!$H$1,0,IF(UrbanPopRate!AY148&gt;=$J$1,0,1)),0)</f>
        <v>0</v>
      </c>
      <c r="BD91">
        <f>IF($D91=1,IF(GDP_per_cap!AZ148&gt;'all_1961-1990'!$H$1,0,IF(UrbanPopRate!AZ148&gt;=$J$1,0,1)),0)</f>
        <v>0</v>
      </c>
      <c r="BE91">
        <f>IF($D91=1,IF(GDP_per_cap!BA148&gt;'all_1961-1990'!$H$1,0,IF(UrbanPopRate!BA148&gt;=$J$1,0,1)),0)</f>
        <v>0</v>
      </c>
      <c r="BF91">
        <f>IF($D91=1,IF(GDP_per_cap!BB148&gt;'all_1961-1990'!$H$1,0,IF(UrbanPopRate!BB148&gt;=$J$1,0,1)),0)</f>
        <v>0</v>
      </c>
    </row>
    <row r="92" spans="1:58">
      <c r="A92" s="3">
        <v>177</v>
      </c>
      <c r="B92" s="3" t="s">
        <v>40</v>
      </c>
      <c r="C92" s="2">
        <v>3</v>
      </c>
      <c r="D92" s="35">
        <v>1</v>
      </c>
      <c r="E92" s="2">
        <v>61.633200000000002</v>
      </c>
      <c r="F92" s="36">
        <v>16000</v>
      </c>
      <c r="G92">
        <f>IF($D92=1,IF(GDP_per_cap!C116&gt;'all_1961-1990'!$H$1,0,IF(UrbanPopRate!C116&gt;=$J$1,0,1)),0)</f>
        <v>0</v>
      </c>
      <c r="H92">
        <f>IF($D92=1,IF(GDP_per_cap!D116&gt;'all_1961-1990'!$H$1,0,IF(UrbanPopRate!D116&gt;=$J$1,0,1)),0)</f>
        <v>0</v>
      </c>
      <c r="I92">
        <f>IF($D92=1,IF(GDP_per_cap!E116&gt;'all_1961-1990'!$H$1,0,IF(UrbanPopRate!E116&gt;=$J$1,0,1)),0)</f>
        <v>0</v>
      </c>
      <c r="J92">
        <f>IF($D92=1,IF(GDP_per_cap!F116&gt;'all_1961-1990'!$H$1,0,IF(UrbanPopRate!F116&gt;=$J$1,0,1)),0)</f>
        <v>0</v>
      </c>
      <c r="K92">
        <f>IF($D92=1,IF(GDP_per_cap!G116&gt;'all_1961-1990'!$H$1,0,IF(UrbanPopRate!G116&gt;=$J$1,0,1)),0)</f>
        <v>0</v>
      </c>
      <c r="L92">
        <f>IF($D92=1,IF(GDP_per_cap!H116&gt;'all_1961-1990'!$H$1,0,IF(UrbanPopRate!H116&gt;=$J$1,0,1)),0)</f>
        <v>0</v>
      </c>
      <c r="M92">
        <f>IF($D92=1,IF(GDP_per_cap!I116&gt;'all_1961-1990'!$H$1,0,IF(UrbanPopRate!I116&gt;=$J$1,0,1)),0)</f>
        <v>0</v>
      </c>
      <c r="N92">
        <f>IF($D92=1,IF(GDP_per_cap!J116&gt;'all_1961-1990'!$H$1,0,IF(UrbanPopRate!J116&gt;=$J$1,0,1)),0)</f>
        <v>0</v>
      </c>
      <c r="O92">
        <f>IF($D92=1,IF(GDP_per_cap!K116&gt;'all_1961-1990'!$H$1,0,IF(UrbanPopRate!K116&gt;=$J$1,0,1)),0)</f>
        <v>0</v>
      </c>
      <c r="P92">
        <f>IF($D92=1,IF(GDP_per_cap!L116&gt;'all_1961-1990'!$H$1,0,IF(UrbanPopRate!L116&gt;=$J$1,0,1)),0)</f>
        <v>0</v>
      </c>
      <c r="Q92">
        <f>IF($D92=1,IF(GDP_per_cap!M116&gt;'all_1961-1990'!$H$1,0,IF(UrbanPopRate!M116&gt;=$J$1,0,1)),0)</f>
        <v>0</v>
      </c>
      <c r="R92">
        <f>IF($D92=1,IF(GDP_per_cap!N116&gt;'all_1961-1990'!$H$1,0,IF(UrbanPopRate!N116&gt;=$J$1,0,1)),0)</f>
        <v>0</v>
      </c>
      <c r="S92">
        <f>IF($D92=1,IF(GDP_per_cap!O116&gt;'all_1961-1990'!$H$1,0,IF(UrbanPopRate!O116&gt;=$J$1,0,1)),0)</f>
        <v>0</v>
      </c>
      <c r="T92">
        <f>IF($D92=1,IF(GDP_per_cap!P116&gt;'all_1961-1990'!$H$1,0,IF(UrbanPopRate!P116&gt;=$J$1,0,1)),0)</f>
        <v>0</v>
      </c>
      <c r="U92">
        <f>IF($D92=1,IF(GDP_per_cap!Q116&gt;'all_1961-1990'!$H$1,0,IF(UrbanPopRate!Q116&gt;=$J$1,0,1)),0)</f>
        <v>0</v>
      </c>
      <c r="V92">
        <f>IF($D92=1,IF(GDP_per_cap!R116&gt;'all_1961-1990'!$H$1,0,IF(UrbanPopRate!R116&gt;=$J$1,0,1)),0)</f>
        <v>0</v>
      </c>
      <c r="W92">
        <f>IF($D92=1,IF(GDP_per_cap!S116&gt;'all_1961-1990'!$H$1,0,IF(UrbanPopRate!S116&gt;=$J$1,0,1)),0)</f>
        <v>0</v>
      </c>
      <c r="X92">
        <f>IF($D92=1,IF(GDP_per_cap!T116&gt;'all_1961-1990'!$H$1,0,IF(UrbanPopRate!T116&gt;=$J$1,0,1)),0)</f>
        <v>0</v>
      </c>
      <c r="Y92">
        <f>IF($D92=1,IF(GDP_per_cap!U116&gt;'all_1961-1990'!$H$1,0,IF(UrbanPopRate!U116&gt;=$J$1,0,1)),0)</f>
        <v>0</v>
      </c>
      <c r="Z92">
        <f>IF($D92=1,IF(GDP_per_cap!V116&gt;'all_1961-1990'!$H$1,0,IF(UrbanPopRate!V116&gt;=$J$1,0,1)),0)</f>
        <v>0</v>
      </c>
      <c r="AA92">
        <f>IF($D92=1,IF(GDP_per_cap!W116&gt;'all_1961-1990'!$H$1,0,IF(UrbanPopRate!W116&gt;=$J$1,0,1)),0)</f>
        <v>0</v>
      </c>
      <c r="AB92">
        <f>IF($D92=1,IF(GDP_per_cap!X116&gt;'all_1961-1990'!$H$1,0,IF(UrbanPopRate!X116&gt;=$J$1,0,1)),0)</f>
        <v>0</v>
      </c>
      <c r="AC92">
        <f>IF($D92=1,IF(GDP_per_cap!Y116&gt;'all_1961-1990'!$H$1,0,IF(UrbanPopRate!Y116&gt;=$J$1,0,1)),0)</f>
        <v>0</v>
      </c>
      <c r="AD92">
        <f>IF($D92=1,IF(GDP_per_cap!Z116&gt;'all_1961-1990'!$H$1,0,IF(UrbanPopRate!Z116&gt;=$J$1,0,1)),0)</f>
        <v>0</v>
      </c>
      <c r="AE92">
        <f>IF($D92=1,IF(GDP_per_cap!AA116&gt;'all_1961-1990'!$H$1,0,IF(UrbanPopRate!AA116&gt;=$J$1,0,1)),0)</f>
        <v>0</v>
      </c>
      <c r="AF92">
        <f>IF($D92=1,IF(GDP_per_cap!AB116&gt;'all_1961-1990'!$H$1,0,IF(UrbanPopRate!AB116&gt;=$J$1,0,1)),0)</f>
        <v>0</v>
      </c>
      <c r="AG92">
        <f>IF($D92=1,IF(GDP_per_cap!AC116&gt;'all_1961-1990'!$H$1,0,IF(UrbanPopRate!AC116&gt;=$J$1,0,1)),0)</f>
        <v>0</v>
      </c>
      <c r="AH92">
        <f>IF($D92=1,IF(GDP_per_cap!AD116&gt;'all_1961-1990'!$H$1,0,IF(UrbanPopRate!AD116&gt;=$J$1,0,1)),0)</f>
        <v>0</v>
      </c>
      <c r="AI92">
        <f>IF($D92=1,IF(GDP_per_cap!AE116&gt;'all_1961-1990'!$H$1,0,IF(UrbanPopRate!AE116&gt;=$J$1,0,1)),0)</f>
        <v>0</v>
      </c>
      <c r="AJ92">
        <f>IF($D92=1,IF(GDP_per_cap!AF116&gt;'all_1961-1990'!$H$1,0,IF(UrbanPopRate!AF116&gt;=$J$1,0,1)),0)</f>
        <v>0</v>
      </c>
      <c r="AK92">
        <f>IF($D92=1,IF(GDP_per_cap!AG116&gt;'all_1961-1990'!$H$1,0,IF(UrbanPopRate!AG116&gt;=$J$1,0,1)),0)</f>
        <v>0</v>
      </c>
      <c r="AL92">
        <f>IF($D92=1,IF(GDP_per_cap!AH116&gt;'all_1961-1990'!$H$1,0,IF(UrbanPopRate!AH116&gt;=$J$1,0,1)),0)</f>
        <v>0</v>
      </c>
      <c r="AM92">
        <f>IF($D92=1,IF(GDP_per_cap!AI116&gt;'all_1961-1990'!$H$1,0,IF(UrbanPopRate!AI116&gt;=$J$1,0,1)),0)</f>
        <v>0</v>
      </c>
      <c r="AN92">
        <f>IF($D92=1,IF(GDP_per_cap!AJ116&gt;'all_1961-1990'!$H$1,0,IF(UrbanPopRate!AJ116&gt;=$J$1,0,1)),0)</f>
        <v>0</v>
      </c>
      <c r="AO92">
        <f>IF($D92=1,IF(GDP_per_cap!AK116&gt;'all_1961-1990'!$H$1,0,IF(UrbanPopRate!AK116&gt;=$J$1,0,1)),0)</f>
        <v>0</v>
      </c>
      <c r="AP92">
        <f>IF($D92=1,IF(GDP_per_cap!AL116&gt;'all_1961-1990'!$H$1,0,IF(UrbanPopRate!AL116&gt;=$J$1,0,1)),0)</f>
        <v>0</v>
      </c>
      <c r="AQ92">
        <f>IF($D92=1,IF(GDP_per_cap!AM116&gt;'all_1961-1990'!$H$1,0,IF(UrbanPopRate!AM116&gt;=$J$1,0,1)),0)</f>
        <v>0</v>
      </c>
      <c r="AR92">
        <f>IF($D92=1,IF(GDP_per_cap!AN116&gt;'all_1961-1990'!$H$1,0,IF(UrbanPopRate!AN116&gt;=$J$1,0,1)),0)</f>
        <v>0</v>
      </c>
      <c r="AS92">
        <f>IF($D92=1,IF(GDP_per_cap!AO116&gt;'all_1961-1990'!$H$1,0,IF(UrbanPopRate!AO116&gt;=$J$1,0,1)),0)</f>
        <v>0</v>
      </c>
      <c r="AT92">
        <f>IF($D92=1,IF(GDP_per_cap!AP116&gt;'all_1961-1990'!$H$1,0,IF(UrbanPopRate!AP116&gt;=$J$1,0,1)),0)</f>
        <v>0</v>
      </c>
      <c r="AU92">
        <f>IF($D92=1,IF(GDP_per_cap!AQ116&gt;'all_1961-1990'!$H$1,0,IF(UrbanPopRate!AQ116&gt;=$J$1,0,1)),0)</f>
        <v>0</v>
      </c>
      <c r="AV92">
        <f>IF($D92=1,IF(GDP_per_cap!AR116&gt;'all_1961-1990'!$H$1,0,IF(UrbanPopRate!AR116&gt;=$J$1,0,1)),0)</f>
        <v>0</v>
      </c>
      <c r="AW92">
        <f>IF($D92=1,IF(GDP_per_cap!AS116&gt;'all_1961-1990'!$H$1,0,IF(UrbanPopRate!AS116&gt;=$J$1,0,1)),0)</f>
        <v>0</v>
      </c>
      <c r="AX92">
        <f>IF($D92=1,IF(GDP_per_cap!AT116&gt;'all_1961-1990'!$H$1,0,IF(UrbanPopRate!AT116&gt;=$J$1,0,1)),0)</f>
        <v>0</v>
      </c>
      <c r="AY92">
        <f>IF($D92=1,IF(GDP_per_cap!AU116&gt;'all_1961-1990'!$H$1,0,IF(UrbanPopRate!AU116&gt;=$J$1,0,1)),0)</f>
        <v>0</v>
      </c>
      <c r="AZ92">
        <f>IF($D92=1,IF(GDP_per_cap!AV116&gt;'all_1961-1990'!$H$1,0,IF(UrbanPopRate!AV116&gt;=$J$1,0,1)),0)</f>
        <v>0</v>
      </c>
      <c r="BA92">
        <f>IF($D92=1,IF(GDP_per_cap!AW116&gt;'all_1961-1990'!$H$1,0,IF(UrbanPopRate!AW116&gt;=$J$1,0,1)),0)</f>
        <v>0</v>
      </c>
      <c r="BB92">
        <f>IF($D92=1,IF(GDP_per_cap!AX116&gt;'all_1961-1990'!$H$1,0,IF(UrbanPopRate!AX116&gt;=$J$1,0,1)),0)</f>
        <v>0</v>
      </c>
      <c r="BC92">
        <f>IF($D92=1,IF(GDP_per_cap!AY116&gt;'all_1961-1990'!$H$1,0,IF(UrbanPopRate!AY116&gt;=$J$1,0,1)),0)</f>
        <v>0</v>
      </c>
      <c r="BD92">
        <f>IF($D92=1,IF(GDP_per_cap!AZ116&gt;'all_1961-1990'!$H$1,0,IF(UrbanPopRate!AZ116&gt;=$J$1,0,1)),0)</f>
        <v>0</v>
      </c>
      <c r="BE92">
        <f>IF($D92=1,IF(GDP_per_cap!BA116&gt;'all_1961-1990'!$H$1,0,IF(UrbanPopRate!BA116&gt;=$J$1,0,1)),0)</f>
        <v>0</v>
      </c>
      <c r="BF92">
        <f>IF($D92=1,IF(GDP_per_cap!BB116&gt;'all_1961-1990'!$H$1,0,IF(UrbanPopRate!BB116&gt;=$J$1,0,1)),0)</f>
        <v>0</v>
      </c>
    </row>
    <row r="93" spans="1:58">
      <c r="A93" s="3">
        <v>181</v>
      </c>
      <c r="B93" s="3" t="s">
        <v>37</v>
      </c>
      <c r="C93" s="2">
        <v>3</v>
      </c>
      <c r="D93" s="35">
        <v>1</v>
      </c>
      <c r="E93" s="2">
        <v>65.712299999999999</v>
      </c>
      <c r="F93" s="36">
        <v>12846.01706</v>
      </c>
      <c r="G93">
        <f>IF($D93=1,IF(GDP_per_cap!C119&gt;'all_1961-1990'!$H$1,0,IF(UrbanPopRate!C119&gt;=$J$1,0,1)),0)</f>
        <v>0</v>
      </c>
      <c r="H93">
        <f>IF($D93=1,IF(GDP_per_cap!D119&gt;'all_1961-1990'!$H$1,0,IF(UrbanPopRate!D119&gt;=$J$1,0,1)),0)</f>
        <v>0</v>
      </c>
      <c r="I93">
        <f>IF($D93=1,IF(GDP_per_cap!E119&gt;'all_1961-1990'!$H$1,0,IF(UrbanPopRate!E119&gt;=$J$1,0,1)),0)</f>
        <v>0</v>
      </c>
      <c r="J93">
        <f>IF($D93=1,IF(GDP_per_cap!F119&gt;'all_1961-1990'!$H$1,0,IF(UrbanPopRate!F119&gt;=$J$1,0,1)),0)</f>
        <v>0</v>
      </c>
      <c r="K93">
        <f>IF($D93=1,IF(GDP_per_cap!G119&gt;'all_1961-1990'!$H$1,0,IF(UrbanPopRate!G119&gt;=$J$1,0,1)),0)</f>
        <v>0</v>
      </c>
      <c r="L93">
        <f>IF($D93=1,IF(GDP_per_cap!H119&gt;'all_1961-1990'!$H$1,0,IF(UrbanPopRate!H119&gt;=$J$1,0,1)),0)</f>
        <v>0</v>
      </c>
      <c r="M93">
        <f>IF($D93=1,IF(GDP_per_cap!I119&gt;'all_1961-1990'!$H$1,0,IF(UrbanPopRate!I119&gt;=$J$1,0,1)),0)</f>
        <v>0</v>
      </c>
      <c r="N93">
        <f>IF($D93=1,IF(GDP_per_cap!J119&gt;'all_1961-1990'!$H$1,0,IF(UrbanPopRate!J119&gt;=$J$1,0,1)),0)</f>
        <v>0</v>
      </c>
      <c r="O93">
        <f>IF($D93=1,IF(GDP_per_cap!K119&gt;'all_1961-1990'!$H$1,0,IF(UrbanPopRate!K119&gt;=$J$1,0,1)),0)</f>
        <v>0</v>
      </c>
      <c r="P93">
        <f>IF($D93=1,IF(GDP_per_cap!L119&gt;'all_1961-1990'!$H$1,0,IF(UrbanPopRate!L119&gt;=$J$1,0,1)),0)</f>
        <v>0</v>
      </c>
      <c r="Q93">
        <f>IF($D93=1,IF(GDP_per_cap!M119&gt;'all_1961-1990'!$H$1,0,IF(UrbanPopRate!M119&gt;=$J$1,0,1)),0)</f>
        <v>0</v>
      </c>
      <c r="R93">
        <f>IF($D93=1,IF(GDP_per_cap!N119&gt;'all_1961-1990'!$H$1,0,IF(UrbanPopRate!N119&gt;=$J$1,0,1)),0)</f>
        <v>0</v>
      </c>
      <c r="S93">
        <f>IF($D93=1,IF(GDP_per_cap!O119&gt;'all_1961-1990'!$H$1,0,IF(UrbanPopRate!O119&gt;=$J$1,0,1)),0)</f>
        <v>0</v>
      </c>
      <c r="T93">
        <f>IF($D93=1,IF(GDP_per_cap!P119&gt;'all_1961-1990'!$H$1,0,IF(UrbanPopRate!P119&gt;=$J$1,0,1)),0)</f>
        <v>0</v>
      </c>
      <c r="U93">
        <f>IF($D93=1,IF(GDP_per_cap!Q119&gt;'all_1961-1990'!$H$1,0,IF(UrbanPopRate!Q119&gt;=$J$1,0,1)),0)</f>
        <v>0</v>
      </c>
      <c r="V93">
        <f>IF($D93=1,IF(GDP_per_cap!R119&gt;'all_1961-1990'!$H$1,0,IF(UrbanPopRate!R119&gt;=$J$1,0,1)),0)</f>
        <v>0</v>
      </c>
      <c r="W93">
        <f>IF($D93=1,IF(GDP_per_cap!S119&gt;'all_1961-1990'!$H$1,0,IF(UrbanPopRate!S119&gt;=$J$1,0,1)),0)</f>
        <v>0</v>
      </c>
      <c r="X93">
        <f>IF($D93=1,IF(GDP_per_cap!T119&gt;'all_1961-1990'!$H$1,0,IF(UrbanPopRate!T119&gt;=$J$1,0,1)),0)</f>
        <v>0</v>
      </c>
      <c r="Y93">
        <f>IF($D93=1,IF(GDP_per_cap!U119&gt;'all_1961-1990'!$H$1,0,IF(UrbanPopRate!U119&gt;=$J$1,0,1)),0)</f>
        <v>0</v>
      </c>
      <c r="Z93">
        <f>IF($D93=1,IF(GDP_per_cap!V119&gt;'all_1961-1990'!$H$1,0,IF(UrbanPopRate!V119&gt;=$J$1,0,1)),0)</f>
        <v>0</v>
      </c>
      <c r="AA93">
        <f>IF($D93=1,IF(GDP_per_cap!W119&gt;'all_1961-1990'!$H$1,0,IF(UrbanPopRate!W119&gt;=$J$1,0,1)),0)</f>
        <v>0</v>
      </c>
      <c r="AB93">
        <f>IF($D93=1,IF(GDP_per_cap!X119&gt;'all_1961-1990'!$H$1,0,IF(UrbanPopRate!X119&gt;=$J$1,0,1)),0)</f>
        <v>0</v>
      </c>
      <c r="AC93">
        <f>IF($D93=1,IF(GDP_per_cap!Y119&gt;'all_1961-1990'!$H$1,0,IF(UrbanPopRate!Y119&gt;=$J$1,0,1)),0)</f>
        <v>0</v>
      </c>
      <c r="AD93">
        <f>IF($D93=1,IF(GDP_per_cap!Z119&gt;'all_1961-1990'!$H$1,0,IF(UrbanPopRate!Z119&gt;=$J$1,0,1)),0)</f>
        <v>0</v>
      </c>
      <c r="AE93">
        <f>IF($D93=1,IF(GDP_per_cap!AA119&gt;'all_1961-1990'!$H$1,0,IF(UrbanPopRate!AA119&gt;=$J$1,0,1)),0)</f>
        <v>0</v>
      </c>
      <c r="AF93">
        <f>IF($D93=1,IF(GDP_per_cap!AB119&gt;'all_1961-1990'!$H$1,0,IF(UrbanPopRate!AB119&gt;=$J$1,0,1)),0)</f>
        <v>0</v>
      </c>
      <c r="AG93">
        <f>IF($D93=1,IF(GDP_per_cap!AC119&gt;'all_1961-1990'!$H$1,0,IF(UrbanPopRate!AC119&gt;=$J$1,0,1)),0)</f>
        <v>0</v>
      </c>
      <c r="AH93">
        <f>IF($D93=1,IF(GDP_per_cap!AD119&gt;'all_1961-1990'!$H$1,0,IF(UrbanPopRate!AD119&gt;=$J$1,0,1)),0)</f>
        <v>0</v>
      </c>
      <c r="AI93">
        <f>IF($D93=1,IF(GDP_per_cap!AE119&gt;'all_1961-1990'!$H$1,0,IF(UrbanPopRate!AE119&gt;=$J$1,0,1)),0)</f>
        <v>0</v>
      </c>
      <c r="AJ93">
        <f>IF($D93=1,IF(GDP_per_cap!AF119&gt;'all_1961-1990'!$H$1,0,IF(UrbanPopRate!AF119&gt;=$J$1,0,1)),0)</f>
        <v>0</v>
      </c>
      <c r="AK93">
        <f>IF($D93=1,IF(GDP_per_cap!AG119&gt;'all_1961-1990'!$H$1,0,IF(UrbanPopRate!AG119&gt;=$J$1,0,1)),0)</f>
        <v>0</v>
      </c>
      <c r="AL93">
        <f>IF($D93=1,IF(GDP_per_cap!AH119&gt;'all_1961-1990'!$H$1,0,IF(UrbanPopRate!AH119&gt;=$J$1,0,1)),0)</f>
        <v>0</v>
      </c>
      <c r="AM93">
        <f>IF($D93=1,IF(GDP_per_cap!AI119&gt;'all_1961-1990'!$H$1,0,IF(UrbanPopRate!AI119&gt;=$J$1,0,1)),0)</f>
        <v>0</v>
      </c>
      <c r="AN93">
        <f>IF($D93=1,IF(GDP_per_cap!AJ119&gt;'all_1961-1990'!$H$1,0,IF(UrbanPopRate!AJ119&gt;=$J$1,0,1)),0)</f>
        <v>0</v>
      </c>
      <c r="AO93">
        <f>IF($D93=1,IF(GDP_per_cap!AK119&gt;'all_1961-1990'!$H$1,0,IF(UrbanPopRate!AK119&gt;=$J$1,0,1)),0)</f>
        <v>0</v>
      </c>
      <c r="AP93">
        <f>IF($D93=1,IF(GDP_per_cap!AL119&gt;'all_1961-1990'!$H$1,0,IF(UrbanPopRate!AL119&gt;=$J$1,0,1)),0)</f>
        <v>0</v>
      </c>
      <c r="AQ93">
        <f>IF($D93=1,IF(GDP_per_cap!AM119&gt;'all_1961-1990'!$H$1,0,IF(UrbanPopRate!AM119&gt;=$J$1,0,1)),0)</f>
        <v>0</v>
      </c>
      <c r="AR93">
        <f>IF($D93=1,IF(GDP_per_cap!AN119&gt;'all_1961-1990'!$H$1,0,IF(UrbanPopRate!AN119&gt;=$J$1,0,1)),0)</f>
        <v>0</v>
      </c>
      <c r="AS93">
        <f>IF($D93=1,IF(GDP_per_cap!AO119&gt;'all_1961-1990'!$H$1,0,IF(UrbanPopRate!AO119&gt;=$J$1,0,1)),0)</f>
        <v>0</v>
      </c>
      <c r="AT93">
        <f>IF($D93=1,IF(GDP_per_cap!AP119&gt;'all_1961-1990'!$H$1,0,IF(UrbanPopRate!AP119&gt;=$J$1,0,1)),0)</f>
        <v>0</v>
      </c>
      <c r="AU93">
        <f>IF($D93=1,IF(GDP_per_cap!AQ119&gt;'all_1961-1990'!$H$1,0,IF(UrbanPopRate!AQ119&gt;=$J$1,0,1)),0)</f>
        <v>0</v>
      </c>
      <c r="AV93">
        <f>IF($D93=1,IF(GDP_per_cap!AR119&gt;'all_1961-1990'!$H$1,0,IF(UrbanPopRate!AR119&gt;=$J$1,0,1)),0)</f>
        <v>0</v>
      </c>
      <c r="AW93">
        <f>IF($D93=1,IF(GDP_per_cap!AS119&gt;'all_1961-1990'!$H$1,0,IF(UrbanPopRate!AS119&gt;=$J$1,0,1)),0)</f>
        <v>0</v>
      </c>
      <c r="AX93">
        <f>IF($D93=1,IF(GDP_per_cap!AT119&gt;'all_1961-1990'!$H$1,0,IF(UrbanPopRate!AT119&gt;=$J$1,0,1)),0)</f>
        <v>0</v>
      </c>
      <c r="AY93">
        <f>IF($D93=1,IF(GDP_per_cap!AU119&gt;'all_1961-1990'!$H$1,0,IF(UrbanPopRate!AU119&gt;=$J$1,0,1)),0)</f>
        <v>0</v>
      </c>
      <c r="AZ93">
        <f>IF($D93=1,IF(GDP_per_cap!AV119&gt;'all_1961-1990'!$H$1,0,IF(UrbanPopRate!AV119&gt;=$J$1,0,1)),0)</f>
        <v>0</v>
      </c>
      <c r="BA93">
        <f>IF($D93=1,IF(GDP_per_cap!AW119&gt;'all_1961-1990'!$H$1,0,IF(UrbanPopRate!AW119&gt;=$J$1,0,1)),0)</f>
        <v>0</v>
      </c>
      <c r="BB93">
        <f>IF($D93=1,IF(GDP_per_cap!AX119&gt;'all_1961-1990'!$H$1,0,IF(UrbanPopRate!AX119&gt;=$J$1,0,1)),0)</f>
        <v>0</v>
      </c>
      <c r="BC93">
        <f>IF($D93=1,IF(GDP_per_cap!AY119&gt;'all_1961-1990'!$H$1,0,IF(UrbanPopRate!AY119&gt;=$J$1,0,1)),0)</f>
        <v>0</v>
      </c>
      <c r="BD93">
        <f>IF($D93=1,IF(GDP_per_cap!AZ119&gt;'all_1961-1990'!$H$1,0,IF(UrbanPopRate!AZ119&gt;=$J$1,0,1)),0)</f>
        <v>0</v>
      </c>
      <c r="BE93">
        <f>IF($D93=1,IF(GDP_per_cap!BA119&gt;'all_1961-1990'!$H$1,0,IF(UrbanPopRate!BA119&gt;=$J$1,0,1)),0)</f>
        <v>0</v>
      </c>
      <c r="BF93">
        <f>IF($D93=1,IF(GDP_per_cap!BB119&gt;'all_1961-1990'!$H$1,0,IF(UrbanPopRate!BB119&gt;=$J$1,0,1)),0)</f>
        <v>0</v>
      </c>
    </row>
    <row r="94" spans="1:58">
      <c r="A94" s="3">
        <v>99</v>
      </c>
      <c r="B94" s="3" t="s">
        <v>95</v>
      </c>
      <c r="C94" s="2">
        <v>3</v>
      </c>
      <c r="D94" s="35">
        <v>1</v>
      </c>
      <c r="E94" s="2">
        <v>61.919699999999999</v>
      </c>
      <c r="F94" s="36">
        <v>12715.60824</v>
      </c>
      <c r="G94">
        <f>IF($D94=1,IF(GDP_per_cap!C61&gt;'all_1961-1990'!$H$1,0,IF(UrbanPopRate!C61&gt;=$J$1,0,1)),0)</f>
        <v>0</v>
      </c>
      <c r="H94">
        <f>IF($D94=1,IF(GDP_per_cap!D61&gt;'all_1961-1990'!$H$1,0,IF(UrbanPopRate!D61&gt;=$J$1,0,1)),0)</f>
        <v>0</v>
      </c>
      <c r="I94">
        <f>IF($D94=1,IF(GDP_per_cap!E61&gt;'all_1961-1990'!$H$1,0,IF(UrbanPopRate!E61&gt;=$J$1,0,1)),0)</f>
        <v>0</v>
      </c>
      <c r="J94">
        <f>IF($D94=1,IF(GDP_per_cap!F61&gt;'all_1961-1990'!$H$1,0,IF(UrbanPopRate!F61&gt;=$J$1,0,1)),0)</f>
        <v>0</v>
      </c>
      <c r="K94">
        <f>IF($D94=1,IF(GDP_per_cap!G61&gt;'all_1961-1990'!$H$1,0,IF(UrbanPopRate!G61&gt;=$J$1,0,1)),0)</f>
        <v>0</v>
      </c>
      <c r="L94">
        <f>IF($D94=1,IF(GDP_per_cap!H61&gt;'all_1961-1990'!$H$1,0,IF(UrbanPopRate!H61&gt;=$J$1,0,1)),0)</f>
        <v>0</v>
      </c>
      <c r="M94">
        <f>IF($D94=1,IF(GDP_per_cap!I61&gt;'all_1961-1990'!$H$1,0,IF(UrbanPopRate!I61&gt;=$J$1,0,1)),0)</f>
        <v>0</v>
      </c>
      <c r="N94">
        <f>IF($D94=1,IF(GDP_per_cap!J61&gt;'all_1961-1990'!$H$1,0,IF(UrbanPopRate!J61&gt;=$J$1,0,1)),0)</f>
        <v>0</v>
      </c>
      <c r="O94">
        <f>IF($D94=1,IF(GDP_per_cap!K61&gt;'all_1961-1990'!$H$1,0,IF(UrbanPopRate!K61&gt;=$J$1,0,1)),0)</f>
        <v>0</v>
      </c>
      <c r="P94">
        <f>IF($D94=1,IF(GDP_per_cap!L61&gt;'all_1961-1990'!$H$1,0,IF(UrbanPopRate!L61&gt;=$J$1,0,1)),0)</f>
        <v>0</v>
      </c>
      <c r="Q94">
        <f>IF($D94=1,IF(GDP_per_cap!M61&gt;'all_1961-1990'!$H$1,0,IF(UrbanPopRate!M61&gt;=$J$1,0,1)),0)</f>
        <v>0</v>
      </c>
      <c r="R94">
        <f>IF($D94=1,IF(GDP_per_cap!N61&gt;'all_1961-1990'!$H$1,0,IF(UrbanPopRate!N61&gt;=$J$1,0,1)),0)</f>
        <v>0</v>
      </c>
      <c r="S94">
        <f>IF($D94=1,IF(GDP_per_cap!O61&gt;'all_1961-1990'!$H$1,0,IF(UrbanPopRate!O61&gt;=$J$1,0,1)),0)</f>
        <v>0</v>
      </c>
      <c r="T94">
        <f>IF($D94=1,IF(GDP_per_cap!P61&gt;'all_1961-1990'!$H$1,0,IF(UrbanPopRate!P61&gt;=$J$1,0,1)),0)</f>
        <v>0</v>
      </c>
      <c r="U94">
        <f>IF($D94=1,IF(GDP_per_cap!Q61&gt;'all_1961-1990'!$H$1,0,IF(UrbanPopRate!Q61&gt;=$J$1,0,1)),0)</f>
        <v>0</v>
      </c>
      <c r="V94">
        <f>IF($D94=1,IF(GDP_per_cap!R61&gt;'all_1961-1990'!$H$1,0,IF(UrbanPopRate!R61&gt;=$J$1,0,1)),0)</f>
        <v>0</v>
      </c>
      <c r="W94">
        <f>IF($D94=1,IF(GDP_per_cap!S61&gt;'all_1961-1990'!$H$1,0,IF(UrbanPopRate!S61&gt;=$J$1,0,1)),0)</f>
        <v>0</v>
      </c>
      <c r="X94">
        <f>IF($D94=1,IF(GDP_per_cap!T61&gt;'all_1961-1990'!$H$1,0,IF(UrbanPopRate!T61&gt;=$J$1,0,1)),0)</f>
        <v>0</v>
      </c>
      <c r="Y94">
        <f>IF($D94=1,IF(GDP_per_cap!U61&gt;'all_1961-1990'!$H$1,0,IF(UrbanPopRate!U61&gt;=$J$1,0,1)),0)</f>
        <v>0</v>
      </c>
      <c r="Z94">
        <f>IF($D94=1,IF(GDP_per_cap!V61&gt;'all_1961-1990'!$H$1,0,IF(UrbanPopRate!V61&gt;=$J$1,0,1)),0)</f>
        <v>0</v>
      </c>
      <c r="AA94">
        <f>IF($D94=1,IF(GDP_per_cap!W61&gt;'all_1961-1990'!$H$1,0,IF(UrbanPopRate!W61&gt;=$J$1,0,1)),0)</f>
        <v>0</v>
      </c>
      <c r="AB94">
        <f>IF($D94=1,IF(GDP_per_cap!X61&gt;'all_1961-1990'!$H$1,0,IF(UrbanPopRate!X61&gt;=$J$1,0,1)),0)</f>
        <v>0</v>
      </c>
      <c r="AC94">
        <f>IF($D94=1,IF(GDP_per_cap!Y61&gt;'all_1961-1990'!$H$1,0,IF(UrbanPopRate!Y61&gt;=$J$1,0,1)),0)</f>
        <v>0</v>
      </c>
      <c r="AD94">
        <f>IF($D94=1,IF(GDP_per_cap!Z61&gt;'all_1961-1990'!$H$1,0,IF(UrbanPopRate!Z61&gt;=$J$1,0,1)),0)</f>
        <v>0</v>
      </c>
      <c r="AE94">
        <f>IF($D94=1,IF(GDP_per_cap!AA61&gt;'all_1961-1990'!$H$1,0,IF(UrbanPopRate!AA61&gt;=$J$1,0,1)),0)</f>
        <v>0</v>
      </c>
      <c r="AF94">
        <f>IF($D94=1,IF(GDP_per_cap!AB61&gt;'all_1961-1990'!$H$1,0,IF(UrbanPopRate!AB61&gt;=$J$1,0,1)),0)</f>
        <v>0</v>
      </c>
      <c r="AG94">
        <f>IF($D94=1,IF(GDP_per_cap!AC61&gt;'all_1961-1990'!$H$1,0,IF(UrbanPopRate!AC61&gt;=$J$1,0,1)),0)</f>
        <v>0</v>
      </c>
      <c r="AH94">
        <f>IF($D94=1,IF(GDP_per_cap!AD61&gt;'all_1961-1990'!$H$1,0,IF(UrbanPopRate!AD61&gt;=$J$1,0,1)),0)</f>
        <v>0</v>
      </c>
      <c r="AI94">
        <f>IF($D94=1,IF(GDP_per_cap!AE61&gt;'all_1961-1990'!$H$1,0,IF(UrbanPopRate!AE61&gt;=$J$1,0,1)),0)</f>
        <v>0</v>
      </c>
      <c r="AJ94">
        <f>IF($D94=1,IF(GDP_per_cap!AF61&gt;'all_1961-1990'!$H$1,0,IF(UrbanPopRate!AF61&gt;=$J$1,0,1)),0)</f>
        <v>0</v>
      </c>
      <c r="AK94">
        <f>IF($D94=1,IF(GDP_per_cap!AG61&gt;'all_1961-1990'!$H$1,0,IF(UrbanPopRate!AG61&gt;=$J$1,0,1)),0)</f>
        <v>0</v>
      </c>
      <c r="AL94">
        <f>IF($D94=1,IF(GDP_per_cap!AH61&gt;'all_1961-1990'!$H$1,0,IF(UrbanPopRate!AH61&gt;=$J$1,0,1)),0)</f>
        <v>0</v>
      </c>
      <c r="AM94">
        <f>IF($D94=1,IF(GDP_per_cap!AI61&gt;'all_1961-1990'!$H$1,0,IF(UrbanPopRate!AI61&gt;=$J$1,0,1)),0)</f>
        <v>0</v>
      </c>
      <c r="AN94">
        <f>IF($D94=1,IF(GDP_per_cap!AJ61&gt;'all_1961-1990'!$H$1,0,IF(UrbanPopRate!AJ61&gt;=$J$1,0,1)),0)</f>
        <v>0</v>
      </c>
      <c r="AO94">
        <f>IF($D94=1,IF(GDP_per_cap!AK61&gt;'all_1961-1990'!$H$1,0,IF(UrbanPopRate!AK61&gt;=$J$1,0,1)),0)</f>
        <v>0</v>
      </c>
      <c r="AP94">
        <f>IF($D94=1,IF(GDP_per_cap!AL61&gt;'all_1961-1990'!$H$1,0,IF(UrbanPopRate!AL61&gt;=$J$1,0,1)),0)</f>
        <v>0</v>
      </c>
      <c r="AQ94">
        <f>IF($D94=1,IF(GDP_per_cap!AM61&gt;'all_1961-1990'!$H$1,0,IF(UrbanPopRate!AM61&gt;=$J$1,0,1)),0)</f>
        <v>0</v>
      </c>
      <c r="AR94">
        <f>IF($D94=1,IF(GDP_per_cap!AN61&gt;'all_1961-1990'!$H$1,0,IF(UrbanPopRate!AN61&gt;=$J$1,0,1)),0)</f>
        <v>0</v>
      </c>
      <c r="AS94">
        <f>IF($D94=1,IF(GDP_per_cap!AO61&gt;'all_1961-1990'!$H$1,0,IF(UrbanPopRate!AO61&gt;=$J$1,0,1)),0)</f>
        <v>0</v>
      </c>
      <c r="AT94">
        <f>IF($D94=1,IF(GDP_per_cap!AP61&gt;'all_1961-1990'!$H$1,0,IF(UrbanPopRate!AP61&gt;=$J$1,0,1)),0)</f>
        <v>0</v>
      </c>
      <c r="AU94">
        <f>IF($D94=1,IF(GDP_per_cap!AQ61&gt;'all_1961-1990'!$H$1,0,IF(UrbanPopRate!AQ61&gt;=$J$1,0,1)),0)</f>
        <v>0</v>
      </c>
      <c r="AV94">
        <f>IF($D94=1,IF(GDP_per_cap!AR61&gt;'all_1961-1990'!$H$1,0,IF(UrbanPopRate!AR61&gt;=$J$1,0,1)),0)</f>
        <v>0</v>
      </c>
      <c r="AW94">
        <f>IF($D94=1,IF(GDP_per_cap!AS61&gt;'all_1961-1990'!$H$1,0,IF(UrbanPopRate!AS61&gt;=$J$1,0,1)),0)</f>
        <v>0</v>
      </c>
      <c r="AX94">
        <f>IF($D94=1,IF(GDP_per_cap!AT61&gt;'all_1961-1990'!$H$1,0,IF(UrbanPopRate!AT61&gt;=$J$1,0,1)),0)</f>
        <v>0</v>
      </c>
      <c r="AY94">
        <f>IF($D94=1,IF(GDP_per_cap!AU61&gt;'all_1961-1990'!$H$1,0,IF(UrbanPopRate!AU61&gt;=$J$1,0,1)),0)</f>
        <v>0</v>
      </c>
      <c r="AZ94">
        <f>IF($D94=1,IF(GDP_per_cap!AV61&gt;'all_1961-1990'!$H$1,0,IF(UrbanPopRate!AV61&gt;=$J$1,0,1)),0)</f>
        <v>0</v>
      </c>
      <c r="BA94">
        <f>IF($D94=1,IF(GDP_per_cap!AW61&gt;'all_1961-1990'!$H$1,0,IF(UrbanPopRate!AW61&gt;=$J$1,0,1)),0)</f>
        <v>0</v>
      </c>
      <c r="BB94">
        <f>IF($D94=1,IF(GDP_per_cap!AX61&gt;'all_1961-1990'!$H$1,0,IF(UrbanPopRate!AX61&gt;=$J$1,0,1)),0)</f>
        <v>0</v>
      </c>
      <c r="BC94">
        <f>IF($D94=1,IF(GDP_per_cap!AY61&gt;'all_1961-1990'!$H$1,0,IF(UrbanPopRate!AY61&gt;=$J$1,0,1)),0)</f>
        <v>0</v>
      </c>
      <c r="BD94">
        <f>IF($D94=1,IF(GDP_per_cap!AZ61&gt;'all_1961-1990'!$H$1,0,IF(UrbanPopRate!AZ61&gt;=$J$1,0,1)),0)</f>
        <v>0</v>
      </c>
      <c r="BE94">
        <f>IF($D94=1,IF(GDP_per_cap!BA61&gt;'all_1961-1990'!$H$1,0,IF(UrbanPopRate!BA61&gt;=$J$1,0,1)),0)</f>
        <v>0</v>
      </c>
      <c r="BF94">
        <f>IF($D94=1,IF(GDP_per_cap!BB61&gt;'all_1961-1990'!$H$1,0,IF(UrbanPopRate!BB61&gt;=$J$1,0,1)),0)</f>
        <v>0</v>
      </c>
    </row>
    <row r="95" spans="1:58">
      <c r="A95" s="3">
        <v>235</v>
      </c>
      <c r="B95" s="3" t="s">
        <v>4</v>
      </c>
      <c r="C95" s="2">
        <v>3</v>
      </c>
      <c r="D95" s="35">
        <v>1</v>
      </c>
      <c r="E95" s="2">
        <v>75.164266666666649</v>
      </c>
      <c r="F95" s="36">
        <v>10039.25078</v>
      </c>
      <c r="G95">
        <f>IF($D95=1,IF(GDP_per_cap!C152&gt;'all_1961-1990'!$H$1,0,IF(UrbanPopRate!C152&gt;=$J$1,0,1)),0)</f>
        <v>0</v>
      </c>
      <c r="H95">
        <f>IF($D95=1,IF(GDP_per_cap!D152&gt;'all_1961-1990'!$H$1,0,IF(UrbanPopRate!D152&gt;=$J$1,0,1)),0)</f>
        <v>0</v>
      </c>
      <c r="I95">
        <f>IF($D95=1,IF(GDP_per_cap!E152&gt;'all_1961-1990'!$H$1,0,IF(UrbanPopRate!E152&gt;=$J$1,0,1)),0)</f>
        <v>0</v>
      </c>
      <c r="J95">
        <f>IF($D95=1,IF(GDP_per_cap!F152&gt;'all_1961-1990'!$H$1,0,IF(UrbanPopRate!F152&gt;=$J$1,0,1)),0)</f>
        <v>0</v>
      </c>
      <c r="K95">
        <f>IF($D95=1,IF(GDP_per_cap!G152&gt;'all_1961-1990'!$H$1,0,IF(UrbanPopRate!G152&gt;=$J$1,0,1)),0)</f>
        <v>0</v>
      </c>
      <c r="L95">
        <f>IF($D95=1,IF(GDP_per_cap!H152&gt;'all_1961-1990'!$H$1,0,IF(UrbanPopRate!H152&gt;=$J$1,0,1)),0)</f>
        <v>0</v>
      </c>
      <c r="M95">
        <f>IF($D95=1,IF(GDP_per_cap!I152&gt;'all_1961-1990'!$H$1,0,IF(UrbanPopRate!I152&gt;=$J$1,0,1)),0)</f>
        <v>0</v>
      </c>
      <c r="N95">
        <f>IF($D95=1,IF(GDP_per_cap!J152&gt;'all_1961-1990'!$H$1,0,IF(UrbanPopRate!J152&gt;=$J$1,0,1)),0)</f>
        <v>0</v>
      </c>
      <c r="O95">
        <f>IF($D95=1,IF(GDP_per_cap!K152&gt;'all_1961-1990'!$H$1,0,IF(UrbanPopRate!K152&gt;=$J$1,0,1)),0)</f>
        <v>0</v>
      </c>
      <c r="P95">
        <f>IF($D95=1,IF(GDP_per_cap!L152&gt;'all_1961-1990'!$H$1,0,IF(UrbanPopRate!L152&gt;=$J$1,0,1)),0)</f>
        <v>0</v>
      </c>
      <c r="Q95">
        <f>IF($D95=1,IF(GDP_per_cap!M152&gt;'all_1961-1990'!$H$1,0,IF(UrbanPopRate!M152&gt;=$J$1,0,1)),0)</f>
        <v>0</v>
      </c>
      <c r="R95">
        <f>IF($D95=1,IF(GDP_per_cap!N152&gt;'all_1961-1990'!$H$1,0,IF(UrbanPopRate!N152&gt;=$J$1,0,1)),0)</f>
        <v>0</v>
      </c>
      <c r="S95">
        <f>IF($D95=1,IF(GDP_per_cap!O152&gt;'all_1961-1990'!$H$1,0,IF(UrbanPopRate!O152&gt;=$J$1,0,1)),0)</f>
        <v>0</v>
      </c>
      <c r="T95">
        <f>IF($D95=1,IF(GDP_per_cap!P152&gt;'all_1961-1990'!$H$1,0,IF(UrbanPopRate!P152&gt;=$J$1,0,1)),0)</f>
        <v>0</v>
      </c>
      <c r="U95">
        <f>IF($D95=1,IF(GDP_per_cap!Q152&gt;'all_1961-1990'!$H$1,0,IF(UrbanPopRate!Q152&gt;=$J$1,0,1)),0)</f>
        <v>0</v>
      </c>
      <c r="V95">
        <f>IF($D95=1,IF(GDP_per_cap!R152&gt;'all_1961-1990'!$H$1,0,IF(UrbanPopRate!R152&gt;=$J$1,0,1)),0)</f>
        <v>0</v>
      </c>
      <c r="W95">
        <f>IF($D95=1,IF(GDP_per_cap!S152&gt;'all_1961-1990'!$H$1,0,IF(UrbanPopRate!S152&gt;=$J$1,0,1)),0)</f>
        <v>0</v>
      </c>
      <c r="X95">
        <f>IF($D95=1,IF(GDP_per_cap!T152&gt;'all_1961-1990'!$H$1,0,IF(UrbanPopRate!T152&gt;=$J$1,0,1)),0)</f>
        <v>0</v>
      </c>
      <c r="Y95">
        <f>IF($D95=1,IF(GDP_per_cap!U152&gt;'all_1961-1990'!$H$1,0,IF(UrbanPopRate!U152&gt;=$J$1,0,1)),0)</f>
        <v>0</v>
      </c>
      <c r="Z95">
        <f>IF($D95=1,IF(GDP_per_cap!V152&gt;'all_1961-1990'!$H$1,0,IF(UrbanPopRate!V152&gt;=$J$1,0,1)),0)</f>
        <v>0</v>
      </c>
      <c r="AA95">
        <f>IF($D95=1,IF(GDP_per_cap!W152&gt;'all_1961-1990'!$H$1,0,IF(UrbanPopRate!W152&gt;=$J$1,0,1)),0)</f>
        <v>0</v>
      </c>
      <c r="AB95">
        <f>IF($D95=1,IF(GDP_per_cap!X152&gt;'all_1961-1990'!$H$1,0,IF(UrbanPopRate!X152&gt;=$J$1,0,1)),0)</f>
        <v>0</v>
      </c>
      <c r="AC95">
        <f>IF($D95=1,IF(GDP_per_cap!Y152&gt;'all_1961-1990'!$H$1,0,IF(UrbanPopRate!Y152&gt;=$J$1,0,1)),0)</f>
        <v>0</v>
      </c>
      <c r="AD95">
        <f>IF($D95=1,IF(GDP_per_cap!Z152&gt;'all_1961-1990'!$H$1,0,IF(UrbanPopRate!Z152&gt;=$J$1,0,1)),0)</f>
        <v>0</v>
      </c>
      <c r="AE95">
        <f>IF($D95=1,IF(GDP_per_cap!AA152&gt;'all_1961-1990'!$H$1,0,IF(UrbanPopRate!AA152&gt;=$J$1,0,1)),0)</f>
        <v>0</v>
      </c>
      <c r="AF95">
        <f>IF($D95=1,IF(GDP_per_cap!AB152&gt;'all_1961-1990'!$H$1,0,IF(UrbanPopRate!AB152&gt;=$J$1,0,1)),0)</f>
        <v>0</v>
      </c>
      <c r="AG95">
        <f>IF($D95=1,IF(GDP_per_cap!AC152&gt;'all_1961-1990'!$H$1,0,IF(UrbanPopRate!AC152&gt;=$J$1,0,1)),0)</f>
        <v>0</v>
      </c>
      <c r="AH95">
        <f>IF($D95=1,IF(GDP_per_cap!AD152&gt;'all_1961-1990'!$H$1,0,IF(UrbanPopRate!AD152&gt;=$J$1,0,1)),0)</f>
        <v>0</v>
      </c>
      <c r="AI95">
        <f>IF($D95=1,IF(GDP_per_cap!AE152&gt;'all_1961-1990'!$H$1,0,IF(UrbanPopRate!AE152&gt;=$J$1,0,1)),0)</f>
        <v>0</v>
      </c>
      <c r="AJ95">
        <f>IF($D95=1,IF(GDP_per_cap!AF152&gt;'all_1961-1990'!$H$1,0,IF(UrbanPopRate!AF152&gt;=$J$1,0,1)),0)</f>
        <v>0</v>
      </c>
      <c r="AK95">
        <f>IF($D95=1,IF(GDP_per_cap!AG152&gt;'all_1961-1990'!$H$1,0,IF(UrbanPopRate!AG152&gt;=$J$1,0,1)),0)</f>
        <v>0</v>
      </c>
      <c r="AL95">
        <f>IF($D95=1,IF(GDP_per_cap!AH152&gt;'all_1961-1990'!$H$1,0,IF(UrbanPopRate!AH152&gt;=$J$1,0,1)),0)</f>
        <v>0</v>
      </c>
      <c r="AM95">
        <f>IF($D95=1,IF(GDP_per_cap!AI152&gt;'all_1961-1990'!$H$1,0,IF(UrbanPopRate!AI152&gt;=$J$1,0,1)),0)</f>
        <v>0</v>
      </c>
      <c r="AN95">
        <f>IF($D95=1,IF(GDP_per_cap!AJ152&gt;'all_1961-1990'!$H$1,0,IF(UrbanPopRate!AJ152&gt;=$J$1,0,1)),0)</f>
        <v>0</v>
      </c>
      <c r="AO95">
        <f>IF($D95=1,IF(GDP_per_cap!AK152&gt;'all_1961-1990'!$H$1,0,IF(UrbanPopRate!AK152&gt;=$J$1,0,1)),0)</f>
        <v>0</v>
      </c>
      <c r="AP95">
        <f>IF($D95=1,IF(GDP_per_cap!AL152&gt;'all_1961-1990'!$H$1,0,IF(UrbanPopRate!AL152&gt;=$J$1,0,1)),0)</f>
        <v>0</v>
      </c>
      <c r="AQ95">
        <f>IF($D95=1,IF(GDP_per_cap!AM152&gt;'all_1961-1990'!$H$1,0,IF(UrbanPopRate!AM152&gt;=$J$1,0,1)),0)</f>
        <v>0</v>
      </c>
      <c r="AR95">
        <f>IF($D95=1,IF(GDP_per_cap!AN152&gt;'all_1961-1990'!$H$1,0,IF(UrbanPopRate!AN152&gt;=$J$1,0,1)),0)</f>
        <v>0</v>
      </c>
      <c r="AS95">
        <f>IF($D95=1,IF(GDP_per_cap!AO152&gt;'all_1961-1990'!$H$1,0,IF(UrbanPopRate!AO152&gt;=$J$1,0,1)),0)</f>
        <v>0</v>
      </c>
      <c r="AT95">
        <f>IF($D95=1,IF(GDP_per_cap!AP152&gt;'all_1961-1990'!$H$1,0,IF(UrbanPopRate!AP152&gt;=$J$1,0,1)),0)</f>
        <v>0</v>
      </c>
      <c r="AU95">
        <f>IF($D95=1,IF(GDP_per_cap!AQ152&gt;'all_1961-1990'!$H$1,0,IF(UrbanPopRate!AQ152&gt;=$J$1,0,1)),0)</f>
        <v>0</v>
      </c>
      <c r="AV95">
        <f>IF($D95=1,IF(GDP_per_cap!AR152&gt;'all_1961-1990'!$H$1,0,IF(UrbanPopRate!AR152&gt;=$J$1,0,1)),0)</f>
        <v>0</v>
      </c>
      <c r="AW95">
        <f>IF($D95=1,IF(GDP_per_cap!AS152&gt;'all_1961-1990'!$H$1,0,IF(UrbanPopRate!AS152&gt;=$J$1,0,1)),0)</f>
        <v>0</v>
      </c>
      <c r="AX95">
        <f>IF($D95=1,IF(GDP_per_cap!AT152&gt;'all_1961-1990'!$H$1,0,IF(UrbanPopRate!AT152&gt;=$J$1,0,1)),0)</f>
        <v>0</v>
      </c>
      <c r="AY95">
        <f>IF($D95=1,IF(GDP_per_cap!AU152&gt;'all_1961-1990'!$H$1,0,IF(UrbanPopRate!AU152&gt;=$J$1,0,1)),0)</f>
        <v>0</v>
      </c>
      <c r="AZ95">
        <f>IF($D95=1,IF(GDP_per_cap!AV152&gt;'all_1961-1990'!$H$1,0,IF(UrbanPopRate!AV152&gt;=$J$1,0,1)),0)</f>
        <v>0</v>
      </c>
      <c r="BA95">
        <f>IF($D95=1,IF(GDP_per_cap!AW152&gt;'all_1961-1990'!$H$1,0,IF(UrbanPopRate!AW152&gt;=$J$1,0,1)),0)</f>
        <v>0</v>
      </c>
      <c r="BB95">
        <f>IF($D95=1,IF(GDP_per_cap!AX152&gt;'all_1961-1990'!$H$1,0,IF(UrbanPopRate!AX152&gt;=$J$1,0,1)),0)</f>
        <v>0</v>
      </c>
      <c r="BC95">
        <f>IF($D95=1,IF(GDP_per_cap!AY152&gt;'all_1961-1990'!$H$1,0,IF(UrbanPopRate!AY152&gt;=$J$1,0,1)),0)</f>
        <v>0</v>
      </c>
      <c r="BD95">
        <f>IF($D95=1,IF(GDP_per_cap!AZ152&gt;'all_1961-1990'!$H$1,0,IF(UrbanPopRate!AZ152&gt;=$J$1,0,1)),0)</f>
        <v>0</v>
      </c>
      <c r="BE95">
        <f>IF($D95=1,IF(GDP_per_cap!BA152&gt;'all_1961-1990'!$H$1,0,IF(UrbanPopRate!BA152&gt;=$J$1,0,1)),0)</f>
        <v>0</v>
      </c>
      <c r="BF95">
        <f>IF($D95=1,IF(GDP_per_cap!BB152&gt;'all_1961-1990'!$H$1,0,IF(UrbanPopRate!BB152&gt;=$J$1,0,1)),0)</f>
        <v>0</v>
      </c>
    </row>
    <row r="96" spans="1:58">
      <c r="A96" s="3">
        <v>222</v>
      </c>
      <c r="B96" s="3" t="s">
        <v>13</v>
      </c>
      <c r="C96" s="2">
        <v>4</v>
      </c>
      <c r="D96" s="35">
        <v>1</v>
      </c>
      <c r="E96" s="2">
        <v>43.067133333333338</v>
      </c>
      <c r="F96" s="36">
        <v>6992.1891889999997</v>
      </c>
      <c r="G96">
        <f>IF($D96=1,IF(GDP_per_cap!C143&gt;'all_1961-1990'!$H$1,0,IF(UrbanPopRate!C143&gt;=$J$1,0,1)),0)</f>
        <v>0</v>
      </c>
      <c r="H96">
        <f>IF($D96=1,IF(GDP_per_cap!D143&gt;'all_1961-1990'!$H$1,0,IF(UrbanPopRate!D143&gt;=$J$1,0,1)),0)</f>
        <v>0</v>
      </c>
      <c r="I96">
        <f>IF($D96=1,IF(GDP_per_cap!E143&gt;'all_1961-1990'!$H$1,0,IF(UrbanPopRate!E143&gt;=$J$1,0,1)),0)</f>
        <v>0</v>
      </c>
      <c r="J96">
        <f>IF($D96=1,IF(GDP_per_cap!F143&gt;'all_1961-1990'!$H$1,0,IF(UrbanPopRate!F143&gt;=$J$1,0,1)),0)</f>
        <v>0</v>
      </c>
      <c r="K96">
        <f>IF($D96=1,IF(GDP_per_cap!G143&gt;'all_1961-1990'!$H$1,0,IF(UrbanPopRate!G143&gt;=$J$1,0,1)),0)</f>
        <v>0</v>
      </c>
      <c r="L96">
        <f>IF($D96=1,IF(GDP_per_cap!H143&gt;'all_1961-1990'!$H$1,0,IF(UrbanPopRate!H143&gt;=$J$1,0,1)),0)</f>
        <v>0</v>
      </c>
      <c r="M96">
        <f>IF($D96=1,IF(GDP_per_cap!I143&gt;'all_1961-1990'!$H$1,0,IF(UrbanPopRate!I143&gt;=$J$1,0,1)),0)</f>
        <v>0</v>
      </c>
      <c r="N96">
        <f>IF($D96=1,IF(GDP_per_cap!J143&gt;'all_1961-1990'!$H$1,0,IF(UrbanPopRate!J143&gt;=$J$1,0,1)),0)</f>
        <v>0</v>
      </c>
      <c r="O96">
        <f>IF($D96=1,IF(GDP_per_cap!K143&gt;'all_1961-1990'!$H$1,0,IF(UrbanPopRate!K143&gt;=$J$1,0,1)),0)</f>
        <v>0</v>
      </c>
      <c r="P96">
        <f>IF($D96=1,IF(GDP_per_cap!L143&gt;'all_1961-1990'!$H$1,0,IF(UrbanPopRate!L143&gt;=$J$1,0,1)),0)</f>
        <v>0</v>
      </c>
      <c r="Q96">
        <f>IF($D96=1,IF(GDP_per_cap!M143&gt;'all_1961-1990'!$H$1,0,IF(UrbanPopRate!M143&gt;=$J$1,0,1)),0)</f>
        <v>0</v>
      </c>
      <c r="R96">
        <f>IF($D96=1,IF(GDP_per_cap!N143&gt;'all_1961-1990'!$H$1,0,IF(UrbanPopRate!N143&gt;=$J$1,0,1)),0)</f>
        <v>0</v>
      </c>
      <c r="S96">
        <f>IF($D96=1,IF(GDP_per_cap!O143&gt;'all_1961-1990'!$H$1,0,IF(UrbanPopRate!O143&gt;=$J$1,0,1)),0)</f>
        <v>0</v>
      </c>
      <c r="T96">
        <f>IF($D96=1,IF(GDP_per_cap!P143&gt;'all_1961-1990'!$H$1,0,IF(UrbanPopRate!P143&gt;=$J$1,0,1)),0)</f>
        <v>0</v>
      </c>
      <c r="U96">
        <f>IF($D96=1,IF(GDP_per_cap!Q143&gt;'all_1961-1990'!$H$1,0,IF(UrbanPopRate!Q143&gt;=$J$1,0,1)),0)</f>
        <v>0</v>
      </c>
      <c r="V96">
        <f>IF($D96=1,IF(GDP_per_cap!R143&gt;'all_1961-1990'!$H$1,0,IF(UrbanPopRate!R143&gt;=$J$1,0,1)),0)</f>
        <v>0</v>
      </c>
      <c r="W96">
        <f>IF($D96=1,IF(GDP_per_cap!S143&gt;'all_1961-1990'!$H$1,0,IF(UrbanPopRate!S143&gt;=$J$1,0,1)),0)</f>
        <v>0</v>
      </c>
      <c r="X96">
        <f>IF($D96=1,IF(GDP_per_cap!T143&gt;'all_1961-1990'!$H$1,0,IF(UrbanPopRate!T143&gt;=$J$1,0,1)),0)</f>
        <v>0</v>
      </c>
      <c r="Y96">
        <f>IF($D96=1,IF(GDP_per_cap!U143&gt;'all_1961-1990'!$H$1,0,IF(UrbanPopRate!U143&gt;=$J$1,0,1)),0)</f>
        <v>0</v>
      </c>
      <c r="Z96">
        <f>IF($D96=1,IF(GDP_per_cap!V143&gt;'all_1961-1990'!$H$1,0,IF(UrbanPopRate!V143&gt;=$J$1,0,1)),0)</f>
        <v>0</v>
      </c>
      <c r="AA96">
        <f>IF($D96=1,IF(GDP_per_cap!W143&gt;'all_1961-1990'!$H$1,0,IF(UrbanPopRate!W143&gt;=$J$1,0,1)),0)</f>
        <v>0</v>
      </c>
      <c r="AB96">
        <f>IF($D96=1,IF(GDP_per_cap!X143&gt;'all_1961-1990'!$H$1,0,IF(UrbanPopRate!X143&gt;=$J$1,0,1)),0)</f>
        <v>0</v>
      </c>
      <c r="AC96">
        <f>IF($D96=1,IF(GDP_per_cap!Y143&gt;'all_1961-1990'!$H$1,0,IF(UrbanPopRate!Y143&gt;=$J$1,0,1)),0)</f>
        <v>0</v>
      </c>
      <c r="AD96">
        <f>IF($D96=1,IF(GDP_per_cap!Z143&gt;'all_1961-1990'!$H$1,0,IF(UrbanPopRate!Z143&gt;=$J$1,0,1)),0)</f>
        <v>0</v>
      </c>
      <c r="AE96">
        <f>IF($D96=1,IF(GDP_per_cap!AA143&gt;'all_1961-1990'!$H$1,0,IF(UrbanPopRate!AA143&gt;=$J$1,0,1)),0)</f>
        <v>0</v>
      </c>
      <c r="AF96">
        <f>IF($D96=1,IF(GDP_per_cap!AB143&gt;'all_1961-1990'!$H$1,0,IF(UrbanPopRate!AB143&gt;=$J$1,0,1)),0)</f>
        <v>0</v>
      </c>
      <c r="AG96">
        <f>IF($D96=1,IF(GDP_per_cap!AC143&gt;'all_1961-1990'!$H$1,0,IF(UrbanPopRate!AC143&gt;=$J$1,0,1)),0)</f>
        <v>0</v>
      </c>
      <c r="AH96">
        <f>IF($D96=1,IF(GDP_per_cap!AD143&gt;'all_1961-1990'!$H$1,0,IF(UrbanPopRate!AD143&gt;=$J$1,0,1)),0)</f>
        <v>0</v>
      </c>
      <c r="AI96">
        <f>IF($D96=1,IF(GDP_per_cap!AE143&gt;'all_1961-1990'!$H$1,0,IF(UrbanPopRate!AE143&gt;=$J$1,0,1)),0)</f>
        <v>0</v>
      </c>
      <c r="AJ96">
        <f>IF($D96=1,IF(GDP_per_cap!AF143&gt;'all_1961-1990'!$H$1,0,IF(UrbanPopRate!AF143&gt;=$J$1,0,1)),0)</f>
        <v>0</v>
      </c>
      <c r="AK96">
        <f>IF($D96=1,IF(GDP_per_cap!AG143&gt;'all_1961-1990'!$H$1,0,IF(UrbanPopRate!AG143&gt;=$J$1,0,1)),0)</f>
        <v>0</v>
      </c>
      <c r="AL96">
        <f>IF($D96=1,IF(GDP_per_cap!AH143&gt;'all_1961-1990'!$H$1,0,IF(UrbanPopRate!AH143&gt;=$J$1,0,1)),0)</f>
        <v>0</v>
      </c>
      <c r="AM96">
        <f>IF($D96=1,IF(GDP_per_cap!AI143&gt;'all_1961-1990'!$H$1,0,IF(UrbanPopRate!AI143&gt;=$J$1,0,1)),0)</f>
        <v>0</v>
      </c>
      <c r="AN96">
        <f>IF($D96=1,IF(GDP_per_cap!AJ143&gt;'all_1961-1990'!$H$1,0,IF(UrbanPopRate!AJ143&gt;=$J$1,0,1)),0)</f>
        <v>0</v>
      </c>
      <c r="AO96">
        <f>IF($D96=1,IF(GDP_per_cap!AK143&gt;'all_1961-1990'!$H$1,0,IF(UrbanPopRate!AK143&gt;=$J$1,0,1)),0)</f>
        <v>0</v>
      </c>
      <c r="AP96">
        <f>IF($D96=1,IF(GDP_per_cap!AL143&gt;'all_1961-1990'!$H$1,0,IF(UrbanPopRate!AL143&gt;=$J$1,0,1)),0)</f>
        <v>0</v>
      </c>
      <c r="AQ96">
        <f>IF($D96=1,IF(GDP_per_cap!AM143&gt;'all_1961-1990'!$H$1,0,IF(UrbanPopRate!AM143&gt;=$J$1,0,1)),0)</f>
        <v>0</v>
      </c>
      <c r="AR96">
        <f>IF($D96=1,IF(GDP_per_cap!AN143&gt;'all_1961-1990'!$H$1,0,IF(UrbanPopRate!AN143&gt;=$J$1,0,1)),0)</f>
        <v>0</v>
      </c>
      <c r="AS96">
        <f>IF($D96=1,IF(GDP_per_cap!AO143&gt;'all_1961-1990'!$H$1,0,IF(UrbanPopRate!AO143&gt;=$J$1,0,1)),0)</f>
        <v>0</v>
      </c>
      <c r="AT96">
        <f>IF($D96=1,IF(GDP_per_cap!AP143&gt;'all_1961-1990'!$H$1,0,IF(UrbanPopRate!AP143&gt;=$J$1,0,1)),0)</f>
        <v>0</v>
      </c>
      <c r="AU96">
        <f>IF($D96=1,IF(GDP_per_cap!AQ143&gt;'all_1961-1990'!$H$1,0,IF(UrbanPopRate!AQ143&gt;=$J$1,0,1)),0)</f>
        <v>0</v>
      </c>
      <c r="AV96">
        <f>IF($D96=1,IF(GDP_per_cap!AR143&gt;'all_1961-1990'!$H$1,0,IF(UrbanPopRate!AR143&gt;=$J$1,0,1)),0)</f>
        <v>0</v>
      </c>
      <c r="AW96">
        <f>IF($D96=1,IF(GDP_per_cap!AS143&gt;'all_1961-1990'!$H$1,0,IF(UrbanPopRate!AS143&gt;=$J$1,0,1)),0)</f>
        <v>0</v>
      </c>
      <c r="AX96">
        <f>IF($D96=1,IF(GDP_per_cap!AT143&gt;'all_1961-1990'!$H$1,0,IF(UrbanPopRate!AT143&gt;=$J$1,0,1)),0)</f>
        <v>0</v>
      </c>
      <c r="AY96">
        <f>IF($D96=1,IF(GDP_per_cap!AU143&gt;'all_1961-1990'!$H$1,0,IF(UrbanPopRate!AU143&gt;=$J$1,0,1)),0)</f>
        <v>0</v>
      </c>
      <c r="AZ96">
        <f>IF($D96=1,IF(GDP_per_cap!AV143&gt;'all_1961-1990'!$H$1,0,IF(UrbanPopRate!AV143&gt;=$J$1,0,1)),0)</f>
        <v>0</v>
      </c>
      <c r="BA96">
        <f>IF($D96=1,IF(GDP_per_cap!AW143&gt;'all_1961-1990'!$H$1,0,IF(UrbanPopRate!AW143&gt;=$J$1,0,1)),0)</f>
        <v>0</v>
      </c>
      <c r="BB96">
        <f>IF($D96=1,IF(GDP_per_cap!AX143&gt;'all_1961-1990'!$H$1,0,IF(UrbanPopRate!AX143&gt;=$J$1,0,1)),0)</f>
        <v>0</v>
      </c>
      <c r="BC96">
        <f>IF($D96=1,IF(GDP_per_cap!AY143&gt;'all_1961-1990'!$H$1,0,IF(UrbanPopRate!AY143&gt;=$J$1,0,1)),0)</f>
        <v>0</v>
      </c>
      <c r="BD96">
        <f>IF($D96=1,IF(GDP_per_cap!AZ143&gt;'all_1961-1990'!$H$1,0,IF(UrbanPopRate!AZ143&gt;=$J$1,0,1)),0)</f>
        <v>0</v>
      </c>
      <c r="BE96">
        <f>IF($D96=1,IF(GDP_per_cap!BA143&gt;'all_1961-1990'!$H$1,0,IF(UrbanPopRate!BA143&gt;=$J$1,0,1)),0)</f>
        <v>0</v>
      </c>
      <c r="BF96">
        <f>IF($D96=1,IF(GDP_per_cap!BB143&gt;'all_1961-1990'!$H$1,0,IF(UrbanPopRate!BB143&gt;=$J$1,0,1)),0)</f>
        <v>0</v>
      </c>
    </row>
    <row r="97" spans="1:58">
      <c r="A97" s="3">
        <v>109</v>
      </c>
      <c r="B97" s="3" t="s">
        <v>87</v>
      </c>
      <c r="C97" s="2">
        <v>4</v>
      </c>
      <c r="D97" s="35">
        <v>1</v>
      </c>
      <c r="E97" s="2">
        <v>43.528833333333338</v>
      </c>
      <c r="F97" s="36">
        <v>5247.4458119999999</v>
      </c>
      <c r="G97">
        <f>IF($D97=1,IF(GDP_per_cap!C69&gt;'all_1961-1990'!$H$1,0,IF(UrbanPopRate!C69&gt;=$J$1,0,1)),0)</f>
        <v>0</v>
      </c>
      <c r="H97">
        <f>IF($D97=1,IF(GDP_per_cap!D69&gt;'all_1961-1990'!$H$1,0,IF(UrbanPopRate!D69&gt;=$J$1,0,1)),0)</f>
        <v>0</v>
      </c>
      <c r="I97">
        <f>IF($D97=1,IF(GDP_per_cap!E69&gt;'all_1961-1990'!$H$1,0,IF(UrbanPopRate!E69&gt;=$J$1,0,1)),0)</f>
        <v>0</v>
      </c>
      <c r="J97">
        <f>IF($D97=1,IF(GDP_per_cap!F69&gt;'all_1961-1990'!$H$1,0,IF(UrbanPopRate!F69&gt;=$J$1,0,1)),0)</f>
        <v>0</v>
      </c>
      <c r="K97">
        <f>IF($D97=1,IF(GDP_per_cap!G69&gt;'all_1961-1990'!$H$1,0,IF(UrbanPopRate!G69&gt;=$J$1,0,1)),0)</f>
        <v>0</v>
      </c>
      <c r="L97">
        <f>IF($D97=1,IF(GDP_per_cap!H69&gt;'all_1961-1990'!$H$1,0,IF(UrbanPopRate!H69&gt;=$J$1,0,1)),0)</f>
        <v>0</v>
      </c>
      <c r="M97">
        <f>IF($D97=1,IF(GDP_per_cap!I69&gt;'all_1961-1990'!$H$1,0,IF(UrbanPopRate!I69&gt;=$J$1,0,1)),0)</f>
        <v>0</v>
      </c>
      <c r="N97">
        <f>IF($D97=1,IF(GDP_per_cap!J69&gt;'all_1961-1990'!$H$1,0,IF(UrbanPopRate!J69&gt;=$J$1,0,1)),0)</f>
        <v>0</v>
      </c>
      <c r="O97">
        <f>IF($D97=1,IF(GDP_per_cap!K69&gt;'all_1961-1990'!$H$1,0,IF(UrbanPopRate!K69&gt;=$J$1,0,1)),0)</f>
        <v>0</v>
      </c>
      <c r="P97">
        <f>IF($D97=1,IF(GDP_per_cap!L69&gt;'all_1961-1990'!$H$1,0,IF(UrbanPopRate!L69&gt;=$J$1,0,1)),0)</f>
        <v>0</v>
      </c>
      <c r="Q97">
        <f>IF($D97=1,IF(GDP_per_cap!M69&gt;'all_1961-1990'!$H$1,0,IF(UrbanPopRate!M69&gt;=$J$1,0,1)),0)</f>
        <v>0</v>
      </c>
      <c r="R97">
        <f>IF($D97=1,IF(GDP_per_cap!N69&gt;'all_1961-1990'!$H$1,0,IF(UrbanPopRate!N69&gt;=$J$1,0,1)),0)</f>
        <v>0</v>
      </c>
      <c r="S97">
        <f>IF($D97=1,IF(GDP_per_cap!O69&gt;'all_1961-1990'!$H$1,0,IF(UrbanPopRate!O69&gt;=$J$1,0,1)),0)</f>
        <v>0</v>
      </c>
      <c r="T97">
        <f>IF($D97=1,IF(GDP_per_cap!P69&gt;'all_1961-1990'!$H$1,0,IF(UrbanPopRate!P69&gt;=$J$1,0,1)),0)</f>
        <v>0</v>
      </c>
      <c r="U97">
        <f>IF($D97=1,IF(GDP_per_cap!Q69&gt;'all_1961-1990'!$H$1,0,IF(UrbanPopRate!Q69&gt;=$J$1,0,1)),0)</f>
        <v>0</v>
      </c>
      <c r="V97">
        <f>IF($D97=1,IF(GDP_per_cap!R69&gt;'all_1961-1990'!$H$1,0,IF(UrbanPopRate!R69&gt;=$J$1,0,1)),0)</f>
        <v>0</v>
      </c>
      <c r="W97">
        <f>IF($D97=1,IF(GDP_per_cap!S69&gt;'all_1961-1990'!$H$1,0,IF(UrbanPopRate!S69&gt;=$J$1,0,1)),0)</f>
        <v>0</v>
      </c>
      <c r="X97">
        <f>IF($D97=1,IF(GDP_per_cap!T69&gt;'all_1961-1990'!$H$1,0,IF(UrbanPopRate!T69&gt;=$J$1,0,1)),0)</f>
        <v>0</v>
      </c>
      <c r="Y97">
        <f>IF($D97=1,IF(GDP_per_cap!U69&gt;'all_1961-1990'!$H$1,0,IF(UrbanPopRate!U69&gt;=$J$1,0,1)),0)</f>
        <v>0</v>
      </c>
      <c r="Z97">
        <f>IF($D97=1,IF(GDP_per_cap!V69&gt;'all_1961-1990'!$H$1,0,IF(UrbanPopRate!V69&gt;=$J$1,0,1)),0)</f>
        <v>0</v>
      </c>
      <c r="AA97">
        <f>IF($D97=1,IF(GDP_per_cap!W69&gt;'all_1961-1990'!$H$1,0,IF(UrbanPopRate!W69&gt;=$J$1,0,1)),0)</f>
        <v>0</v>
      </c>
      <c r="AB97">
        <f>IF($D97=1,IF(GDP_per_cap!X69&gt;'all_1961-1990'!$H$1,0,IF(UrbanPopRate!X69&gt;=$J$1,0,1)),0)</f>
        <v>0</v>
      </c>
      <c r="AC97">
        <f>IF($D97=1,IF(GDP_per_cap!Y69&gt;'all_1961-1990'!$H$1,0,IF(UrbanPopRate!Y69&gt;=$J$1,0,1)),0)</f>
        <v>0</v>
      </c>
      <c r="AD97">
        <f>IF($D97=1,IF(GDP_per_cap!Z69&gt;'all_1961-1990'!$H$1,0,IF(UrbanPopRate!Z69&gt;=$J$1,0,1)),0)</f>
        <v>0</v>
      </c>
      <c r="AE97">
        <f>IF($D97=1,IF(GDP_per_cap!AA69&gt;'all_1961-1990'!$H$1,0,IF(UrbanPopRate!AA69&gt;=$J$1,0,1)),0)</f>
        <v>0</v>
      </c>
      <c r="AF97">
        <f>IF($D97=1,IF(GDP_per_cap!AB69&gt;'all_1961-1990'!$H$1,0,IF(UrbanPopRate!AB69&gt;=$J$1,0,1)),0)</f>
        <v>0</v>
      </c>
      <c r="AG97">
        <f>IF($D97=1,IF(GDP_per_cap!AC69&gt;'all_1961-1990'!$H$1,0,IF(UrbanPopRate!AC69&gt;=$J$1,0,1)),0)</f>
        <v>0</v>
      </c>
      <c r="AH97">
        <f>IF($D97=1,IF(GDP_per_cap!AD69&gt;'all_1961-1990'!$H$1,0,IF(UrbanPopRate!AD69&gt;=$J$1,0,1)),0)</f>
        <v>0</v>
      </c>
      <c r="AI97">
        <f>IF($D97=1,IF(GDP_per_cap!AE69&gt;'all_1961-1990'!$H$1,0,IF(UrbanPopRate!AE69&gt;=$J$1,0,1)),0)</f>
        <v>0</v>
      </c>
      <c r="AJ97">
        <f>IF($D97=1,IF(GDP_per_cap!AF69&gt;'all_1961-1990'!$H$1,0,IF(UrbanPopRate!AF69&gt;=$J$1,0,1)),0)</f>
        <v>0</v>
      </c>
      <c r="AK97">
        <f>IF($D97=1,IF(GDP_per_cap!AG69&gt;'all_1961-1990'!$H$1,0,IF(UrbanPopRate!AG69&gt;=$J$1,0,1)),0)</f>
        <v>0</v>
      </c>
      <c r="AL97">
        <f>IF($D97=1,IF(GDP_per_cap!AH69&gt;'all_1961-1990'!$H$1,0,IF(UrbanPopRate!AH69&gt;=$J$1,0,1)),0)</f>
        <v>0</v>
      </c>
      <c r="AM97">
        <f>IF($D97=1,IF(GDP_per_cap!AI69&gt;'all_1961-1990'!$H$1,0,IF(UrbanPopRate!AI69&gt;=$J$1,0,1)),0)</f>
        <v>0</v>
      </c>
      <c r="AN97">
        <f>IF($D97=1,IF(GDP_per_cap!AJ69&gt;'all_1961-1990'!$H$1,0,IF(UrbanPopRate!AJ69&gt;=$J$1,0,1)),0)</f>
        <v>0</v>
      </c>
      <c r="AO97">
        <f>IF($D97=1,IF(GDP_per_cap!AK69&gt;'all_1961-1990'!$H$1,0,IF(UrbanPopRate!AK69&gt;=$J$1,0,1)),0)</f>
        <v>0</v>
      </c>
      <c r="AP97">
        <f>IF($D97=1,IF(GDP_per_cap!AL69&gt;'all_1961-1990'!$H$1,0,IF(UrbanPopRate!AL69&gt;=$J$1,0,1)),0)</f>
        <v>0</v>
      </c>
      <c r="AQ97">
        <f>IF($D97=1,IF(GDP_per_cap!AM69&gt;'all_1961-1990'!$H$1,0,IF(UrbanPopRate!AM69&gt;=$J$1,0,1)),0)</f>
        <v>0</v>
      </c>
      <c r="AR97">
        <f>IF($D97=1,IF(GDP_per_cap!AN69&gt;'all_1961-1990'!$H$1,0,IF(UrbanPopRate!AN69&gt;=$J$1,0,1)),0)</f>
        <v>0</v>
      </c>
      <c r="AS97">
        <f>IF($D97=1,IF(GDP_per_cap!AO69&gt;'all_1961-1990'!$H$1,0,IF(UrbanPopRate!AO69&gt;=$J$1,0,1)),0)</f>
        <v>0</v>
      </c>
      <c r="AT97">
        <f>IF($D97=1,IF(GDP_per_cap!AP69&gt;'all_1961-1990'!$H$1,0,IF(UrbanPopRate!AP69&gt;=$J$1,0,1)),0)</f>
        <v>0</v>
      </c>
      <c r="AU97">
        <f>IF($D97=1,IF(GDP_per_cap!AQ69&gt;'all_1961-1990'!$H$1,0,IF(UrbanPopRate!AQ69&gt;=$J$1,0,1)),0)</f>
        <v>0</v>
      </c>
      <c r="AV97">
        <f>IF($D97=1,IF(GDP_per_cap!AR69&gt;'all_1961-1990'!$H$1,0,IF(UrbanPopRate!AR69&gt;=$J$1,0,1)),0)</f>
        <v>0</v>
      </c>
      <c r="AW97">
        <f>IF($D97=1,IF(GDP_per_cap!AS69&gt;'all_1961-1990'!$H$1,0,IF(UrbanPopRate!AS69&gt;=$J$1,0,1)),0)</f>
        <v>0</v>
      </c>
      <c r="AX97">
        <f>IF($D97=1,IF(GDP_per_cap!AT69&gt;'all_1961-1990'!$H$1,0,IF(UrbanPopRate!AT69&gt;=$J$1,0,1)),0)</f>
        <v>0</v>
      </c>
      <c r="AY97">
        <f>IF($D97=1,IF(GDP_per_cap!AU69&gt;'all_1961-1990'!$H$1,0,IF(UrbanPopRate!AU69&gt;=$J$1,0,1)),0)</f>
        <v>0</v>
      </c>
      <c r="AZ97">
        <f>IF($D97=1,IF(GDP_per_cap!AV69&gt;'all_1961-1990'!$H$1,0,IF(UrbanPopRate!AV69&gt;=$J$1,0,1)),0)</f>
        <v>0</v>
      </c>
      <c r="BA97">
        <f>IF($D97=1,IF(GDP_per_cap!AW69&gt;'all_1961-1990'!$H$1,0,IF(UrbanPopRate!AW69&gt;=$J$1,0,1)),0)</f>
        <v>0</v>
      </c>
      <c r="BB97">
        <f>IF($D97=1,IF(GDP_per_cap!AX69&gt;'all_1961-1990'!$H$1,0,IF(UrbanPopRate!AX69&gt;=$J$1,0,1)),0)</f>
        <v>0</v>
      </c>
      <c r="BC97">
        <f>IF($D97=1,IF(GDP_per_cap!AY69&gt;'all_1961-1990'!$H$1,0,IF(UrbanPopRate!AY69&gt;=$J$1,0,1)),0)</f>
        <v>0</v>
      </c>
      <c r="BD97">
        <f>IF($D97=1,IF(GDP_per_cap!AZ69&gt;'all_1961-1990'!$H$1,0,IF(UrbanPopRate!AZ69&gt;=$J$1,0,1)),0)</f>
        <v>0</v>
      </c>
      <c r="BE97">
        <f>IF($D97=1,IF(GDP_per_cap!BA69&gt;'all_1961-1990'!$H$1,0,IF(UrbanPopRate!BA69&gt;=$J$1,0,1)),0)</f>
        <v>0</v>
      </c>
      <c r="BF97">
        <f>IF($D97=1,IF(GDP_per_cap!BB69&gt;'all_1961-1990'!$H$1,0,IF(UrbanPopRate!BB69&gt;=$J$1,0,1)),0)</f>
        <v>0</v>
      </c>
    </row>
    <row r="98" spans="1:58">
      <c r="A98" s="3">
        <v>29</v>
      </c>
      <c r="B98" s="3" t="s">
        <v>138</v>
      </c>
      <c r="C98" s="2">
        <v>4</v>
      </c>
      <c r="D98" s="35">
        <v>1</v>
      </c>
      <c r="E98" s="2">
        <v>15.523966666666665</v>
      </c>
      <c r="F98" s="36">
        <v>5086.3358040000003</v>
      </c>
      <c r="G98">
        <f>IF($D98=1,IF(GDP_per_cap!C18&gt;'all_1961-1990'!$H$1,0,IF(UrbanPopRate!C18&gt;=$J$1,0,1)),0)</f>
        <v>1</v>
      </c>
      <c r="H98">
        <f>IF($D98=1,IF(GDP_per_cap!D18&gt;'all_1961-1990'!$H$1,0,IF(UrbanPopRate!D18&gt;=$J$1,0,1)),0)</f>
        <v>1</v>
      </c>
      <c r="I98">
        <f>IF($D98=1,IF(GDP_per_cap!E18&gt;'all_1961-1990'!$H$1,0,IF(UrbanPopRate!E18&gt;=$J$1,0,1)),0)</f>
        <v>1</v>
      </c>
      <c r="J98">
        <f>IF($D98=1,IF(GDP_per_cap!F18&gt;'all_1961-1990'!$H$1,0,IF(UrbanPopRate!F18&gt;=$J$1,0,1)),0)</f>
        <v>1</v>
      </c>
      <c r="K98">
        <f>IF($D98=1,IF(GDP_per_cap!G18&gt;'all_1961-1990'!$H$1,0,IF(UrbanPopRate!G18&gt;=$J$1,0,1)),0)</f>
        <v>1</v>
      </c>
      <c r="L98">
        <f>IF($D98=1,IF(GDP_per_cap!H18&gt;'all_1961-1990'!$H$1,0,IF(UrbanPopRate!H18&gt;=$J$1,0,1)),0)</f>
        <v>1</v>
      </c>
      <c r="M98">
        <f>IF($D98=1,IF(GDP_per_cap!I18&gt;'all_1961-1990'!$H$1,0,IF(UrbanPopRate!I18&gt;=$J$1,0,1)),0)</f>
        <v>1</v>
      </c>
      <c r="N98">
        <f>IF($D98=1,IF(GDP_per_cap!J18&gt;'all_1961-1990'!$H$1,0,IF(UrbanPopRate!J18&gt;=$J$1,0,1)),0)</f>
        <v>1</v>
      </c>
      <c r="O98">
        <f>IF($D98=1,IF(GDP_per_cap!K18&gt;'all_1961-1990'!$H$1,0,IF(UrbanPopRate!K18&gt;=$J$1,0,1)),0)</f>
        <v>1</v>
      </c>
      <c r="P98">
        <f>IF($D98=1,IF(GDP_per_cap!L18&gt;'all_1961-1990'!$H$1,0,IF(UrbanPopRate!L18&gt;=$J$1,0,1)),0)</f>
        <v>1</v>
      </c>
      <c r="Q98">
        <f>IF($D98=1,IF(GDP_per_cap!M18&gt;'all_1961-1990'!$H$1,0,IF(UrbanPopRate!M18&gt;=$J$1,0,1)),0)</f>
        <v>1</v>
      </c>
      <c r="R98">
        <f>IF($D98=1,IF(GDP_per_cap!N18&gt;'all_1961-1990'!$H$1,0,IF(UrbanPopRate!N18&gt;=$J$1,0,1)),0)</f>
        <v>1</v>
      </c>
      <c r="S98">
        <f>IF($D98=1,IF(GDP_per_cap!O18&gt;'all_1961-1990'!$H$1,0,IF(UrbanPopRate!O18&gt;=$J$1,0,1)),0)</f>
        <v>1</v>
      </c>
      <c r="T98">
        <f>IF($D98=1,IF(GDP_per_cap!P18&gt;'all_1961-1990'!$H$1,0,IF(UrbanPopRate!P18&gt;=$J$1,0,1)),0)</f>
        <v>1</v>
      </c>
      <c r="U98">
        <f>IF($D98=1,IF(GDP_per_cap!Q18&gt;'all_1961-1990'!$H$1,0,IF(UrbanPopRate!Q18&gt;=$J$1,0,1)),0)</f>
        <v>1</v>
      </c>
      <c r="V98">
        <f>IF($D98=1,IF(GDP_per_cap!R18&gt;'all_1961-1990'!$H$1,0,IF(UrbanPopRate!R18&gt;=$J$1,0,1)),0)</f>
        <v>1</v>
      </c>
      <c r="W98">
        <f>IF($D98=1,IF(GDP_per_cap!S18&gt;'all_1961-1990'!$H$1,0,IF(UrbanPopRate!S18&gt;=$J$1,0,1)),0)</f>
        <v>1</v>
      </c>
      <c r="X98">
        <f>IF($D98=1,IF(GDP_per_cap!T18&gt;'all_1961-1990'!$H$1,0,IF(UrbanPopRate!T18&gt;=$J$1,0,1)),0)</f>
        <v>1</v>
      </c>
      <c r="Y98">
        <f>IF($D98=1,IF(GDP_per_cap!U18&gt;'all_1961-1990'!$H$1,0,IF(UrbanPopRate!U18&gt;=$J$1,0,1)),0)</f>
        <v>1</v>
      </c>
      <c r="Z98">
        <f>IF($D98=1,IF(GDP_per_cap!V18&gt;'all_1961-1990'!$H$1,0,IF(UrbanPopRate!V18&gt;=$J$1,0,1)),0)</f>
        <v>1</v>
      </c>
      <c r="AA98">
        <f>IF($D98=1,IF(GDP_per_cap!W18&gt;'all_1961-1990'!$H$1,0,IF(UrbanPopRate!W18&gt;=$J$1,0,1)),0)</f>
        <v>1</v>
      </c>
      <c r="AB98">
        <f>IF($D98=1,IF(GDP_per_cap!X18&gt;'all_1961-1990'!$H$1,0,IF(UrbanPopRate!X18&gt;=$J$1,0,1)),0)</f>
        <v>1</v>
      </c>
      <c r="AC98">
        <f>IF($D98=1,IF(GDP_per_cap!Y18&gt;'all_1961-1990'!$H$1,0,IF(UrbanPopRate!Y18&gt;=$J$1,0,1)),0)</f>
        <v>1</v>
      </c>
      <c r="AD98">
        <f>IF($D98=1,IF(GDP_per_cap!Z18&gt;'all_1961-1990'!$H$1,0,IF(UrbanPopRate!Z18&gt;=$J$1,0,1)),0)</f>
        <v>1</v>
      </c>
      <c r="AE98">
        <f>IF($D98=1,IF(GDP_per_cap!AA18&gt;'all_1961-1990'!$H$1,0,IF(UrbanPopRate!AA18&gt;=$J$1,0,1)),0)</f>
        <v>0</v>
      </c>
      <c r="AF98">
        <f>IF($D98=1,IF(GDP_per_cap!AB18&gt;'all_1961-1990'!$H$1,0,IF(UrbanPopRate!AB18&gt;=$J$1,0,1)),0)</f>
        <v>0</v>
      </c>
      <c r="AG98">
        <f>IF($D98=1,IF(GDP_per_cap!AC18&gt;'all_1961-1990'!$H$1,0,IF(UrbanPopRate!AC18&gt;=$J$1,0,1)),0)</f>
        <v>0</v>
      </c>
      <c r="AH98">
        <f>IF($D98=1,IF(GDP_per_cap!AD18&gt;'all_1961-1990'!$H$1,0,IF(UrbanPopRate!AD18&gt;=$J$1,0,1)),0)</f>
        <v>0</v>
      </c>
      <c r="AI98">
        <f>IF($D98=1,IF(GDP_per_cap!AE18&gt;'all_1961-1990'!$H$1,0,IF(UrbanPopRate!AE18&gt;=$J$1,0,1)),0)</f>
        <v>0</v>
      </c>
      <c r="AJ98">
        <f>IF($D98=1,IF(GDP_per_cap!AF18&gt;'all_1961-1990'!$H$1,0,IF(UrbanPopRate!AF18&gt;=$J$1,0,1)),0)</f>
        <v>0</v>
      </c>
      <c r="AK98">
        <f>IF($D98=1,IF(GDP_per_cap!AG18&gt;'all_1961-1990'!$H$1,0,IF(UrbanPopRate!AG18&gt;=$J$1,0,1)),0)</f>
        <v>0</v>
      </c>
      <c r="AL98">
        <f>IF($D98=1,IF(GDP_per_cap!AH18&gt;'all_1961-1990'!$H$1,0,IF(UrbanPopRate!AH18&gt;=$J$1,0,1)),0)</f>
        <v>0</v>
      </c>
      <c r="AM98">
        <f>IF($D98=1,IF(GDP_per_cap!AI18&gt;'all_1961-1990'!$H$1,0,IF(UrbanPopRate!AI18&gt;=$J$1,0,1)),0)</f>
        <v>0</v>
      </c>
      <c r="AN98">
        <f>IF($D98=1,IF(GDP_per_cap!AJ18&gt;'all_1961-1990'!$H$1,0,IF(UrbanPopRate!AJ18&gt;=$J$1,0,1)),0)</f>
        <v>0</v>
      </c>
      <c r="AO98">
        <f>IF($D98=1,IF(GDP_per_cap!AK18&gt;'all_1961-1990'!$H$1,0,IF(UrbanPopRate!AK18&gt;=$J$1,0,1)),0)</f>
        <v>0</v>
      </c>
      <c r="AP98">
        <f>IF($D98=1,IF(GDP_per_cap!AL18&gt;'all_1961-1990'!$H$1,0,IF(UrbanPopRate!AL18&gt;=$J$1,0,1)),0)</f>
        <v>0</v>
      </c>
      <c r="AQ98">
        <f>IF($D98=1,IF(GDP_per_cap!AM18&gt;'all_1961-1990'!$H$1,0,IF(UrbanPopRate!AM18&gt;=$J$1,0,1)),0)</f>
        <v>0</v>
      </c>
      <c r="AR98">
        <f>IF($D98=1,IF(GDP_per_cap!AN18&gt;'all_1961-1990'!$H$1,0,IF(UrbanPopRate!AN18&gt;=$J$1,0,1)),0)</f>
        <v>0</v>
      </c>
      <c r="AS98">
        <f>IF($D98=1,IF(GDP_per_cap!AO18&gt;'all_1961-1990'!$H$1,0,IF(UrbanPopRate!AO18&gt;=$J$1,0,1)),0)</f>
        <v>0</v>
      </c>
      <c r="AT98">
        <f>IF($D98=1,IF(GDP_per_cap!AP18&gt;'all_1961-1990'!$H$1,0,IF(UrbanPopRate!AP18&gt;=$J$1,0,1)),0)</f>
        <v>0</v>
      </c>
      <c r="AU98">
        <f>IF($D98=1,IF(GDP_per_cap!AQ18&gt;'all_1961-1990'!$H$1,0,IF(UrbanPopRate!AQ18&gt;=$J$1,0,1)),0)</f>
        <v>0</v>
      </c>
      <c r="AV98">
        <f>IF($D98=1,IF(GDP_per_cap!AR18&gt;'all_1961-1990'!$H$1,0,IF(UrbanPopRate!AR18&gt;=$J$1,0,1)),0)</f>
        <v>0</v>
      </c>
      <c r="AW98">
        <f>IF($D98=1,IF(GDP_per_cap!AS18&gt;'all_1961-1990'!$H$1,0,IF(UrbanPopRate!AS18&gt;=$J$1,0,1)),0)</f>
        <v>0</v>
      </c>
      <c r="AX98">
        <f>IF($D98=1,IF(GDP_per_cap!AT18&gt;'all_1961-1990'!$H$1,0,IF(UrbanPopRate!AT18&gt;=$J$1,0,1)),0)</f>
        <v>0</v>
      </c>
      <c r="AY98">
        <f>IF($D98=1,IF(GDP_per_cap!AU18&gt;'all_1961-1990'!$H$1,0,IF(UrbanPopRate!AU18&gt;=$J$1,0,1)),0)</f>
        <v>0</v>
      </c>
      <c r="AZ98">
        <f>IF($D98=1,IF(GDP_per_cap!AV18&gt;'all_1961-1990'!$H$1,0,IF(UrbanPopRate!AV18&gt;=$J$1,0,1)),0)</f>
        <v>0</v>
      </c>
      <c r="BA98">
        <f>IF($D98=1,IF(GDP_per_cap!AW18&gt;'all_1961-1990'!$H$1,0,IF(UrbanPopRate!AW18&gt;=$J$1,0,1)),0)</f>
        <v>0</v>
      </c>
      <c r="BB98">
        <f>IF($D98=1,IF(GDP_per_cap!AX18&gt;'all_1961-1990'!$H$1,0,IF(UrbanPopRate!AX18&gt;=$J$1,0,1)),0)</f>
        <v>0</v>
      </c>
      <c r="BC98">
        <f>IF($D98=1,IF(GDP_per_cap!AY18&gt;'all_1961-1990'!$H$1,0,IF(UrbanPopRate!AY18&gt;=$J$1,0,1)),0)</f>
        <v>0</v>
      </c>
      <c r="BD98">
        <f>IF($D98=1,IF(GDP_per_cap!AZ18&gt;'all_1961-1990'!$H$1,0,IF(UrbanPopRate!AZ18&gt;=$J$1,0,1)),0)</f>
        <v>0</v>
      </c>
      <c r="BE98">
        <f>IF($D98=1,IF(GDP_per_cap!BA18&gt;'all_1961-1990'!$H$1,0,IF(UrbanPopRate!BA18&gt;=$J$1,0,1)),0)</f>
        <v>0</v>
      </c>
      <c r="BF98">
        <f>IF($D98=1,IF(GDP_per_cap!BB18&gt;'all_1961-1990'!$H$1,0,IF(UrbanPopRate!BB18&gt;=$J$1,0,1)),0)</f>
        <v>0</v>
      </c>
    </row>
    <row r="99" spans="1:58">
      <c r="A99" s="3">
        <v>112</v>
      </c>
      <c r="B99" s="3" t="s">
        <v>85</v>
      </c>
      <c r="C99" s="2">
        <v>4</v>
      </c>
      <c r="D99" s="35">
        <v>1</v>
      </c>
      <c r="E99" s="2">
        <v>59.62833333333333</v>
      </c>
      <c r="F99" s="36">
        <v>3972.8567200000002</v>
      </c>
      <c r="G99">
        <f>IF($D99=1,IF(GDP_per_cap!C71&gt;'all_1961-1990'!$H$1,0,IF(UrbanPopRate!C71&gt;=$J$1,0,1)),0)</f>
        <v>0</v>
      </c>
      <c r="H99">
        <f>IF($D99=1,IF(GDP_per_cap!D71&gt;'all_1961-1990'!$H$1,0,IF(UrbanPopRate!D71&gt;=$J$1,0,1)),0)</f>
        <v>0</v>
      </c>
      <c r="I99">
        <f>IF($D99=1,IF(GDP_per_cap!E71&gt;'all_1961-1990'!$H$1,0,IF(UrbanPopRate!E71&gt;=$J$1,0,1)),0)</f>
        <v>0</v>
      </c>
      <c r="J99">
        <f>IF($D99=1,IF(GDP_per_cap!F71&gt;'all_1961-1990'!$H$1,0,IF(UrbanPopRate!F71&gt;=$J$1,0,1)),0)</f>
        <v>0</v>
      </c>
      <c r="K99">
        <f>IF($D99=1,IF(GDP_per_cap!G71&gt;'all_1961-1990'!$H$1,0,IF(UrbanPopRate!G71&gt;=$J$1,0,1)),0)</f>
        <v>0</v>
      </c>
      <c r="L99">
        <f>IF($D99=1,IF(GDP_per_cap!H71&gt;'all_1961-1990'!$H$1,0,IF(UrbanPopRate!H71&gt;=$J$1,0,1)),0)</f>
        <v>0</v>
      </c>
      <c r="M99">
        <f>IF($D99=1,IF(GDP_per_cap!I71&gt;'all_1961-1990'!$H$1,0,IF(UrbanPopRate!I71&gt;=$J$1,0,1)),0)</f>
        <v>0</v>
      </c>
      <c r="N99">
        <f>IF($D99=1,IF(GDP_per_cap!J71&gt;'all_1961-1990'!$H$1,0,IF(UrbanPopRate!J71&gt;=$J$1,0,1)),0)</f>
        <v>0</v>
      </c>
      <c r="O99">
        <f>IF($D99=1,IF(GDP_per_cap!K71&gt;'all_1961-1990'!$H$1,0,IF(UrbanPopRate!K71&gt;=$J$1,0,1)),0)</f>
        <v>0</v>
      </c>
      <c r="P99">
        <f>IF($D99=1,IF(GDP_per_cap!L71&gt;'all_1961-1990'!$H$1,0,IF(UrbanPopRate!L71&gt;=$J$1,0,1)),0)</f>
        <v>0</v>
      </c>
      <c r="Q99">
        <f>IF($D99=1,IF(GDP_per_cap!M71&gt;'all_1961-1990'!$H$1,0,IF(UrbanPopRate!M71&gt;=$J$1,0,1)),0)</f>
        <v>0</v>
      </c>
      <c r="R99">
        <f>IF($D99=1,IF(GDP_per_cap!N71&gt;'all_1961-1990'!$H$1,0,IF(UrbanPopRate!N71&gt;=$J$1,0,1)),0)</f>
        <v>0</v>
      </c>
      <c r="S99">
        <f>IF($D99=1,IF(GDP_per_cap!O71&gt;'all_1961-1990'!$H$1,0,IF(UrbanPopRate!O71&gt;=$J$1,0,1)),0)</f>
        <v>0</v>
      </c>
      <c r="T99">
        <f>IF($D99=1,IF(GDP_per_cap!P71&gt;'all_1961-1990'!$H$1,0,IF(UrbanPopRate!P71&gt;=$J$1,0,1)),0)</f>
        <v>0</v>
      </c>
      <c r="U99">
        <f>IF($D99=1,IF(GDP_per_cap!Q71&gt;'all_1961-1990'!$H$1,0,IF(UrbanPopRate!Q71&gt;=$J$1,0,1)),0)</f>
        <v>0</v>
      </c>
      <c r="V99">
        <f>IF($D99=1,IF(GDP_per_cap!R71&gt;'all_1961-1990'!$H$1,0,IF(UrbanPopRate!R71&gt;=$J$1,0,1)),0)</f>
        <v>0</v>
      </c>
      <c r="W99">
        <f>IF($D99=1,IF(GDP_per_cap!S71&gt;'all_1961-1990'!$H$1,0,IF(UrbanPopRate!S71&gt;=$J$1,0,1)),0)</f>
        <v>0</v>
      </c>
      <c r="X99">
        <f>IF($D99=1,IF(GDP_per_cap!T71&gt;'all_1961-1990'!$H$1,0,IF(UrbanPopRate!T71&gt;=$J$1,0,1)),0)</f>
        <v>0</v>
      </c>
      <c r="Y99">
        <f>IF($D99=1,IF(GDP_per_cap!U71&gt;'all_1961-1990'!$H$1,0,IF(UrbanPopRate!U71&gt;=$J$1,0,1)),0)</f>
        <v>0</v>
      </c>
      <c r="Z99">
        <f>IF($D99=1,IF(GDP_per_cap!V71&gt;'all_1961-1990'!$H$1,0,IF(UrbanPopRate!V71&gt;=$J$1,0,1)),0)</f>
        <v>0</v>
      </c>
      <c r="AA99">
        <f>IF($D99=1,IF(GDP_per_cap!W71&gt;'all_1961-1990'!$H$1,0,IF(UrbanPopRate!W71&gt;=$J$1,0,1)),0)</f>
        <v>0</v>
      </c>
      <c r="AB99">
        <f>IF($D99=1,IF(GDP_per_cap!X71&gt;'all_1961-1990'!$H$1,0,IF(UrbanPopRate!X71&gt;=$J$1,0,1)),0)</f>
        <v>0</v>
      </c>
      <c r="AC99">
        <f>IF($D99=1,IF(GDP_per_cap!Y71&gt;'all_1961-1990'!$H$1,0,IF(UrbanPopRate!Y71&gt;=$J$1,0,1)),0)</f>
        <v>0</v>
      </c>
      <c r="AD99">
        <f>IF($D99=1,IF(GDP_per_cap!Z71&gt;'all_1961-1990'!$H$1,0,IF(UrbanPopRate!Z71&gt;=$J$1,0,1)),0)</f>
        <v>0</v>
      </c>
      <c r="AE99">
        <f>IF($D99=1,IF(GDP_per_cap!AA71&gt;'all_1961-1990'!$H$1,0,IF(UrbanPopRate!AA71&gt;=$J$1,0,1)),0)</f>
        <v>0</v>
      </c>
      <c r="AF99">
        <f>IF($D99=1,IF(GDP_per_cap!AB71&gt;'all_1961-1990'!$H$1,0,IF(UrbanPopRate!AB71&gt;=$J$1,0,1)),0)</f>
        <v>0</v>
      </c>
      <c r="AG99">
        <f>IF($D99=1,IF(GDP_per_cap!AC71&gt;'all_1961-1990'!$H$1,0,IF(UrbanPopRate!AC71&gt;=$J$1,0,1)),0)</f>
        <v>0</v>
      </c>
      <c r="AH99">
        <f>IF($D99=1,IF(GDP_per_cap!AD71&gt;'all_1961-1990'!$H$1,0,IF(UrbanPopRate!AD71&gt;=$J$1,0,1)),0)</f>
        <v>0</v>
      </c>
      <c r="AI99">
        <f>IF($D99=1,IF(GDP_per_cap!AE71&gt;'all_1961-1990'!$H$1,0,IF(UrbanPopRate!AE71&gt;=$J$1,0,1)),0)</f>
        <v>0</v>
      </c>
      <c r="AJ99">
        <f>IF($D99=1,IF(GDP_per_cap!AF71&gt;'all_1961-1990'!$H$1,0,IF(UrbanPopRate!AF71&gt;=$J$1,0,1)),0)</f>
        <v>0</v>
      </c>
      <c r="AK99">
        <f>IF($D99=1,IF(GDP_per_cap!AG71&gt;'all_1961-1990'!$H$1,0,IF(UrbanPopRate!AG71&gt;=$J$1,0,1)),0)</f>
        <v>0</v>
      </c>
      <c r="AL99">
        <f>IF($D99=1,IF(GDP_per_cap!AH71&gt;'all_1961-1990'!$H$1,0,IF(UrbanPopRate!AH71&gt;=$J$1,0,1)),0)</f>
        <v>0</v>
      </c>
      <c r="AM99">
        <f>IF($D99=1,IF(GDP_per_cap!AI71&gt;'all_1961-1990'!$H$1,0,IF(UrbanPopRate!AI71&gt;=$J$1,0,1)),0)</f>
        <v>0</v>
      </c>
      <c r="AN99">
        <f>IF($D99=1,IF(GDP_per_cap!AJ71&gt;'all_1961-1990'!$H$1,0,IF(UrbanPopRate!AJ71&gt;=$J$1,0,1)),0)</f>
        <v>0</v>
      </c>
      <c r="AO99">
        <f>IF($D99=1,IF(GDP_per_cap!AK71&gt;'all_1961-1990'!$H$1,0,IF(UrbanPopRate!AK71&gt;=$J$1,0,1)),0)</f>
        <v>0</v>
      </c>
      <c r="AP99">
        <f>IF($D99=1,IF(GDP_per_cap!AL71&gt;'all_1961-1990'!$H$1,0,IF(UrbanPopRate!AL71&gt;=$J$1,0,1)),0)</f>
        <v>0</v>
      </c>
      <c r="AQ99">
        <f>IF($D99=1,IF(GDP_per_cap!AM71&gt;'all_1961-1990'!$H$1,0,IF(UrbanPopRate!AM71&gt;=$J$1,0,1)),0)</f>
        <v>0</v>
      </c>
      <c r="AR99">
        <f>IF($D99=1,IF(GDP_per_cap!AN71&gt;'all_1961-1990'!$H$1,0,IF(UrbanPopRate!AN71&gt;=$J$1,0,1)),0)</f>
        <v>0</v>
      </c>
      <c r="AS99">
        <f>IF($D99=1,IF(GDP_per_cap!AO71&gt;'all_1961-1990'!$H$1,0,IF(UrbanPopRate!AO71&gt;=$J$1,0,1)),0)</f>
        <v>0</v>
      </c>
      <c r="AT99">
        <f>IF($D99=1,IF(GDP_per_cap!AP71&gt;'all_1961-1990'!$H$1,0,IF(UrbanPopRate!AP71&gt;=$J$1,0,1)),0)</f>
        <v>0</v>
      </c>
      <c r="AU99">
        <f>IF($D99=1,IF(GDP_per_cap!AQ71&gt;'all_1961-1990'!$H$1,0,IF(UrbanPopRate!AQ71&gt;=$J$1,0,1)),0)</f>
        <v>0</v>
      </c>
      <c r="AV99">
        <f>IF($D99=1,IF(GDP_per_cap!AR71&gt;'all_1961-1990'!$H$1,0,IF(UrbanPopRate!AR71&gt;=$J$1,0,1)),0)</f>
        <v>0</v>
      </c>
      <c r="AW99">
        <f>IF($D99=1,IF(GDP_per_cap!AS71&gt;'all_1961-1990'!$H$1,0,IF(UrbanPopRate!AS71&gt;=$J$1,0,1)),0)</f>
        <v>0</v>
      </c>
      <c r="AX99">
        <f>IF($D99=1,IF(GDP_per_cap!AT71&gt;'all_1961-1990'!$H$1,0,IF(UrbanPopRate!AT71&gt;=$J$1,0,1)),0)</f>
        <v>0</v>
      </c>
      <c r="AY99">
        <f>IF($D99=1,IF(GDP_per_cap!AU71&gt;'all_1961-1990'!$H$1,0,IF(UrbanPopRate!AU71&gt;=$J$1,0,1)),0)</f>
        <v>0</v>
      </c>
      <c r="AZ99">
        <f>IF($D99=1,IF(GDP_per_cap!AV71&gt;'all_1961-1990'!$H$1,0,IF(UrbanPopRate!AV71&gt;=$J$1,0,1)),0)</f>
        <v>0</v>
      </c>
      <c r="BA99">
        <f>IF($D99=1,IF(GDP_per_cap!AW71&gt;'all_1961-1990'!$H$1,0,IF(UrbanPopRate!AW71&gt;=$J$1,0,1)),0)</f>
        <v>0</v>
      </c>
      <c r="BB99">
        <f>IF($D99=1,IF(GDP_per_cap!AX71&gt;'all_1961-1990'!$H$1,0,IF(UrbanPopRate!AX71&gt;=$J$1,0,1)),0)</f>
        <v>0</v>
      </c>
      <c r="BC99">
        <f>IF($D99=1,IF(GDP_per_cap!AY71&gt;'all_1961-1990'!$H$1,0,IF(UrbanPopRate!AY71&gt;=$J$1,0,1)),0)</f>
        <v>0</v>
      </c>
      <c r="BD99">
        <f>IF($D99=1,IF(GDP_per_cap!AZ71&gt;'all_1961-1990'!$H$1,0,IF(UrbanPopRate!AZ71&gt;=$J$1,0,1)),0)</f>
        <v>0</v>
      </c>
      <c r="BE99">
        <f>IF($D99=1,IF(GDP_per_cap!BA71&gt;'all_1961-1990'!$H$1,0,IF(UrbanPopRate!BA71&gt;=$J$1,0,1)),0)</f>
        <v>0</v>
      </c>
      <c r="BF99">
        <f>IF($D99=1,IF(GDP_per_cap!BB71&gt;'all_1961-1990'!$H$1,0,IF(UrbanPopRate!BB71&gt;=$J$1,0,1)),0)</f>
        <v>0</v>
      </c>
    </row>
    <row r="100" spans="1:58">
      <c r="A100" s="3">
        <v>50</v>
      </c>
      <c r="B100" s="3" t="s">
        <v>125</v>
      </c>
      <c r="C100" s="2">
        <v>4</v>
      </c>
      <c r="D100" s="35">
        <v>1</v>
      </c>
      <c r="E100" s="2">
        <v>43.829799999999999</v>
      </c>
      <c r="F100" s="36">
        <v>3854.8369659999998</v>
      </c>
      <c r="G100">
        <f>IF($D100=1,IF(GDP_per_cap!C31&gt;'all_1961-1990'!$H$1,0,IF(UrbanPopRate!C31&gt;=$J$1,0,1)),0)</f>
        <v>0</v>
      </c>
      <c r="H100">
        <f>IF($D100=1,IF(GDP_per_cap!D31&gt;'all_1961-1990'!$H$1,0,IF(UrbanPopRate!D31&gt;=$J$1,0,1)),0)</f>
        <v>0</v>
      </c>
      <c r="I100">
        <f>IF($D100=1,IF(GDP_per_cap!E31&gt;'all_1961-1990'!$H$1,0,IF(UrbanPopRate!E31&gt;=$J$1,0,1)),0)</f>
        <v>0</v>
      </c>
      <c r="J100">
        <f>IF($D100=1,IF(GDP_per_cap!F31&gt;'all_1961-1990'!$H$1,0,IF(UrbanPopRate!F31&gt;=$J$1,0,1)),0)</f>
        <v>0</v>
      </c>
      <c r="K100">
        <f>IF($D100=1,IF(GDP_per_cap!G31&gt;'all_1961-1990'!$H$1,0,IF(UrbanPopRate!G31&gt;=$J$1,0,1)),0)</f>
        <v>0</v>
      </c>
      <c r="L100">
        <f>IF($D100=1,IF(GDP_per_cap!H31&gt;'all_1961-1990'!$H$1,0,IF(UrbanPopRate!H31&gt;=$J$1,0,1)),0)</f>
        <v>0</v>
      </c>
      <c r="M100">
        <f>IF($D100=1,IF(GDP_per_cap!I31&gt;'all_1961-1990'!$H$1,0,IF(UrbanPopRate!I31&gt;=$J$1,0,1)),0)</f>
        <v>0</v>
      </c>
      <c r="N100">
        <f>IF($D100=1,IF(GDP_per_cap!J31&gt;'all_1961-1990'!$H$1,0,IF(UrbanPopRate!J31&gt;=$J$1,0,1)),0)</f>
        <v>0</v>
      </c>
      <c r="O100">
        <f>IF($D100=1,IF(GDP_per_cap!K31&gt;'all_1961-1990'!$H$1,0,IF(UrbanPopRate!K31&gt;=$J$1,0,1)),0)</f>
        <v>0</v>
      </c>
      <c r="P100">
        <f>IF($D100=1,IF(GDP_per_cap!L31&gt;'all_1961-1990'!$H$1,0,IF(UrbanPopRate!L31&gt;=$J$1,0,1)),0)</f>
        <v>0</v>
      </c>
      <c r="Q100">
        <f>IF($D100=1,IF(GDP_per_cap!M31&gt;'all_1961-1990'!$H$1,0,IF(UrbanPopRate!M31&gt;=$J$1,0,1)),0)</f>
        <v>0</v>
      </c>
      <c r="R100">
        <f>IF($D100=1,IF(GDP_per_cap!N31&gt;'all_1961-1990'!$H$1,0,IF(UrbanPopRate!N31&gt;=$J$1,0,1)),0)</f>
        <v>0</v>
      </c>
      <c r="S100">
        <f>IF($D100=1,IF(GDP_per_cap!O31&gt;'all_1961-1990'!$H$1,0,IF(UrbanPopRate!O31&gt;=$J$1,0,1)),0)</f>
        <v>0</v>
      </c>
      <c r="T100">
        <f>IF($D100=1,IF(GDP_per_cap!P31&gt;'all_1961-1990'!$H$1,0,IF(UrbanPopRate!P31&gt;=$J$1,0,1)),0)</f>
        <v>0</v>
      </c>
      <c r="U100">
        <f>IF($D100=1,IF(GDP_per_cap!Q31&gt;'all_1961-1990'!$H$1,0,IF(UrbanPopRate!Q31&gt;=$J$1,0,1)),0)</f>
        <v>0</v>
      </c>
      <c r="V100">
        <f>IF($D100=1,IF(GDP_per_cap!R31&gt;'all_1961-1990'!$H$1,0,IF(UrbanPopRate!R31&gt;=$J$1,0,1)),0)</f>
        <v>0</v>
      </c>
      <c r="W100">
        <f>IF($D100=1,IF(GDP_per_cap!S31&gt;'all_1961-1990'!$H$1,0,IF(UrbanPopRate!S31&gt;=$J$1,0,1)),0)</f>
        <v>0</v>
      </c>
      <c r="X100">
        <f>IF($D100=1,IF(GDP_per_cap!T31&gt;'all_1961-1990'!$H$1,0,IF(UrbanPopRate!T31&gt;=$J$1,0,1)),0)</f>
        <v>0</v>
      </c>
      <c r="Y100">
        <f>IF($D100=1,IF(GDP_per_cap!U31&gt;'all_1961-1990'!$H$1,0,IF(UrbanPopRate!U31&gt;=$J$1,0,1)),0)</f>
        <v>0</v>
      </c>
      <c r="Z100">
        <f>IF($D100=1,IF(GDP_per_cap!V31&gt;'all_1961-1990'!$H$1,0,IF(UrbanPopRate!V31&gt;=$J$1,0,1)),0)</f>
        <v>0</v>
      </c>
      <c r="AA100">
        <f>IF($D100=1,IF(GDP_per_cap!W31&gt;'all_1961-1990'!$H$1,0,IF(UrbanPopRate!W31&gt;=$J$1,0,1)),0)</f>
        <v>0</v>
      </c>
      <c r="AB100">
        <f>IF($D100=1,IF(GDP_per_cap!X31&gt;'all_1961-1990'!$H$1,0,IF(UrbanPopRate!X31&gt;=$J$1,0,1)),0)</f>
        <v>0</v>
      </c>
      <c r="AC100">
        <f>IF($D100=1,IF(GDP_per_cap!Y31&gt;'all_1961-1990'!$H$1,0,IF(UrbanPopRate!Y31&gt;=$J$1,0,1)),0)</f>
        <v>0</v>
      </c>
      <c r="AD100">
        <f>IF($D100=1,IF(GDP_per_cap!Z31&gt;'all_1961-1990'!$H$1,0,IF(UrbanPopRate!Z31&gt;=$J$1,0,1)),0)</f>
        <v>0</v>
      </c>
      <c r="AE100">
        <f>IF($D100=1,IF(GDP_per_cap!AA31&gt;'all_1961-1990'!$H$1,0,IF(UrbanPopRate!AA31&gt;=$J$1,0,1)),0)</f>
        <v>0</v>
      </c>
      <c r="AF100">
        <f>IF($D100=1,IF(GDP_per_cap!AB31&gt;'all_1961-1990'!$H$1,0,IF(UrbanPopRate!AB31&gt;=$J$1,0,1)),0)</f>
        <v>0</v>
      </c>
      <c r="AG100">
        <f>IF($D100=1,IF(GDP_per_cap!AC31&gt;'all_1961-1990'!$H$1,0,IF(UrbanPopRate!AC31&gt;=$J$1,0,1)),0)</f>
        <v>0</v>
      </c>
      <c r="AH100">
        <f>IF($D100=1,IF(GDP_per_cap!AD31&gt;'all_1961-1990'!$H$1,0,IF(UrbanPopRate!AD31&gt;=$J$1,0,1)),0)</f>
        <v>0</v>
      </c>
      <c r="AI100">
        <f>IF($D100=1,IF(GDP_per_cap!AE31&gt;'all_1961-1990'!$H$1,0,IF(UrbanPopRate!AE31&gt;=$J$1,0,1)),0)</f>
        <v>0</v>
      </c>
      <c r="AJ100">
        <f>IF($D100=1,IF(GDP_per_cap!AF31&gt;'all_1961-1990'!$H$1,0,IF(UrbanPopRate!AF31&gt;=$J$1,0,1)),0)</f>
        <v>0</v>
      </c>
      <c r="AK100">
        <f>IF($D100=1,IF(GDP_per_cap!AG31&gt;'all_1961-1990'!$H$1,0,IF(UrbanPopRate!AG31&gt;=$J$1,0,1)),0)</f>
        <v>0</v>
      </c>
      <c r="AL100">
        <f>IF($D100=1,IF(GDP_per_cap!AH31&gt;'all_1961-1990'!$H$1,0,IF(UrbanPopRate!AH31&gt;=$J$1,0,1)),0)</f>
        <v>0</v>
      </c>
      <c r="AM100">
        <f>IF($D100=1,IF(GDP_per_cap!AI31&gt;'all_1961-1990'!$H$1,0,IF(UrbanPopRate!AI31&gt;=$J$1,0,1)),0)</f>
        <v>0</v>
      </c>
      <c r="AN100">
        <f>IF($D100=1,IF(GDP_per_cap!AJ31&gt;'all_1961-1990'!$H$1,0,IF(UrbanPopRate!AJ31&gt;=$J$1,0,1)),0)</f>
        <v>0</v>
      </c>
      <c r="AO100">
        <f>IF($D100=1,IF(GDP_per_cap!AK31&gt;'all_1961-1990'!$H$1,0,IF(UrbanPopRate!AK31&gt;=$J$1,0,1)),0)</f>
        <v>0</v>
      </c>
      <c r="AP100">
        <f>IF($D100=1,IF(GDP_per_cap!AL31&gt;'all_1961-1990'!$H$1,0,IF(UrbanPopRate!AL31&gt;=$J$1,0,1)),0)</f>
        <v>0</v>
      </c>
      <c r="AQ100">
        <f>IF($D100=1,IF(GDP_per_cap!AM31&gt;'all_1961-1990'!$H$1,0,IF(UrbanPopRate!AM31&gt;=$J$1,0,1)),0)</f>
        <v>0</v>
      </c>
      <c r="AR100">
        <f>IF($D100=1,IF(GDP_per_cap!AN31&gt;'all_1961-1990'!$H$1,0,IF(UrbanPopRate!AN31&gt;=$J$1,0,1)),0)</f>
        <v>0</v>
      </c>
      <c r="AS100">
        <f>IF($D100=1,IF(GDP_per_cap!AO31&gt;'all_1961-1990'!$H$1,0,IF(UrbanPopRate!AO31&gt;=$J$1,0,1)),0)</f>
        <v>0</v>
      </c>
      <c r="AT100">
        <f>IF($D100=1,IF(GDP_per_cap!AP31&gt;'all_1961-1990'!$H$1,0,IF(UrbanPopRate!AP31&gt;=$J$1,0,1)),0)</f>
        <v>0</v>
      </c>
      <c r="AU100">
        <f>IF($D100=1,IF(GDP_per_cap!AQ31&gt;'all_1961-1990'!$H$1,0,IF(UrbanPopRate!AQ31&gt;=$J$1,0,1)),0)</f>
        <v>0</v>
      </c>
      <c r="AV100">
        <f>IF($D100=1,IF(GDP_per_cap!AR31&gt;'all_1961-1990'!$H$1,0,IF(UrbanPopRate!AR31&gt;=$J$1,0,1)),0)</f>
        <v>0</v>
      </c>
      <c r="AW100">
        <f>IF($D100=1,IF(GDP_per_cap!AS31&gt;'all_1961-1990'!$H$1,0,IF(UrbanPopRate!AS31&gt;=$J$1,0,1)),0)</f>
        <v>0</v>
      </c>
      <c r="AX100">
        <f>IF($D100=1,IF(GDP_per_cap!AT31&gt;'all_1961-1990'!$H$1,0,IF(UrbanPopRate!AT31&gt;=$J$1,0,1)),0)</f>
        <v>0</v>
      </c>
      <c r="AY100">
        <f>IF($D100=1,IF(GDP_per_cap!AU31&gt;'all_1961-1990'!$H$1,0,IF(UrbanPopRate!AU31&gt;=$J$1,0,1)),0)</f>
        <v>0</v>
      </c>
      <c r="AZ100">
        <f>IF($D100=1,IF(GDP_per_cap!AV31&gt;'all_1961-1990'!$H$1,0,IF(UrbanPopRate!AV31&gt;=$J$1,0,1)),0)</f>
        <v>0</v>
      </c>
      <c r="BA100">
        <f>IF($D100=1,IF(GDP_per_cap!AW31&gt;'all_1961-1990'!$H$1,0,IF(UrbanPopRate!AW31&gt;=$J$1,0,1)),0)</f>
        <v>0</v>
      </c>
      <c r="BB100">
        <f>IF($D100=1,IF(GDP_per_cap!AX31&gt;'all_1961-1990'!$H$1,0,IF(UrbanPopRate!AX31&gt;=$J$1,0,1)),0)</f>
        <v>0</v>
      </c>
      <c r="BC100">
        <f>IF($D100=1,IF(GDP_per_cap!AY31&gt;'all_1961-1990'!$H$1,0,IF(UrbanPopRate!AY31&gt;=$J$1,0,1)),0)</f>
        <v>0</v>
      </c>
      <c r="BD100">
        <f>IF($D100=1,IF(GDP_per_cap!AZ31&gt;'all_1961-1990'!$H$1,0,IF(UrbanPopRate!AZ31&gt;=$J$1,0,1)),0)</f>
        <v>0</v>
      </c>
      <c r="BE100">
        <f>IF($D100=1,IF(GDP_per_cap!BA31&gt;'all_1961-1990'!$H$1,0,IF(UrbanPopRate!BA31&gt;=$J$1,0,1)),0)</f>
        <v>0</v>
      </c>
      <c r="BF100">
        <f>IF($D100=1,IF(GDP_per_cap!BB31&gt;'all_1961-1990'!$H$1,0,IF(UrbanPopRate!BB31&gt;=$J$1,0,1)),0)</f>
        <v>0</v>
      </c>
    </row>
    <row r="101" spans="1:58">
      <c r="A101" s="3">
        <v>65</v>
      </c>
      <c r="B101" s="3" t="s">
        <v>113</v>
      </c>
      <c r="C101" s="2">
        <v>4</v>
      </c>
      <c r="D101" s="35">
        <v>1</v>
      </c>
      <c r="E101" s="2">
        <v>42.565466666666666</v>
      </c>
      <c r="F101" s="36">
        <v>3591.4353550000001</v>
      </c>
      <c r="G101">
        <f>IF($D101=1,IF(GDP_per_cap!C43&gt;'all_1961-1990'!$H$1,0,IF(UrbanPopRate!C43&gt;=$J$1,0,1)),0)</f>
        <v>0</v>
      </c>
      <c r="H101">
        <f>IF($D101=1,IF(GDP_per_cap!D43&gt;'all_1961-1990'!$H$1,0,IF(UrbanPopRate!D43&gt;=$J$1,0,1)),0)</f>
        <v>0</v>
      </c>
      <c r="I101">
        <f>IF($D101=1,IF(GDP_per_cap!E43&gt;'all_1961-1990'!$H$1,0,IF(UrbanPopRate!E43&gt;=$J$1,0,1)),0)</f>
        <v>0</v>
      </c>
      <c r="J101">
        <f>IF($D101=1,IF(GDP_per_cap!F43&gt;'all_1961-1990'!$H$1,0,IF(UrbanPopRate!F43&gt;=$J$1,0,1)),0)</f>
        <v>0</v>
      </c>
      <c r="K101">
        <f>IF($D101=1,IF(GDP_per_cap!G43&gt;'all_1961-1990'!$H$1,0,IF(UrbanPopRate!G43&gt;=$J$1,0,1)),0)</f>
        <v>0</v>
      </c>
      <c r="L101">
        <f>IF($D101=1,IF(GDP_per_cap!H43&gt;'all_1961-1990'!$H$1,0,IF(UrbanPopRate!H43&gt;=$J$1,0,1)),0)</f>
        <v>0</v>
      </c>
      <c r="M101">
        <f>IF($D101=1,IF(GDP_per_cap!I43&gt;'all_1961-1990'!$H$1,0,IF(UrbanPopRate!I43&gt;=$J$1,0,1)),0)</f>
        <v>0</v>
      </c>
      <c r="N101">
        <f>IF($D101=1,IF(GDP_per_cap!J43&gt;'all_1961-1990'!$H$1,0,IF(UrbanPopRate!J43&gt;=$J$1,0,1)),0)</f>
        <v>0</v>
      </c>
      <c r="O101">
        <f>IF($D101=1,IF(GDP_per_cap!K43&gt;'all_1961-1990'!$H$1,0,IF(UrbanPopRate!K43&gt;=$J$1,0,1)),0)</f>
        <v>0</v>
      </c>
      <c r="P101">
        <f>IF($D101=1,IF(GDP_per_cap!L43&gt;'all_1961-1990'!$H$1,0,IF(UrbanPopRate!L43&gt;=$J$1,0,1)),0)</f>
        <v>0</v>
      </c>
      <c r="Q101">
        <f>IF($D101=1,IF(GDP_per_cap!M43&gt;'all_1961-1990'!$H$1,0,IF(UrbanPopRate!M43&gt;=$J$1,0,1)),0)</f>
        <v>0</v>
      </c>
      <c r="R101">
        <f>IF($D101=1,IF(GDP_per_cap!N43&gt;'all_1961-1990'!$H$1,0,IF(UrbanPopRate!N43&gt;=$J$1,0,1)),0)</f>
        <v>0</v>
      </c>
      <c r="S101">
        <f>IF($D101=1,IF(GDP_per_cap!O43&gt;'all_1961-1990'!$H$1,0,IF(UrbanPopRate!O43&gt;=$J$1,0,1)),0)</f>
        <v>0</v>
      </c>
      <c r="T101">
        <f>IF($D101=1,IF(GDP_per_cap!P43&gt;'all_1961-1990'!$H$1,0,IF(UrbanPopRate!P43&gt;=$J$1,0,1)),0)</f>
        <v>0</v>
      </c>
      <c r="U101">
        <f>IF($D101=1,IF(GDP_per_cap!Q43&gt;'all_1961-1990'!$H$1,0,IF(UrbanPopRate!Q43&gt;=$J$1,0,1)),0)</f>
        <v>0</v>
      </c>
      <c r="V101">
        <f>IF($D101=1,IF(GDP_per_cap!R43&gt;'all_1961-1990'!$H$1,0,IF(UrbanPopRate!R43&gt;=$J$1,0,1)),0)</f>
        <v>0</v>
      </c>
      <c r="W101">
        <f>IF($D101=1,IF(GDP_per_cap!S43&gt;'all_1961-1990'!$H$1,0,IF(UrbanPopRate!S43&gt;=$J$1,0,1)),0)</f>
        <v>0</v>
      </c>
      <c r="X101">
        <f>IF($D101=1,IF(GDP_per_cap!T43&gt;'all_1961-1990'!$H$1,0,IF(UrbanPopRate!T43&gt;=$J$1,0,1)),0)</f>
        <v>0</v>
      </c>
      <c r="Y101">
        <f>IF($D101=1,IF(GDP_per_cap!U43&gt;'all_1961-1990'!$H$1,0,IF(UrbanPopRate!U43&gt;=$J$1,0,1)),0)</f>
        <v>0</v>
      </c>
      <c r="Z101">
        <f>IF($D101=1,IF(GDP_per_cap!V43&gt;'all_1961-1990'!$H$1,0,IF(UrbanPopRate!V43&gt;=$J$1,0,1)),0)</f>
        <v>0</v>
      </c>
      <c r="AA101">
        <f>IF($D101=1,IF(GDP_per_cap!W43&gt;'all_1961-1990'!$H$1,0,IF(UrbanPopRate!W43&gt;=$J$1,0,1)),0)</f>
        <v>0</v>
      </c>
      <c r="AB101">
        <f>IF($D101=1,IF(GDP_per_cap!X43&gt;'all_1961-1990'!$H$1,0,IF(UrbanPopRate!X43&gt;=$J$1,0,1)),0)</f>
        <v>0</v>
      </c>
      <c r="AC101">
        <f>IF($D101=1,IF(GDP_per_cap!Y43&gt;'all_1961-1990'!$H$1,0,IF(UrbanPopRate!Y43&gt;=$J$1,0,1)),0)</f>
        <v>0</v>
      </c>
      <c r="AD101">
        <f>IF($D101=1,IF(GDP_per_cap!Z43&gt;'all_1961-1990'!$H$1,0,IF(UrbanPopRate!Z43&gt;=$J$1,0,1)),0)</f>
        <v>0</v>
      </c>
      <c r="AE101">
        <f>IF($D101=1,IF(GDP_per_cap!AA43&gt;'all_1961-1990'!$H$1,0,IF(UrbanPopRate!AA43&gt;=$J$1,0,1)),0)</f>
        <v>0</v>
      </c>
      <c r="AF101">
        <f>IF($D101=1,IF(GDP_per_cap!AB43&gt;'all_1961-1990'!$H$1,0,IF(UrbanPopRate!AB43&gt;=$J$1,0,1)),0)</f>
        <v>0</v>
      </c>
      <c r="AG101">
        <f>IF($D101=1,IF(GDP_per_cap!AC43&gt;'all_1961-1990'!$H$1,0,IF(UrbanPopRate!AC43&gt;=$J$1,0,1)),0)</f>
        <v>0</v>
      </c>
      <c r="AH101">
        <f>IF($D101=1,IF(GDP_per_cap!AD43&gt;'all_1961-1990'!$H$1,0,IF(UrbanPopRate!AD43&gt;=$J$1,0,1)),0)</f>
        <v>0</v>
      </c>
      <c r="AI101">
        <f>IF($D101=1,IF(GDP_per_cap!AE43&gt;'all_1961-1990'!$H$1,0,IF(UrbanPopRate!AE43&gt;=$J$1,0,1)),0)</f>
        <v>0</v>
      </c>
      <c r="AJ101">
        <f>IF($D101=1,IF(GDP_per_cap!AF43&gt;'all_1961-1990'!$H$1,0,IF(UrbanPopRate!AF43&gt;=$J$1,0,1)),0)</f>
        <v>0</v>
      </c>
      <c r="AK101">
        <f>IF($D101=1,IF(GDP_per_cap!AG43&gt;'all_1961-1990'!$H$1,0,IF(UrbanPopRate!AG43&gt;=$J$1,0,1)),0)</f>
        <v>0</v>
      </c>
      <c r="AL101">
        <f>IF($D101=1,IF(GDP_per_cap!AH43&gt;'all_1961-1990'!$H$1,0,IF(UrbanPopRate!AH43&gt;=$J$1,0,1)),0)</f>
        <v>0</v>
      </c>
      <c r="AM101">
        <f>IF($D101=1,IF(GDP_per_cap!AI43&gt;'all_1961-1990'!$H$1,0,IF(UrbanPopRate!AI43&gt;=$J$1,0,1)),0)</f>
        <v>0</v>
      </c>
      <c r="AN101">
        <f>IF($D101=1,IF(GDP_per_cap!AJ43&gt;'all_1961-1990'!$H$1,0,IF(UrbanPopRate!AJ43&gt;=$J$1,0,1)),0)</f>
        <v>0</v>
      </c>
      <c r="AO101">
        <f>IF($D101=1,IF(GDP_per_cap!AK43&gt;'all_1961-1990'!$H$1,0,IF(UrbanPopRate!AK43&gt;=$J$1,0,1)),0)</f>
        <v>0</v>
      </c>
      <c r="AP101">
        <f>IF($D101=1,IF(GDP_per_cap!AL43&gt;'all_1961-1990'!$H$1,0,IF(UrbanPopRate!AL43&gt;=$J$1,0,1)),0)</f>
        <v>0</v>
      </c>
      <c r="AQ101">
        <f>IF($D101=1,IF(GDP_per_cap!AM43&gt;'all_1961-1990'!$H$1,0,IF(UrbanPopRate!AM43&gt;=$J$1,0,1)),0)</f>
        <v>0</v>
      </c>
      <c r="AR101">
        <f>IF($D101=1,IF(GDP_per_cap!AN43&gt;'all_1961-1990'!$H$1,0,IF(UrbanPopRate!AN43&gt;=$J$1,0,1)),0)</f>
        <v>0</v>
      </c>
      <c r="AS101">
        <f>IF($D101=1,IF(GDP_per_cap!AO43&gt;'all_1961-1990'!$H$1,0,IF(UrbanPopRate!AO43&gt;=$J$1,0,1)),0)</f>
        <v>0</v>
      </c>
      <c r="AT101">
        <f>IF($D101=1,IF(GDP_per_cap!AP43&gt;'all_1961-1990'!$H$1,0,IF(UrbanPopRate!AP43&gt;=$J$1,0,1)),0)</f>
        <v>0</v>
      </c>
      <c r="AU101">
        <f>IF($D101=1,IF(GDP_per_cap!AQ43&gt;'all_1961-1990'!$H$1,0,IF(UrbanPopRate!AQ43&gt;=$J$1,0,1)),0)</f>
        <v>0</v>
      </c>
      <c r="AV101">
        <f>IF($D101=1,IF(GDP_per_cap!AR43&gt;'all_1961-1990'!$H$1,0,IF(UrbanPopRate!AR43&gt;=$J$1,0,1)),0)</f>
        <v>0</v>
      </c>
      <c r="AW101">
        <f>IF($D101=1,IF(GDP_per_cap!AS43&gt;'all_1961-1990'!$H$1,0,IF(UrbanPopRate!AS43&gt;=$J$1,0,1)),0)</f>
        <v>0</v>
      </c>
      <c r="AX101">
        <f>IF($D101=1,IF(GDP_per_cap!AT43&gt;'all_1961-1990'!$H$1,0,IF(UrbanPopRate!AT43&gt;=$J$1,0,1)),0)</f>
        <v>0</v>
      </c>
      <c r="AY101">
        <f>IF($D101=1,IF(GDP_per_cap!AU43&gt;'all_1961-1990'!$H$1,0,IF(UrbanPopRate!AU43&gt;=$J$1,0,1)),0)</f>
        <v>0</v>
      </c>
      <c r="AZ101">
        <f>IF($D101=1,IF(GDP_per_cap!AV43&gt;'all_1961-1990'!$H$1,0,IF(UrbanPopRate!AV43&gt;=$J$1,0,1)),0)</f>
        <v>0</v>
      </c>
      <c r="BA101">
        <f>IF($D101=1,IF(GDP_per_cap!AW43&gt;'all_1961-1990'!$H$1,0,IF(UrbanPopRate!AW43&gt;=$J$1,0,1)),0)</f>
        <v>0</v>
      </c>
      <c r="BB101">
        <f>IF($D101=1,IF(GDP_per_cap!AX43&gt;'all_1961-1990'!$H$1,0,IF(UrbanPopRate!AX43&gt;=$J$1,0,1)),0)</f>
        <v>0</v>
      </c>
      <c r="BC101">
        <f>IF($D101=1,IF(GDP_per_cap!AY43&gt;'all_1961-1990'!$H$1,0,IF(UrbanPopRate!AY43&gt;=$J$1,0,1)),0)</f>
        <v>0</v>
      </c>
      <c r="BD101">
        <f>IF($D101=1,IF(GDP_per_cap!AZ43&gt;'all_1961-1990'!$H$1,0,IF(UrbanPopRate!AZ43&gt;=$J$1,0,1)),0)</f>
        <v>0</v>
      </c>
      <c r="BE101">
        <f>IF($D101=1,IF(GDP_per_cap!BA43&gt;'all_1961-1990'!$H$1,0,IF(UrbanPopRate!BA43&gt;=$J$1,0,1)),0)</f>
        <v>0</v>
      </c>
      <c r="BF101">
        <f>IF($D101=1,IF(GDP_per_cap!BB43&gt;'all_1961-1990'!$H$1,0,IF(UrbanPopRate!BB43&gt;=$J$1,0,1)),0)</f>
        <v>0</v>
      </c>
    </row>
    <row r="102" spans="1:58">
      <c r="A102" s="3">
        <v>211</v>
      </c>
      <c r="B102" s="3" t="s">
        <v>21</v>
      </c>
      <c r="C102" s="2">
        <v>4</v>
      </c>
      <c r="D102" s="35">
        <v>1</v>
      </c>
      <c r="E102" s="2">
        <v>44.512133333333331</v>
      </c>
      <c r="F102" s="36">
        <v>3158.4667899999999</v>
      </c>
      <c r="G102">
        <f>IF($D102=1,IF(GDP_per_cap!C135&gt;'all_1961-1990'!$H$1,0,IF(UrbanPopRate!C135&gt;=$J$1,0,1)),0)</f>
        <v>0</v>
      </c>
      <c r="H102">
        <f>IF($D102=1,IF(GDP_per_cap!D135&gt;'all_1961-1990'!$H$1,0,IF(UrbanPopRate!D135&gt;=$J$1,0,1)),0)</f>
        <v>0</v>
      </c>
      <c r="I102">
        <f>IF($D102=1,IF(GDP_per_cap!E135&gt;'all_1961-1990'!$H$1,0,IF(UrbanPopRate!E135&gt;=$J$1,0,1)),0)</f>
        <v>0</v>
      </c>
      <c r="J102">
        <f>IF($D102=1,IF(GDP_per_cap!F135&gt;'all_1961-1990'!$H$1,0,IF(UrbanPopRate!F135&gt;=$J$1,0,1)),0)</f>
        <v>0</v>
      </c>
      <c r="K102">
        <f>IF($D102=1,IF(GDP_per_cap!G135&gt;'all_1961-1990'!$H$1,0,IF(UrbanPopRate!G135&gt;=$J$1,0,1)),0)</f>
        <v>0</v>
      </c>
      <c r="L102">
        <f>IF($D102=1,IF(GDP_per_cap!H135&gt;'all_1961-1990'!$H$1,0,IF(UrbanPopRate!H135&gt;=$J$1,0,1)),0)</f>
        <v>0</v>
      </c>
      <c r="M102">
        <f>IF($D102=1,IF(GDP_per_cap!I135&gt;'all_1961-1990'!$H$1,0,IF(UrbanPopRate!I135&gt;=$J$1,0,1)),0)</f>
        <v>0</v>
      </c>
      <c r="N102">
        <f>IF($D102=1,IF(GDP_per_cap!J135&gt;'all_1961-1990'!$H$1,0,IF(UrbanPopRate!J135&gt;=$J$1,0,1)),0)</f>
        <v>0</v>
      </c>
      <c r="O102">
        <f>IF($D102=1,IF(GDP_per_cap!K135&gt;'all_1961-1990'!$H$1,0,IF(UrbanPopRate!K135&gt;=$J$1,0,1)),0)</f>
        <v>0</v>
      </c>
      <c r="P102">
        <f>IF($D102=1,IF(GDP_per_cap!L135&gt;'all_1961-1990'!$H$1,0,IF(UrbanPopRate!L135&gt;=$J$1,0,1)),0)</f>
        <v>0</v>
      </c>
      <c r="Q102">
        <f>IF($D102=1,IF(GDP_per_cap!M135&gt;'all_1961-1990'!$H$1,0,IF(UrbanPopRate!M135&gt;=$J$1,0,1)),0)</f>
        <v>0</v>
      </c>
      <c r="R102">
        <f>IF($D102=1,IF(GDP_per_cap!N135&gt;'all_1961-1990'!$H$1,0,IF(UrbanPopRate!N135&gt;=$J$1,0,1)),0)</f>
        <v>0</v>
      </c>
      <c r="S102">
        <f>IF($D102=1,IF(GDP_per_cap!O135&gt;'all_1961-1990'!$H$1,0,IF(UrbanPopRate!O135&gt;=$J$1,0,1)),0)</f>
        <v>0</v>
      </c>
      <c r="T102">
        <f>IF($D102=1,IF(GDP_per_cap!P135&gt;'all_1961-1990'!$H$1,0,IF(UrbanPopRate!P135&gt;=$J$1,0,1)),0)</f>
        <v>0</v>
      </c>
      <c r="U102">
        <f>IF($D102=1,IF(GDP_per_cap!Q135&gt;'all_1961-1990'!$H$1,0,IF(UrbanPopRate!Q135&gt;=$J$1,0,1)),0)</f>
        <v>0</v>
      </c>
      <c r="V102">
        <f>IF($D102=1,IF(GDP_per_cap!R135&gt;'all_1961-1990'!$H$1,0,IF(UrbanPopRate!R135&gt;=$J$1,0,1)),0)</f>
        <v>0</v>
      </c>
      <c r="W102">
        <f>IF($D102=1,IF(GDP_per_cap!S135&gt;'all_1961-1990'!$H$1,0,IF(UrbanPopRate!S135&gt;=$J$1,0,1)),0)</f>
        <v>0</v>
      </c>
      <c r="X102">
        <f>IF($D102=1,IF(GDP_per_cap!T135&gt;'all_1961-1990'!$H$1,0,IF(UrbanPopRate!T135&gt;=$J$1,0,1)),0)</f>
        <v>0</v>
      </c>
      <c r="Y102">
        <f>IF($D102=1,IF(GDP_per_cap!U135&gt;'all_1961-1990'!$H$1,0,IF(UrbanPopRate!U135&gt;=$J$1,0,1)),0)</f>
        <v>0</v>
      </c>
      <c r="Z102">
        <f>IF($D102=1,IF(GDP_per_cap!V135&gt;'all_1961-1990'!$H$1,0,IF(UrbanPopRate!V135&gt;=$J$1,0,1)),0)</f>
        <v>0</v>
      </c>
      <c r="AA102">
        <f>IF($D102=1,IF(GDP_per_cap!W135&gt;'all_1961-1990'!$H$1,0,IF(UrbanPopRate!W135&gt;=$J$1,0,1)),0)</f>
        <v>0</v>
      </c>
      <c r="AB102">
        <f>IF($D102=1,IF(GDP_per_cap!X135&gt;'all_1961-1990'!$H$1,0,IF(UrbanPopRate!X135&gt;=$J$1,0,1)),0)</f>
        <v>0</v>
      </c>
      <c r="AC102">
        <f>IF($D102=1,IF(GDP_per_cap!Y135&gt;'all_1961-1990'!$H$1,0,IF(UrbanPopRate!Y135&gt;=$J$1,0,1)),0)</f>
        <v>0</v>
      </c>
      <c r="AD102">
        <f>IF($D102=1,IF(GDP_per_cap!Z135&gt;'all_1961-1990'!$H$1,0,IF(UrbanPopRate!Z135&gt;=$J$1,0,1)),0)</f>
        <v>0</v>
      </c>
      <c r="AE102">
        <f>IF($D102=1,IF(GDP_per_cap!AA135&gt;'all_1961-1990'!$H$1,0,IF(UrbanPopRate!AA135&gt;=$J$1,0,1)),0)</f>
        <v>0</v>
      </c>
      <c r="AF102">
        <f>IF($D102=1,IF(GDP_per_cap!AB135&gt;'all_1961-1990'!$H$1,0,IF(UrbanPopRate!AB135&gt;=$J$1,0,1)),0)</f>
        <v>0</v>
      </c>
      <c r="AG102">
        <f>IF($D102=1,IF(GDP_per_cap!AC135&gt;'all_1961-1990'!$H$1,0,IF(UrbanPopRate!AC135&gt;=$J$1,0,1)),0)</f>
        <v>0</v>
      </c>
      <c r="AH102">
        <f>IF($D102=1,IF(GDP_per_cap!AD135&gt;'all_1961-1990'!$H$1,0,IF(UrbanPopRate!AD135&gt;=$J$1,0,1)),0)</f>
        <v>0</v>
      </c>
      <c r="AI102">
        <f>IF($D102=1,IF(GDP_per_cap!AE135&gt;'all_1961-1990'!$H$1,0,IF(UrbanPopRate!AE135&gt;=$J$1,0,1)),0)</f>
        <v>0</v>
      </c>
      <c r="AJ102">
        <f>IF($D102=1,IF(GDP_per_cap!AF135&gt;'all_1961-1990'!$H$1,0,IF(UrbanPopRate!AF135&gt;=$J$1,0,1)),0)</f>
        <v>0</v>
      </c>
      <c r="AK102">
        <f>IF($D102=1,IF(GDP_per_cap!AG135&gt;'all_1961-1990'!$H$1,0,IF(UrbanPopRate!AG135&gt;=$J$1,0,1)),0)</f>
        <v>0</v>
      </c>
      <c r="AL102">
        <f>IF($D102=1,IF(GDP_per_cap!AH135&gt;'all_1961-1990'!$H$1,0,IF(UrbanPopRate!AH135&gt;=$J$1,0,1)),0)</f>
        <v>0</v>
      </c>
      <c r="AM102">
        <f>IF($D102=1,IF(GDP_per_cap!AI135&gt;'all_1961-1990'!$H$1,0,IF(UrbanPopRate!AI135&gt;=$J$1,0,1)),0)</f>
        <v>0</v>
      </c>
      <c r="AN102">
        <f>IF($D102=1,IF(GDP_per_cap!AJ135&gt;'all_1961-1990'!$H$1,0,IF(UrbanPopRate!AJ135&gt;=$J$1,0,1)),0)</f>
        <v>0</v>
      </c>
      <c r="AO102">
        <f>IF($D102=1,IF(GDP_per_cap!AK135&gt;'all_1961-1990'!$H$1,0,IF(UrbanPopRate!AK135&gt;=$J$1,0,1)),0)</f>
        <v>0</v>
      </c>
      <c r="AP102">
        <f>IF($D102=1,IF(GDP_per_cap!AL135&gt;'all_1961-1990'!$H$1,0,IF(UrbanPopRate!AL135&gt;=$J$1,0,1)),0)</f>
        <v>0</v>
      </c>
      <c r="AQ102">
        <f>IF($D102=1,IF(GDP_per_cap!AM135&gt;'all_1961-1990'!$H$1,0,IF(UrbanPopRate!AM135&gt;=$J$1,0,1)),0)</f>
        <v>0</v>
      </c>
      <c r="AR102">
        <f>IF($D102=1,IF(GDP_per_cap!AN135&gt;'all_1961-1990'!$H$1,0,IF(UrbanPopRate!AN135&gt;=$J$1,0,1)),0)</f>
        <v>0</v>
      </c>
      <c r="AS102">
        <f>IF($D102=1,IF(GDP_per_cap!AO135&gt;'all_1961-1990'!$H$1,0,IF(UrbanPopRate!AO135&gt;=$J$1,0,1)),0)</f>
        <v>0</v>
      </c>
      <c r="AT102">
        <f>IF($D102=1,IF(GDP_per_cap!AP135&gt;'all_1961-1990'!$H$1,0,IF(UrbanPopRate!AP135&gt;=$J$1,0,1)),0)</f>
        <v>0</v>
      </c>
      <c r="AU102">
        <f>IF($D102=1,IF(GDP_per_cap!AQ135&gt;'all_1961-1990'!$H$1,0,IF(UrbanPopRate!AQ135&gt;=$J$1,0,1)),0)</f>
        <v>0</v>
      </c>
      <c r="AV102">
        <f>IF($D102=1,IF(GDP_per_cap!AR135&gt;'all_1961-1990'!$H$1,0,IF(UrbanPopRate!AR135&gt;=$J$1,0,1)),0)</f>
        <v>0</v>
      </c>
      <c r="AW102">
        <f>IF($D102=1,IF(GDP_per_cap!AS135&gt;'all_1961-1990'!$H$1,0,IF(UrbanPopRate!AS135&gt;=$J$1,0,1)),0)</f>
        <v>0</v>
      </c>
      <c r="AX102">
        <f>IF($D102=1,IF(GDP_per_cap!AT135&gt;'all_1961-1990'!$H$1,0,IF(UrbanPopRate!AT135&gt;=$J$1,0,1)),0)</f>
        <v>0</v>
      </c>
      <c r="AY102">
        <f>IF($D102=1,IF(GDP_per_cap!AU135&gt;'all_1961-1990'!$H$1,0,IF(UrbanPopRate!AU135&gt;=$J$1,0,1)),0)</f>
        <v>0</v>
      </c>
      <c r="AZ102">
        <f>IF($D102=1,IF(GDP_per_cap!AV135&gt;'all_1961-1990'!$H$1,0,IF(UrbanPopRate!AV135&gt;=$J$1,0,1)),0)</f>
        <v>0</v>
      </c>
      <c r="BA102">
        <f>IF($D102=1,IF(GDP_per_cap!AW135&gt;'all_1961-1990'!$H$1,0,IF(UrbanPopRate!AW135&gt;=$J$1,0,1)),0)</f>
        <v>0</v>
      </c>
      <c r="BB102">
        <f>IF($D102=1,IF(GDP_per_cap!AX135&gt;'all_1961-1990'!$H$1,0,IF(UrbanPopRate!AX135&gt;=$J$1,0,1)),0)</f>
        <v>0</v>
      </c>
      <c r="BC102">
        <f>IF($D102=1,IF(GDP_per_cap!AY135&gt;'all_1961-1990'!$H$1,0,IF(UrbanPopRate!AY135&gt;=$J$1,0,1)),0)</f>
        <v>0</v>
      </c>
      <c r="BD102">
        <f>IF($D102=1,IF(GDP_per_cap!AZ135&gt;'all_1961-1990'!$H$1,0,IF(UrbanPopRate!AZ135&gt;=$J$1,0,1)),0)</f>
        <v>0</v>
      </c>
      <c r="BE102">
        <f>IF($D102=1,IF(GDP_per_cap!BA135&gt;'all_1961-1990'!$H$1,0,IF(UrbanPopRate!BA135&gt;=$J$1,0,1)),0)</f>
        <v>0</v>
      </c>
      <c r="BF102">
        <f>IF($D102=1,IF(GDP_per_cap!BB135&gt;'all_1961-1990'!$H$1,0,IF(UrbanPopRate!BB135&gt;=$J$1,0,1)),0)</f>
        <v>0</v>
      </c>
    </row>
    <row r="103" spans="1:58">
      <c r="A103" s="3">
        <v>208</v>
      </c>
      <c r="B103" s="3" t="s">
        <v>24</v>
      </c>
      <c r="C103" s="2">
        <v>4</v>
      </c>
      <c r="D103" s="35">
        <v>1</v>
      </c>
      <c r="E103" s="2">
        <v>14.193833333333336</v>
      </c>
      <c r="F103" s="36">
        <v>2866.6203620000001</v>
      </c>
      <c r="G103">
        <f>IF($D103=1,IF(GDP_per_cap!C132&gt;'all_1961-1990'!$H$1,0,IF(UrbanPopRate!C132&gt;=$J$1,0,1)),0)</f>
        <v>1</v>
      </c>
      <c r="H103">
        <f>IF($D103=1,IF(GDP_per_cap!D132&gt;'all_1961-1990'!$H$1,0,IF(UrbanPopRate!D132&gt;=$J$1,0,1)),0)</f>
        <v>1</v>
      </c>
      <c r="I103">
        <f>IF($D103=1,IF(GDP_per_cap!E132&gt;'all_1961-1990'!$H$1,0,IF(UrbanPopRate!E132&gt;=$J$1,0,1)),0)</f>
        <v>1</v>
      </c>
      <c r="J103">
        <f>IF($D103=1,IF(GDP_per_cap!F132&gt;'all_1961-1990'!$H$1,0,IF(UrbanPopRate!F132&gt;=$J$1,0,1)),0)</f>
        <v>1</v>
      </c>
      <c r="K103">
        <f>IF($D103=1,IF(GDP_per_cap!G132&gt;'all_1961-1990'!$H$1,0,IF(UrbanPopRate!G132&gt;=$J$1,0,1)),0)</f>
        <v>1</v>
      </c>
      <c r="L103">
        <f>IF($D103=1,IF(GDP_per_cap!H132&gt;'all_1961-1990'!$H$1,0,IF(UrbanPopRate!H132&gt;=$J$1,0,1)),0)</f>
        <v>1</v>
      </c>
      <c r="M103">
        <f>IF($D103=1,IF(GDP_per_cap!I132&gt;'all_1961-1990'!$H$1,0,IF(UrbanPopRate!I132&gt;=$J$1,0,1)),0)</f>
        <v>1</v>
      </c>
      <c r="N103">
        <f>IF($D103=1,IF(GDP_per_cap!J132&gt;'all_1961-1990'!$H$1,0,IF(UrbanPopRate!J132&gt;=$J$1,0,1)),0)</f>
        <v>1</v>
      </c>
      <c r="O103">
        <f>IF($D103=1,IF(GDP_per_cap!K132&gt;'all_1961-1990'!$H$1,0,IF(UrbanPopRate!K132&gt;=$J$1,0,1)),0)</f>
        <v>1</v>
      </c>
      <c r="P103">
        <f>IF($D103=1,IF(GDP_per_cap!L132&gt;'all_1961-1990'!$H$1,0,IF(UrbanPopRate!L132&gt;=$J$1,0,1)),0)</f>
        <v>1</v>
      </c>
      <c r="Q103">
        <f>IF($D103=1,IF(GDP_per_cap!M132&gt;'all_1961-1990'!$H$1,0,IF(UrbanPopRate!M132&gt;=$J$1,0,1)),0)</f>
        <v>1</v>
      </c>
      <c r="R103">
        <f>IF($D103=1,IF(GDP_per_cap!N132&gt;'all_1961-1990'!$H$1,0,IF(UrbanPopRate!N132&gt;=$J$1,0,1)),0)</f>
        <v>1</v>
      </c>
      <c r="S103">
        <f>IF($D103=1,IF(GDP_per_cap!O132&gt;'all_1961-1990'!$H$1,0,IF(UrbanPopRate!O132&gt;=$J$1,0,1)),0)</f>
        <v>1</v>
      </c>
      <c r="T103">
        <f>IF($D103=1,IF(GDP_per_cap!P132&gt;'all_1961-1990'!$H$1,0,IF(UrbanPopRate!P132&gt;=$J$1,0,1)),0)</f>
        <v>1</v>
      </c>
      <c r="U103">
        <f>IF($D103=1,IF(GDP_per_cap!Q132&gt;'all_1961-1990'!$H$1,0,IF(UrbanPopRate!Q132&gt;=$J$1,0,1)),0)</f>
        <v>1</v>
      </c>
      <c r="V103">
        <f>IF($D103=1,IF(GDP_per_cap!R132&gt;'all_1961-1990'!$H$1,0,IF(UrbanPopRate!R132&gt;=$J$1,0,1)),0)</f>
        <v>1</v>
      </c>
      <c r="W103">
        <f>IF($D103=1,IF(GDP_per_cap!S132&gt;'all_1961-1990'!$H$1,0,IF(UrbanPopRate!S132&gt;=$J$1,0,1)),0)</f>
        <v>1</v>
      </c>
      <c r="X103">
        <f>IF($D103=1,IF(GDP_per_cap!T132&gt;'all_1961-1990'!$H$1,0,IF(UrbanPopRate!T132&gt;=$J$1,0,1)),0)</f>
        <v>1</v>
      </c>
      <c r="Y103">
        <f>IF($D103=1,IF(GDP_per_cap!U132&gt;'all_1961-1990'!$H$1,0,IF(UrbanPopRate!U132&gt;=$J$1,0,1)),0)</f>
        <v>1</v>
      </c>
      <c r="Z103">
        <f>IF($D103=1,IF(GDP_per_cap!V132&gt;'all_1961-1990'!$H$1,0,IF(UrbanPopRate!V132&gt;=$J$1,0,1)),0)</f>
        <v>1</v>
      </c>
      <c r="AA103">
        <f>IF($D103=1,IF(GDP_per_cap!W132&gt;'all_1961-1990'!$H$1,0,IF(UrbanPopRate!W132&gt;=$J$1,0,1)),0)</f>
        <v>1</v>
      </c>
      <c r="AB103">
        <f>IF($D103=1,IF(GDP_per_cap!X132&gt;'all_1961-1990'!$H$1,0,IF(UrbanPopRate!X132&gt;=$J$1,0,1)),0)</f>
        <v>1</v>
      </c>
      <c r="AC103">
        <f>IF($D103=1,IF(GDP_per_cap!Y132&gt;'all_1961-1990'!$H$1,0,IF(UrbanPopRate!Y132&gt;=$J$1,0,1)),0)</f>
        <v>1</v>
      </c>
      <c r="AD103">
        <f>IF($D103=1,IF(GDP_per_cap!Z132&gt;'all_1961-1990'!$H$1,0,IF(UrbanPopRate!Z132&gt;=$J$1,0,1)),0)</f>
        <v>1</v>
      </c>
      <c r="AE103">
        <f>IF($D103=1,IF(GDP_per_cap!AA132&gt;'all_1961-1990'!$H$1,0,IF(UrbanPopRate!AA132&gt;=$J$1,0,1)),0)</f>
        <v>1</v>
      </c>
      <c r="AF103">
        <f>IF($D103=1,IF(GDP_per_cap!AB132&gt;'all_1961-1990'!$H$1,0,IF(UrbanPopRate!AB132&gt;=$J$1,0,1)),0)</f>
        <v>1</v>
      </c>
      <c r="AG103">
        <f>IF($D103=1,IF(GDP_per_cap!AC132&gt;'all_1961-1990'!$H$1,0,IF(UrbanPopRate!AC132&gt;=$J$1,0,1)),0)</f>
        <v>1</v>
      </c>
      <c r="AH103">
        <f>IF($D103=1,IF(GDP_per_cap!AD132&gt;'all_1961-1990'!$H$1,0,IF(UrbanPopRate!AD132&gt;=$J$1,0,1)),0)</f>
        <v>1</v>
      </c>
      <c r="AI103">
        <f>IF($D103=1,IF(GDP_per_cap!AE132&gt;'all_1961-1990'!$H$1,0,IF(UrbanPopRate!AE132&gt;=$J$1,0,1)),0)</f>
        <v>1</v>
      </c>
      <c r="AJ103">
        <f>IF($D103=1,IF(GDP_per_cap!AF132&gt;'all_1961-1990'!$H$1,0,IF(UrbanPopRate!AF132&gt;=$J$1,0,1)),0)</f>
        <v>1</v>
      </c>
      <c r="AK103">
        <f>IF($D103=1,IF(GDP_per_cap!AG132&gt;'all_1961-1990'!$H$1,0,IF(UrbanPopRate!AG132&gt;=$J$1,0,1)),0)</f>
        <v>1</v>
      </c>
      <c r="AL103">
        <f>IF($D103=1,IF(GDP_per_cap!AH132&gt;'all_1961-1990'!$H$1,0,IF(UrbanPopRate!AH132&gt;=$J$1,0,1)),0)</f>
        <v>1</v>
      </c>
      <c r="AM103">
        <f>IF($D103=1,IF(GDP_per_cap!AI132&gt;'all_1961-1990'!$H$1,0,IF(UrbanPopRate!AI132&gt;=$J$1,0,1)),0)</f>
        <v>1</v>
      </c>
      <c r="AN103">
        <f>IF($D103=1,IF(GDP_per_cap!AJ132&gt;'all_1961-1990'!$H$1,0,IF(UrbanPopRate!AJ132&gt;=$J$1,0,1)),0)</f>
        <v>1</v>
      </c>
      <c r="AO103">
        <f>IF($D103=1,IF(GDP_per_cap!AK132&gt;'all_1961-1990'!$H$1,0,IF(UrbanPopRate!AK132&gt;=$J$1,0,1)),0)</f>
        <v>1</v>
      </c>
      <c r="AP103">
        <f>IF($D103=1,IF(GDP_per_cap!AL132&gt;'all_1961-1990'!$H$1,0,IF(UrbanPopRate!AL132&gt;=$J$1,0,1)),0)</f>
        <v>1</v>
      </c>
      <c r="AQ103">
        <f>IF($D103=1,IF(GDP_per_cap!AM132&gt;'all_1961-1990'!$H$1,0,IF(UrbanPopRate!AM132&gt;=$J$1,0,1)),0)</f>
        <v>1</v>
      </c>
      <c r="AR103">
        <f>IF($D103=1,IF(GDP_per_cap!AN132&gt;'all_1961-1990'!$H$1,0,IF(UrbanPopRate!AN132&gt;=$J$1,0,1)),0)</f>
        <v>1</v>
      </c>
      <c r="AS103">
        <f>IF($D103=1,IF(GDP_per_cap!AO132&gt;'all_1961-1990'!$H$1,0,IF(UrbanPopRate!AO132&gt;=$J$1,0,1)),0)</f>
        <v>1</v>
      </c>
      <c r="AT103">
        <f>IF($D103=1,IF(GDP_per_cap!AP132&gt;'all_1961-1990'!$H$1,0,IF(UrbanPopRate!AP132&gt;=$J$1,0,1)),0)</f>
        <v>1</v>
      </c>
      <c r="AU103">
        <f>IF($D103=1,IF(GDP_per_cap!AQ132&gt;'all_1961-1990'!$H$1,0,IF(UrbanPopRate!AQ132&gt;=$J$1,0,1)),0)</f>
        <v>1</v>
      </c>
      <c r="AV103">
        <f>IF($D103=1,IF(GDP_per_cap!AR132&gt;'all_1961-1990'!$H$1,0,IF(UrbanPopRate!AR132&gt;=$J$1,0,1)),0)</f>
        <v>1</v>
      </c>
      <c r="AW103">
        <f>IF($D103=1,IF(GDP_per_cap!AS132&gt;'all_1961-1990'!$H$1,0,IF(UrbanPopRate!AS132&gt;=$J$1,0,1)),0)</f>
        <v>1</v>
      </c>
      <c r="AX103">
        <f>IF($D103=1,IF(GDP_per_cap!AT132&gt;'all_1961-1990'!$H$1,0,IF(UrbanPopRate!AT132&gt;=$J$1,0,1)),0)</f>
        <v>1</v>
      </c>
      <c r="AY103">
        <f>IF($D103=1,IF(GDP_per_cap!AU132&gt;'all_1961-1990'!$H$1,0,IF(UrbanPopRate!AU132&gt;=$J$1,0,1)),0)</f>
        <v>1</v>
      </c>
      <c r="AZ103">
        <f>IF($D103=1,IF(GDP_per_cap!AV132&gt;'all_1961-1990'!$H$1,0,IF(UrbanPopRate!AV132&gt;=$J$1,0,1)),0)</f>
        <v>1</v>
      </c>
      <c r="BA103">
        <f>IF($D103=1,IF(GDP_per_cap!AW132&gt;'all_1961-1990'!$H$1,0,IF(UrbanPopRate!AW132&gt;=$J$1,0,1)),0)</f>
        <v>1</v>
      </c>
      <c r="BB103">
        <f>IF($D103=1,IF(GDP_per_cap!AX132&gt;'all_1961-1990'!$H$1,0,IF(UrbanPopRate!AX132&gt;=$J$1,0,1)),0)</f>
        <v>1</v>
      </c>
      <c r="BC103">
        <f>IF($D103=1,IF(GDP_per_cap!AY132&gt;'all_1961-1990'!$H$1,0,IF(UrbanPopRate!AY132&gt;=$J$1,0,1)),0)</f>
        <v>1</v>
      </c>
      <c r="BD103">
        <f>IF($D103=1,IF(GDP_per_cap!AZ132&gt;'all_1961-1990'!$H$1,0,IF(UrbanPopRate!AZ132&gt;=$J$1,0,1)),0)</f>
        <v>1</v>
      </c>
      <c r="BE103">
        <f>IF($D103=1,IF(GDP_per_cap!BA132&gt;'all_1961-1990'!$H$1,0,IF(UrbanPopRate!BA132&gt;=$J$1,0,1)),0)</f>
        <v>1</v>
      </c>
      <c r="BF103">
        <f>IF($D103=1,IF(GDP_per_cap!BB132&gt;'all_1961-1990'!$H$1,0,IF(UrbanPopRate!BB132&gt;=$J$1,0,1)),0)</f>
        <v>1</v>
      </c>
    </row>
    <row r="104" spans="1:58">
      <c r="A104" s="3">
        <v>148</v>
      </c>
      <c r="B104" s="3" t="s">
        <v>61</v>
      </c>
      <c r="C104" s="2">
        <v>4</v>
      </c>
      <c r="D104" s="35">
        <v>1</v>
      </c>
      <c r="E104" s="2">
        <v>38.469900000000003</v>
      </c>
      <c r="F104" s="36">
        <v>2450.349968</v>
      </c>
      <c r="G104">
        <f>IF($D104=1,IF(GDP_per_cap!C95&gt;'all_1961-1990'!$H$1,0,IF(UrbanPopRate!C95&gt;=$J$1,0,1)),0)</f>
        <v>0</v>
      </c>
      <c r="H104">
        <f>IF($D104=1,IF(GDP_per_cap!D95&gt;'all_1961-1990'!$H$1,0,IF(UrbanPopRate!D95&gt;=$J$1,0,1)),0)</f>
        <v>0</v>
      </c>
      <c r="I104">
        <f>IF($D104=1,IF(GDP_per_cap!E95&gt;'all_1961-1990'!$H$1,0,IF(UrbanPopRate!E95&gt;=$J$1,0,1)),0)</f>
        <v>0</v>
      </c>
      <c r="J104">
        <f>IF($D104=1,IF(GDP_per_cap!F95&gt;'all_1961-1990'!$H$1,0,IF(UrbanPopRate!F95&gt;=$J$1,0,1)),0)</f>
        <v>0</v>
      </c>
      <c r="K104">
        <f>IF($D104=1,IF(GDP_per_cap!G95&gt;'all_1961-1990'!$H$1,0,IF(UrbanPopRate!G95&gt;=$J$1,0,1)),0)</f>
        <v>0</v>
      </c>
      <c r="L104">
        <f>IF($D104=1,IF(GDP_per_cap!H95&gt;'all_1961-1990'!$H$1,0,IF(UrbanPopRate!H95&gt;=$J$1,0,1)),0)</f>
        <v>0</v>
      </c>
      <c r="M104">
        <f>IF($D104=1,IF(GDP_per_cap!I95&gt;'all_1961-1990'!$H$1,0,IF(UrbanPopRate!I95&gt;=$J$1,0,1)),0)</f>
        <v>0</v>
      </c>
      <c r="N104">
        <f>IF($D104=1,IF(GDP_per_cap!J95&gt;'all_1961-1990'!$H$1,0,IF(UrbanPopRate!J95&gt;=$J$1,0,1)),0)</f>
        <v>0</v>
      </c>
      <c r="O104">
        <f>IF($D104=1,IF(GDP_per_cap!K95&gt;'all_1961-1990'!$H$1,0,IF(UrbanPopRate!K95&gt;=$J$1,0,1)),0)</f>
        <v>0</v>
      </c>
      <c r="P104">
        <f>IF($D104=1,IF(GDP_per_cap!L95&gt;'all_1961-1990'!$H$1,0,IF(UrbanPopRate!L95&gt;=$J$1,0,1)),0)</f>
        <v>0</v>
      </c>
      <c r="Q104">
        <f>IF($D104=1,IF(GDP_per_cap!M95&gt;'all_1961-1990'!$H$1,0,IF(UrbanPopRate!M95&gt;=$J$1,0,1)),0)</f>
        <v>0</v>
      </c>
      <c r="R104">
        <f>IF($D104=1,IF(GDP_per_cap!N95&gt;'all_1961-1990'!$H$1,0,IF(UrbanPopRate!N95&gt;=$J$1,0,1)),0)</f>
        <v>0</v>
      </c>
      <c r="S104">
        <f>IF($D104=1,IF(GDP_per_cap!O95&gt;'all_1961-1990'!$H$1,0,IF(UrbanPopRate!O95&gt;=$J$1,0,1)),0)</f>
        <v>0</v>
      </c>
      <c r="T104">
        <f>IF($D104=1,IF(GDP_per_cap!P95&gt;'all_1961-1990'!$H$1,0,IF(UrbanPopRate!P95&gt;=$J$1,0,1)),0)</f>
        <v>0</v>
      </c>
      <c r="U104">
        <f>IF($D104=1,IF(GDP_per_cap!Q95&gt;'all_1961-1990'!$H$1,0,IF(UrbanPopRate!Q95&gt;=$J$1,0,1)),0)</f>
        <v>0</v>
      </c>
      <c r="V104">
        <f>IF($D104=1,IF(GDP_per_cap!R95&gt;'all_1961-1990'!$H$1,0,IF(UrbanPopRate!R95&gt;=$J$1,0,1)),0)</f>
        <v>0</v>
      </c>
      <c r="W104">
        <f>IF($D104=1,IF(GDP_per_cap!S95&gt;'all_1961-1990'!$H$1,0,IF(UrbanPopRate!S95&gt;=$J$1,0,1)),0)</f>
        <v>0</v>
      </c>
      <c r="X104">
        <f>IF($D104=1,IF(GDP_per_cap!T95&gt;'all_1961-1990'!$H$1,0,IF(UrbanPopRate!T95&gt;=$J$1,0,1)),0)</f>
        <v>0</v>
      </c>
      <c r="Y104">
        <f>IF($D104=1,IF(GDP_per_cap!U95&gt;'all_1961-1990'!$H$1,0,IF(UrbanPopRate!U95&gt;=$J$1,0,1)),0)</f>
        <v>0</v>
      </c>
      <c r="Z104">
        <f>IF($D104=1,IF(GDP_per_cap!V95&gt;'all_1961-1990'!$H$1,0,IF(UrbanPopRate!V95&gt;=$J$1,0,1)),0)</f>
        <v>0</v>
      </c>
      <c r="AA104">
        <f>IF($D104=1,IF(GDP_per_cap!W95&gt;'all_1961-1990'!$H$1,0,IF(UrbanPopRate!W95&gt;=$J$1,0,1)),0)</f>
        <v>0</v>
      </c>
      <c r="AB104">
        <f>IF($D104=1,IF(GDP_per_cap!X95&gt;'all_1961-1990'!$H$1,0,IF(UrbanPopRate!X95&gt;=$J$1,0,1)),0)</f>
        <v>0</v>
      </c>
      <c r="AC104">
        <f>IF($D104=1,IF(GDP_per_cap!Y95&gt;'all_1961-1990'!$H$1,0,IF(UrbanPopRate!Y95&gt;=$J$1,0,1)),0)</f>
        <v>0</v>
      </c>
      <c r="AD104">
        <f>IF($D104=1,IF(GDP_per_cap!Z95&gt;'all_1961-1990'!$H$1,0,IF(UrbanPopRate!Z95&gt;=$J$1,0,1)),0)</f>
        <v>0</v>
      </c>
      <c r="AE104">
        <f>IF($D104=1,IF(GDP_per_cap!AA95&gt;'all_1961-1990'!$H$1,0,IF(UrbanPopRate!AA95&gt;=$J$1,0,1)),0)</f>
        <v>0</v>
      </c>
      <c r="AF104">
        <f>IF($D104=1,IF(GDP_per_cap!AB95&gt;'all_1961-1990'!$H$1,0,IF(UrbanPopRate!AB95&gt;=$J$1,0,1)),0)</f>
        <v>0</v>
      </c>
      <c r="AG104">
        <f>IF($D104=1,IF(GDP_per_cap!AC95&gt;'all_1961-1990'!$H$1,0,IF(UrbanPopRate!AC95&gt;=$J$1,0,1)),0)</f>
        <v>0</v>
      </c>
      <c r="AH104">
        <f>IF($D104=1,IF(GDP_per_cap!AD95&gt;'all_1961-1990'!$H$1,0,IF(UrbanPopRate!AD95&gt;=$J$1,0,1)),0)</f>
        <v>0</v>
      </c>
      <c r="AI104">
        <f>IF($D104=1,IF(GDP_per_cap!AE95&gt;'all_1961-1990'!$H$1,0,IF(UrbanPopRate!AE95&gt;=$J$1,0,1)),0)</f>
        <v>0</v>
      </c>
      <c r="AJ104">
        <f>IF($D104=1,IF(GDP_per_cap!AF95&gt;'all_1961-1990'!$H$1,0,IF(UrbanPopRate!AF95&gt;=$J$1,0,1)),0)</f>
        <v>0</v>
      </c>
      <c r="AK104">
        <f>IF($D104=1,IF(GDP_per_cap!AG95&gt;'all_1961-1990'!$H$1,0,IF(UrbanPopRate!AG95&gt;=$J$1,0,1)),0)</f>
        <v>0</v>
      </c>
      <c r="AL104">
        <f>IF($D104=1,IF(GDP_per_cap!AH95&gt;'all_1961-1990'!$H$1,0,IF(UrbanPopRate!AH95&gt;=$J$1,0,1)),0)</f>
        <v>0</v>
      </c>
      <c r="AM104">
        <f>IF($D104=1,IF(GDP_per_cap!AI95&gt;'all_1961-1990'!$H$1,0,IF(UrbanPopRate!AI95&gt;=$J$1,0,1)),0)</f>
        <v>0</v>
      </c>
      <c r="AN104">
        <f>IF($D104=1,IF(GDP_per_cap!AJ95&gt;'all_1961-1990'!$H$1,0,IF(UrbanPopRate!AJ95&gt;=$J$1,0,1)),0)</f>
        <v>0</v>
      </c>
      <c r="AO104">
        <f>IF($D104=1,IF(GDP_per_cap!AK95&gt;'all_1961-1990'!$H$1,0,IF(UrbanPopRate!AK95&gt;=$J$1,0,1)),0)</f>
        <v>0</v>
      </c>
      <c r="AP104">
        <f>IF($D104=1,IF(GDP_per_cap!AL95&gt;'all_1961-1990'!$H$1,0,IF(UrbanPopRate!AL95&gt;=$J$1,0,1)),0)</f>
        <v>0</v>
      </c>
      <c r="AQ104">
        <f>IF($D104=1,IF(GDP_per_cap!AM95&gt;'all_1961-1990'!$H$1,0,IF(UrbanPopRate!AM95&gt;=$J$1,0,1)),0)</f>
        <v>0</v>
      </c>
      <c r="AR104">
        <f>IF($D104=1,IF(GDP_per_cap!AN95&gt;'all_1961-1990'!$H$1,0,IF(UrbanPopRate!AN95&gt;=$J$1,0,1)),0)</f>
        <v>0</v>
      </c>
      <c r="AS104">
        <f>IF($D104=1,IF(GDP_per_cap!AO95&gt;'all_1961-1990'!$H$1,0,IF(UrbanPopRate!AO95&gt;=$J$1,0,1)),0)</f>
        <v>0</v>
      </c>
      <c r="AT104">
        <f>IF($D104=1,IF(GDP_per_cap!AP95&gt;'all_1961-1990'!$H$1,0,IF(UrbanPopRate!AP95&gt;=$J$1,0,1)),0)</f>
        <v>0</v>
      </c>
      <c r="AU104">
        <f>IF($D104=1,IF(GDP_per_cap!AQ95&gt;'all_1961-1990'!$H$1,0,IF(UrbanPopRate!AQ95&gt;=$J$1,0,1)),0)</f>
        <v>0</v>
      </c>
      <c r="AV104">
        <f>IF($D104=1,IF(GDP_per_cap!AR95&gt;'all_1961-1990'!$H$1,0,IF(UrbanPopRate!AR95&gt;=$J$1,0,1)),0)</f>
        <v>0</v>
      </c>
      <c r="AW104">
        <f>IF($D104=1,IF(GDP_per_cap!AS95&gt;'all_1961-1990'!$H$1,0,IF(UrbanPopRate!AS95&gt;=$J$1,0,1)),0)</f>
        <v>0</v>
      </c>
      <c r="AX104">
        <f>IF($D104=1,IF(GDP_per_cap!AT95&gt;'all_1961-1990'!$H$1,0,IF(UrbanPopRate!AT95&gt;=$J$1,0,1)),0)</f>
        <v>0</v>
      </c>
      <c r="AY104">
        <f>IF($D104=1,IF(GDP_per_cap!AU95&gt;'all_1961-1990'!$H$1,0,IF(UrbanPopRate!AU95&gt;=$J$1,0,1)),0)</f>
        <v>0</v>
      </c>
      <c r="AZ104">
        <f>IF($D104=1,IF(GDP_per_cap!AV95&gt;'all_1961-1990'!$H$1,0,IF(UrbanPopRate!AV95&gt;=$J$1,0,1)),0)</f>
        <v>0</v>
      </c>
      <c r="BA104">
        <f>IF($D104=1,IF(GDP_per_cap!AW95&gt;'all_1961-1990'!$H$1,0,IF(UrbanPopRate!AW95&gt;=$J$1,0,1)),0)</f>
        <v>0</v>
      </c>
      <c r="BB104">
        <f>IF($D104=1,IF(GDP_per_cap!AX95&gt;'all_1961-1990'!$H$1,0,IF(UrbanPopRate!AX95&gt;=$J$1,0,1)),0)</f>
        <v>0</v>
      </c>
      <c r="BC104">
        <f>IF($D104=1,IF(GDP_per_cap!AY95&gt;'all_1961-1990'!$H$1,0,IF(UrbanPopRate!AY95&gt;=$J$1,0,1)),0)</f>
        <v>0</v>
      </c>
      <c r="BD104">
        <f>IF($D104=1,IF(GDP_per_cap!AZ95&gt;'all_1961-1990'!$H$1,0,IF(UrbanPopRate!AZ95&gt;=$J$1,0,1)),0)</f>
        <v>0</v>
      </c>
      <c r="BE104">
        <f>IF($D104=1,IF(GDP_per_cap!BA95&gt;'all_1961-1990'!$H$1,0,IF(UrbanPopRate!BA95&gt;=$J$1,0,1)),0)</f>
        <v>0</v>
      </c>
      <c r="BF104">
        <f>IF($D104=1,IF(GDP_per_cap!BB95&gt;'all_1961-1990'!$H$1,0,IF(UrbanPopRate!BB95&gt;=$J$1,0,1)),0)</f>
        <v>0</v>
      </c>
    </row>
    <row r="105" spans="1:58">
      <c r="A105" s="3">
        <v>146</v>
      </c>
      <c r="B105" s="3" t="s">
        <v>62</v>
      </c>
      <c r="C105" s="2">
        <v>4</v>
      </c>
      <c r="D105" s="35">
        <v>1</v>
      </c>
      <c r="E105" s="2">
        <v>48.572733333333318</v>
      </c>
      <c r="F105" s="36">
        <v>2328.6066890000002</v>
      </c>
      <c r="G105">
        <f>IF($D105=1,IF(GDP_per_cap!C94&gt;'all_1961-1990'!$H$1,0,IF(UrbanPopRate!C94&gt;=$J$1,0,1)),0)</f>
        <v>0</v>
      </c>
      <c r="H105">
        <f>IF($D105=1,IF(GDP_per_cap!D94&gt;'all_1961-1990'!$H$1,0,IF(UrbanPopRate!D94&gt;=$J$1,0,1)),0)</f>
        <v>0</v>
      </c>
      <c r="I105">
        <f>IF($D105=1,IF(GDP_per_cap!E94&gt;'all_1961-1990'!$H$1,0,IF(UrbanPopRate!E94&gt;=$J$1,0,1)),0)</f>
        <v>0</v>
      </c>
      <c r="J105">
        <f>IF($D105=1,IF(GDP_per_cap!F94&gt;'all_1961-1990'!$H$1,0,IF(UrbanPopRate!F94&gt;=$J$1,0,1)),0)</f>
        <v>0</v>
      </c>
      <c r="K105">
        <f>IF($D105=1,IF(GDP_per_cap!G94&gt;'all_1961-1990'!$H$1,0,IF(UrbanPopRate!G94&gt;=$J$1,0,1)),0)</f>
        <v>0</v>
      </c>
      <c r="L105">
        <f>IF($D105=1,IF(GDP_per_cap!H94&gt;'all_1961-1990'!$H$1,0,IF(UrbanPopRate!H94&gt;=$J$1,0,1)),0)</f>
        <v>0</v>
      </c>
      <c r="M105">
        <f>IF($D105=1,IF(GDP_per_cap!I94&gt;'all_1961-1990'!$H$1,0,IF(UrbanPopRate!I94&gt;=$J$1,0,1)),0)</f>
        <v>0</v>
      </c>
      <c r="N105">
        <f>IF($D105=1,IF(GDP_per_cap!J94&gt;'all_1961-1990'!$H$1,0,IF(UrbanPopRate!J94&gt;=$J$1,0,1)),0)</f>
        <v>0</v>
      </c>
      <c r="O105">
        <f>IF($D105=1,IF(GDP_per_cap!K94&gt;'all_1961-1990'!$H$1,0,IF(UrbanPopRate!K94&gt;=$J$1,0,1)),0)</f>
        <v>0</v>
      </c>
      <c r="P105">
        <f>IF($D105=1,IF(GDP_per_cap!L94&gt;'all_1961-1990'!$H$1,0,IF(UrbanPopRate!L94&gt;=$J$1,0,1)),0)</f>
        <v>0</v>
      </c>
      <c r="Q105">
        <f>IF($D105=1,IF(GDP_per_cap!M94&gt;'all_1961-1990'!$H$1,0,IF(UrbanPopRate!M94&gt;=$J$1,0,1)),0)</f>
        <v>0</v>
      </c>
      <c r="R105">
        <f>IF($D105=1,IF(GDP_per_cap!N94&gt;'all_1961-1990'!$H$1,0,IF(UrbanPopRate!N94&gt;=$J$1,0,1)),0)</f>
        <v>0</v>
      </c>
      <c r="S105">
        <f>IF($D105=1,IF(GDP_per_cap!O94&gt;'all_1961-1990'!$H$1,0,IF(UrbanPopRate!O94&gt;=$J$1,0,1)),0)</f>
        <v>0</v>
      </c>
      <c r="T105">
        <f>IF($D105=1,IF(GDP_per_cap!P94&gt;'all_1961-1990'!$H$1,0,IF(UrbanPopRate!P94&gt;=$J$1,0,1)),0)</f>
        <v>0</v>
      </c>
      <c r="U105">
        <f>IF($D105=1,IF(GDP_per_cap!Q94&gt;'all_1961-1990'!$H$1,0,IF(UrbanPopRate!Q94&gt;=$J$1,0,1)),0)</f>
        <v>0</v>
      </c>
      <c r="V105">
        <f>IF($D105=1,IF(GDP_per_cap!R94&gt;'all_1961-1990'!$H$1,0,IF(UrbanPopRate!R94&gt;=$J$1,0,1)),0)</f>
        <v>0</v>
      </c>
      <c r="W105">
        <f>IF($D105=1,IF(GDP_per_cap!S94&gt;'all_1961-1990'!$H$1,0,IF(UrbanPopRate!S94&gt;=$J$1,0,1)),0)</f>
        <v>0</v>
      </c>
      <c r="X105">
        <f>IF($D105=1,IF(GDP_per_cap!T94&gt;'all_1961-1990'!$H$1,0,IF(UrbanPopRate!T94&gt;=$J$1,0,1)),0)</f>
        <v>0</v>
      </c>
      <c r="Y105">
        <f>IF($D105=1,IF(GDP_per_cap!U94&gt;'all_1961-1990'!$H$1,0,IF(UrbanPopRate!U94&gt;=$J$1,0,1)),0)</f>
        <v>0</v>
      </c>
      <c r="Z105">
        <f>IF($D105=1,IF(GDP_per_cap!V94&gt;'all_1961-1990'!$H$1,0,IF(UrbanPopRate!V94&gt;=$J$1,0,1)),0)</f>
        <v>0</v>
      </c>
      <c r="AA105">
        <f>IF($D105=1,IF(GDP_per_cap!W94&gt;'all_1961-1990'!$H$1,0,IF(UrbanPopRate!W94&gt;=$J$1,0,1)),0)</f>
        <v>0</v>
      </c>
      <c r="AB105">
        <f>IF($D105=1,IF(GDP_per_cap!X94&gt;'all_1961-1990'!$H$1,0,IF(UrbanPopRate!X94&gt;=$J$1,0,1)),0)</f>
        <v>0</v>
      </c>
      <c r="AC105">
        <f>IF($D105=1,IF(GDP_per_cap!Y94&gt;'all_1961-1990'!$H$1,0,IF(UrbanPopRate!Y94&gt;=$J$1,0,1)),0)</f>
        <v>0</v>
      </c>
      <c r="AD105">
        <f>IF($D105=1,IF(GDP_per_cap!Z94&gt;'all_1961-1990'!$H$1,0,IF(UrbanPopRate!Z94&gt;=$J$1,0,1)),0)</f>
        <v>0</v>
      </c>
      <c r="AE105">
        <f>IF($D105=1,IF(GDP_per_cap!AA94&gt;'all_1961-1990'!$H$1,0,IF(UrbanPopRate!AA94&gt;=$J$1,0,1)),0)</f>
        <v>0</v>
      </c>
      <c r="AF105">
        <f>IF($D105=1,IF(GDP_per_cap!AB94&gt;'all_1961-1990'!$H$1,0,IF(UrbanPopRate!AB94&gt;=$J$1,0,1)),0)</f>
        <v>0</v>
      </c>
      <c r="AG105">
        <f>IF($D105=1,IF(GDP_per_cap!AC94&gt;'all_1961-1990'!$H$1,0,IF(UrbanPopRate!AC94&gt;=$J$1,0,1)),0)</f>
        <v>0</v>
      </c>
      <c r="AH105">
        <f>IF($D105=1,IF(GDP_per_cap!AD94&gt;'all_1961-1990'!$H$1,0,IF(UrbanPopRate!AD94&gt;=$J$1,0,1)),0)</f>
        <v>0</v>
      </c>
      <c r="AI105">
        <f>IF($D105=1,IF(GDP_per_cap!AE94&gt;'all_1961-1990'!$H$1,0,IF(UrbanPopRate!AE94&gt;=$J$1,0,1)),0)</f>
        <v>0</v>
      </c>
      <c r="AJ105">
        <f>IF($D105=1,IF(GDP_per_cap!AF94&gt;'all_1961-1990'!$H$1,0,IF(UrbanPopRate!AF94&gt;=$J$1,0,1)),0)</f>
        <v>0</v>
      </c>
      <c r="AK105">
        <f>IF($D105=1,IF(GDP_per_cap!AG94&gt;'all_1961-1990'!$H$1,0,IF(UrbanPopRate!AG94&gt;=$J$1,0,1)),0)</f>
        <v>0</v>
      </c>
      <c r="AL105">
        <f>IF($D105=1,IF(GDP_per_cap!AH94&gt;'all_1961-1990'!$H$1,0,IF(UrbanPopRate!AH94&gt;=$J$1,0,1)),0)</f>
        <v>0</v>
      </c>
      <c r="AM105">
        <f>IF($D105=1,IF(GDP_per_cap!AI94&gt;'all_1961-1990'!$H$1,0,IF(UrbanPopRate!AI94&gt;=$J$1,0,1)),0)</f>
        <v>0</v>
      </c>
      <c r="AN105">
        <f>IF($D105=1,IF(GDP_per_cap!AJ94&gt;'all_1961-1990'!$H$1,0,IF(UrbanPopRate!AJ94&gt;=$J$1,0,1)),0)</f>
        <v>0</v>
      </c>
      <c r="AO105">
        <f>IF($D105=1,IF(GDP_per_cap!AK94&gt;'all_1961-1990'!$H$1,0,IF(UrbanPopRate!AK94&gt;=$J$1,0,1)),0)</f>
        <v>0</v>
      </c>
      <c r="AP105">
        <f>IF($D105=1,IF(GDP_per_cap!AL94&gt;'all_1961-1990'!$H$1,0,IF(UrbanPopRate!AL94&gt;=$J$1,0,1)),0)</f>
        <v>0</v>
      </c>
      <c r="AQ105">
        <f>IF($D105=1,IF(GDP_per_cap!AM94&gt;'all_1961-1990'!$H$1,0,IF(UrbanPopRate!AM94&gt;=$J$1,0,1)),0)</f>
        <v>0</v>
      </c>
      <c r="AR105">
        <f>IF($D105=1,IF(GDP_per_cap!AN94&gt;'all_1961-1990'!$H$1,0,IF(UrbanPopRate!AN94&gt;=$J$1,0,1)),0)</f>
        <v>0</v>
      </c>
      <c r="AS105">
        <f>IF($D105=1,IF(GDP_per_cap!AO94&gt;'all_1961-1990'!$H$1,0,IF(UrbanPopRate!AO94&gt;=$J$1,0,1)),0)</f>
        <v>0</v>
      </c>
      <c r="AT105">
        <f>IF($D105=1,IF(GDP_per_cap!AP94&gt;'all_1961-1990'!$H$1,0,IF(UrbanPopRate!AP94&gt;=$J$1,0,1)),0)</f>
        <v>0</v>
      </c>
      <c r="AU105">
        <f>IF($D105=1,IF(GDP_per_cap!AQ94&gt;'all_1961-1990'!$H$1,0,IF(UrbanPopRate!AQ94&gt;=$J$1,0,1)),0)</f>
        <v>0</v>
      </c>
      <c r="AV105">
        <f>IF($D105=1,IF(GDP_per_cap!AR94&gt;'all_1961-1990'!$H$1,0,IF(UrbanPopRate!AR94&gt;=$J$1,0,1)),0)</f>
        <v>0</v>
      </c>
      <c r="AW105">
        <f>IF($D105=1,IF(GDP_per_cap!AS94&gt;'all_1961-1990'!$H$1,0,IF(UrbanPopRate!AS94&gt;=$J$1,0,1)),0)</f>
        <v>0</v>
      </c>
      <c r="AX105">
        <f>IF($D105=1,IF(GDP_per_cap!AT94&gt;'all_1961-1990'!$H$1,0,IF(UrbanPopRate!AT94&gt;=$J$1,0,1)),0)</f>
        <v>0</v>
      </c>
      <c r="AY105">
        <f>IF($D105=1,IF(GDP_per_cap!AU94&gt;'all_1961-1990'!$H$1,0,IF(UrbanPopRate!AU94&gt;=$J$1,0,1)),0)</f>
        <v>0</v>
      </c>
      <c r="AZ105">
        <f>IF($D105=1,IF(GDP_per_cap!AV94&gt;'all_1961-1990'!$H$1,0,IF(UrbanPopRate!AV94&gt;=$J$1,0,1)),0)</f>
        <v>0</v>
      </c>
      <c r="BA105">
        <f>IF($D105=1,IF(GDP_per_cap!AW94&gt;'all_1961-1990'!$H$1,0,IF(UrbanPopRate!AW94&gt;=$J$1,0,1)),0)</f>
        <v>0</v>
      </c>
      <c r="BB105">
        <f>IF($D105=1,IF(GDP_per_cap!AX94&gt;'all_1961-1990'!$H$1,0,IF(UrbanPopRate!AX94&gt;=$J$1,0,1)),0)</f>
        <v>0</v>
      </c>
      <c r="BC105">
        <f>IF($D105=1,IF(GDP_per_cap!AY94&gt;'all_1961-1990'!$H$1,0,IF(UrbanPopRate!AY94&gt;=$J$1,0,1)),0)</f>
        <v>0</v>
      </c>
      <c r="BD105">
        <f>IF($D105=1,IF(GDP_per_cap!AZ94&gt;'all_1961-1990'!$H$1,0,IF(UrbanPopRate!AZ94&gt;=$J$1,0,1)),0)</f>
        <v>0</v>
      </c>
      <c r="BE105">
        <f>IF($D105=1,IF(GDP_per_cap!BA94&gt;'all_1961-1990'!$H$1,0,IF(UrbanPopRate!BA94&gt;=$J$1,0,1)),0)</f>
        <v>0</v>
      </c>
      <c r="BF105">
        <f>IF($D105=1,IF(GDP_per_cap!BB94&gt;'all_1961-1990'!$H$1,0,IF(UrbanPopRate!BB94&gt;=$J$1,0,1)),0)</f>
        <v>0</v>
      </c>
    </row>
    <row r="106" spans="1:58">
      <c r="A106" s="3">
        <v>102</v>
      </c>
      <c r="B106" s="3" t="s">
        <v>93</v>
      </c>
      <c r="C106" s="2">
        <v>4</v>
      </c>
      <c r="D106" s="35">
        <v>1</v>
      </c>
      <c r="E106" s="2">
        <v>20.759133333333335</v>
      </c>
      <c r="F106" s="36">
        <v>1627.763111</v>
      </c>
      <c r="G106">
        <f>IF($D106=1,IF(GDP_per_cap!C63&gt;'all_1961-1990'!$H$1,0,IF(UrbanPopRate!C63&gt;=$J$1,0,1)),0)</f>
        <v>1</v>
      </c>
      <c r="H106">
        <f>IF($D106=1,IF(GDP_per_cap!D63&gt;'all_1961-1990'!$H$1,0,IF(UrbanPopRate!D63&gt;=$J$1,0,1)),0)</f>
        <v>1</v>
      </c>
      <c r="I106">
        <f>IF($D106=1,IF(GDP_per_cap!E63&gt;'all_1961-1990'!$H$1,0,IF(UrbanPopRate!E63&gt;=$J$1,0,1)),0)</f>
        <v>1</v>
      </c>
      <c r="J106">
        <f>IF($D106=1,IF(GDP_per_cap!F63&gt;'all_1961-1990'!$H$1,0,IF(UrbanPopRate!F63&gt;=$J$1,0,1)),0)</f>
        <v>1</v>
      </c>
      <c r="K106">
        <f>IF($D106=1,IF(GDP_per_cap!G63&gt;'all_1961-1990'!$H$1,0,IF(UrbanPopRate!G63&gt;=$J$1,0,1)),0)</f>
        <v>1</v>
      </c>
      <c r="L106">
        <f>IF($D106=1,IF(GDP_per_cap!H63&gt;'all_1961-1990'!$H$1,0,IF(UrbanPopRate!H63&gt;=$J$1,0,1)),0)</f>
        <v>1</v>
      </c>
      <c r="M106">
        <f>IF($D106=1,IF(GDP_per_cap!I63&gt;'all_1961-1990'!$H$1,0,IF(UrbanPopRate!I63&gt;=$J$1,0,1)),0)</f>
        <v>1</v>
      </c>
      <c r="N106">
        <f>IF($D106=1,IF(GDP_per_cap!J63&gt;'all_1961-1990'!$H$1,0,IF(UrbanPopRate!J63&gt;=$J$1,0,1)),0)</f>
        <v>1</v>
      </c>
      <c r="O106">
        <f>IF($D106=1,IF(GDP_per_cap!K63&gt;'all_1961-1990'!$H$1,0,IF(UrbanPopRate!K63&gt;=$J$1,0,1)),0)</f>
        <v>1</v>
      </c>
      <c r="P106">
        <f>IF($D106=1,IF(GDP_per_cap!L63&gt;'all_1961-1990'!$H$1,0,IF(UrbanPopRate!L63&gt;=$J$1,0,1)),0)</f>
        <v>1</v>
      </c>
      <c r="Q106">
        <f>IF($D106=1,IF(GDP_per_cap!M63&gt;'all_1961-1990'!$H$1,0,IF(UrbanPopRate!M63&gt;=$J$1,0,1)),0)</f>
        <v>1</v>
      </c>
      <c r="R106">
        <f>IF($D106=1,IF(GDP_per_cap!N63&gt;'all_1961-1990'!$H$1,0,IF(UrbanPopRate!N63&gt;=$J$1,0,1)),0)</f>
        <v>1</v>
      </c>
      <c r="S106">
        <f>IF($D106=1,IF(GDP_per_cap!O63&gt;'all_1961-1990'!$H$1,0,IF(UrbanPopRate!O63&gt;=$J$1,0,1)),0)</f>
        <v>1</v>
      </c>
      <c r="T106">
        <f>IF($D106=1,IF(GDP_per_cap!P63&gt;'all_1961-1990'!$H$1,0,IF(UrbanPopRate!P63&gt;=$J$1,0,1)),0)</f>
        <v>1</v>
      </c>
      <c r="U106">
        <f>IF($D106=1,IF(GDP_per_cap!Q63&gt;'all_1961-1990'!$H$1,0,IF(UrbanPopRate!Q63&gt;=$J$1,0,1)),0)</f>
        <v>1</v>
      </c>
      <c r="V106">
        <f>IF($D106=1,IF(GDP_per_cap!R63&gt;'all_1961-1990'!$H$1,0,IF(UrbanPopRate!R63&gt;=$J$1,0,1)),0)</f>
        <v>1</v>
      </c>
      <c r="W106">
        <f>IF($D106=1,IF(GDP_per_cap!S63&gt;'all_1961-1990'!$H$1,0,IF(UrbanPopRate!S63&gt;=$J$1,0,1)),0)</f>
        <v>1</v>
      </c>
      <c r="X106">
        <f>IF($D106=1,IF(GDP_per_cap!T63&gt;'all_1961-1990'!$H$1,0,IF(UrbanPopRate!T63&gt;=$J$1,0,1)),0)</f>
        <v>1</v>
      </c>
      <c r="Y106">
        <f>IF($D106=1,IF(GDP_per_cap!U63&gt;'all_1961-1990'!$H$1,0,IF(UrbanPopRate!U63&gt;=$J$1,0,1)),0)</f>
        <v>1</v>
      </c>
      <c r="Z106">
        <f>IF($D106=1,IF(GDP_per_cap!V63&gt;'all_1961-1990'!$H$1,0,IF(UrbanPopRate!V63&gt;=$J$1,0,1)),0)</f>
        <v>1</v>
      </c>
      <c r="AA106">
        <f>IF($D106=1,IF(GDP_per_cap!W63&gt;'all_1961-1990'!$H$1,0,IF(UrbanPopRate!W63&gt;=$J$1,0,1)),0)</f>
        <v>1</v>
      </c>
      <c r="AB106">
        <f>IF($D106=1,IF(GDP_per_cap!X63&gt;'all_1961-1990'!$H$1,0,IF(UrbanPopRate!X63&gt;=$J$1,0,1)),0)</f>
        <v>1</v>
      </c>
      <c r="AC106">
        <f>IF($D106=1,IF(GDP_per_cap!Y63&gt;'all_1961-1990'!$H$1,0,IF(UrbanPopRate!Y63&gt;=$J$1,0,1)),0)</f>
        <v>1</v>
      </c>
      <c r="AD106">
        <f>IF($D106=1,IF(GDP_per_cap!Z63&gt;'all_1961-1990'!$H$1,0,IF(UrbanPopRate!Z63&gt;=$J$1,0,1)),0)</f>
        <v>0</v>
      </c>
      <c r="AE106">
        <f>IF($D106=1,IF(GDP_per_cap!AA63&gt;'all_1961-1990'!$H$1,0,IF(UrbanPopRate!AA63&gt;=$J$1,0,1)),0)</f>
        <v>0</v>
      </c>
      <c r="AF106">
        <f>IF($D106=1,IF(GDP_per_cap!AB63&gt;'all_1961-1990'!$H$1,0,IF(UrbanPopRate!AB63&gt;=$J$1,0,1)),0)</f>
        <v>0</v>
      </c>
      <c r="AG106">
        <f>IF($D106=1,IF(GDP_per_cap!AC63&gt;'all_1961-1990'!$H$1,0,IF(UrbanPopRate!AC63&gt;=$J$1,0,1)),0)</f>
        <v>0</v>
      </c>
      <c r="AH106">
        <f>IF($D106=1,IF(GDP_per_cap!AD63&gt;'all_1961-1990'!$H$1,0,IF(UrbanPopRate!AD63&gt;=$J$1,0,1)),0)</f>
        <v>0</v>
      </c>
      <c r="AI106">
        <f>IF($D106=1,IF(GDP_per_cap!AE63&gt;'all_1961-1990'!$H$1,0,IF(UrbanPopRate!AE63&gt;=$J$1,0,1)),0)</f>
        <v>0</v>
      </c>
      <c r="AJ106">
        <f>IF($D106=1,IF(GDP_per_cap!AF63&gt;'all_1961-1990'!$H$1,0,IF(UrbanPopRate!AF63&gt;=$J$1,0,1)),0)</f>
        <v>0</v>
      </c>
      <c r="AK106">
        <f>IF($D106=1,IF(GDP_per_cap!AG63&gt;'all_1961-1990'!$H$1,0,IF(UrbanPopRate!AG63&gt;=$J$1,0,1)),0)</f>
        <v>0</v>
      </c>
      <c r="AL106">
        <f>IF($D106=1,IF(GDP_per_cap!AH63&gt;'all_1961-1990'!$H$1,0,IF(UrbanPopRate!AH63&gt;=$J$1,0,1)),0)</f>
        <v>0</v>
      </c>
      <c r="AM106">
        <f>IF($D106=1,IF(GDP_per_cap!AI63&gt;'all_1961-1990'!$H$1,0,IF(UrbanPopRate!AI63&gt;=$J$1,0,1)),0)</f>
        <v>0</v>
      </c>
      <c r="AN106">
        <f>IF($D106=1,IF(GDP_per_cap!AJ63&gt;'all_1961-1990'!$H$1,0,IF(UrbanPopRate!AJ63&gt;=$J$1,0,1)),0)</f>
        <v>0</v>
      </c>
      <c r="AO106">
        <f>IF($D106=1,IF(GDP_per_cap!AK63&gt;'all_1961-1990'!$H$1,0,IF(UrbanPopRate!AK63&gt;=$J$1,0,1)),0)</f>
        <v>0</v>
      </c>
      <c r="AP106">
        <f>IF($D106=1,IF(GDP_per_cap!AL63&gt;'all_1961-1990'!$H$1,0,IF(UrbanPopRate!AL63&gt;=$J$1,0,1)),0)</f>
        <v>0</v>
      </c>
      <c r="AQ106">
        <f>IF($D106=1,IF(GDP_per_cap!AM63&gt;'all_1961-1990'!$H$1,0,IF(UrbanPopRate!AM63&gt;=$J$1,0,1)),0)</f>
        <v>0</v>
      </c>
      <c r="AR106">
        <f>IF($D106=1,IF(GDP_per_cap!AN63&gt;'all_1961-1990'!$H$1,0,IF(UrbanPopRate!AN63&gt;=$J$1,0,1)),0)</f>
        <v>0</v>
      </c>
      <c r="AS106">
        <f>IF($D106=1,IF(GDP_per_cap!AO63&gt;'all_1961-1990'!$H$1,0,IF(UrbanPopRate!AO63&gt;=$J$1,0,1)),0)</f>
        <v>0</v>
      </c>
      <c r="AT106">
        <f>IF($D106=1,IF(GDP_per_cap!AP63&gt;'all_1961-1990'!$H$1,0,IF(UrbanPopRate!AP63&gt;=$J$1,0,1)),0)</f>
        <v>0</v>
      </c>
      <c r="AU106">
        <f>IF($D106=1,IF(GDP_per_cap!AQ63&gt;'all_1961-1990'!$H$1,0,IF(UrbanPopRate!AQ63&gt;=$J$1,0,1)),0)</f>
        <v>0</v>
      </c>
      <c r="AV106">
        <f>IF($D106=1,IF(GDP_per_cap!AR63&gt;'all_1961-1990'!$H$1,0,IF(UrbanPopRate!AR63&gt;=$J$1,0,1)),0)</f>
        <v>0</v>
      </c>
      <c r="AW106">
        <f>IF($D106=1,IF(GDP_per_cap!AS63&gt;'all_1961-1990'!$H$1,0,IF(UrbanPopRate!AS63&gt;=$J$1,0,1)),0)</f>
        <v>0</v>
      </c>
      <c r="AX106">
        <f>IF($D106=1,IF(GDP_per_cap!AT63&gt;'all_1961-1990'!$H$1,0,IF(UrbanPopRate!AT63&gt;=$J$1,0,1)),0)</f>
        <v>0</v>
      </c>
      <c r="AY106">
        <f>IF($D106=1,IF(GDP_per_cap!AU63&gt;'all_1961-1990'!$H$1,0,IF(UrbanPopRate!AU63&gt;=$J$1,0,1)),0)</f>
        <v>0</v>
      </c>
      <c r="AZ106">
        <f>IF($D106=1,IF(GDP_per_cap!AV63&gt;'all_1961-1990'!$H$1,0,IF(UrbanPopRate!AV63&gt;=$J$1,0,1)),0)</f>
        <v>0</v>
      </c>
      <c r="BA106">
        <f>IF($D106=1,IF(GDP_per_cap!AW63&gt;'all_1961-1990'!$H$1,0,IF(UrbanPopRate!AW63&gt;=$J$1,0,1)),0)</f>
        <v>0</v>
      </c>
      <c r="BB106">
        <f>IF($D106=1,IF(GDP_per_cap!AX63&gt;'all_1961-1990'!$H$1,0,IF(UrbanPopRate!AX63&gt;=$J$1,0,1)),0)</f>
        <v>0</v>
      </c>
      <c r="BC106">
        <f>IF($D106=1,IF(GDP_per_cap!AY63&gt;'all_1961-1990'!$H$1,0,IF(UrbanPopRate!AY63&gt;=$J$1,0,1)),0)</f>
        <v>0</v>
      </c>
      <c r="BD106">
        <f>IF($D106=1,IF(GDP_per_cap!AZ63&gt;'all_1961-1990'!$H$1,0,IF(UrbanPopRate!AZ63&gt;=$J$1,0,1)),0)</f>
        <v>0</v>
      </c>
      <c r="BE106">
        <f>IF($D106=1,IF(GDP_per_cap!BA63&gt;'all_1961-1990'!$H$1,0,IF(UrbanPopRate!BA63&gt;=$J$1,0,1)),0)</f>
        <v>0</v>
      </c>
      <c r="BF106">
        <f>IF($D106=1,IF(GDP_per_cap!BB63&gt;'all_1961-1990'!$H$1,0,IF(UrbanPopRate!BB63&gt;=$J$1,0,1)),0)</f>
        <v>0</v>
      </c>
    </row>
    <row r="107" spans="1:58">
      <c r="A107" s="3">
        <v>139</v>
      </c>
      <c r="B107" s="3" t="s">
        <v>66</v>
      </c>
      <c r="C107" s="2">
        <v>4</v>
      </c>
      <c r="D107" s="35">
        <v>1</v>
      </c>
      <c r="E107" s="2">
        <v>22.357100000000003</v>
      </c>
      <c r="F107" s="36">
        <v>1615.7270779999999</v>
      </c>
      <c r="G107">
        <f>IF($D107=1,IF(GDP_per_cap!C90&gt;'all_1961-1990'!$H$1,0,IF(UrbanPopRate!C90&gt;=$J$1,0,1)),0)</f>
        <v>1</v>
      </c>
      <c r="H107">
        <f>IF($D107=1,IF(GDP_per_cap!D90&gt;'all_1961-1990'!$H$1,0,IF(UrbanPopRate!D90&gt;=$J$1,0,1)),0)</f>
        <v>1</v>
      </c>
      <c r="I107">
        <f>IF($D107=1,IF(GDP_per_cap!E90&gt;'all_1961-1990'!$H$1,0,IF(UrbanPopRate!E90&gt;=$J$1,0,1)),0)</f>
        <v>1</v>
      </c>
      <c r="J107">
        <f>IF($D107=1,IF(GDP_per_cap!F90&gt;'all_1961-1990'!$H$1,0,IF(UrbanPopRate!F90&gt;=$J$1,0,1)),0)</f>
        <v>1</v>
      </c>
      <c r="K107">
        <f>IF($D107=1,IF(GDP_per_cap!G90&gt;'all_1961-1990'!$H$1,0,IF(UrbanPopRate!G90&gt;=$J$1,0,1)),0)</f>
        <v>1</v>
      </c>
      <c r="L107">
        <f>IF($D107=1,IF(GDP_per_cap!H90&gt;'all_1961-1990'!$H$1,0,IF(UrbanPopRate!H90&gt;=$J$1,0,1)),0)</f>
        <v>1</v>
      </c>
      <c r="M107">
        <f>IF($D107=1,IF(GDP_per_cap!I90&gt;'all_1961-1990'!$H$1,0,IF(UrbanPopRate!I90&gt;=$J$1,0,1)),0)</f>
        <v>1</v>
      </c>
      <c r="N107">
        <f>IF($D107=1,IF(GDP_per_cap!J90&gt;'all_1961-1990'!$H$1,0,IF(UrbanPopRate!J90&gt;=$J$1,0,1)),0)</f>
        <v>1</v>
      </c>
      <c r="O107">
        <f>IF($D107=1,IF(GDP_per_cap!K90&gt;'all_1961-1990'!$H$1,0,IF(UrbanPopRate!K90&gt;=$J$1,0,1)),0)</f>
        <v>1</v>
      </c>
      <c r="P107">
        <f>IF($D107=1,IF(GDP_per_cap!L90&gt;'all_1961-1990'!$H$1,0,IF(UrbanPopRate!L90&gt;=$J$1,0,1)),0)</f>
        <v>1</v>
      </c>
      <c r="Q107">
        <f>IF($D107=1,IF(GDP_per_cap!M90&gt;'all_1961-1990'!$H$1,0,IF(UrbanPopRate!M90&gt;=$J$1,0,1)),0)</f>
        <v>1</v>
      </c>
      <c r="R107">
        <f>IF($D107=1,IF(GDP_per_cap!N90&gt;'all_1961-1990'!$H$1,0,IF(UrbanPopRate!N90&gt;=$J$1,0,1)),0)</f>
        <v>1</v>
      </c>
      <c r="S107">
        <f>IF($D107=1,IF(GDP_per_cap!O90&gt;'all_1961-1990'!$H$1,0,IF(UrbanPopRate!O90&gt;=$J$1,0,1)),0)</f>
        <v>1</v>
      </c>
      <c r="T107">
        <f>IF($D107=1,IF(GDP_per_cap!P90&gt;'all_1961-1990'!$H$1,0,IF(UrbanPopRate!P90&gt;=$J$1,0,1)),0)</f>
        <v>1</v>
      </c>
      <c r="U107">
        <f>IF($D107=1,IF(GDP_per_cap!Q90&gt;'all_1961-1990'!$H$1,0,IF(UrbanPopRate!Q90&gt;=$J$1,0,1)),0)</f>
        <v>1</v>
      </c>
      <c r="V107">
        <f>IF($D107=1,IF(GDP_per_cap!R90&gt;'all_1961-1990'!$H$1,0,IF(UrbanPopRate!R90&gt;=$J$1,0,1)),0)</f>
        <v>1</v>
      </c>
      <c r="W107">
        <f>IF($D107=1,IF(GDP_per_cap!S90&gt;'all_1961-1990'!$H$1,0,IF(UrbanPopRate!S90&gt;=$J$1,0,1)),0)</f>
        <v>1</v>
      </c>
      <c r="X107">
        <f>IF($D107=1,IF(GDP_per_cap!T90&gt;'all_1961-1990'!$H$1,0,IF(UrbanPopRate!T90&gt;=$J$1,0,1)),0)</f>
        <v>1</v>
      </c>
      <c r="Y107">
        <f>IF($D107=1,IF(GDP_per_cap!U90&gt;'all_1961-1990'!$H$1,0,IF(UrbanPopRate!U90&gt;=$J$1,0,1)),0)</f>
        <v>0</v>
      </c>
      <c r="Z107">
        <f>IF($D107=1,IF(GDP_per_cap!V90&gt;'all_1961-1990'!$H$1,0,IF(UrbanPopRate!V90&gt;=$J$1,0,1)),0)</f>
        <v>0</v>
      </c>
      <c r="AA107">
        <f>IF($D107=1,IF(GDP_per_cap!W90&gt;'all_1961-1990'!$H$1,0,IF(UrbanPopRate!W90&gt;=$J$1,0,1)),0)</f>
        <v>0</v>
      </c>
      <c r="AB107">
        <f>IF($D107=1,IF(GDP_per_cap!X90&gt;'all_1961-1990'!$H$1,0,IF(UrbanPopRate!X90&gt;=$J$1,0,1)),0)</f>
        <v>0</v>
      </c>
      <c r="AC107">
        <f>IF($D107=1,IF(GDP_per_cap!Y90&gt;'all_1961-1990'!$H$1,0,IF(UrbanPopRate!Y90&gt;=$J$1,0,1)),0)</f>
        <v>0</v>
      </c>
      <c r="AD107">
        <f>IF($D107=1,IF(GDP_per_cap!Z90&gt;'all_1961-1990'!$H$1,0,IF(UrbanPopRate!Z90&gt;=$J$1,0,1)),0)</f>
        <v>0</v>
      </c>
      <c r="AE107">
        <f>IF($D107=1,IF(GDP_per_cap!AA90&gt;'all_1961-1990'!$H$1,0,IF(UrbanPopRate!AA90&gt;=$J$1,0,1)),0)</f>
        <v>0</v>
      </c>
      <c r="AF107">
        <f>IF($D107=1,IF(GDP_per_cap!AB90&gt;'all_1961-1990'!$H$1,0,IF(UrbanPopRate!AB90&gt;=$J$1,0,1)),0)</f>
        <v>0</v>
      </c>
      <c r="AG107">
        <f>IF($D107=1,IF(GDP_per_cap!AC90&gt;'all_1961-1990'!$H$1,0,IF(UrbanPopRate!AC90&gt;=$J$1,0,1)),0)</f>
        <v>0</v>
      </c>
      <c r="AH107">
        <f>IF($D107=1,IF(GDP_per_cap!AD90&gt;'all_1961-1990'!$H$1,0,IF(UrbanPopRate!AD90&gt;=$J$1,0,1)),0)</f>
        <v>0</v>
      </c>
      <c r="AI107">
        <f>IF($D107=1,IF(GDP_per_cap!AE90&gt;'all_1961-1990'!$H$1,0,IF(UrbanPopRate!AE90&gt;=$J$1,0,1)),0)</f>
        <v>0</v>
      </c>
      <c r="AJ107">
        <f>IF($D107=1,IF(GDP_per_cap!AF90&gt;'all_1961-1990'!$H$1,0,IF(UrbanPopRate!AF90&gt;=$J$1,0,1)),0)</f>
        <v>0</v>
      </c>
      <c r="AK107">
        <f>IF($D107=1,IF(GDP_per_cap!AG90&gt;'all_1961-1990'!$H$1,0,IF(UrbanPopRate!AG90&gt;=$J$1,0,1)),0)</f>
        <v>0</v>
      </c>
      <c r="AL107">
        <f>IF($D107=1,IF(GDP_per_cap!AH90&gt;'all_1961-1990'!$H$1,0,IF(UrbanPopRate!AH90&gt;=$J$1,0,1)),0)</f>
        <v>0</v>
      </c>
      <c r="AM107">
        <f>IF($D107=1,IF(GDP_per_cap!AI90&gt;'all_1961-1990'!$H$1,0,IF(UrbanPopRate!AI90&gt;=$J$1,0,1)),0)</f>
        <v>0</v>
      </c>
      <c r="AN107">
        <f>IF($D107=1,IF(GDP_per_cap!AJ90&gt;'all_1961-1990'!$H$1,0,IF(UrbanPopRate!AJ90&gt;=$J$1,0,1)),0)</f>
        <v>0</v>
      </c>
      <c r="AO107">
        <f>IF($D107=1,IF(GDP_per_cap!AK90&gt;'all_1961-1990'!$H$1,0,IF(UrbanPopRate!AK90&gt;=$J$1,0,1)),0)</f>
        <v>0</v>
      </c>
      <c r="AP107">
        <f>IF($D107=1,IF(GDP_per_cap!AL90&gt;'all_1961-1990'!$H$1,0,IF(UrbanPopRate!AL90&gt;=$J$1,0,1)),0)</f>
        <v>0</v>
      </c>
      <c r="AQ107">
        <f>IF($D107=1,IF(GDP_per_cap!AM90&gt;'all_1961-1990'!$H$1,0,IF(UrbanPopRate!AM90&gt;=$J$1,0,1)),0)</f>
        <v>0</v>
      </c>
      <c r="AR107">
        <f>IF($D107=1,IF(GDP_per_cap!AN90&gt;'all_1961-1990'!$H$1,0,IF(UrbanPopRate!AN90&gt;=$J$1,0,1)),0)</f>
        <v>0</v>
      </c>
      <c r="AS107">
        <f>IF($D107=1,IF(GDP_per_cap!AO90&gt;'all_1961-1990'!$H$1,0,IF(UrbanPopRate!AO90&gt;=$J$1,0,1)),0)</f>
        <v>0</v>
      </c>
      <c r="AT107">
        <f>IF($D107=1,IF(GDP_per_cap!AP90&gt;'all_1961-1990'!$H$1,0,IF(UrbanPopRate!AP90&gt;=$J$1,0,1)),0)</f>
        <v>0</v>
      </c>
      <c r="AU107">
        <f>IF($D107=1,IF(GDP_per_cap!AQ90&gt;'all_1961-1990'!$H$1,0,IF(UrbanPopRate!AQ90&gt;=$J$1,0,1)),0)</f>
        <v>0</v>
      </c>
      <c r="AV107">
        <f>IF($D107=1,IF(GDP_per_cap!AR90&gt;'all_1961-1990'!$H$1,0,IF(UrbanPopRate!AR90&gt;=$J$1,0,1)),0)</f>
        <v>0</v>
      </c>
      <c r="AW107">
        <f>IF($D107=1,IF(GDP_per_cap!AS90&gt;'all_1961-1990'!$H$1,0,IF(UrbanPopRate!AS90&gt;=$J$1,0,1)),0)</f>
        <v>0</v>
      </c>
      <c r="AX107">
        <f>IF($D107=1,IF(GDP_per_cap!AT90&gt;'all_1961-1990'!$H$1,0,IF(UrbanPopRate!AT90&gt;=$J$1,0,1)),0)</f>
        <v>0</v>
      </c>
      <c r="AY107">
        <f>IF($D107=1,IF(GDP_per_cap!AU90&gt;'all_1961-1990'!$H$1,0,IF(UrbanPopRate!AU90&gt;=$J$1,0,1)),0)</f>
        <v>0</v>
      </c>
      <c r="AZ107">
        <f>IF($D107=1,IF(GDP_per_cap!AV90&gt;'all_1961-1990'!$H$1,0,IF(UrbanPopRate!AV90&gt;=$J$1,0,1)),0)</f>
        <v>0</v>
      </c>
      <c r="BA107">
        <f>IF($D107=1,IF(GDP_per_cap!AW90&gt;'all_1961-1990'!$H$1,0,IF(UrbanPopRate!AW90&gt;=$J$1,0,1)),0)</f>
        <v>0</v>
      </c>
      <c r="BB107">
        <f>IF($D107=1,IF(GDP_per_cap!AX90&gt;'all_1961-1990'!$H$1,0,IF(UrbanPopRate!AX90&gt;=$J$1,0,1)),0)</f>
        <v>0</v>
      </c>
      <c r="BC107">
        <f>IF($D107=1,IF(GDP_per_cap!AY90&gt;'all_1961-1990'!$H$1,0,IF(UrbanPopRate!AY90&gt;=$J$1,0,1)),0)</f>
        <v>0</v>
      </c>
      <c r="BD107">
        <f>IF($D107=1,IF(GDP_per_cap!AZ90&gt;'all_1961-1990'!$H$1,0,IF(UrbanPopRate!AZ90&gt;=$J$1,0,1)),0)</f>
        <v>0</v>
      </c>
      <c r="BE107">
        <f>IF($D107=1,IF(GDP_per_cap!BA90&gt;'all_1961-1990'!$H$1,0,IF(UrbanPopRate!BA90&gt;=$J$1,0,1)),0)</f>
        <v>0</v>
      </c>
      <c r="BF107">
        <f>IF($D107=1,IF(GDP_per_cap!BB90&gt;'all_1961-1990'!$H$1,0,IF(UrbanPopRate!BB90&gt;=$J$1,0,1)),0)</f>
        <v>0</v>
      </c>
    </row>
    <row r="108" spans="1:58">
      <c r="A108" s="3">
        <v>192</v>
      </c>
      <c r="B108" s="3" t="s">
        <v>34</v>
      </c>
      <c r="C108" s="2">
        <v>4</v>
      </c>
      <c r="D108" s="35">
        <v>1</v>
      </c>
      <c r="E108" s="2">
        <v>32.650333333333329</v>
      </c>
      <c r="F108" s="36">
        <v>1541.2844270000001</v>
      </c>
      <c r="G108">
        <f>IF($D108=1,IF(GDP_per_cap!C122&gt;'all_1961-1990'!$H$1,0,IF(UrbanPopRate!C122&gt;=$J$1,0,1)),0)</f>
        <v>1</v>
      </c>
      <c r="H108">
        <f>IF($D108=1,IF(GDP_per_cap!D122&gt;'all_1961-1990'!$H$1,0,IF(UrbanPopRate!D122&gt;=$J$1,0,1)),0)</f>
        <v>1</v>
      </c>
      <c r="I108">
        <f>IF($D108=1,IF(GDP_per_cap!E122&gt;'all_1961-1990'!$H$1,0,IF(UrbanPopRate!E122&gt;=$J$1,0,1)),0)</f>
        <v>0</v>
      </c>
      <c r="J108">
        <f>IF($D108=1,IF(GDP_per_cap!F122&gt;'all_1961-1990'!$H$1,0,IF(UrbanPopRate!F122&gt;=$J$1,0,1)),0)</f>
        <v>0</v>
      </c>
      <c r="K108">
        <f>IF($D108=1,IF(GDP_per_cap!G122&gt;'all_1961-1990'!$H$1,0,IF(UrbanPopRate!G122&gt;=$J$1,0,1)),0)</f>
        <v>0</v>
      </c>
      <c r="L108">
        <f>IF($D108=1,IF(GDP_per_cap!H122&gt;'all_1961-1990'!$H$1,0,IF(UrbanPopRate!H122&gt;=$J$1,0,1)),0)</f>
        <v>0</v>
      </c>
      <c r="M108">
        <f>IF($D108=1,IF(GDP_per_cap!I122&gt;'all_1961-1990'!$H$1,0,IF(UrbanPopRate!I122&gt;=$J$1,0,1)),0)</f>
        <v>0</v>
      </c>
      <c r="N108">
        <f>IF($D108=1,IF(GDP_per_cap!J122&gt;'all_1961-1990'!$H$1,0,IF(UrbanPopRate!J122&gt;=$J$1,0,1)),0)</f>
        <v>0</v>
      </c>
      <c r="O108">
        <f>IF($D108=1,IF(GDP_per_cap!K122&gt;'all_1961-1990'!$H$1,0,IF(UrbanPopRate!K122&gt;=$J$1,0,1)),0)</f>
        <v>0</v>
      </c>
      <c r="P108">
        <f>IF($D108=1,IF(GDP_per_cap!L122&gt;'all_1961-1990'!$H$1,0,IF(UrbanPopRate!L122&gt;=$J$1,0,1)),0)</f>
        <v>0</v>
      </c>
      <c r="Q108">
        <f>IF($D108=1,IF(GDP_per_cap!M122&gt;'all_1961-1990'!$H$1,0,IF(UrbanPopRate!M122&gt;=$J$1,0,1)),0)</f>
        <v>0</v>
      </c>
      <c r="R108">
        <f>IF($D108=1,IF(GDP_per_cap!N122&gt;'all_1961-1990'!$H$1,0,IF(UrbanPopRate!N122&gt;=$J$1,0,1)),0)</f>
        <v>0</v>
      </c>
      <c r="S108">
        <f>IF($D108=1,IF(GDP_per_cap!O122&gt;'all_1961-1990'!$H$1,0,IF(UrbanPopRate!O122&gt;=$J$1,0,1)),0)</f>
        <v>0</v>
      </c>
      <c r="T108">
        <f>IF($D108=1,IF(GDP_per_cap!P122&gt;'all_1961-1990'!$H$1,0,IF(UrbanPopRate!P122&gt;=$J$1,0,1)),0)</f>
        <v>0</v>
      </c>
      <c r="U108">
        <f>IF($D108=1,IF(GDP_per_cap!Q122&gt;'all_1961-1990'!$H$1,0,IF(UrbanPopRate!Q122&gt;=$J$1,0,1)),0)</f>
        <v>0</v>
      </c>
      <c r="V108">
        <f>IF($D108=1,IF(GDP_per_cap!R122&gt;'all_1961-1990'!$H$1,0,IF(UrbanPopRate!R122&gt;=$J$1,0,1)),0)</f>
        <v>0</v>
      </c>
      <c r="W108">
        <f>IF($D108=1,IF(GDP_per_cap!S122&gt;'all_1961-1990'!$H$1,0,IF(UrbanPopRate!S122&gt;=$J$1,0,1)),0)</f>
        <v>0</v>
      </c>
      <c r="X108">
        <f>IF($D108=1,IF(GDP_per_cap!T122&gt;'all_1961-1990'!$H$1,0,IF(UrbanPopRate!T122&gt;=$J$1,0,1)),0)</f>
        <v>0</v>
      </c>
      <c r="Y108">
        <f>IF($D108=1,IF(GDP_per_cap!U122&gt;'all_1961-1990'!$H$1,0,IF(UrbanPopRate!U122&gt;=$J$1,0,1)),0)</f>
        <v>0</v>
      </c>
      <c r="Z108">
        <f>IF($D108=1,IF(GDP_per_cap!V122&gt;'all_1961-1990'!$H$1,0,IF(UrbanPopRate!V122&gt;=$J$1,0,1)),0)</f>
        <v>0</v>
      </c>
      <c r="AA108">
        <f>IF($D108=1,IF(GDP_per_cap!W122&gt;'all_1961-1990'!$H$1,0,IF(UrbanPopRate!W122&gt;=$J$1,0,1)),0)</f>
        <v>0</v>
      </c>
      <c r="AB108">
        <f>IF($D108=1,IF(GDP_per_cap!X122&gt;'all_1961-1990'!$H$1,0,IF(UrbanPopRate!X122&gt;=$J$1,0,1)),0)</f>
        <v>0</v>
      </c>
      <c r="AC108">
        <f>IF($D108=1,IF(GDP_per_cap!Y122&gt;'all_1961-1990'!$H$1,0,IF(UrbanPopRate!Y122&gt;=$J$1,0,1)),0)</f>
        <v>0</v>
      </c>
      <c r="AD108">
        <f>IF($D108=1,IF(GDP_per_cap!Z122&gt;'all_1961-1990'!$H$1,0,IF(UrbanPopRate!Z122&gt;=$J$1,0,1)),0)</f>
        <v>0</v>
      </c>
      <c r="AE108">
        <f>IF($D108=1,IF(GDP_per_cap!AA122&gt;'all_1961-1990'!$H$1,0,IF(UrbanPopRate!AA122&gt;=$J$1,0,1)),0)</f>
        <v>0</v>
      </c>
      <c r="AF108">
        <f>IF($D108=1,IF(GDP_per_cap!AB122&gt;'all_1961-1990'!$H$1,0,IF(UrbanPopRate!AB122&gt;=$J$1,0,1)),0)</f>
        <v>0</v>
      </c>
      <c r="AG108">
        <f>IF($D108=1,IF(GDP_per_cap!AC122&gt;'all_1961-1990'!$H$1,0,IF(UrbanPopRate!AC122&gt;=$J$1,0,1)),0)</f>
        <v>0</v>
      </c>
      <c r="AH108">
        <f>IF($D108=1,IF(GDP_per_cap!AD122&gt;'all_1961-1990'!$H$1,0,IF(UrbanPopRate!AD122&gt;=$J$1,0,1)),0)</f>
        <v>0</v>
      </c>
      <c r="AI108">
        <f>IF($D108=1,IF(GDP_per_cap!AE122&gt;'all_1961-1990'!$H$1,0,IF(UrbanPopRate!AE122&gt;=$J$1,0,1)),0)</f>
        <v>0</v>
      </c>
      <c r="AJ108">
        <f>IF($D108=1,IF(GDP_per_cap!AF122&gt;'all_1961-1990'!$H$1,0,IF(UrbanPopRate!AF122&gt;=$J$1,0,1)),0)</f>
        <v>0</v>
      </c>
      <c r="AK108">
        <f>IF($D108=1,IF(GDP_per_cap!AG122&gt;'all_1961-1990'!$H$1,0,IF(UrbanPopRate!AG122&gt;=$J$1,0,1)),0)</f>
        <v>0</v>
      </c>
      <c r="AL108">
        <f>IF($D108=1,IF(GDP_per_cap!AH122&gt;'all_1961-1990'!$H$1,0,IF(UrbanPopRate!AH122&gt;=$J$1,0,1)),0)</f>
        <v>0</v>
      </c>
      <c r="AM108">
        <f>IF($D108=1,IF(GDP_per_cap!AI122&gt;'all_1961-1990'!$H$1,0,IF(UrbanPopRate!AI122&gt;=$J$1,0,1)),0)</f>
        <v>0</v>
      </c>
      <c r="AN108">
        <f>IF($D108=1,IF(GDP_per_cap!AJ122&gt;'all_1961-1990'!$H$1,0,IF(UrbanPopRate!AJ122&gt;=$J$1,0,1)),0)</f>
        <v>0</v>
      </c>
      <c r="AO108">
        <f>IF($D108=1,IF(GDP_per_cap!AK122&gt;'all_1961-1990'!$H$1,0,IF(UrbanPopRate!AK122&gt;=$J$1,0,1)),0)</f>
        <v>0</v>
      </c>
      <c r="AP108">
        <f>IF($D108=1,IF(GDP_per_cap!AL122&gt;'all_1961-1990'!$H$1,0,IF(UrbanPopRate!AL122&gt;=$J$1,0,1)),0)</f>
        <v>0</v>
      </c>
      <c r="AQ108">
        <f>IF($D108=1,IF(GDP_per_cap!AM122&gt;'all_1961-1990'!$H$1,0,IF(UrbanPopRate!AM122&gt;=$J$1,0,1)),0)</f>
        <v>0</v>
      </c>
      <c r="AR108">
        <f>IF($D108=1,IF(GDP_per_cap!AN122&gt;'all_1961-1990'!$H$1,0,IF(UrbanPopRate!AN122&gt;=$J$1,0,1)),0)</f>
        <v>0</v>
      </c>
      <c r="AS108">
        <f>IF($D108=1,IF(GDP_per_cap!AO122&gt;'all_1961-1990'!$H$1,0,IF(UrbanPopRate!AO122&gt;=$J$1,0,1)),0)</f>
        <v>0</v>
      </c>
      <c r="AT108">
        <f>IF($D108=1,IF(GDP_per_cap!AP122&gt;'all_1961-1990'!$H$1,0,IF(UrbanPopRate!AP122&gt;=$J$1,0,1)),0)</f>
        <v>0</v>
      </c>
      <c r="AU108">
        <f>IF($D108=1,IF(GDP_per_cap!AQ122&gt;'all_1961-1990'!$H$1,0,IF(UrbanPopRate!AQ122&gt;=$J$1,0,1)),0)</f>
        <v>0</v>
      </c>
      <c r="AV108">
        <f>IF($D108=1,IF(GDP_per_cap!AR122&gt;'all_1961-1990'!$H$1,0,IF(UrbanPopRate!AR122&gt;=$J$1,0,1)),0)</f>
        <v>0</v>
      </c>
      <c r="AW108">
        <f>IF($D108=1,IF(GDP_per_cap!AS122&gt;'all_1961-1990'!$H$1,0,IF(UrbanPopRate!AS122&gt;=$J$1,0,1)),0)</f>
        <v>0</v>
      </c>
      <c r="AX108">
        <f>IF($D108=1,IF(GDP_per_cap!AT122&gt;'all_1961-1990'!$H$1,0,IF(UrbanPopRate!AT122&gt;=$J$1,0,1)),0)</f>
        <v>0</v>
      </c>
      <c r="AY108">
        <f>IF($D108=1,IF(GDP_per_cap!AU122&gt;'all_1961-1990'!$H$1,0,IF(UrbanPopRate!AU122&gt;=$J$1,0,1)),0)</f>
        <v>0</v>
      </c>
      <c r="AZ108">
        <f>IF($D108=1,IF(GDP_per_cap!AV122&gt;'all_1961-1990'!$H$1,0,IF(UrbanPopRate!AV122&gt;=$J$1,0,1)),0)</f>
        <v>0</v>
      </c>
      <c r="BA108">
        <f>IF($D108=1,IF(GDP_per_cap!AW122&gt;'all_1961-1990'!$H$1,0,IF(UrbanPopRate!AW122&gt;=$J$1,0,1)),0)</f>
        <v>0</v>
      </c>
      <c r="BB108">
        <f>IF($D108=1,IF(GDP_per_cap!AX122&gt;'all_1961-1990'!$H$1,0,IF(UrbanPopRate!AX122&gt;=$J$1,0,1)),0)</f>
        <v>0</v>
      </c>
      <c r="BC108">
        <f>IF($D108=1,IF(GDP_per_cap!AY122&gt;'all_1961-1990'!$H$1,0,IF(UrbanPopRate!AY122&gt;=$J$1,0,1)),0)</f>
        <v>0</v>
      </c>
      <c r="BD108">
        <f>IF($D108=1,IF(GDP_per_cap!AZ122&gt;'all_1961-1990'!$H$1,0,IF(UrbanPopRate!AZ122&gt;=$J$1,0,1)),0)</f>
        <v>0</v>
      </c>
      <c r="BE108">
        <f>IF($D108=1,IF(GDP_per_cap!BA122&gt;'all_1961-1990'!$H$1,0,IF(UrbanPopRate!BA122&gt;=$J$1,0,1)),0)</f>
        <v>0</v>
      </c>
      <c r="BF108">
        <f>IF($D108=1,IF(GDP_per_cap!BB122&gt;'all_1961-1990'!$H$1,0,IF(UrbanPopRate!BB122&gt;=$J$1,0,1)),0)</f>
        <v>0</v>
      </c>
    </row>
    <row r="109" spans="1:58">
      <c r="A109" s="3">
        <v>242</v>
      </c>
      <c r="B109" s="3" t="s">
        <v>1</v>
      </c>
      <c r="C109" s="2">
        <v>4</v>
      </c>
      <c r="D109" s="35">
        <v>1</v>
      </c>
      <c r="E109" s="2">
        <v>33.171533333333336</v>
      </c>
      <c r="F109" s="36">
        <v>1363.586</v>
      </c>
      <c r="G109">
        <f>IF($D109=1,IF(GDP_per_cap!C155&gt;'all_1961-1990'!$H$1,0,IF(UrbanPopRate!C155&gt;=$J$1,0,1)),0)</f>
        <v>1</v>
      </c>
      <c r="H109">
        <f>IF($D109=1,IF(GDP_per_cap!D155&gt;'all_1961-1990'!$H$1,0,IF(UrbanPopRate!D155&gt;=$J$1,0,1)),0)</f>
        <v>1</v>
      </c>
      <c r="I109">
        <f>IF($D109=1,IF(GDP_per_cap!E155&gt;'all_1961-1990'!$H$1,0,IF(UrbanPopRate!E155&gt;=$J$1,0,1)),0)</f>
        <v>1</v>
      </c>
      <c r="J109">
        <f>IF($D109=1,IF(GDP_per_cap!F155&gt;'all_1961-1990'!$H$1,0,IF(UrbanPopRate!F155&gt;=$J$1,0,1)),0)</f>
        <v>1</v>
      </c>
      <c r="K109">
        <f>IF($D109=1,IF(GDP_per_cap!G155&gt;'all_1961-1990'!$H$1,0,IF(UrbanPopRate!G155&gt;=$J$1,0,1)),0)</f>
        <v>1</v>
      </c>
      <c r="L109">
        <f>IF($D109=1,IF(GDP_per_cap!H155&gt;'all_1961-1990'!$H$1,0,IF(UrbanPopRate!H155&gt;=$J$1,0,1)),0)</f>
        <v>1</v>
      </c>
      <c r="M109">
        <f>IF($D109=1,IF(GDP_per_cap!I155&gt;'all_1961-1990'!$H$1,0,IF(UrbanPopRate!I155&gt;=$J$1,0,1)),0)</f>
        <v>0</v>
      </c>
      <c r="N109">
        <f>IF($D109=1,IF(GDP_per_cap!J155&gt;'all_1961-1990'!$H$1,0,IF(UrbanPopRate!J155&gt;=$J$1,0,1)),0)</f>
        <v>0</v>
      </c>
      <c r="O109">
        <f>IF($D109=1,IF(GDP_per_cap!K155&gt;'all_1961-1990'!$H$1,0,IF(UrbanPopRate!K155&gt;=$J$1,0,1)),0)</f>
        <v>0</v>
      </c>
      <c r="P109">
        <f>IF($D109=1,IF(GDP_per_cap!L155&gt;'all_1961-1990'!$H$1,0,IF(UrbanPopRate!L155&gt;=$J$1,0,1)),0)</f>
        <v>0</v>
      </c>
      <c r="Q109">
        <f>IF($D109=1,IF(GDP_per_cap!M155&gt;'all_1961-1990'!$H$1,0,IF(UrbanPopRate!M155&gt;=$J$1,0,1)),0)</f>
        <v>0</v>
      </c>
      <c r="R109">
        <f>IF($D109=1,IF(GDP_per_cap!N155&gt;'all_1961-1990'!$H$1,0,IF(UrbanPopRate!N155&gt;=$J$1,0,1)),0)</f>
        <v>0</v>
      </c>
      <c r="S109">
        <f>IF($D109=1,IF(GDP_per_cap!O155&gt;'all_1961-1990'!$H$1,0,IF(UrbanPopRate!O155&gt;=$J$1,0,1)),0)</f>
        <v>0</v>
      </c>
      <c r="T109">
        <f>IF($D109=1,IF(GDP_per_cap!P155&gt;'all_1961-1990'!$H$1,0,IF(UrbanPopRate!P155&gt;=$J$1,0,1)),0)</f>
        <v>0</v>
      </c>
      <c r="U109">
        <f>IF($D109=1,IF(GDP_per_cap!Q155&gt;'all_1961-1990'!$H$1,0,IF(UrbanPopRate!Q155&gt;=$J$1,0,1)),0)</f>
        <v>0</v>
      </c>
      <c r="V109">
        <f>IF($D109=1,IF(GDP_per_cap!R155&gt;'all_1961-1990'!$H$1,0,IF(UrbanPopRate!R155&gt;=$J$1,0,1)),0)</f>
        <v>0</v>
      </c>
      <c r="W109">
        <f>IF($D109=1,IF(GDP_per_cap!S155&gt;'all_1961-1990'!$H$1,0,IF(UrbanPopRate!S155&gt;=$J$1,0,1)),0)</f>
        <v>0</v>
      </c>
      <c r="X109">
        <f>IF($D109=1,IF(GDP_per_cap!T155&gt;'all_1961-1990'!$H$1,0,IF(UrbanPopRate!T155&gt;=$J$1,0,1)),0)</f>
        <v>0</v>
      </c>
      <c r="Y109">
        <f>IF($D109=1,IF(GDP_per_cap!U155&gt;'all_1961-1990'!$H$1,0,IF(UrbanPopRate!U155&gt;=$J$1,0,1)),0)</f>
        <v>0</v>
      </c>
      <c r="Z109">
        <f>IF($D109=1,IF(GDP_per_cap!V155&gt;'all_1961-1990'!$H$1,0,IF(UrbanPopRate!V155&gt;=$J$1,0,1)),0)</f>
        <v>0</v>
      </c>
      <c r="AA109">
        <f>IF($D109=1,IF(GDP_per_cap!W155&gt;'all_1961-1990'!$H$1,0,IF(UrbanPopRate!W155&gt;=$J$1,0,1)),0)</f>
        <v>0</v>
      </c>
      <c r="AB109">
        <f>IF($D109=1,IF(GDP_per_cap!X155&gt;'all_1961-1990'!$H$1,0,IF(UrbanPopRate!X155&gt;=$J$1,0,1)),0)</f>
        <v>0</v>
      </c>
      <c r="AC109">
        <f>IF($D109=1,IF(GDP_per_cap!Y155&gt;'all_1961-1990'!$H$1,0,IF(UrbanPopRate!Y155&gt;=$J$1,0,1)),0)</f>
        <v>0</v>
      </c>
      <c r="AD109">
        <f>IF($D109=1,IF(GDP_per_cap!Z155&gt;'all_1961-1990'!$H$1,0,IF(UrbanPopRate!Z155&gt;=$J$1,0,1)),0)</f>
        <v>0</v>
      </c>
      <c r="AE109">
        <f>IF($D109=1,IF(GDP_per_cap!AA155&gt;'all_1961-1990'!$H$1,0,IF(UrbanPopRate!AA155&gt;=$J$1,0,1)),0)</f>
        <v>0</v>
      </c>
      <c r="AF109">
        <f>IF($D109=1,IF(GDP_per_cap!AB155&gt;'all_1961-1990'!$H$1,0,IF(UrbanPopRate!AB155&gt;=$J$1,0,1)),0)</f>
        <v>0</v>
      </c>
      <c r="AG109">
        <f>IF($D109=1,IF(GDP_per_cap!AC155&gt;'all_1961-1990'!$H$1,0,IF(UrbanPopRate!AC155&gt;=$J$1,0,1)),0)</f>
        <v>0</v>
      </c>
      <c r="AH109">
        <f>IF($D109=1,IF(GDP_per_cap!AD155&gt;'all_1961-1990'!$H$1,0,IF(UrbanPopRate!AD155&gt;=$J$1,0,1)),0)</f>
        <v>0</v>
      </c>
      <c r="AI109">
        <f>IF($D109=1,IF(GDP_per_cap!AE155&gt;'all_1961-1990'!$H$1,0,IF(UrbanPopRate!AE155&gt;=$J$1,0,1)),0)</f>
        <v>0</v>
      </c>
      <c r="AJ109">
        <f>IF($D109=1,IF(GDP_per_cap!AF155&gt;'all_1961-1990'!$H$1,0,IF(UrbanPopRate!AF155&gt;=$J$1,0,1)),0)</f>
        <v>0</v>
      </c>
      <c r="AK109">
        <f>IF($D109=1,IF(GDP_per_cap!AG155&gt;'all_1961-1990'!$H$1,0,IF(UrbanPopRate!AG155&gt;=$J$1,0,1)),0)</f>
        <v>0</v>
      </c>
      <c r="AL109">
        <f>IF($D109=1,IF(GDP_per_cap!AH155&gt;'all_1961-1990'!$H$1,0,IF(UrbanPopRate!AH155&gt;=$J$1,0,1)),0)</f>
        <v>0</v>
      </c>
      <c r="AM109">
        <f>IF($D109=1,IF(GDP_per_cap!AI155&gt;'all_1961-1990'!$H$1,0,IF(UrbanPopRate!AI155&gt;=$J$1,0,1)),0)</f>
        <v>0</v>
      </c>
      <c r="AN109">
        <f>IF($D109=1,IF(GDP_per_cap!AJ155&gt;'all_1961-1990'!$H$1,0,IF(UrbanPopRate!AJ155&gt;=$J$1,0,1)),0)</f>
        <v>0</v>
      </c>
      <c r="AO109">
        <f>IF($D109=1,IF(GDP_per_cap!AK155&gt;'all_1961-1990'!$H$1,0,IF(UrbanPopRate!AK155&gt;=$J$1,0,1)),0)</f>
        <v>0</v>
      </c>
      <c r="AP109">
        <f>IF($D109=1,IF(GDP_per_cap!AL155&gt;'all_1961-1990'!$H$1,0,IF(UrbanPopRate!AL155&gt;=$J$1,0,1)),0)</f>
        <v>0</v>
      </c>
      <c r="AQ109">
        <f>IF($D109=1,IF(GDP_per_cap!AM155&gt;'all_1961-1990'!$H$1,0,IF(UrbanPopRate!AM155&gt;=$J$1,0,1)),0)</f>
        <v>0</v>
      </c>
      <c r="AR109">
        <f>IF($D109=1,IF(GDP_per_cap!AN155&gt;'all_1961-1990'!$H$1,0,IF(UrbanPopRate!AN155&gt;=$J$1,0,1)),0)</f>
        <v>0</v>
      </c>
      <c r="AS109">
        <f>IF($D109=1,IF(GDP_per_cap!AO155&gt;'all_1961-1990'!$H$1,0,IF(UrbanPopRate!AO155&gt;=$J$1,0,1)),0)</f>
        <v>0</v>
      </c>
      <c r="AT109">
        <f>IF($D109=1,IF(GDP_per_cap!AP155&gt;'all_1961-1990'!$H$1,0,IF(UrbanPopRate!AP155&gt;=$J$1,0,1)),0)</f>
        <v>0</v>
      </c>
      <c r="AU109">
        <f>IF($D109=1,IF(GDP_per_cap!AQ155&gt;'all_1961-1990'!$H$1,0,IF(UrbanPopRate!AQ155&gt;=$J$1,0,1)),0)</f>
        <v>0</v>
      </c>
      <c r="AV109">
        <f>IF($D109=1,IF(GDP_per_cap!AR155&gt;'all_1961-1990'!$H$1,0,IF(UrbanPopRate!AR155&gt;=$J$1,0,1)),0)</f>
        <v>0</v>
      </c>
      <c r="AW109">
        <f>IF($D109=1,IF(GDP_per_cap!AS155&gt;'all_1961-1990'!$H$1,0,IF(UrbanPopRate!AS155&gt;=$J$1,0,1)),0)</f>
        <v>0</v>
      </c>
      <c r="AX109">
        <f>IF($D109=1,IF(GDP_per_cap!AT155&gt;'all_1961-1990'!$H$1,0,IF(UrbanPopRate!AT155&gt;=$J$1,0,1)),0)</f>
        <v>0</v>
      </c>
      <c r="AY109">
        <f>IF($D109=1,IF(GDP_per_cap!AU155&gt;'all_1961-1990'!$H$1,0,IF(UrbanPopRate!AU155&gt;=$J$1,0,1)),0)</f>
        <v>0</v>
      </c>
      <c r="AZ109">
        <f>IF($D109=1,IF(GDP_per_cap!AV155&gt;'all_1961-1990'!$H$1,0,IF(UrbanPopRate!AV155&gt;=$J$1,0,1)),0)</f>
        <v>0</v>
      </c>
      <c r="BA109">
        <f>IF($D109=1,IF(GDP_per_cap!AW155&gt;'all_1961-1990'!$H$1,0,IF(UrbanPopRate!AW155&gt;=$J$1,0,1)),0)</f>
        <v>0</v>
      </c>
      <c r="BB109">
        <f>IF($D109=1,IF(GDP_per_cap!AX155&gt;'all_1961-1990'!$H$1,0,IF(UrbanPopRate!AX155&gt;=$J$1,0,1)),0)</f>
        <v>0</v>
      </c>
      <c r="BC109">
        <f>IF($D109=1,IF(GDP_per_cap!AY155&gt;'all_1961-1990'!$H$1,0,IF(UrbanPopRate!AY155&gt;=$J$1,0,1)),0)</f>
        <v>0</v>
      </c>
      <c r="BD109">
        <f>IF($D109=1,IF(GDP_per_cap!AZ155&gt;'all_1961-1990'!$H$1,0,IF(UrbanPopRate!AZ155&gt;=$J$1,0,1)),0)</f>
        <v>0</v>
      </c>
      <c r="BE109">
        <f>IF($D109=1,IF(GDP_per_cap!BA155&gt;'all_1961-1990'!$H$1,0,IF(UrbanPopRate!BA155&gt;=$J$1,0,1)),0)</f>
        <v>0</v>
      </c>
      <c r="BF109">
        <f>IF($D109=1,IF(GDP_per_cap!BB155&gt;'all_1961-1990'!$H$1,0,IF(UrbanPopRate!BB155&gt;=$J$1,0,1)),0)</f>
        <v>0</v>
      </c>
    </row>
    <row r="110" spans="1:58">
      <c r="A110" s="3">
        <v>114</v>
      </c>
      <c r="B110" s="3" t="s">
        <v>83</v>
      </c>
      <c r="C110" s="2">
        <v>4</v>
      </c>
      <c r="D110" s="35">
        <v>1</v>
      </c>
      <c r="E110" s="2">
        <v>12.744933333333334</v>
      </c>
      <c r="F110" s="36">
        <v>1351.5256260000001</v>
      </c>
      <c r="G110">
        <f>IF($D110=1,IF(GDP_per_cap!C73&gt;'all_1961-1990'!$H$1,0,IF(UrbanPopRate!C73&gt;=$J$1,0,1)),0)</f>
        <v>1</v>
      </c>
      <c r="H110">
        <f>IF($D110=1,IF(GDP_per_cap!D73&gt;'all_1961-1990'!$H$1,0,IF(UrbanPopRate!D73&gt;=$J$1,0,1)),0)</f>
        <v>1</v>
      </c>
      <c r="I110">
        <f>IF($D110=1,IF(GDP_per_cap!E73&gt;'all_1961-1990'!$H$1,0,IF(UrbanPopRate!E73&gt;=$J$1,0,1)),0)</f>
        <v>1</v>
      </c>
      <c r="J110">
        <f>IF($D110=1,IF(GDP_per_cap!F73&gt;'all_1961-1990'!$H$1,0,IF(UrbanPopRate!F73&gt;=$J$1,0,1)),0)</f>
        <v>1</v>
      </c>
      <c r="K110">
        <f>IF($D110=1,IF(GDP_per_cap!G73&gt;'all_1961-1990'!$H$1,0,IF(UrbanPopRate!G73&gt;=$J$1,0,1)),0)</f>
        <v>1</v>
      </c>
      <c r="L110">
        <f>IF($D110=1,IF(GDP_per_cap!H73&gt;'all_1961-1990'!$H$1,0,IF(UrbanPopRate!H73&gt;=$J$1,0,1)),0)</f>
        <v>1</v>
      </c>
      <c r="M110">
        <f>IF($D110=1,IF(GDP_per_cap!I73&gt;'all_1961-1990'!$H$1,0,IF(UrbanPopRate!I73&gt;=$J$1,0,1)),0)</f>
        <v>1</v>
      </c>
      <c r="N110">
        <f>IF($D110=1,IF(GDP_per_cap!J73&gt;'all_1961-1990'!$H$1,0,IF(UrbanPopRate!J73&gt;=$J$1,0,1)),0)</f>
        <v>1</v>
      </c>
      <c r="O110">
        <f>IF($D110=1,IF(GDP_per_cap!K73&gt;'all_1961-1990'!$H$1,0,IF(UrbanPopRate!K73&gt;=$J$1,0,1)),0)</f>
        <v>1</v>
      </c>
      <c r="P110">
        <f>IF($D110=1,IF(GDP_per_cap!L73&gt;'all_1961-1990'!$H$1,0,IF(UrbanPopRate!L73&gt;=$J$1,0,1)),0)</f>
        <v>1</v>
      </c>
      <c r="Q110">
        <f>IF($D110=1,IF(GDP_per_cap!M73&gt;'all_1961-1990'!$H$1,0,IF(UrbanPopRate!M73&gt;=$J$1,0,1)),0)</f>
        <v>1</v>
      </c>
      <c r="R110">
        <f>IF($D110=1,IF(GDP_per_cap!N73&gt;'all_1961-1990'!$H$1,0,IF(UrbanPopRate!N73&gt;=$J$1,0,1)),0)</f>
        <v>1</v>
      </c>
      <c r="S110">
        <f>IF($D110=1,IF(GDP_per_cap!O73&gt;'all_1961-1990'!$H$1,0,IF(UrbanPopRate!O73&gt;=$J$1,0,1)),0)</f>
        <v>1</v>
      </c>
      <c r="T110">
        <f>IF($D110=1,IF(GDP_per_cap!P73&gt;'all_1961-1990'!$H$1,0,IF(UrbanPopRate!P73&gt;=$J$1,0,1)),0)</f>
        <v>1</v>
      </c>
      <c r="U110">
        <f>IF($D110=1,IF(GDP_per_cap!Q73&gt;'all_1961-1990'!$H$1,0,IF(UrbanPopRate!Q73&gt;=$J$1,0,1)),0)</f>
        <v>1</v>
      </c>
      <c r="V110">
        <f>IF($D110=1,IF(GDP_per_cap!R73&gt;'all_1961-1990'!$H$1,0,IF(UrbanPopRate!R73&gt;=$J$1,0,1)),0)</f>
        <v>1</v>
      </c>
      <c r="W110">
        <f>IF($D110=1,IF(GDP_per_cap!S73&gt;'all_1961-1990'!$H$1,0,IF(UrbanPopRate!S73&gt;=$J$1,0,1)),0)</f>
        <v>1</v>
      </c>
      <c r="X110">
        <f>IF($D110=1,IF(GDP_per_cap!T73&gt;'all_1961-1990'!$H$1,0,IF(UrbanPopRate!T73&gt;=$J$1,0,1)),0)</f>
        <v>1</v>
      </c>
      <c r="Y110">
        <f>IF($D110=1,IF(GDP_per_cap!U73&gt;'all_1961-1990'!$H$1,0,IF(UrbanPopRate!U73&gt;=$J$1,0,1)),0)</f>
        <v>1</v>
      </c>
      <c r="Z110">
        <f>IF($D110=1,IF(GDP_per_cap!V73&gt;'all_1961-1990'!$H$1,0,IF(UrbanPopRate!V73&gt;=$J$1,0,1)),0)</f>
        <v>1</v>
      </c>
      <c r="AA110">
        <f>IF($D110=1,IF(GDP_per_cap!W73&gt;'all_1961-1990'!$H$1,0,IF(UrbanPopRate!W73&gt;=$J$1,0,1)),0)</f>
        <v>1</v>
      </c>
      <c r="AB110">
        <f>IF($D110=1,IF(GDP_per_cap!X73&gt;'all_1961-1990'!$H$1,0,IF(UrbanPopRate!X73&gt;=$J$1,0,1)),0)</f>
        <v>1</v>
      </c>
      <c r="AC110">
        <f>IF($D110=1,IF(GDP_per_cap!Y73&gt;'all_1961-1990'!$H$1,0,IF(UrbanPopRate!Y73&gt;=$J$1,0,1)),0)</f>
        <v>1</v>
      </c>
      <c r="AD110">
        <f>IF($D110=1,IF(GDP_per_cap!Z73&gt;'all_1961-1990'!$H$1,0,IF(UrbanPopRate!Z73&gt;=$J$1,0,1)),0)</f>
        <v>1</v>
      </c>
      <c r="AE110">
        <f>IF($D110=1,IF(GDP_per_cap!AA73&gt;'all_1961-1990'!$H$1,0,IF(UrbanPopRate!AA73&gt;=$J$1,0,1)),0)</f>
        <v>1</v>
      </c>
      <c r="AF110">
        <f>IF($D110=1,IF(GDP_per_cap!AB73&gt;'all_1961-1990'!$H$1,0,IF(UrbanPopRate!AB73&gt;=$J$1,0,1)),0)</f>
        <v>1</v>
      </c>
      <c r="AG110">
        <f>IF($D110=1,IF(GDP_per_cap!AC73&gt;'all_1961-1990'!$H$1,0,IF(UrbanPopRate!AC73&gt;=$J$1,0,1)),0)</f>
        <v>1</v>
      </c>
      <c r="AH110">
        <f>IF($D110=1,IF(GDP_per_cap!AD73&gt;'all_1961-1990'!$H$1,0,IF(UrbanPopRate!AD73&gt;=$J$1,0,1)),0)</f>
        <v>1</v>
      </c>
      <c r="AI110">
        <f>IF($D110=1,IF(GDP_per_cap!AE73&gt;'all_1961-1990'!$H$1,0,IF(UrbanPopRate!AE73&gt;=$J$1,0,1)),0)</f>
        <v>1</v>
      </c>
      <c r="AJ110">
        <f>IF($D110=1,IF(GDP_per_cap!AF73&gt;'all_1961-1990'!$H$1,0,IF(UrbanPopRate!AF73&gt;=$J$1,0,1)),0)</f>
        <v>1</v>
      </c>
      <c r="AK110">
        <f>IF($D110=1,IF(GDP_per_cap!AG73&gt;'all_1961-1990'!$H$1,0,IF(UrbanPopRate!AG73&gt;=$J$1,0,1)),0)</f>
        <v>1</v>
      </c>
      <c r="AL110">
        <f>IF($D110=1,IF(GDP_per_cap!AH73&gt;'all_1961-1990'!$H$1,0,IF(UrbanPopRate!AH73&gt;=$J$1,0,1)),0)</f>
        <v>1</v>
      </c>
      <c r="AM110">
        <f>IF($D110=1,IF(GDP_per_cap!AI73&gt;'all_1961-1990'!$H$1,0,IF(UrbanPopRate!AI73&gt;=$J$1,0,1)),0)</f>
        <v>1</v>
      </c>
      <c r="AN110">
        <f>IF($D110=1,IF(GDP_per_cap!AJ73&gt;'all_1961-1990'!$H$1,0,IF(UrbanPopRate!AJ73&gt;=$J$1,0,1)),0)</f>
        <v>1</v>
      </c>
      <c r="AO110">
        <f>IF($D110=1,IF(GDP_per_cap!AK73&gt;'all_1961-1990'!$H$1,0,IF(UrbanPopRate!AK73&gt;=$J$1,0,1)),0)</f>
        <v>1</v>
      </c>
      <c r="AP110">
        <f>IF($D110=1,IF(GDP_per_cap!AL73&gt;'all_1961-1990'!$H$1,0,IF(UrbanPopRate!AL73&gt;=$J$1,0,1)),0)</f>
        <v>1</v>
      </c>
      <c r="AQ110">
        <f>IF($D110=1,IF(GDP_per_cap!AM73&gt;'all_1961-1990'!$H$1,0,IF(UrbanPopRate!AM73&gt;=$J$1,0,1)),0)</f>
        <v>1</v>
      </c>
      <c r="AR110">
        <f>IF($D110=1,IF(GDP_per_cap!AN73&gt;'all_1961-1990'!$H$1,0,IF(UrbanPopRate!AN73&gt;=$J$1,0,1)),0)</f>
        <v>1</v>
      </c>
      <c r="AS110">
        <f>IF($D110=1,IF(GDP_per_cap!AO73&gt;'all_1961-1990'!$H$1,0,IF(UrbanPopRate!AO73&gt;=$J$1,0,1)),0)</f>
        <v>1</v>
      </c>
      <c r="AT110">
        <f>IF($D110=1,IF(GDP_per_cap!AP73&gt;'all_1961-1990'!$H$1,0,IF(UrbanPopRate!AP73&gt;=$J$1,0,1)),0)</f>
        <v>1</v>
      </c>
      <c r="AU110">
        <f>IF($D110=1,IF(GDP_per_cap!AQ73&gt;'all_1961-1990'!$H$1,0,IF(UrbanPopRate!AQ73&gt;=$J$1,0,1)),0)</f>
        <v>1</v>
      </c>
      <c r="AV110">
        <f>IF($D110=1,IF(GDP_per_cap!AR73&gt;'all_1961-1990'!$H$1,0,IF(UrbanPopRate!AR73&gt;=$J$1,0,1)),0)</f>
        <v>1</v>
      </c>
      <c r="AW110">
        <f>IF($D110=1,IF(GDP_per_cap!AS73&gt;'all_1961-1990'!$H$1,0,IF(UrbanPopRate!AS73&gt;=$J$1,0,1)),0)</f>
        <v>1</v>
      </c>
      <c r="AX110">
        <f>IF($D110=1,IF(GDP_per_cap!AT73&gt;'all_1961-1990'!$H$1,0,IF(UrbanPopRate!AT73&gt;=$J$1,0,1)),0)</f>
        <v>1</v>
      </c>
      <c r="AY110">
        <f>IF($D110=1,IF(GDP_per_cap!AU73&gt;'all_1961-1990'!$H$1,0,IF(UrbanPopRate!AU73&gt;=$J$1,0,1)),0)</f>
        <v>1</v>
      </c>
      <c r="AZ110">
        <f>IF($D110=1,IF(GDP_per_cap!AV73&gt;'all_1961-1990'!$H$1,0,IF(UrbanPopRate!AV73&gt;=$J$1,0,1)),0)</f>
        <v>1</v>
      </c>
      <c r="BA110">
        <f>IF($D110=1,IF(GDP_per_cap!AW73&gt;'all_1961-1990'!$H$1,0,IF(UrbanPopRate!AW73&gt;=$J$1,0,1)),0)</f>
        <v>1</v>
      </c>
      <c r="BB110">
        <f>IF($D110=1,IF(GDP_per_cap!AX73&gt;'all_1961-1990'!$H$1,0,IF(UrbanPopRate!AX73&gt;=$J$1,0,1)),0)</f>
        <v>1</v>
      </c>
      <c r="BC110">
        <f>IF($D110=1,IF(GDP_per_cap!AY73&gt;'all_1961-1990'!$H$1,0,IF(UrbanPopRate!AY73&gt;=$J$1,0,1)),0)</f>
        <v>1</v>
      </c>
      <c r="BD110">
        <f>IF($D110=1,IF(GDP_per_cap!AZ73&gt;'all_1961-1990'!$H$1,0,IF(UrbanPopRate!AZ73&gt;=$J$1,0,1)),0)</f>
        <v>1</v>
      </c>
      <c r="BE110">
        <f>IF($D110=1,IF(GDP_per_cap!BA73&gt;'all_1961-1990'!$H$1,0,IF(UrbanPopRate!BA73&gt;=$J$1,0,1)),0)</f>
        <v>1</v>
      </c>
      <c r="BF110">
        <f>IF($D110=1,IF(GDP_per_cap!BB73&gt;'all_1961-1990'!$H$1,0,IF(UrbanPopRate!BB73&gt;=$J$1,0,1)),0)</f>
        <v>1</v>
      </c>
    </row>
    <row r="111" spans="1:58">
      <c r="A111" s="3">
        <v>24</v>
      </c>
      <c r="B111" s="3" t="s">
        <v>141</v>
      </c>
      <c r="C111" s="2">
        <v>4</v>
      </c>
      <c r="D111" s="35">
        <v>1</v>
      </c>
      <c r="E111" s="2">
        <v>22.275000000000002</v>
      </c>
      <c r="F111" s="36">
        <v>1177.932652</v>
      </c>
      <c r="G111">
        <f>IF($D111=1,IF(GDP_per_cap!C15&gt;'all_1961-1990'!$H$1,0,IF(UrbanPopRate!C15&gt;=$J$1,0,1)),0)</f>
        <v>1</v>
      </c>
      <c r="H111">
        <f>IF($D111=1,IF(GDP_per_cap!D15&gt;'all_1961-1990'!$H$1,0,IF(UrbanPopRate!D15&gt;=$J$1,0,1)),0)</f>
        <v>1</v>
      </c>
      <c r="I111">
        <f>IF($D111=1,IF(GDP_per_cap!E15&gt;'all_1961-1990'!$H$1,0,IF(UrbanPopRate!E15&gt;=$J$1,0,1)),0)</f>
        <v>1</v>
      </c>
      <c r="J111">
        <f>IF($D111=1,IF(GDP_per_cap!F15&gt;'all_1961-1990'!$H$1,0,IF(UrbanPopRate!F15&gt;=$J$1,0,1)),0)</f>
        <v>1</v>
      </c>
      <c r="K111">
        <f>IF($D111=1,IF(GDP_per_cap!G15&gt;'all_1961-1990'!$H$1,0,IF(UrbanPopRate!G15&gt;=$J$1,0,1)),0)</f>
        <v>1</v>
      </c>
      <c r="L111">
        <f>IF($D111=1,IF(GDP_per_cap!H15&gt;'all_1961-1990'!$H$1,0,IF(UrbanPopRate!H15&gt;=$J$1,0,1)),0)</f>
        <v>1</v>
      </c>
      <c r="M111">
        <f>IF($D111=1,IF(GDP_per_cap!I15&gt;'all_1961-1990'!$H$1,0,IF(UrbanPopRate!I15&gt;=$J$1,0,1)),0)</f>
        <v>1</v>
      </c>
      <c r="N111">
        <f>IF($D111=1,IF(GDP_per_cap!J15&gt;'all_1961-1990'!$H$1,0,IF(UrbanPopRate!J15&gt;=$J$1,0,1)),0)</f>
        <v>1</v>
      </c>
      <c r="O111">
        <f>IF($D111=1,IF(GDP_per_cap!K15&gt;'all_1961-1990'!$H$1,0,IF(UrbanPopRate!K15&gt;=$J$1,0,1)),0)</f>
        <v>1</v>
      </c>
      <c r="P111">
        <f>IF($D111=1,IF(GDP_per_cap!L15&gt;'all_1961-1990'!$H$1,0,IF(UrbanPopRate!L15&gt;=$J$1,0,1)),0)</f>
        <v>1</v>
      </c>
      <c r="Q111">
        <f>IF($D111=1,IF(GDP_per_cap!M15&gt;'all_1961-1990'!$H$1,0,IF(UrbanPopRate!M15&gt;=$J$1,0,1)),0)</f>
        <v>1</v>
      </c>
      <c r="R111">
        <f>IF($D111=1,IF(GDP_per_cap!N15&gt;'all_1961-1990'!$H$1,0,IF(UrbanPopRate!N15&gt;=$J$1,0,1)),0)</f>
        <v>1</v>
      </c>
      <c r="S111">
        <f>IF($D111=1,IF(GDP_per_cap!O15&gt;'all_1961-1990'!$H$1,0,IF(UrbanPopRate!O15&gt;=$J$1,0,1)),0)</f>
        <v>1</v>
      </c>
      <c r="T111">
        <f>IF($D111=1,IF(GDP_per_cap!P15&gt;'all_1961-1990'!$H$1,0,IF(UrbanPopRate!P15&gt;=$J$1,0,1)),0)</f>
        <v>1</v>
      </c>
      <c r="U111">
        <f>IF($D111=1,IF(GDP_per_cap!Q15&gt;'all_1961-1990'!$H$1,0,IF(UrbanPopRate!Q15&gt;=$J$1,0,1)),0)</f>
        <v>1</v>
      </c>
      <c r="V111">
        <f>IF($D111=1,IF(GDP_per_cap!R15&gt;'all_1961-1990'!$H$1,0,IF(UrbanPopRate!R15&gt;=$J$1,0,1)),0)</f>
        <v>1</v>
      </c>
      <c r="W111">
        <f>IF($D111=1,IF(GDP_per_cap!S15&gt;'all_1961-1990'!$H$1,0,IF(UrbanPopRate!S15&gt;=$J$1,0,1)),0)</f>
        <v>1</v>
      </c>
      <c r="X111">
        <f>IF($D111=1,IF(GDP_per_cap!T15&gt;'all_1961-1990'!$H$1,0,IF(UrbanPopRate!T15&gt;=$J$1,0,1)),0)</f>
        <v>0</v>
      </c>
      <c r="Y111">
        <f>IF($D111=1,IF(GDP_per_cap!U15&gt;'all_1961-1990'!$H$1,0,IF(UrbanPopRate!U15&gt;=$J$1,0,1)),0)</f>
        <v>0</v>
      </c>
      <c r="Z111">
        <f>IF($D111=1,IF(GDP_per_cap!V15&gt;'all_1961-1990'!$H$1,0,IF(UrbanPopRate!V15&gt;=$J$1,0,1)),0)</f>
        <v>0</v>
      </c>
      <c r="AA111">
        <f>IF($D111=1,IF(GDP_per_cap!W15&gt;'all_1961-1990'!$H$1,0,IF(UrbanPopRate!W15&gt;=$J$1,0,1)),0)</f>
        <v>0</v>
      </c>
      <c r="AB111">
        <f>IF($D111=1,IF(GDP_per_cap!X15&gt;'all_1961-1990'!$H$1,0,IF(UrbanPopRate!X15&gt;=$J$1,0,1)),0)</f>
        <v>0</v>
      </c>
      <c r="AC111">
        <f>IF($D111=1,IF(GDP_per_cap!Y15&gt;'all_1961-1990'!$H$1,0,IF(UrbanPopRate!Y15&gt;=$J$1,0,1)),0)</f>
        <v>0</v>
      </c>
      <c r="AD111">
        <f>IF($D111=1,IF(GDP_per_cap!Z15&gt;'all_1961-1990'!$H$1,0,IF(UrbanPopRate!Z15&gt;=$J$1,0,1)),0)</f>
        <v>0</v>
      </c>
      <c r="AE111">
        <f>IF($D111=1,IF(GDP_per_cap!AA15&gt;'all_1961-1990'!$H$1,0,IF(UrbanPopRate!AA15&gt;=$J$1,0,1)),0)</f>
        <v>0</v>
      </c>
      <c r="AF111">
        <f>IF($D111=1,IF(GDP_per_cap!AB15&gt;'all_1961-1990'!$H$1,0,IF(UrbanPopRate!AB15&gt;=$J$1,0,1)),0)</f>
        <v>0</v>
      </c>
      <c r="AG111">
        <f>IF($D111=1,IF(GDP_per_cap!AC15&gt;'all_1961-1990'!$H$1,0,IF(UrbanPopRate!AC15&gt;=$J$1,0,1)),0)</f>
        <v>0</v>
      </c>
      <c r="AH111">
        <f>IF($D111=1,IF(GDP_per_cap!AD15&gt;'all_1961-1990'!$H$1,0,IF(UrbanPopRate!AD15&gt;=$J$1,0,1)),0)</f>
        <v>0</v>
      </c>
      <c r="AI111">
        <f>IF($D111=1,IF(GDP_per_cap!AE15&gt;'all_1961-1990'!$H$1,0,IF(UrbanPopRate!AE15&gt;=$J$1,0,1)),0)</f>
        <v>0</v>
      </c>
      <c r="AJ111">
        <f>IF($D111=1,IF(GDP_per_cap!AF15&gt;'all_1961-1990'!$H$1,0,IF(UrbanPopRate!AF15&gt;=$J$1,0,1)),0)</f>
        <v>0</v>
      </c>
      <c r="AK111">
        <f>IF($D111=1,IF(GDP_per_cap!AG15&gt;'all_1961-1990'!$H$1,0,IF(UrbanPopRate!AG15&gt;=$J$1,0,1)),0)</f>
        <v>0</v>
      </c>
      <c r="AL111">
        <f>IF($D111=1,IF(GDP_per_cap!AH15&gt;'all_1961-1990'!$H$1,0,IF(UrbanPopRate!AH15&gt;=$J$1,0,1)),0)</f>
        <v>0</v>
      </c>
      <c r="AM111">
        <f>IF($D111=1,IF(GDP_per_cap!AI15&gt;'all_1961-1990'!$H$1,0,IF(UrbanPopRate!AI15&gt;=$J$1,0,1)),0)</f>
        <v>0</v>
      </c>
      <c r="AN111">
        <f>IF($D111=1,IF(GDP_per_cap!AJ15&gt;'all_1961-1990'!$H$1,0,IF(UrbanPopRate!AJ15&gt;=$J$1,0,1)),0)</f>
        <v>0</v>
      </c>
      <c r="AO111">
        <f>IF($D111=1,IF(GDP_per_cap!AK15&gt;'all_1961-1990'!$H$1,0,IF(UrbanPopRate!AK15&gt;=$J$1,0,1)),0)</f>
        <v>0</v>
      </c>
      <c r="AP111">
        <f>IF($D111=1,IF(GDP_per_cap!AL15&gt;'all_1961-1990'!$H$1,0,IF(UrbanPopRate!AL15&gt;=$J$1,0,1)),0)</f>
        <v>0</v>
      </c>
      <c r="AQ111">
        <f>IF($D111=1,IF(GDP_per_cap!AM15&gt;'all_1961-1990'!$H$1,0,IF(UrbanPopRate!AM15&gt;=$J$1,0,1)),0)</f>
        <v>0</v>
      </c>
      <c r="AR111">
        <f>IF($D111=1,IF(GDP_per_cap!AN15&gt;'all_1961-1990'!$H$1,0,IF(UrbanPopRate!AN15&gt;=$J$1,0,1)),0)</f>
        <v>0</v>
      </c>
      <c r="AS111">
        <f>IF($D111=1,IF(GDP_per_cap!AO15&gt;'all_1961-1990'!$H$1,0,IF(UrbanPopRate!AO15&gt;=$J$1,0,1)),0)</f>
        <v>0</v>
      </c>
      <c r="AT111">
        <f>IF($D111=1,IF(GDP_per_cap!AP15&gt;'all_1961-1990'!$H$1,0,IF(UrbanPopRate!AP15&gt;=$J$1,0,1)),0)</f>
        <v>0</v>
      </c>
      <c r="AU111">
        <f>IF($D111=1,IF(GDP_per_cap!AQ15&gt;'all_1961-1990'!$H$1,0,IF(UrbanPopRate!AQ15&gt;=$J$1,0,1)),0)</f>
        <v>0</v>
      </c>
      <c r="AV111">
        <f>IF($D111=1,IF(GDP_per_cap!AR15&gt;'all_1961-1990'!$H$1,0,IF(UrbanPopRate!AR15&gt;=$J$1,0,1)),0)</f>
        <v>0</v>
      </c>
      <c r="AW111">
        <f>IF($D111=1,IF(GDP_per_cap!AS15&gt;'all_1961-1990'!$H$1,0,IF(UrbanPopRate!AS15&gt;=$J$1,0,1)),0)</f>
        <v>0</v>
      </c>
      <c r="AX111">
        <f>IF($D111=1,IF(GDP_per_cap!AT15&gt;'all_1961-1990'!$H$1,0,IF(UrbanPopRate!AT15&gt;=$J$1,0,1)),0)</f>
        <v>0</v>
      </c>
      <c r="AY111">
        <f>IF($D111=1,IF(GDP_per_cap!AU15&gt;'all_1961-1990'!$H$1,0,IF(UrbanPopRate!AU15&gt;=$J$1,0,1)),0)</f>
        <v>0</v>
      </c>
      <c r="AZ111">
        <f>IF($D111=1,IF(GDP_per_cap!AV15&gt;'all_1961-1990'!$H$1,0,IF(UrbanPopRate!AV15&gt;=$J$1,0,1)),0)</f>
        <v>0</v>
      </c>
      <c r="BA111">
        <f>IF($D111=1,IF(GDP_per_cap!AW15&gt;'all_1961-1990'!$H$1,0,IF(UrbanPopRate!AW15&gt;=$J$1,0,1)),0)</f>
        <v>0</v>
      </c>
      <c r="BB111">
        <f>IF($D111=1,IF(GDP_per_cap!AX15&gt;'all_1961-1990'!$H$1,0,IF(UrbanPopRate!AX15&gt;=$J$1,0,1)),0)</f>
        <v>0</v>
      </c>
      <c r="BC111">
        <f>IF($D111=1,IF(GDP_per_cap!AY15&gt;'all_1961-1990'!$H$1,0,IF(UrbanPopRate!AY15&gt;=$J$1,0,1)),0)</f>
        <v>0</v>
      </c>
      <c r="BD111">
        <f>IF($D111=1,IF(GDP_per_cap!AZ15&gt;'all_1961-1990'!$H$1,0,IF(UrbanPopRate!AZ15&gt;=$J$1,0,1)),0)</f>
        <v>0</v>
      </c>
      <c r="BE111">
        <f>IF($D111=1,IF(GDP_per_cap!BA15&gt;'all_1961-1990'!$H$1,0,IF(UrbanPopRate!BA15&gt;=$J$1,0,1)),0)</f>
        <v>0</v>
      </c>
      <c r="BF111">
        <f>IF($D111=1,IF(GDP_per_cap!BB15&gt;'all_1961-1990'!$H$1,0,IF(UrbanPopRate!BB15&gt;=$J$1,0,1)),0)</f>
        <v>0</v>
      </c>
    </row>
    <row r="112" spans="1:58">
      <c r="A112" s="3">
        <v>101</v>
      </c>
      <c r="B112" s="3" t="s">
        <v>94</v>
      </c>
      <c r="C112" s="2">
        <v>4</v>
      </c>
      <c r="D112" s="35">
        <v>1</v>
      </c>
      <c r="E112" s="2">
        <v>21.636800000000001</v>
      </c>
      <c r="F112" s="36">
        <v>1063.579706</v>
      </c>
      <c r="G112">
        <f>IF($D112=1,IF(GDP_per_cap!C62&gt;'all_1961-1990'!$H$1,0,IF(UrbanPopRate!C62&gt;=$J$1,0,1)),0)</f>
        <v>1</v>
      </c>
      <c r="H112">
        <f>IF($D112=1,IF(GDP_per_cap!D62&gt;'all_1961-1990'!$H$1,0,IF(UrbanPopRate!D62&gt;=$J$1,0,1)),0)</f>
        <v>1</v>
      </c>
      <c r="I112">
        <f>IF($D112=1,IF(GDP_per_cap!E62&gt;'all_1961-1990'!$H$1,0,IF(UrbanPopRate!E62&gt;=$J$1,0,1)),0)</f>
        <v>1</v>
      </c>
      <c r="J112">
        <f>IF($D112=1,IF(GDP_per_cap!F62&gt;'all_1961-1990'!$H$1,0,IF(UrbanPopRate!F62&gt;=$J$1,0,1)),0)</f>
        <v>1</v>
      </c>
      <c r="K112">
        <f>IF($D112=1,IF(GDP_per_cap!G62&gt;'all_1961-1990'!$H$1,0,IF(UrbanPopRate!G62&gt;=$J$1,0,1)),0)</f>
        <v>1</v>
      </c>
      <c r="L112">
        <f>IF($D112=1,IF(GDP_per_cap!H62&gt;'all_1961-1990'!$H$1,0,IF(UrbanPopRate!H62&gt;=$J$1,0,1)),0)</f>
        <v>1</v>
      </c>
      <c r="M112">
        <f>IF($D112=1,IF(GDP_per_cap!I62&gt;'all_1961-1990'!$H$1,0,IF(UrbanPopRate!I62&gt;=$J$1,0,1)),0)</f>
        <v>1</v>
      </c>
      <c r="N112">
        <f>IF($D112=1,IF(GDP_per_cap!J62&gt;'all_1961-1990'!$H$1,0,IF(UrbanPopRate!J62&gt;=$J$1,0,1)),0)</f>
        <v>1</v>
      </c>
      <c r="O112">
        <f>IF($D112=1,IF(GDP_per_cap!K62&gt;'all_1961-1990'!$H$1,0,IF(UrbanPopRate!K62&gt;=$J$1,0,1)),0)</f>
        <v>1</v>
      </c>
      <c r="P112">
        <f>IF($D112=1,IF(GDP_per_cap!L62&gt;'all_1961-1990'!$H$1,0,IF(UrbanPopRate!L62&gt;=$J$1,0,1)),0)</f>
        <v>1</v>
      </c>
      <c r="Q112">
        <f>IF($D112=1,IF(GDP_per_cap!M62&gt;'all_1961-1990'!$H$1,0,IF(UrbanPopRate!M62&gt;=$J$1,0,1)),0)</f>
        <v>1</v>
      </c>
      <c r="R112">
        <f>IF($D112=1,IF(GDP_per_cap!N62&gt;'all_1961-1990'!$H$1,0,IF(UrbanPopRate!N62&gt;=$J$1,0,1)),0)</f>
        <v>1</v>
      </c>
      <c r="S112">
        <f>IF($D112=1,IF(GDP_per_cap!O62&gt;'all_1961-1990'!$H$1,0,IF(UrbanPopRate!O62&gt;=$J$1,0,1)),0)</f>
        <v>1</v>
      </c>
      <c r="T112">
        <f>IF($D112=1,IF(GDP_per_cap!P62&gt;'all_1961-1990'!$H$1,0,IF(UrbanPopRate!P62&gt;=$J$1,0,1)),0)</f>
        <v>1</v>
      </c>
      <c r="U112">
        <f>IF($D112=1,IF(GDP_per_cap!Q62&gt;'all_1961-1990'!$H$1,0,IF(UrbanPopRate!Q62&gt;=$J$1,0,1)),0)</f>
        <v>1</v>
      </c>
      <c r="V112">
        <f>IF($D112=1,IF(GDP_per_cap!R62&gt;'all_1961-1990'!$H$1,0,IF(UrbanPopRate!R62&gt;=$J$1,0,1)),0)</f>
        <v>1</v>
      </c>
      <c r="W112">
        <f>IF($D112=1,IF(GDP_per_cap!S62&gt;'all_1961-1990'!$H$1,0,IF(UrbanPopRate!S62&gt;=$J$1,0,1)),0)</f>
        <v>1</v>
      </c>
      <c r="X112">
        <f>IF($D112=1,IF(GDP_per_cap!T62&gt;'all_1961-1990'!$H$1,0,IF(UrbanPopRate!T62&gt;=$J$1,0,1)),0)</f>
        <v>1</v>
      </c>
      <c r="Y112">
        <f>IF($D112=1,IF(GDP_per_cap!U62&gt;'all_1961-1990'!$H$1,0,IF(UrbanPopRate!U62&gt;=$J$1,0,1)),0)</f>
        <v>1</v>
      </c>
      <c r="Z112">
        <f>IF($D112=1,IF(GDP_per_cap!V62&gt;'all_1961-1990'!$H$1,0,IF(UrbanPopRate!V62&gt;=$J$1,0,1)),0)</f>
        <v>1</v>
      </c>
      <c r="AA112">
        <f>IF($D112=1,IF(GDP_per_cap!W62&gt;'all_1961-1990'!$H$1,0,IF(UrbanPopRate!W62&gt;=$J$1,0,1)),0)</f>
        <v>1</v>
      </c>
      <c r="AB112">
        <f>IF($D112=1,IF(GDP_per_cap!X62&gt;'all_1961-1990'!$H$1,0,IF(UrbanPopRate!X62&gt;=$J$1,0,1)),0)</f>
        <v>1</v>
      </c>
      <c r="AC112">
        <f>IF($D112=1,IF(GDP_per_cap!Y62&gt;'all_1961-1990'!$H$1,0,IF(UrbanPopRate!Y62&gt;=$J$1,0,1)),0)</f>
        <v>1</v>
      </c>
      <c r="AD112">
        <f>IF($D112=1,IF(GDP_per_cap!Z62&gt;'all_1961-1990'!$H$1,0,IF(UrbanPopRate!Z62&gt;=$J$1,0,1)),0)</f>
        <v>1</v>
      </c>
      <c r="AE112">
        <f>IF($D112=1,IF(GDP_per_cap!AA62&gt;'all_1961-1990'!$H$1,0,IF(UrbanPopRate!AA62&gt;=$J$1,0,1)),0)</f>
        <v>1</v>
      </c>
      <c r="AF112">
        <f>IF($D112=1,IF(GDP_per_cap!AB62&gt;'all_1961-1990'!$H$1,0,IF(UrbanPopRate!AB62&gt;=$J$1,0,1)),0)</f>
        <v>1</v>
      </c>
      <c r="AG112">
        <f>IF($D112=1,IF(GDP_per_cap!AC62&gt;'all_1961-1990'!$H$1,0,IF(UrbanPopRate!AC62&gt;=$J$1,0,1)),0)</f>
        <v>1</v>
      </c>
      <c r="AH112">
        <f>IF($D112=1,IF(GDP_per_cap!AD62&gt;'all_1961-1990'!$H$1,0,IF(UrbanPopRate!AD62&gt;=$J$1,0,1)),0)</f>
        <v>0</v>
      </c>
      <c r="AI112">
        <f>IF($D112=1,IF(GDP_per_cap!AE62&gt;'all_1961-1990'!$H$1,0,IF(UrbanPopRate!AE62&gt;=$J$1,0,1)),0)</f>
        <v>0</v>
      </c>
      <c r="AJ112">
        <f>IF($D112=1,IF(GDP_per_cap!AF62&gt;'all_1961-1990'!$H$1,0,IF(UrbanPopRate!AF62&gt;=$J$1,0,1)),0)</f>
        <v>0</v>
      </c>
      <c r="AK112">
        <f>IF($D112=1,IF(GDP_per_cap!AG62&gt;'all_1961-1990'!$H$1,0,IF(UrbanPopRate!AG62&gt;=$J$1,0,1)),0)</f>
        <v>0</v>
      </c>
      <c r="AL112">
        <f>IF($D112=1,IF(GDP_per_cap!AH62&gt;'all_1961-1990'!$H$1,0,IF(UrbanPopRate!AH62&gt;=$J$1,0,1)),0)</f>
        <v>0</v>
      </c>
      <c r="AM112">
        <f>IF($D112=1,IF(GDP_per_cap!AI62&gt;'all_1961-1990'!$H$1,0,IF(UrbanPopRate!AI62&gt;=$J$1,0,1)),0)</f>
        <v>0</v>
      </c>
      <c r="AN112">
        <f>IF($D112=1,IF(GDP_per_cap!AJ62&gt;'all_1961-1990'!$H$1,0,IF(UrbanPopRate!AJ62&gt;=$J$1,0,1)),0)</f>
        <v>0</v>
      </c>
      <c r="AO112">
        <f>IF($D112=1,IF(GDP_per_cap!AK62&gt;'all_1961-1990'!$H$1,0,IF(UrbanPopRate!AK62&gt;=$J$1,0,1)),0)</f>
        <v>0</v>
      </c>
      <c r="AP112">
        <f>IF($D112=1,IF(GDP_per_cap!AL62&gt;'all_1961-1990'!$H$1,0,IF(UrbanPopRate!AL62&gt;=$J$1,0,1)),0)</f>
        <v>0</v>
      </c>
      <c r="AQ112">
        <f>IF($D112=1,IF(GDP_per_cap!AM62&gt;'all_1961-1990'!$H$1,0,IF(UrbanPopRate!AM62&gt;=$J$1,0,1)),0)</f>
        <v>0</v>
      </c>
      <c r="AR112">
        <f>IF($D112=1,IF(GDP_per_cap!AN62&gt;'all_1961-1990'!$H$1,0,IF(UrbanPopRate!AN62&gt;=$J$1,0,1)),0)</f>
        <v>0</v>
      </c>
      <c r="AS112">
        <f>IF($D112=1,IF(GDP_per_cap!AO62&gt;'all_1961-1990'!$H$1,0,IF(UrbanPopRate!AO62&gt;=$J$1,0,1)),0)</f>
        <v>0</v>
      </c>
      <c r="AT112">
        <f>IF($D112=1,IF(GDP_per_cap!AP62&gt;'all_1961-1990'!$H$1,0,IF(UrbanPopRate!AP62&gt;=$J$1,0,1)),0)</f>
        <v>0</v>
      </c>
      <c r="AU112">
        <f>IF($D112=1,IF(GDP_per_cap!AQ62&gt;'all_1961-1990'!$H$1,0,IF(UrbanPopRate!AQ62&gt;=$J$1,0,1)),0)</f>
        <v>0</v>
      </c>
      <c r="AV112">
        <f>IF($D112=1,IF(GDP_per_cap!AR62&gt;'all_1961-1990'!$H$1,0,IF(UrbanPopRate!AR62&gt;=$J$1,0,1)),0)</f>
        <v>0</v>
      </c>
      <c r="AW112">
        <f>IF($D112=1,IF(GDP_per_cap!AS62&gt;'all_1961-1990'!$H$1,0,IF(UrbanPopRate!AS62&gt;=$J$1,0,1)),0)</f>
        <v>0</v>
      </c>
      <c r="AX112">
        <f>IF($D112=1,IF(GDP_per_cap!AT62&gt;'all_1961-1990'!$H$1,0,IF(UrbanPopRate!AT62&gt;=$J$1,0,1)),0)</f>
        <v>0</v>
      </c>
      <c r="AY112">
        <f>IF($D112=1,IF(GDP_per_cap!AU62&gt;'all_1961-1990'!$H$1,0,IF(UrbanPopRate!AU62&gt;=$J$1,0,1)),0)</f>
        <v>0</v>
      </c>
      <c r="AZ112">
        <f>IF($D112=1,IF(GDP_per_cap!AV62&gt;'all_1961-1990'!$H$1,0,IF(UrbanPopRate!AV62&gt;=$J$1,0,1)),0)</f>
        <v>0</v>
      </c>
      <c r="BA112">
        <f>IF($D112=1,IF(GDP_per_cap!AW62&gt;'all_1961-1990'!$H$1,0,IF(UrbanPopRate!AW62&gt;=$J$1,0,1)),0)</f>
        <v>0</v>
      </c>
      <c r="BB112">
        <f>IF($D112=1,IF(GDP_per_cap!AX62&gt;'all_1961-1990'!$H$1,0,IF(UrbanPopRate!AX62&gt;=$J$1,0,1)),0)</f>
        <v>0</v>
      </c>
      <c r="BC112">
        <f>IF($D112=1,IF(GDP_per_cap!AY62&gt;'all_1961-1990'!$H$1,0,IF(UrbanPopRate!AY62&gt;=$J$1,0,1)),0)</f>
        <v>0</v>
      </c>
      <c r="BD112">
        <f>IF($D112=1,IF(GDP_per_cap!AZ62&gt;'all_1961-1990'!$H$1,0,IF(UrbanPopRate!AZ62&gt;=$J$1,0,1)),0)</f>
        <v>0</v>
      </c>
      <c r="BE112">
        <f>IF($D112=1,IF(GDP_per_cap!BA62&gt;'all_1961-1990'!$H$1,0,IF(UrbanPopRate!BA62&gt;=$J$1,0,1)),0)</f>
        <v>0</v>
      </c>
      <c r="BF112">
        <f>IF($D112=1,IF(GDP_per_cap!BB62&gt;'all_1961-1990'!$H$1,0,IF(UrbanPopRate!BB62&gt;=$J$1,0,1)),0)</f>
        <v>0</v>
      </c>
    </row>
    <row r="113" spans="1:58">
      <c r="A113" s="3">
        <v>205</v>
      </c>
      <c r="B113" s="3" t="s">
        <v>25</v>
      </c>
      <c r="C113" s="2">
        <v>4</v>
      </c>
      <c r="D113" s="35">
        <v>1</v>
      </c>
      <c r="E113" s="2">
        <v>18.866566666666667</v>
      </c>
      <c r="F113" s="36">
        <v>1054.9745210000001</v>
      </c>
      <c r="G113">
        <f>IF($D113=1,IF(GDP_per_cap!C131&gt;'all_1961-1990'!$H$1,0,IF(UrbanPopRate!C131&gt;=$J$1,0,1)),0)</f>
        <v>1</v>
      </c>
      <c r="H113">
        <f>IF($D113=1,IF(GDP_per_cap!D131&gt;'all_1961-1990'!$H$1,0,IF(UrbanPopRate!D131&gt;=$J$1,0,1)),0)</f>
        <v>1</v>
      </c>
      <c r="I113">
        <f>IF($D113=1,IF(GDP_per_cap!E131&gt;'all_1961-1990'!$H$1,0,IF(UrbanPopRate!E131&gt;=$J$1,0,1)),0)</f>
        <v>1</v>
      </c>
      <c r="J113">
        <f>IF($D113=1,IF(GDP_per_cap!F131&gt;'all_1961-1990'!$H$1,0,IF(UrbanPopRate!F131&gt;=$J$1,0,1)),0)</f>
        <v>1</v>
      </c>
      <c r="K113">
        <f>IF($D113=1,IF(GDP_per_cap!G131&gt;'all_1961-1990'!$H$1,0,IF(UrbanPopRate!G131&gt;=$J$1,0,1)),0)</f>
        <v>1</v>
      </c>
      <c r="L113">
        <f>IF($D113=1,IF(GDP_per_cap!H131&gt;'all_1961-1990'!$H$1,0,IF(UrbanPopRate!H131&gt;=$J$1,0,1)),0)</f>
        <v>1</v>
      </c>
      <c r="M113">
        <f>IF($D113=1,IF(GDP_per_cap!I131&gt;'all_1961-1990'!$H$1,0,IF(UrbanPopRate!I131&gt;=$J$1,0,1)),0)</f>
        <v>1</v>
      </c>
      <c r="N113">
        <f>IF($D113=1,IF(GDP_per_cap!J131&gt;'all_1961-1990'!$H$1,0,IF(UrbanPopRate!J131&gt;=$J$1,0,1)),0)</f>
        <v>1</v>
      </c>
      <c r="O113">
        <f>IF($D113=1,IF(GDP_per_cap!K131&gt;'all_1961-1990'!$H$1,0,IF(UrbanPopRate!K131&gt;=$J$1,0,1)),0)</f>
        <v>1</v>
      </c>
      <c r="P113">
        <f>IF($D113=1,IF(GDP_per_cap!L131&gt;'all_1961-1990'!$H$1,0,IF(UrbanPopRate!L131&gt;=$J$1,0,1)),0)</f>
        <v>1</v>
      </c>
      <c r="Q113">
        <f>IF($D113=1,IF(GDP_per_cap!M131&gt;'all_1961-1990'!$H$1,0,IF(UrbanPopRate!M131&gt;=$J$1,0,1)),0)</f>
        <v>1</v>
      </c>
      <c r="R113">
        <f>IF($D113=1,IF(GDP_per_cap!N131&gt;'all_1961-1990'!$H$1,0,IF(UrbanPopRate!N131&gt;=$J$1,0,1)),0)</f>
        <v>1</v>
      </c>
      <c r="S113">
        <f>IF($D113=1,IF(GDP_per_cap!O131&gt;'all_1961-1990'!$H$1,0,IF(UrbanPopRate!O131&gt;=$J$1,0,1)),0)</f>
        <v>1</v>
      </c>
      <c r="T113">
        <f>IF($D113=1,IF(GDP_per_cap!P131&gt;'all_1961-1990'!$H$1,0,IF(UrbanPopRate!P131&gt;=$J$1,0,1)),0)</f>
        <v>1</v>
      </c>
      <c r="U113">
        <f>IF($D113=1,IF(GDP_per_cap!Q131&gt;'all_1961-1990'!$H$1,0,IF(UrbanPopRate!Q131&gt;=$J$1,0,1)),0)</f>
        <v>1</v>
      </c>
      <c r="V113">
        <f>IF($D113=1,IF(GDP_per_cap!R131&gt;'all_1961-1990'!$H$1,0,IF(UrbanPopRate!R131&gt;=$J$1,0,1)),0)</f>
        <v>1</v>
      </c>
      <c r="W113">
        <f>IF($D113=1,IF(GDP_per_cap!S131&gt;'all_1961-1990'!$H$1,0,IF(UrbanPopRate!S131&gt;=$J$1,0,1)),0)</f>
        <v>1</v>
      </c>
      <c r="X113">
        <f>IF($D113=1,IF(GDP_per_cap!T131&gt;'all_1961-1990'!$H$1,0,IF(UrbanPopRate!T131&gt;=$J$1,0,1)),0)</f>
        <v>1</v>
      </c>
      <c r="Y113">
        <f>IF($D113=1,IF(GDP_per_cap!U131&gt;'all_1961-1990'!$H$1,0,IF(UrbanPopRate!U131&gt;=$J$1,0,1)),0)</f>
        <v>1</v>
      </c>
      <c r="Z113">
        <f>IF($D113=1,IF(GDP_per_cap!V131&gt;'all_1961-1990'!$H$1,0,IF(UrbanPopRate!V131&gt;=$J$1,0,1)),0)</f>
        <v>1</v>
      </c>
      <c r="AA113">
        <f>IF($D113=1,IF(GDP_per_cap!W131&gt;'all_1961-1990'!$H$1,0,IF(UrbanPopRate!W131&gt;=$J$1,0,1)),0)</f>
        <v>1</v>
      </c>
      <c r="AB113">
        <f>IF($D113=1,IF(GDP_per_cap!X131&gt;'all_1961-1990'!$H$1,0,IF(UrbanPopRate!X131&gt;=$J$1,0,1)),0)</f>
        <v>1</v>
      </c>
      <c r="AC113">
        <f>IF($D113=1,IF(GDP_per_cap!Y131&gt;'all_1961-1990'!$H$1,0,IF(UrbanPopRate!Y131&gt;=$J$1,0,1)),0)</f>
        <v>1</v>
      </c>
      <c r="AD113">
        <f>IF($D113=1,IF(GDP_per_cap!Z131&gt;'all_1961-1990'!$H$1,0,IF(UrbanPopRate!Z131&gt;=$J$1,0,1)),0)</f>
        <v>1</v>
      </c>
      <c r="AE113">
        <f>IF($D113=1,IF(GDP_per_cap!AA131&gt;'all_1961-1990'!$H$1,0,IF(UrbanPopRate!AA131&gt;=$J$1,0,1)),0)</f>
        <v>1</v>
      </c>
      <c r="AF113">
        <f>IF($D113=1,IF(GDP_per_cap!AB131&gt;'all_1961-1990'!$H$1,0,IF(UrbanPopRate!AB131&gt;=$J$1,0,1)),0)</f>
        <v>1</v>
      </c>
      <c r="AG113">
        <f>IF($D113=1,IF(GDP_per_cap!AC131&gt;'all_1961-1990'!$H$1,0,IF(UrbanPopRate!AC131&gt;=$J$1,0,1)),0)</f>
        <v>0</v>
      </c>
      <c r="AH113">
        <f>IF($D113=1,IF(GDP_per_cap!AD131&gt;'all_1961-1990'!$H$1,0,IF(UrbanPopRate!AD131&gt;=$J$1,0,1)),0)</f>
        <v>0</v>
      </c>
      <c r="AI113">
        <f>IF($D113=1,IF(GDP_per_cap!AE131&gt;'all_1961-1990'!$H$1,0,IF(UrbanPopRate!AE131&gt;=$J$1,0,1)),0)</f>
        <v>0</v>
      </c>
      <c r="AJ113">
        <f>IF($D113=1,IF(GDP_per_cap!AF131&gt;'all_1961-1990'!$H$1,0,IF(UrbanPopRate!AF131&gt;=$J$1,0,1)),0)</f>
        <v>0</v>
      </c>
      <c r="AK113">
        <f>IF($D113=1,IF(GDP_per_cap!AG131&gt;'all_1961-1990'!$H$1,0,IF(UrbanPopRate!AG131&gt;=$J$1,0,1)),0)</f>
        <v>0</v>
      </c>
      <c r="AL113">
        <f>IF($D113=1,IF(GDP_per_cap!AH131&gt;'all_1961-1990'!$H$1,0,IF(UrbanPopRate!AH131&gt;=$J$1,0,1)),0)</f>
        <v>0</v>
      </c>
      <c r="AM113">
        <f>IF($D113=1,IF(GDP_per_cap!AI131&gt;'all_1961-1990'!$H$1,0,IF(UrbanPopRate!AI131&gt;=$J$1,0,1)),0)</f>
        <v>0</v>
      </c>
      <c r="AN113">
        <f>IF($D113=1,IF(GDP_per_cap!AJ131&gt;'all_1961-1990'!$H$1,0,IF(UrbanPopRate!AJ131&gt;=$J$1,0,1)),0)</f>
        <v>0</v>
      </c>
      <c r="AO113">
        <f>IF($D113=1,IF(GDP_per_cap!AK131&gt;'all_1961-1990'!$H$1,0,IF(UrbanPopRate!AK131&gt;=$J$1,0,1)),0)</f>
        <v>0</v>
      </c>
      <c r="AP113">
        <f>IF($D113=1,IF(GDP_per_cap!AL131&gt;'all_1961-1990'!$H$1,0,IF(UrbanPopRate!AL131&gt;=$J$1,0,1)),0)</f>
        <v>0</v>
      </c>
      <c r="AQ113">
        <f>IF($D113=1,IF(GDP_per_cap!AM131&gt;'all_1961-1990'!$H$1,0,IF(UrbanPopRate!AM131&gt;=$J$1,0,1)),0)</f>
        <v>0</v>
      </c>
      <c r="AR113">
        <f>IF($D113=1,IF(GDP_per_cap!AN131&gt;'all_1961-1990'!$H$1,0,IF(UrbanPopRate!AN131&gt;=$J$1,0,1)),0)</f>
        <v>0</v>
      </c>
      <c r="AS113">
        <f>IF($D113=1,IF(GDP_per_cap!AO131&gt;'all_1961-1990'!$H$1,0,IF(UrbanPopRate!AO131&gt;=$J$1,0,1)),0)</f>
        <v>0</v>
      </c>
      <c r="AT113">
        <f>IF($D113=1,IF(GDP_per_cap!AP131&gt;'all_1961-1990'!$H$1,0,IF(UrbanPopRate!AP131&gt;=$J$1,0,1)),0)</f>
        <v>0</v>
      </c>
      <c r="AU113">
        <f>IF($D113=1,IF(GDP_per_cap!AQ131&gt;'all_1961-1990'!$H$1,0,IF(UrbanPopRate!AQ131&gt;=$J$1,0,1)),0)</f>
        <v>0</v>
      </c>
      <c r="AV113">
        <f>IF($D113=1,IF(GDP_per_cap!AR131&gt;'all_1961-1990'!$H$1,0,IF(UrbanPopRate!AR131&gt;=$J$1,0,1)),0)</f>
        <v>0</v>
      </c>
      <c r="AW113">
        <f>IF($D113=1,IF(GDP_per_cap!AS131&gt;'all_1961-1990'!$H$1,0,IF(UrbanPopRate!AS131&gt;=$J$1,0,1)),0)</f>
        <v>0</v>
      </c>
      <c r="AX113">
        <f>IF($D113=1,IF(GDP_per_cap!AT131&gt;'all_1961-1990'!$H$1,0,IF(UrbanPopRate!AT131&gt;=$J$1,0,1)),0)</f>
        <v>0</v>
      </c>
      <c r="AY113">
        <f>IF($D113=1,IF(GDP_per_cap!AU131&gt;'all_1961-1990'!$H$1,0,IF(UrbanPopRate!AU131&gt;=$J$1,0,1)),0)</f>
        <v>0</v>
      </c>
      <c r="AZ113">
        <f>IF($D113=1,IF(GDP_per_cap!AV131&gt;'all_1961-1990'!$H$1,0,IF(UrbanPopRate!AV131&gt;=$J$1,0,1)),0)</f>
        <v>0</v>
      </c>
      <c r="BA113">
        <f>IF($D113=1,IF(GDP_per_cap!AW131&gt;'all_1961-1990'!$H$1,0,IF(UrbanPopRate!AW131&gt;=$J$1,0,1)),0)</f>
        <v>0</v>
      </c>
      <c r="BB113">
        <f>IF($D113=1,IF(GDP_per_cap!AX131&gt;'all_1961-1990'!$H$1,0,IF(UrbanPopRate!AX131&gt;=$J$1,0,1)),0)</f>
        <v>0</v>
      </c>
      <c r="BC113">
        <f>IF($D113=1,IF(GDP_per_cap!AY131&gt;'all_1961-1990'!$H$1,0,IF(UrbanPopRate!AY131&gt;=$J$1,0,1)),0)</f>
        <v>0</v>
      </c>
      <c r="BD113">
        <f>IF($D113=1,IF(GDP_per_cap!AZ131&gt;'all_1961-1990'!$H$1,0,IF(UrbanPopRate!AZ131&gt;=$J$1,0,1)),0)</f>
        <v>0</v>
      </c>
      <c r="BE113">
        <f>IF($D113=1,IF(GDP_per_cap!BA131&gt;'all_1961-1990'!$H$1,0,IF(UrbanPopRate!BA131&gt;=$J$1,0,1)),0)</f>
        <v>0</v>
      </c>
      <c r="BF113">
        <f>IF($D113=1,IF(GDP_per_cap!BB131&gt;'all_1961-1990'!$H$1,0,IF(UrbanPopRate!BB131&gt;=$J$1,0,1)),0)</f>
        <v>0</v>
      </c>
    </row>
    <row r="114" spans="1:58">
      <c r="A114" s="3">
        <v>217</v>
      </c>
      <c r="B114" s="3" t="s">
        <v>16</v>
      </c>
      <c r="C114" s="2">
        <v>4</v>
      </c>
      <c r="D114" s="35">
        <v>1</v>
      </c>
      <c r="E114" s="2">
        <v>21.929099999999995</v>
      </c>
      <c r="F114" s="36">
        <v>943.69275849999997</v>
      </c>
      <c r="G114">
        <f>IF($D114=1,IF(GDP_per_cap!C140&gt;'all_1961-1990'!$H$1,0,IF(UrbanPopRate!C140&gt;=$J$1,0,1)),0)</f>
        <v>1</v>
      </c>
      <c r="H114">
        <f>IF($D114=1,IF(GDP_per_cap!D140&gt;'all_1961-1990'!$H$1,0,IF(UrbanPopRate!D140&gt;=$J$1,0,1)),0)</f>
        <v>1</v>
      </c>
      <c r="I114">
        <f>IF($D114=1,IF(GDP_per_cap!E140&gt;'all_1961-1990'!$H$1,0,IF(UrbanPopRate!E140&gt;=$J$1,0,1)),0)</f>
        <v>1</v>
      </c>
      <c r="J114">
        <f>IF($D114=1,IF(GDP_per_cap!F140&gt;'all_1961-1990'!$H$1,0,IF(UrbanPopRate!F140&gt;=$J$1,0,1)),0)</f>
        <v>1</v>
      </c>
      <c r="K114">
        <f>IF($D114=1,IF(GDP_per_cap!G140&gt;'all_1961-1990'!$H$1,0,IF(UrbanPopRate!G140&gt;=$J$1,0,1)),0)</f>
        <v>1</v>
      </c>
      <c r="L114">
        <f>IF($D114=1,IF(GDP_per_cap!H140&gt;'all_1961-1990'!$H$1,0,IF(UrbanPopRate!H140&gt;=$J$1,0,1)),0)</f>
        <v>1</v>
      </c>
      <c r="M114">
        <f>IF($D114=1,IF(GDP_per_cap!I140&gt;'all_1961-1990'!$H$1,0,IF(UrbanPopRate!I140&gt;=$J$1,0,1)),0)</f>
        <v>1</v>
      </c>
      <c r="N114">
        <f>IF($D114=1,IF(GDP_per_cap!J140&gt;'all_1961-1990'!$H$1,0,IF(UrbanPopRate!J140&gt;=$J$1,0,1)),0)</f>
        <v>1</v>
      </c>
      <c r="O114">
        <f>IF($D114=1,IF(GDP_per_cap!K140&gt;'all_1961-1990'!$H$1,0,IF(UrbanPopRate!K140&gt;=$J$1,0,1)),0)</f>
        <v>1</v>
      </c>
      <c r="P114">
        <f>IF($D114=1,IF(GDP_per_cap!L140&gt;'all_1961-1990'!$H$1,0,IF(UrbanPopRate!L140&gt;=$J$1,0,1)),0)</f>
        <v>1</v>
      </c>
      <c r="Q114">
        <f>IF($D114=1,IF(GDP_per_cap!M140&gt;'all_1961-1990'!$H$1,0,IF(UrbanPopRate!M140&gt;=$J$1,0,1)),0)</f>
        <v>1</v>
      </c>
      <c r="R114">
        <f>IF($D114=1,IF(GDP_per_cap!N140&gt;'all_1961-1990'!$H$1,0,IF(UrbanPopRate!N140&gt;=$J$1,0,1)),0)</f>
        <v>1</v>
      </c>
      <c r="S114">
        <f>IF($D114=1,IF(GDP_per_cap!O140&gt;'all_1961-1990'!$H$1,0,IF(UrbanPopRate!O140&gt;=$J$1,0,1)),0)</f>
        <v>1</v>
      </c>
      <c r="T114">
        <f>IF($D114=1,IF(GDP_per_cap!P140&gt;'all_1961-1990'!$H$1,0,IF(UrbanPopRate!P140&gt;=$J$1,0,1)),0)</f>
        <v>1</v>
      </c>
      <c r="U114">
        <f>IF($D114=1,IF(GDP_per_cap!Q140&gt;'all_1961-1990'!$H$1,0,IF(UrbanPopRate!Q140&gt;=$J$1,0,1)),0)</f>
        <v>1</v>
      </c>
      <c r="V114">
        <f>IF($D114=1,IF(GDP_per_cap!R140&gt;'all_1961-1990'!$H$1,0,IF(UrbanPopRate!R140&gt;=$J$1,0,1)),0)</f>
        <v>1</v>
      </c>
      <c r="W114">
        <f>IF($D114=1,IF(GDP_per_cap!S140&gt;'all_1961-1990'!$H$1,0,IF(UrbanPopRate!S140&gt;=$J$1,0,1)),0)</f>
        <v>1</v>
      </c>
      <c r="X114">
        <f>IF($D114=1,IF(GDP_per_cap!T140&gt;'all_1961-1990'!$H$1,0,IF(UrbanPopRate!T140&gt;=$J$1,0,1)),0)</f>
        <v>1</v>
      </c>
      <c r="Y114">
        <f>IF($D114=1,IF(GDP_per_cap!U140&gt;'all_1961-1990'!$H$1,0,IF(UrbanPopRate!U140&gt;=$J$1,0,1)),0)</f>
        <v>1</v>
      </c>
      <c r="Z114">
        <f>IF($D114=1,IF(GDP_per_cap!V140&gt;'all_1961-1990'!$H$1,0,IF(UrbanPopRate!V140&gt;=$J$1,0,1)),0)</f>
        <v>1</v>
      </c>
      <c r="AA114">
        <f>IF($D114=1,IF(GDP_per_cap!W140&gt;'all_1961-1990'!$H$1,0,IF(UrbanPopRate!W140&gt;=$J$1,0,1)),0)</f>
        <v>0</v>
      </c>
      <c r="AB114">
        <f>IF($D114=1,IF(GDP_per_cap!X140&gt;'all_1961-1990'!$H$1,0,IF(UrbanPopRate!X140&gt;=$J$1,0,1)),0)</f>
        <v>0</v>
      </c>
      <c r="AC114">
        <f>IF($D114=1,IF(GDP_per_cap!Y140&gt;'all_1961-1990'!$H$1,0,IF(UrbanPopRate!Y140&gt;=$J$1,0,1)),0)</f>
        <v>0</v>
      </c>
      <c r="AD114">
        <f>IF($D114=1,IF(GDP_per_cap!Z140&gt;'all_1961-1990'!$H$1,0,IF(UrbanPopRate!Z140&gt;=$J$1,0,1)),0)</f>
        <v>0</v>
      </c>
      <c r="AE114">
        <f>IF($D114=1,IF(GDP_per_cap!AA140&gt;'all_1961-1990'!$H$1,0,IF(UrbanPopRate!AA140&gt;=$J$1,0,1)),0)</f>
        <v>0</v>
      </c>
      <c r="AF114">
        <f>IF($D114=1,IF(GDP_per_cap!AB140&gt;'all_1961-1990'!$H$1,0,IF(UrbanPopRate!AB140&gt;=$J$1,0,1)),0)</f>
        <v>0</v>
      </c>
      <c r="AG114">
        <f>IF($D114=1,IF(GDP_per_cap!AC140&gt;'all_1961-1990'!$H$1,0,IF(UrbanPopRate!AC140&gt;=$J$1,0,1)),0)</f>
        <v>0</v>
      </c>
      <c r="AH114">
        <f>IF($D114=1,IF(GDP_per_cap!AD140&gt;'all_1961-1990'!$H$1,0,IF(UrbanPopRate!AD140&gt;=$J$1,0,1)),0)</f>
        <v>0</v>
      </c>
      <c r="AI114">
        <f>IF($D114=1,IF(GDP_per_cap!AE140&gt;'all_1961-1990'!$H$1,0,IF(UrbanPopRate!AE140&gt;=$J$1,0,1)),0)</f>
        <v>0</v>
      </c>
      <c r="AJ114">
        <f>IF($D114=1,IF(GDP_per_cap!AF140&gt;'all_1961-1990'!$H$1,0,IF(UrbanPopRate!AF140&gt;=$J$1,0,1)),0)</f>
        <v>0</v>
      </c>
      <c r="AK114">
        <f>IF($D114=1,IF(GDP_per_cap!AG140&gt;'all_1961-1990'!$H$1,0,IF(UrbanPopRate!AG140&gt;=$J$1,0,1)),0)</f>
        <v>0</v>
      </c>
      <c r="AL114">
        <f>IF($D114=1,IF(GDP_per_cap!AH140&gt;'all_1961-1990'!$H$1,0,IF(UrbanPopRate!AH140&gt;=$J$1,0,1)),0)</f>
        <v>0</v>
      </c>
      <c r="AM114">
        <f>IF($D114=1,IF(GDP_per_cap!AI140&gt;'all_1961-1990'!$H$1,0,IF(UrbanPopRate!AI140&gt;=$J$1,0,1)),0)</f>
        <v>0</v>
      </c>
      <c r="AN114">
        <f>IF($D114=1,IF(GDP_per_cap!AJ140&gt;'all_1961-1990'!$H$1,0,IF(UrbanPopRate!AJ140&gt;=$J$1,0,1)),0)</f>
        <v>0</v>
      </c>
      <c r="AO114">
        <f>IF($D114=1,IF(GDP_per_cap!AK140&gt;'all_1961-1990'!$H$1,0,IF(UrbanPopRate!AK140&gt;=$J$1,0,1)),0)</f>
        <v>0</v>
      </c>
      <c r="AP114">
        <f>IF($D114=1,IF(GDP_per_cap!AL140&gt;'all_1961-1990'!$H$1,0,IF(UrbanPopRate!AL140&gt;=$J$1,0,1)),0)</f>
        <v>0</v>
      </c>
      <c r="AQ114">
        <f>IF($D114=1,IF(GDP_per_cap!AM140&gt;'all_1961-1990'!$H$1,0,IF(UrbanPopRate!AM140&gt;=$J$1,0,1)),0)</f>
        <v>0</v>
      </c>
      <c r="AR114">
        <f>IF($D114=1,IF(GDP_per_cap!AN140&gt;'all_1961-1990'!$H$1,0,IF(UrbanPopRate!AN140&gt;=$J$1,0,1)),0)</f>
        <v>0</v>
      </c>
      <c r="AS114">
        <f>IF($D114=1,IF(GDP_per_cap!AO140&gt;'all_1961-1990'!$H$1,0,IF(UrbanPopRate!AO140&gt;=$J$1,0,1)),0)</f>
        <v>0</v>
      </c>
      <c r="AT114">
        <f>IF($D114=1,IF(GDP_per_cap!AP140&gt;'all_1961-1990'!$H$1,0,IF(UrbanPopRate!AP140&gt;=$J$1,0,1)),0)</f>
        <v>0</v>
      </c>
      <c r="AU114">
        <f>IF($D114=1,IF(GDP_per_cap!AQ140&gt;'all_1961-1990'!$H$1,0,IF(UrbanPopRate!AQ140&gt;=$J$1,0,1)),0)</f>
        <v>0</v>
      </c>
      <c r="AV114">
        <f>IF($D114=1,IF(GDP_per_cap!AR140&gt;'all_1961-1990'!$H$1,0,IF(UrbanPopRate!AR140&gt;=$J$1,0,1)),0)</f>
        <v>0</v>
      </c>
      <c r="AW114">
        <f>IF($D114=1,IF(GDP_per_cap!AS140&gt;'all_1961-1990'!$H$1,0,IF(UrbanPopRate!AS140&gt;=$J$1,0,1)),0)</f>
        <v>0</v>
      </c>
      <c r="AX114">
        <f>IF($D114=1,IF(GDP_per_cap!AT140&gt;'all_1961-1990'!$H$1,0,IF(UrbanPopRate!AT140&gt;=$J$1,0,1)),0)</f>
        <v>0</v>
      </c>
      <c r="AY114">
        <f>IF($D114=1,IF(GDP_per_cap!AU140&gt;'all_1961-1990'!$H$1,0,IF(UrbanPopRate!AU140&gt;=$J$1,0,1)),0)</f>
        <v>0</v>
      </c>
      <c r="AZ114">
        <f>IF($D114=1,IF(GDP_per_cap!AV140&gt;'all_1961-1990'!$H$1,0,IF(UrbanPopRate!AV140&gt;=$J$1,0,1)),0)</f>
        <v>0</v>
      </c>
      <c r="BA114">
        <f>IF($D114=1,IF(GDP_per_cap!AW140&gt;'all_1961-1990'!$H$1,0,IF(UrbanPopRate!AW140&gt;=$J$1,0,1)),0)</f>
        <v>0</v>
      </c>
      <c r="BB114">
        <f>IF($D114=1,IF(GDP_per_cap!AX140&gt;'all_1961-1990'!$H$1,0,IF(UrbanPopRate!AX140&gt;=$J$1,0,1)),0)</f>
        <v>0</v>
      </c>
      <c r="BC114">
        <f>IF($D114=1,IF(GDP_per_cap!AY140&gt;'all_1961-1990'!$H$1,0,IF(UrbanPopRate!AY140&gt;=$J$1,0,1)),0)</f>
        <v>0</v>
      </c>
      <c r="BD114">
        <f>IF($D114=1,IF(GDP_per_cap!AZ140&gt;'all_1961-1990'!$H$1,0,IF(UrbanPopRate!AZ140&gt;=$J$1,0,1)),0)</f>
        <v>0</v>
      </c>
      <c r="BE114">
        <f>IF($D114=1,IF(GDP_per_cap!BA140&gt;'all_1961-1990'!$H$1,0,IF(UrbanPopRate!BA140&gt;=$J$1,0,1)),0)</f>
        <v>0</v>
      </c>
      <c r="BF114">
        <f>IF($D114=1,IF(GDP_per_cap!BB140&gt;'all_1961-1990'!$H$1,0,IF(UrbanPopRate!BB140&gt;=$J$1,0,1)),0)</f>
        <v>0</v>
      </c>
    </row>
    <row r="115" spans="1:58">
      <c r="A115" s="3">
        <v>82</v>
      </c>
      <c r="B115" s="3" t="s">
        <v>103</v>
      </c>
      <c r="C115" s="2">
        <v>4</v>
      </c>
      <c r="D115" s="35">
        <v>1</v>
      </c>
      <c r="E115" s="2">
        <v>30.055400000000002</v>
      </c>
      <c r="F115" s="36">
        <v>856.62119229999996</v>
      </c>
      <c r="G115">
        <f>IF($D115=1,IF(GDP_per_cap!C53&gt;'all_1961-1990'!$H$1,0,IF(UrbanPopRate!C53&gt;=$J$1,0,1)),0)</f>
        <v>1</v>
      </c>
      <c r="H115">
        <f>IF($D115=1,IF(GDP_per_cap!D53&gt;'all_1961-1990'!$H$1,0,IF(UrbanPopRate!D53&gt;=$J$1,0,1)),0)</f>
        <v>1</v>
      </c>
      <c r="I115">
        <f>IF($D115=1,IF(GDP_per_cap!E53&gt;'all_1961-1990'!$H$1,0,IF(UrbanPopRate!E53&gt;=$J$1,0,1)),0)</f>
        <v>1</v>
      </c>
      <c r="J115">
        <f>IF($D115=1,IF(GDP_per_cap!F53&gt;'all_1961-1990'!$H$1,0,IF(UrbanPopRate!F53&gt;=$J$1,0,1)),0)</f>
        <v>0</v>
      </c>
      <c r="K115">
        <f>IF($D115=1,IF(GDP_per_cap!G53&gt;'all_1961-1990'!$H$1,0,IF(UrbanPopRate!G53&gt;=$J$1,0,1)),0)</f>
        <v>0</v>
      </c>
      <c r="L115">
        <f>IF($D115=1,IF(GDP_per_cap!H53&gt;'all_1961-1990'!$H$1,0,IF(UrbanPopRate!H53&gt;=$J$1,0,1)),0)</f>
        <v>0</v>
      </c>
      <c r="M115">
        <f>IF($D115=1,IF(GDP_per_cap!I53&gt;'all_1961-1990'!$H$1,0,IF(UrbanPopRate!I53&gt;=$J$1,0,1)),0)</f>
        <v>0</v>
      </c>
      <c r="N115">
        <f>IF($D115=1,IF(GDP_per_cap!J53&gt;'all_1961-1990'!$H$1,0,IF(UrbanPopRate!J53&gt;=$J$1,0,1)),0)</f>
        <v>0</v>
      </c>
      <c r="O115">
        <f>IF($D115=1,IF(GDP_per_cap!K53&gt;'all_1961-1990'!$H$1,0,IF(UrbanPopRate!K53&gt;=$J$1,0,1)),0)</f>
        <v>0</v>
      </c>
      <c r="P115">
        <f>IF($D115=1,IF(GDP_per_cap!L53&gt;'all_1961-1990'!$H$1,0,IF(UrbanPopRate!L53&gt;=$J$1,0,1)),0)</f>
        <v>0</v>
      </c>
      <c r="Q115">
        <f>IF($D115=1,IF(GDP_per_cap!M53&gt;'all_1961-1990'!$H$1,0,IF(UrbanPopRate!M53&gt;=$J$1,0,1)),0)</f>
        <v>0</v>
      </c>
      <c r="R115">
        <f>IF($D115=1,IF(GDP_per_cap!N53&gt;'all_1961-1990'!$H$1,0,IF(UrbanPopRate!N53&gt;=$J$1,0,1)),0)</f>
        <v>0</v>
      </c>
      <c r="S115">
        <f>IF($D115=1,IF(GDP_per_cap!O53&gt;'all_1961-1990'!$H$1,0,IF(UrbanPopRate!O53&gt;=$J$1,0,1)),0)</f>
        <v>0</v>
      </c>
      <c r="T115">
        <f>IF($D115=1,IF(GDP_per_cap!P53&gt;'all_1961-1990'!$H$1,0,IF(UrbanPopRate!P53&gt;=$J$1,0,1)),0)</f>
        <v>0</v>
      </c>
      <c r="U115">
        <f>IF($D115=1,IF(GDP_per_cap!Q53&gt;'all_1961-1990'!$H$1,0,IF(UrbanPopRate!Q53&gt;=$J$1,0,1)),0)</f>
        <v>0</v>
      </c>
      <c r="V115">
        <f>IF($D115=1,IF(GDP_per_cap!R53&gt;'all_1961-1990'!$H$1,0,IF(UrbanPopRate!R53&gt;=$J$1,0,1)),0)</f>
        <v>0</v>
      </c>
      <c r="W115">
        <f>IF($D115=1,IF(GDP_per_cap!S53&gt;'all_1961-1990'!$H$1,0,IF(UrbanPopRate!S53&gt;=$J$1,0,1)),0)</f>
        <v>0</v>
      </c>
      <c r="X115">
        <f>IF($D115=1,IF(GDP_per_cap!T53&gt;'all_1961-1990'!$H$1,0,IF(UrbanPopRate!T53&gt;=$J$1,0,1)),0)</f>
        <v>0</v>
      </c>
      <c r="Y115">
        <f>IF($D115=1,IF(GDP_per_cap!U53&gt;'all_1961-1990'!$H$1,0,IF(UrbanPopRate!U53&gt;=$J$1,0,1)),0)</f>
        <v>0</v>
      </c>
      <c r="Z115">
        <f>IF($D115=1,IF(GDP_per_cap!V53&gt;'all_1961-1990'!$H$1,0,IF(UrbanPopRate!V53&gt;=$J$1,0,1)),0)</f>
        <v>0</v>
      </c>
      <c r="AA115">
        <f>IF($D115=1,IF(GDP_per_cap!W53&gt;'all_1961-1990'!$H$1,0,IF(UrbanPopRate!W53&gt;=$J$1,0,1)),0)</f>
        <v>0</v>
      </c>
      <c r="AB115">
        <f>IF($D115=1,IF(GDP_per_cap!X53&gt;'all_1961-1990'!$H$1,0,IF(UrbanPopRate!X53&gt;=$J$1,0,1)),0)</f>
        <v>0</v>
      </c>
      <c r="AC115">
        <f>IF($D115=1,IF(GDP_per_cap!Y53&gt;'all_1961-1990'!$H$1,0,IF(UrbanPopRate!Y53&gt;=$J$1,0,1)),0)</f>
        <v>0</v>
      </c>
      <c r="AD115">
        <f>IF($D115=1,IF(GDP_per_cap!Z53&gt;'all_1961-1990'!$H$1,0,IF(UrbanPopRate!Z53&gt;=$J$1,0,1)),0)</f>
        <v>0</v>
      </c>
      <c r="AE115">
        <f>IF($D115=1,IF(GDP_per_cap!AA53&gt;'all_1961-1990'!$H$1,0,IF(UrbanPopRate!AA53&gt;=$J$1,0,1)),0)</f>
        <v>0</v>
      </c>
      <c r="AF115">
        <f>IF($D115=1,IF(GDP_per_cap!AB53&gt;'all_1961-1990'!$H$1,0,IF(UrbanPopRate!AB53&gt;=$J$1,0,1)),0)</f>
        <v>0</v>
      </c>
      <c r="AG115">
        <f>IF($D115=1,IF(GDP_per_cap!AC53&gt;'all_1961-1990'!$H$1,0,IF(UrbanPopRate!AC53&gt;=$J$1,0,1)),0)</f>
        <v>0</v>
      </c>
      <c r="AH115">
        <f>IF($D115=1,IF(GDP_per_cap!AD53&gt;'all_1961-1990'!$H$1,0,IF(UrbanPopRate!AD53&gt;=$J$1,0,1)),0)</f>
        <v>0</v>
      </c>
      <c r="AI115">
        <f>IF($D115=1,IF(GDP_per_cap!AE53&gt;'all_1961-1990'!$H$1,0,IF(UrbanPopRate!AE53&gt;=$J$1,0,1)),0)</f>
        <v>0</v>
      </c>
      <c r="AJ115">
        <f>IF($D115=1,IF(GDP_per_cap!AF53&gt;'all_1961-1990'!$H$1,0,IF(UrbanPopRate!AF53&gt;=$J$1,0,1)),0)</f>
        <v>0</v>
      </c>
      <c r="AK115">
        <f>IF($D115=1,IF(GDP_per_cap!AG53&gt;'all_1961-1990'!$H$1,0,IF(UrbanPopRate!AG53&gt;=$J$1,0,1)),0)</f>
        <v>0</v>
      </c>
      <c r="AL115">
        <f>IF($D115=1,IF(GDP_per_cap!AH53&gt;'all_1961-1990'!$H$1,0,IF(UrbanPopRate!AH53&gt;=$J$1,0,1)),0)</f>
        <v>0</v>
      </c>
      <c r="AM115">
        <f>IF($D115=1,IF(GDP_per_cap!AI53&gt;'all_1961-1990'!$H$1,0,IF(UrbanPopRate!AI53&gt;=$J$1,0,1)),0)</f>
        <v>0</v>
      </c>
      <c r="AN115">
        <f>IF($D115=1,IF(GDP_per_cap!AJ53&gt;'all_1961-1990'!$H$1,0,IF(UrbanPopRate!AJ53&gt;=$J$1,0,1)),0)</f>
        <v>0</v>
      </c>
      <c r="AO115">
        <f>IF($D115=1,IF(GDP_per_cap!AK53&gt;'all_1961-1990'!$H$1,0,IF(UrbanPopRate!AK53&gt;=$J$1,0,1)),0)</f>
        <v>0</v>
      </c>
      <c r="AP115">
        <f>IF($D115=1,IF(GDP_per_cap!AL53&gt;'all_1961-1990'!$H$1,0,IF(UrbanPopRate!AL53&gt;=$J$1,0,1)),0)</f>
        <v>0</v>
      </c>
      <c r="AQ115">
        <f>IF($D115=1,IF(GDP_per_cap!AM53&gt;'all_1961-1990'!$H$1,0,IF(UrbanPopRate!AM53&gt;=$J$1,0,1)),0)</f>
        <v>0</v>
      </c>
      <c r="AR115">
        <f>IF($D115=1,IF(GDP_per_cap!AN53&gt;'all_1961-1990'!$H$1,0,IF(UrbanPopRate!AN53&gt;=$J$1,0,1)),0)</f>
        <v>0</v>
      </c>
      <c r="AS115">
        <f>IF($D115=1,IF(GDP_per_cap!AO53&gt;'all_1961-1990'!$H$1,0,IF(UrbanPopRate!AO53&gt;=$J$1,0,1)),0)</f>
        <v>0</v>
      </c>
      <c r="AT115">
        <f>IF($D115=1,IF(GDP_per_cap!AP53&gt;'all_1961-1990'!$H$1,0,IF(UrbanPopRate!AP53&gt;=$J$1,0,1)),0)</f>
        <v>0</v>
      </c>
      <c r="AU115">
        <f>IF($D115=1,IF(GDP_per_cap!AQ53&gt;'all_1961-1990'!$H$1,0,IF(UrbanPopRate!AQ53&gt;=$J$1,0,1)),0)</f>
        <v>0</v>
      </c>
      <c r="AV115">
        <f>IF($D115=1,IF(GDP_per_cap!AR53&gt;'all_1961-1990'!$H$1,0,IF(UrbanPopRate!AR53&gt;=$J$1,0,1)),0)</f>
        <v>0</v>
      </c>
      <c r="AW115">
        <f>IF($D115=1,IF(GDP_per_cap!AS53&gt;'all_1961-1990'!$H$1,0,IF(UrbanPopRate!AS53&gt;=$J$1,0,1)),0)</f>
        <v>0</v>
      </c>
      <c r="AX115">
        <f>IF($D115=1,IF(GDP_per_cap!AT53&gt;'all_1961-1990'!$H$1,0,IF(UrbanPopRate!AT53&gt;=$J$1,0,1)),0)</f>
        <v>0</v>
      </c>
      <c r="AY115">
        <f>IF($D115=1,IF(GDP_per_cap!AU53&gt;'all_1961-1990'!$H$1,0,IF(UrbanPopRate!AU53&gt;=$J$1,0,1)),0)</f>
        <v>0</v>
      </c>
      <c r="AZ115">
        <f>IF($D115=1,IF(GDP_per_cap!AV53&gt;'all_1961-1990'!$H$1,0,IF(UrbanPopRate!AV53&gt;=$J$1,0,1)),0)</f>
        <v>0</v>
      </c>
      <c r="BA115">
        <f>IF($D115=1,IF(GDP_per_cap!AW53&gt;'all_1961-1990'!$H$1,0,IF(UrbanPopRate!AW53&gt;=$J$1,0,1)),0)</f>
        <v>0</v>
      </c>
      <c r="BB115">
        <f>IF($D115=1,IF(GDP_per_cap!AX53&gt;'all_1961-1990'!$H$1,0,IF(UrbanPopRate!AX53&gt;=$J$1,0,1)),0)</f>
        <v>0</v>
      </c>
      <c r="BC115">
        <f>IF($D115=1,IF(GDP_per_cap!AY53&gt;'all_1961-1990'!$H$1,0,IF(UrbanPopRate!AY53&gt;=$J$1,0,1)),0)</f>
        <v>0</v>
      </c>
      <c r="BD115">
        <f>IF($D115=1,IF(GDP_per_cap!AZ53&gt;'all_1961-1990'!$H$1,0,IF(UrbanPopRate!AZ53&gt;=$J$1,0,1)),0)</f>
        <v>0</v>
      </c>
      <c r="BE115">
        <f>IF($D115=1,IF(GDP_per_cap!BA53&gt;'all_1961-1990'!$H$1,0,IF(UrbanPopRate!BA53&gt;=$J$1,0,1)),0)</f>
        <v>0</v>
      </c>
      <c r="BF115">
        <f>IF($D115=1,IF(GDP_per_cap!BB53&gt;'all_1961-1990'!$H$1,0,IF(UrbanPopRate!BB53&gt;=$J$1,0,1)),0)</f>
        <v>0</v>
      </c>
    </row>
    <row r="116" spans="1:58">
      <c r="A116" s="3">
        <v>91</v>
      </c>
      <c r="B116" s="3" t="s">
        <v>100</v>
      </c>
      <c r="C116" s="2">
        <v>4</v>
      </c>
      <c r="D116" s="35">
        <v>1</v>
      </c>
      <c r="E116" s="2">
        <v>19.952066666666664</v>
      </c>
      <c r="F116" s="36">
        <v>849.10380810000004</v>
      </c>
      <c r="G116">
        <f>IF($D116=1,IF(GDP_per_cap!C56&gt;'all_1961-1990'!$H$1,0,IF(UrbanPopRate!C56&gt;=$J$1,0,1)),0)</f>
        <v>1</v>
      </c>
      <c r="H116">
        <f>IF($D116=1,IF(GDP_per_cap!D56&gt;'all_1961-1990'!$H$1,0,IF(UrbanPopRate!D56&gt;=$J$1,0,1)),0)</f>
        <v>1</v>
      </c>
      <c r="I116">
        <f>IF($D116=1,IF(GDP_per_cap!E56&gt;'all_1961-1990'!$H$1,0,IF(UrbanPopRate!E56&gt;=$J$1,0,1)),0)</f>
        <v>1</v>
      </c>
      <c r="J116">
        <f>IF($D116=1,IF(GDP_per_cap!F56&gt;'all_1961-1990'!$H$1,0,IF(UrbanPopRate!F56&gt;=$J$1,0,1)),0)</f>
        <v>1</v>
      </c>
      <c r="K116">
        <f>IF($D116=1,IF(GDP_per_cap!G56&gt;'all_1961-1990'!$H$1,0,IF(UrbanPopRate!G56&gt;=$J$1,0,1)),0)</f>
        <v>1</v>
      </c>
      <c r="L116">
        <f>IF($D116=1,IF(GDP_per_cap!H56&gt;'all_1961-1990'!$H$1,0,IF(UrbanPopRate!H56&gt;=$J$1,0,1)),0)</f>
        <v>1</v>
      </c>
      <c r="M116">
        <f>IF($D116=1,IF(GDP_per_cap!I56&gt;'all_1961-1990'!$H$1,0,IF(UrbanPopRate!I56&gt;=$J$1,0,1)),0)</f>
        <v>1</v>
      </c>
      <c r="N116">
        <f>IF($D116=1,IF(GDP_per_cap!J56&gt;'all_1961-1990'!$H$1,0,IF(UrbanPopRate!J56&gt;=$J$1,0,1)),0)</f>
        <v>1</v>
      </c>
      <c r="O116">
        <f>IF($D116=1,IF(GDP_per_cap!K56&gt;'all_1961-1990'!$H$1,0,IF(UrbanPopRate!K56&gt;=$J$1,0,1)),0)</f>
        <v>1</v>
      </c>
      <c r="P116">
        <f>IF($D116=1,IF(GDP_per_cap!L56&gt;'all_1961-1990'!$H$1,0,IF(UrbanPopRate!L56&gt;=$J$1,0,1)),0)</f>
        <v>1</v>
      </c>
      <c r="Q116">
        <f>IF($D116=1,IF(GDP_per_cap!M56&gt;'all_1961-1990'!$H$1,0,IF(UrbanPopRate!M56&gt;=$J$1,0,1)),0)</f>
        <v>1</v>
      </c>
      <c r="R116">
        <f>IF($D116=1,IF(GDP_per_cap!N56&gt;'all_1961-1990'!$H$1,0,IF(UrbanPopRate!N56&gt;=$J$1,0,1)),0)</f>
        <v>1</v>
      </c>
      <c r="S116">
        <f>IF($D116=1,IF(GDP_per_cap!O56&gt;'all_1961-1990'!$H$1,0,IF(UrbanPopRate!O56&gt;=$J$1,0,1)),0)</f>
        <v>1</v>
      </c>
      <c r="T116">
        <f>IF($D116=1,IF(GDP_per_cap!P56&gt;'all_1961-1990'!$H$1,0,IF(UrbanPopRate!P56&gt;=$J$1,0,1)),0)</f>
        <v>1</v>
      </c>
      <c r="U116">
        <f>IF($D116=1,IF(GDP_per_cap!Q56&gt;'all_1961-1990'!$H$1,0,IF(UrbanPopRate!Q56&gt;=$J$1,0,1)),0)</f>
        <v>1</v>
      </c>
      <c r="V116">
        <f>IF($D116=1,IF(GDP_per_cap!R56&gt;'all_1961-1990'!$H$1,0,IF(UrbanPopRate!R56&gt;=$J$1,0,1)),0)</f>
        <v>1</v>
      </c>
      <c r="W116">
        <f>IF($D116=1,IF(GDP_per_cap!S56&gt;'all_1961-1990'!$H$1,0,IF(UrbanPopRate!S56&gt;=$J$1,0,1)),0)</f>
        <v>1</v>
      </c>
      <c r="X116">
        <f>IF($D116=1,IF(GDP_per_cap!T56&gt;'all_1961-1990'!$H$1,0,IF(UrbanPopRate!T56&gt;=$J$1,0,1)),0)</f>
        <v>1</v>
      </c>
      <c r="Y116">
        <f>IF($D116=1,IF(GDP_per_cap!U56&gt;'all_1961-1990'!$H$1,0,IF(UrbanPopRate!U56&gt;=$J$1,0,1)),0)</f>
        <v>1</v>
      </c>
      <c r="Z116">
        <f>IF($D116=1,IF(GDP_per_cap!V56&gt;'all_1961-1990'!$H$1,0,IF(UrbanPopRate!V56&gt;=$J$1,0,1)),0)</f>
        <v>1</v>
      </c>
      <c r="AA116">
        <f>IF($D116=1,IF(GDP_per_cap!W56&gt;'all_1961-1990'!$H$1,0,IF(UrbanPopRate!W56&gt;=$J$1,0,1)),0)</f>
        <v>1</v>
      </c>
      <c r="AB116">
        <f>IF($D116=1,IF(GDP_per_cap!X56&gt;'all_1961-1990'!$H$1,0,IF(UrbanPopRate!X56&gt;=$J$1,0,1)),0)</f>
        <v>1</v>
      </c>
      <c r="AC116">
        <f>IF($D116=1,IF(GDP_per_cap!Y56&gt;'all_1961-1990'!$H$1,0,IF(UrbanPopRate!Y56&gt;=$J$1,0,1)),0)</f>
        <v>0</v>
      </c>
      <c r="AD116">
        <f>IF($D116=1,IF(GDP_per_cap!Z56&gt;'all_1961-1990'!$H$1,0,IF(UrbanPopRate!Z56&gt;=$J$1,0,1)),0)</f>
        <v>0</v>
      </c>
      <c r="AE116">
        <f>IF($D116=1,IF(GDP_per_cap!AA56&gt;'all_1961-1990'!$H$1,0,IF(UrbanPopRate!AA56&gt;=$J$1,0,1)),0)</f>
        <v>0</v>
      </c>
      <c r="AF116">
        <f>IF($D116=1,IF(GDP_per_cap!AB56&gt;'all_1961-1990'!$H$1,0,IF(UrbanPopRate!AB56&gt;=$J$1,0,1)),0)</f>
        <v>0</v>
      </c>
      <c r="AG116">
        <f>IF($D116=1,IF(GDP_per_cap!AC56&gt;'all_1961-1990'!$H$1,0,IF(UrbanPopRate!AC56&gt;=$J$1,0,1)),0)</f>
        <v>0</v>
      </c>
      <c r="AH116">
        <f>IF($D116=1,IF(GDP_per_cap!AD56&gt;'all_1961-1990'!$H$1,0,IF(UrbanPopRate!AD56&gt;=$J$1,0,1)),0)</f>
        <v>0</v>
      </c>
      <c r="AI116">
        <f>IF($D116=1,IF(GDP_per_cap!AE56&gt;'all_1961-1990'!$H$1,0,IF(UrbanPopRate!AE56&gt;=$J$1,0,1)),0)</f>
        <v>0</v>
      </c>
      <c r="AJ116">
        <f>IF($D116=1,IF(GDP_per_cap!AF56&gt;'all_1961-1990'!$H$1,0,IF(UrbanPopRate!AF56&gt;=$J$1,0,1)),0)</f>
        <v>0</v>
      </c>
      <c r="AK116">
        <f>IF($D116=1,IF(GDP_per_cap!AG56&gt;'all_1961-1990'!$H$1,0,IF(UrbanPopRate!AG56&gt;=$J$1,0,1)),0)</f>
        <v>0</v>
      </c>
      <c r="AL116">
        <f>IF($D116=1,IF(GDP_per_cap!AH56&gt;'all_1961-1990'!$H$1,0,IF(UrbanPopRate!AH56&gt;=$J$1,0,1)),0)</f>
        <v>0</v>
      </c>
      <c r="AM116">
        <f>IF($D116=1,IF(GDP_per_cap!AI56&gt;'all_1961-1990'!$H$1,0,IF(UrbanPopRate!AI56&gt;=$J$1,0,1)),0)</f>
        <v>0</v>
      </c>
      <c r="AN116">
        <f>IF($D116=1,IF(GDP_per_cap!AJ56&gt;'all_1961-1990'!$H$1,0,IF(UrbanPopRate!AJ56&gt;=$J$1,0,1)),0)</f>
        <v>0</v>
      </c>
      <c r="AO116">
        <f>IF($D116=1,IF(GDP_per_cap!AK56&gt;'all_1961-1990'!$H$1,0,IF(UrbanPopRate!AK56&gt;=$J$1,0,1)),0)</f>
        <v>0</v>
      </c>
      <c r="AP116">
        <f>IF($D116=1,IF(GDP_per_cap!AL56&gt;'all_1961-1990'!$H$1,0,IF(UrbanPopRate!AL56&gt;=$J$1,0,1)),0)</f>
        <v>0</v>
      </c>
      <c r="AQ116">
        <f>IF($D116=1,IF(GDP_per_cap!AM56&gt;'all_1961-1990'!$H$1,0,IF(UrbanPopRate!AM56&gt;=$J$1,0,1)),0)</f>
        <v>0</v>
      </c>
      <c r="AR116">
        <f>IF($D116=1,IF(GDP_per_cap!AN56&gt;'all_1961-1990'!$H$1,0,IF(UrbanPopRate!AN56&gt;=$J$1,0,1)),0)</f>
        <v>0</v>
      </c>
      <c r="AS116">
        <f>IF($D116=1,IF(GDP_per_cap!AO56&gt;'all_1961-1990'!$H$1,0,IF(UrbanPopRate!AO56&gt;=$J$1,0,1)),0)</f>
        <v>0</v>
      </c>
      <c r="AT116">
        <f>IF($D116=1,IF(GDP_per_cap!AP56&gt;'all_1961-1990'!$H$1,0,IF(UrbanPopRate!AP56&gt;=$J$1,0,1)),0)</f>
        <v>0</v>
      </c>
      <c r="AU116">
        <f>IF($D116=1,IF(GDP_per_cap!AQ56&gt;'all_1961-1990'!$H$1,0,IF(UrbanPopRate!AQ56&gt;=$J$1,0,1)),0)</f>
        <v>0</v>
      </c>
      <c r="AV116">
        <f>IF($D116=1,IF(GDP_per_cap!AR56&gt;'all_1961-1990'!$H$1,0,IF(UrbanPopRate!AR56&gt;=$J$1,0,1)),0)</f>
        <v>0</v>
      </c>
      <c r="AW116">
        <f>IF($D116=1,IF(GDP_per_cap!AS56&gt;'all_1961-1990'!$H$1,0,IF(UrbanPopRate!AS56&gt;=$J$1,0,1)),0)</f>
        <v>0</v>
      </c>
      <c r="AX116">
        <f>IF($D116=1,IF(GDP_per_cap!AT56&gt;'all_1961-1990'!$H$1,0,IF(UrbanPopRate!AT56&gt;=$J$1,0,1)),0)</f>
        <v>0</v>
      </c>
      <c r="AY116">
        <f>IF($D116=1,IF(GDP_per_cap!AU56&gt;'all_1961-1990'!$H$1,0,IF(UrbanPopRate!AU56&gt;=$J$1,0,1)),0)</f>
        <v>0</v>
      </c>
      <c r="AZ116">
        <f>IF($D116=1,IF(GDP_per_cap!AV56&gt;'all_1961-1990'!$H$1,0,IF(UrbanPopRate!AV56&gt;=$J$1,0,1)),0)</f>
        <v>0</v>
      </c>
      <c r="BA116">
        <f>IF($D116=1,IF(GDP_per_cap!AW56&gt;'all_1961-1990'!$H$1,0,IF(UrbanPopRate!AW56&gt;=$J$1,0,1)),0)</f>
        <v>0</v>
      </c>
      <c r="BB116">
        <f>IF($D116=1,IF(GDP_per_cap!AX56&gt;'all_1961-1990'!$H$1,0,IF(UrbanPopRate!AX56&gt;=$J$1,0,1)),0)</f>
        <v>0</v>
      </c>
      <c r="BC116">
        <f>IF($D116=1,IF(GDP_per_cap!AY56&gt;'all_1961-1990'!$H$1,0,IF(UrbanPopRate!AY56&gt;=$J$1,0,1)),0)</f>
        <v>0</v>
      </c>
      <c r="BD116">
        <f>IF($D116=1,IF(GDP_per_cap!AZ56&gt;'all_1961-1990'!$H$1,0,IF(UrbanPopRate!AZ56&gt;=$J$1,0,1)),0)</f>
        <v>0</v>
      </c>
      <c r="BE116">
        <f>IF($D116=1,IF(GDP_per_cap!BA56&gt;'all_1961-1990'!$H$1,0,IF(UrbanPopRate!BA56&gt;=$J$1,0,1)),0)</f>
        <v>0</v>
      </c>
      <c r="BF116">
        <f>IF($D116=1,IF(GDP_per_cap!BB56&gt;'all_1961-1990'!$H$1,0,IF(UrbanPopRate!BB56&gt;=$J$1,0,1)),0)</f>
        <v>0</v>
      </c>
    </row>
    <row r="117" spans="1:58">
      <c r="A117" s="3">
        <v>43</v>
      </c>
      <c r="B117" s="3" t="s">
        <v>129</v>
      </c>
      <c r="C117" s="2">
        <v>4</v>
      </c>
      <c r="D117" s="35">
        <v>1</v>
      </c>
      <c r="E117" s="2">
        <v>14.878433333333335</v>
      </c>
      <c r="F117" s="36">
        <v>783.97599490000005</v>
      </c>
      <c r="G117">
        <f>IF($D117=1,IF(GDP_per_cap!C27&gt;'all_1961-1990'!$H$1,0,IF(UrbanPopRate!C27&gt;=$J$1,0,1)),0)</f>
        <v>1</v>
      </c>
      <c r="H117">
        <f>IF($D117=1,IF(GDP_per_cap!D27&gt;'all_1961-1990'!$H$1,0,IF(UrbanPopRate!D27&gt;=$J$1,0,1)),0)</f>
        <v>1</v>
      </c>
      <c r="I117">
        <f>IF($D117=1,IF(GDP_per_cap!E27&gt;'all_1961-1990'!$H$1,0,IF(UrbanPopRate!E27&gt;=$J$1,0,1)),0)</f>
        <v>1</v>
      </c>
      <c r="J117">
        <f>IF($D117=1,IF(GDP_per_cap!F27&gt;'all_1961-1990'!$H$1,0,IF(UrbanPopRate!F27&gt;=$J$1,0,1)),0)</f>
        <v>1</v>
      </c>
      <c r="K117">
        <f>IF($D117=1,IF(GDP_per_cap!G27&gt;'all_1961-1990'!$H$1,0,IF(UrbanPopRate!G27&gt;=$J$1,0,1)),0)</f>
        <v>1</v>
      </c>
      <c r="L117">
        <f>IF($D117=1,IF(GDP_per_cap!H27&gt;'all_1961-1990'!$H$1,0,IF(UrbanPopRate!H27&gt;=$J$1,0,1)),0)</f>
        <v>1</v>
      </c>
      <c r="M117">
        <f>IF($D117=1,IF(GDP_per_cap!I27&gt;'all_1961-1990'!$H$1,0,IF(UrbanPopRate!I27&gt;=$J$1,0,1)),0)</f>
        <v>1</v>
      </c>
      <c r="N117">
        <f>IF($D117=1,IF(GDP_per_cap!J27&gt;'all_1961-1990'!$H$1,0,IF(UrbanPopRate!J27&gt;=$J$1,0,1)),0)</f>
        <v>1</v>
      </c>
      <c r="O117">
        <f>IF($D117=1,IF(GDP_per_cap!K27&gt;'all_1961-1990'!$H$1,0,IF(UrbanPopRate!K27&gt;=$J$1,0,1)),0)</f>
        <v>1</v>
      </c>
      <c r="P117">
        <f>IF($D117=1,IF(GDP_per_cap!L27&gt;'all_1961-1990'!$H$1,0,IF(UrbanPopRate!L27&gt;=$J$1,0,1)),0)</f>
        <v>1</v>
      </c>
      <c r="Q117">
        <f>IF($D117=1,IF(GDP_per_cap!M27&gt;'all_1961-1990'!$H$1,0,IF(UrbanPopRate!M27&gt;=$J$1,0,1)),0)</f>
        <v>1</v>
      </c>
      <c r="R117">
        <f>IF($D117=1,IF(GDP_per_cap!N27&gt;'all_1961-1990'!$H$1,0,IF(UrbanPopRate!N27&gt;=$J$1,0,1)),0)</f>
        <v>1</v>
      </c>
      <c r="S117">
        <f>IF($D117=1,IF(GDP_per_cap!O27&gt;'all_1961-1990'!$H$1,0,IF(UrbanPopRate!O27&gt;=$J$1,0,1)),0)</f>
        <v>1</v>
      </c>
      <c r="T117">
        <f>IF($D117=1,IF(GDP_per_cap!P27&gt;'all_1961-1990'!$H$1,0,IF(UrbanPopRate!P27&gt;=$J$1,0,1)),0)</f>
        <v>1</v>
      </c>
      <c r="U117">
        <f>IF($D117=1,IF(GDP_per_cap!Q27&gt;'all_1961-1990'!$H$1,0,IF(UrbanPopRate!Q27&gt;=$J$1,0,1)),0)</f>
        <v>1</v>
      </c>
      <c r="V117">
        <f>IF($D117=1,IF(GDP_per_cap!R27&gt;'all_1961-1990'!$H$1,0,IF(UrbanPopRate!R27&gt;=$J$1,0,1)),0)</f>
        <v>1</v>
      </c>
      <c r="W117">
        <f>IF($D117=1,IF(GDP_per_cap!S27&gt;'all_1961-1990'!$H$1,0,IF(UrbanPopRate!S27&gt;=$J$1,0,1)),0)</f>
        <v>1</v>
      </c>
      <c r="X117">
        <f>IF($D117=1,IF(GDP_per_cap!T27&gt;'all_1961-1990'!$H$1,0,IF(UrbanPopRate!T27&gt;=$J$1,0,1)),0)</f>
        <v>1</v>
      </c>
      <c r="Y117">
        <f>IF($D117=1,IF(GDP_per_cap!U27&gt;'all_1961-1990'!$H$1,0,IF(UrbanPopRate!U27&gt;=$J$1,0,1)),0)</f>
        <v>1</v>
      </c>
      <c r="Z117">
        <f>IF($D117=1,IF(GDP_per_cap!V27&gt;'all_1961-1990'!$H$1,0,IF(UrbanPopRate!V27&gt;=$J$1,0,1)),0)</f>
        <v>1</v>
      </c>
      <c r="AA117">
        <f>IF($D117=1,IF(GDP_per_cap!W27&gt;'all_1961-1990'!$H$1,0,IF(UrbanPopRate!W27&gt;=$J$1,0,1)),0)</f>
        <v>1</v>
      </c>
      <c r="AB117">
        <f>IF($D117=1,IF(GDP_per_cap!X27&gt;'all_1961-1990'!$H$1,0,IF(UrbanPopRate!X27&gt;=$J$1,0,1)),0)</f>
        <v>1</v>
      </c>
      <c r="AC117">
        <f>IF($D117=1,IF(GDP_per_cap!Y27&gt;'all_1961-1990'!$H$1,0,IF(UrbanPopRate!Y27&gt;=$J$1,0,1)),0)</f>
        <v>1</v>
      </c>
      <c r="AD117">
        <f>IF($D117=1,IF(GDP_per_cap!Z27&gt;'all_1961-1990'!$H$1,0,IF(UrbanPopRate!Z27&gt;=$J$1,0,1)),0)</f>
        <v>1</v>
      </c>
      <c r="AE117">
        <f>IF($D117=1,IF(GDP_per_cap!AA27&gt;'all_1961-1990'!$H$1,0,IF(UrbanPopRate!AA27&gt;=$J$1,0,1)),0)</f>
        <v>1</v>
      </c>
      <c r="AF117">
        <f>IF($D117=1,IF(GDP_per_cap!AB27&gt;'all_1961-1990'!$H$1,0,IF(UrbanPopRate!AB27&gt;=$J$1,0,1)),0)</f>
        <v>1</v>
      </c>
      <c r="AG117">
        <f>IF($D117=1,IF(GDP_per_cap!AC27&gt;'all_1961-1990'!$H$1,0,IF(UrbanPopRate!AC27&gt;=$J$1,0,1)),0)</f>
        <v>1</v>
      </c>
      <c r="AH117">
        <f>IF($D117=1,IF(GDP_per_cap!AD27&gt;'all_1961-1990'!$H$1,0,IF(UrbanPopRate!AD27&gt;=$J$1,0,1)),0)</f>
        <v>1</v>
      </c>
      <c r="AI117">
        <f>IF($D117=1,IF(GDP_per_cap!AE27&gt;'all_1961-1990'!$H$1,0,IF(UrbanPopRate!AE27&gt;=$J$1,0,1)),0)</f>
        <v>1</v>
      </c>
      <c r="AJ117">
        <f>IF($D117=1,IF(GDP_per_cap!AF27&gt;'all_1961-1990'!$H$1,0,IF(UrbanPopRate!AF27&gt;=$J$1,0,1)),0)</f>
        <v>1</v>
      </c>
      <c r="AK117">
        <f>IF($D117=1,IF(GDP_per_cap!AG27&gt;'all_1961-1990'!$H$1,0,IF(UrbanPopRate!AG27&gt;=$J$1,0,1)),0)</f>
        <v>1</v>
      </c>
      <c r="AL117">
        <f>IF($D117=1,IF(GDP_per_cap!AH27&gt;'all_1961-1990'!$H$1,0,IF(UrbanPopRate!AH27&gt;=$J$1,0,1)),0)</f>
        <v>1</v>
      </c>
      <c r="AM117">
        <f>IF($D117=1,IF(GDP_per_cap!AI27&gt;'all_1961-1990'!$H$1,0,IF(UrbanPopRate!AI27&gt;=$J$1,0,1)),0)</f>
        <v>1</v>
      </c>
      <c r="AN117">
        <f>IF($D117=1,IF(GDP_per_cap!AJ27&gt;'all_1961-1990'!$H$1,0,IF(UrbanPopRate!AJ27&gt;=$J$1,0,1)),0)</f>
        <v>1</v>
      </c>
      <c r="AO117">
        <f>IF($D117=1,IF(GDP_per_cap!AK27&gt;'all_1961-1990'!$H$1,0,IF(UrbanPopRate!AK27&gt;=$J$1,0,1)),0)</f>
        <v>1</v>
      </c>
      <c r="AP117">
        <f>IF($D117=1,IF(GDP_per_cap!AL27&gt;'all_1961-1990'!$H$1,0,IF(UrbanPopRate!AL27&gt;=$J$1,0,1)),0)</f>
        <v>1</v>
      </c>
      <c r="AQ117">
        <f>IF($D117=1,IF(GDP_per_cap!AM27&gt;'all_1961-1990'!$H$1,0,IF(UrbanPopRate!AM27&gt;=$J$1,0,1)),0)</f>
        <v>1</v>
      </c>
      <c r="AR117">
        <f>IF($D117=1,IF(GDP_per_cap!AN27&gt;'all_1961-1990'!$H$1,0,IF(UrbanPopRate!AN27&gt;=$J$1,0,1)),0)</f>
        <v>1</v>
      </c>
      <c r="AS117">
        <f>IF($D117=1,IF(GDP_per_cap!AO27&gt;'all_1961-1990'!$H$1,0,IF(UrbanPopRate!AO27&gt;=$J$1,0,1)),0)</f>
        <v>1</v>
      </c>
      <c r="AT117">
        <f>IF($D117=1,IF(GDP_per_cap!AP27&gt;'all_1961-1990'!$H$1,0,IF(UrbanPopRate!AP27&gt;=$J$1,0,1)),0)</f>
        <v>1</v>
      </c>
      <c r="AU117">
        <f>IF($D117=1,IF(GDP_per_cap!AQ27&gt;'all_1961-1990'!$H$1,0,IF(UrbanPopRate!AQ27&gt;=$J$1,0,1)),0)</f>
        <v>1</v>
      </c>
      <c r="AV117">
        <f>IF($D117=1,IF(GDP_per_cap!AR27&gt;'all_1961-1990'!$H$1,0,IF(UrbanPopRate!AR27&gt;=$J$1,0,1)),0)</f>
        <v>1</v>
      </c>
      <c r="AW117">
        <f>IF($D117=1,IF(GDP_per_cap!AS27&gt;'all_1961-1990'!$H$1,0,IF(UrbanPopRate!AS27&gt;=$J$1,0,1)),0)</f>
        <v>1</v>
      </c>
      <c r="AX117">
        <f>IF($D117=1,IF(GDP_per_cap!AT27&gt;'all_1961-1990'!$H$1,0,IF(UrbanPopRate!AT27&gt;=$J$1,0,1)),0)</f>
        <v>1</v>
      </c>
      <c r="AY117">
        <f>IF($D117=1,IF(GDP_per_cap!AU27&gt;'all_1961-1990'!$H$1,0,IF(UrbanPopRate!AU27&gt;=$J$1,0,1)),0)</f>
        <v>1</v>
      </c>
      <c r="AZ117">
        <f>IF($D117=1,IF(GDP_per_cap!AV27&gt;'all_1961-1990'!$H$1,0,IF(UrbanPopRate!AV27&gt;=$J$1,0,1)),0)</f>
        <v>1</v>
      </c>
      <c r="BA117">
        <f>IF($D117=1,IF(GDP_per_cap!AW27&gt;'all_1961-1990'!$H$1,0,IF(UrbanPopRate!AW27&gt;=$J$1,0,1)),0)</f>
        <v>1</v>
      </c>
      <c r="BB117">
        <f>IF($D117=1,IF(GDP_per_cap!AX27&gt;'all_1961-1990'!$H$1,0,IF(UrbanPopRate!AX27&gt;=$J$1,0,1)),0)</f>
        <v>1</v>
      </c>
      <c r="BC117">
        <f>IF($D117=1,IF(GDP_per_cap!AY27&gt;'all_1961-1990'!$H$1,0,IF(UrbanPopRate!AY27&gt;=$J$1,0,1)),0)</f>
        <v>1</v>
      </c>
      <c r="BD117">
        <f>IF($D117=1,IF(GDP_per_cap!AZ27&gt;'all_1961-1990'!$H$1,0,IF(UrbanPopRate!AZ27&gt;=$J$1,0,1)),0)</f>
        <v>1</v>
      </c>
      <c r="BE117">
        <f>IF($D117=1,IF(GDP_per_cap!BA27&gt;'all_1961-1990'!$H$1,0,IF(UrbanPopRate!BA27&gt;=$J$1,0,1)),0)</f>
        <v>1</v>
      </c>
      <c r="BF117">
        <f>IF($D117=1,IF(GDP_per_cap!BB27&gt;'all_1961-1990'!$H$1,0,IF(UrbanPopRate!BB27&gt;=$J$1,0,1)),0)</f>
        <v>1</v>
      </c>
    </row>
    <row r="118" spans="1:58">
      <c r="A118" s="3">
        <v>159</v>
      </c>
      <c r="B118" s="3" t="s">
        <v>53</v>
      </c>
      <c r="C118" s="2">
        <v>4</v>
      </c>
      <c r="D118" s="35">
        <v>1</v>
      </c>
      <c r="E118" s="2">
        <v>11.089833333333333</v>
      </c>
      <c r="F118" s="36">
        <v>771.11228879999999</v>
      </c>
      <c r="G118">
        <f>IF($D118=1,IF(GDP_per_cap!C103&gt;'all_1961-1990'!$H$1,0,IF(UrbanPopRate!C103&gt;=$J$1,0,1)),0)</f>
        <v>1</v>
      </c>
      <c r="H118">
        <f>IF($D118=1,IF(GDP_per_cap!D103&gt;'all_1961-1990'!$H$1,0,IF(UrbanPopRate!D103&gt;=$J$1,0,1)),0)</f>
        <v>1</v>
      </c>
      <c r="I118">
        <f>IF($D118=1,IF(GDP_per_cap!E103&gt;'all_1961-1990'!$H$1,0,IF(UrbanPopRate!E103&gt;=$J$1,0,1)),0)</f>
        <v>1</v>
      </c>
      <c r="J118">
        <f>IF($D118=1,IF(GDP_per_cap!F103&gt;'all_1961-1990'!$H$1,0,IF(UrbanPopRate!F103&gt;=$J$1,0,1)),0)</f>
        <v>1</v>
      </c>
      <c r="K118">
        <f>IF($D118=1,IF(GDP_per_cap!G103&gt;'all_1961-1990'!$H$1,0,IF(UrbanPopRate!G103&gt;=$J$1,0,1)),0)</f>
        <v>1</v>
      </c>
      <c r="L118">
        <f>IF($D118=1,IF(GDP_per_cap!H103&gt;'all_1961-1990'!$H$1,0,IF(UrbanPopRate!H103&gt;=$J$1,0,1)),0)</f>
        <v>1</v>
      </c>
      <c r="M118">
        <f>IF($D118=1,IF(GDP_per_cap!I103&gt;'all_1961-1990'!$H$1,0,IF(UrbanPopRate!I103&gt;=$J$1,0,1)),0)</f>
        <v>1</v>
      </c>
      <c r="N118">
        <f>IF($D118=1,IF(GDP_per_cap!J103&gt;'all_1961-1990'!$H$1,0,IF(UrbanPopRate!J103&gt;=$J$1,0,1)),0)</f>
        <v>1</v>
      </c>
      <c r="O118">
        <f>IF($D118=1,IF(GDP_per_cap!K103&gt;'all_1961-1990'!$H$1,0,IF(UrbanPopRate!K103&gt;=$J$1,0,1)),0)</f>
        <v>1</v>
      </c>
      <c r="P118">
        <f>IF($D118=1,IF(GDP_per_cap!L103&gt;'all_1961-1990'!$H$1,0,IF(UrbanPopRate!L103&gt;=$J$1,0,1)),0)</f>
        <v>1</v>
      </c>
      <c r="Q118">
        <f>IF($D118=1,IF(GDP_per_cap!M103&gt;'all_1961-1990'!$H$1,0,IF(UrbanPopRate!M103&gt;=$J$1,0,1)),0)</f>
        <v>1</v>
      </c>
      <c r="R118">
        <f>IF($D118=1,IF(GDP_per_cap!N103&gt;'all_1961-1990'!$H$1,0,IF(UrbanPopRate!N103&gt;=$J$1,0,1)),0)</f>
        <v>1</v>
      </c>
      <c r="S118">
        <f>IF($D118=1,IF(GDP_per_cap!O103&gt;'all_1961-1990'!$H$1,0,IF(UrbanPopRate!O103&gt;=$J$1,0,1)),0)</f>
        <v>1</v>
      </c>
      <c r="T118">
        <f>IF($D118=1,IF(GDP_per_cap!P103&gt;'all_1961-1990'!$H$1,0,IF(UrbanPopRate!P103&gt;=$J$1,0,1)),0)</f>
        <v>1</v>
      </c>
      <c r="U118">
        <f>IF($D118=1,IF(GDP_per_cap!Q103&gt;'all_1961-1990'!$H$1,0,IF(UrbanPopRate!Q103&gt;=$J$1,0,1)),0)</f>
        <v>1</v>
      </c>
      <c r="V118">
        <f>IF($D118=1,IF(GDP_per_cap!R103&gt;'all_1961-1990'!$H$1,0,IF(UrbanPopRate!R103&gt;=$J$1,0,1)),0)</f>
        <v>1</v>
      </c>
      <c r="W118">
        <f>IF($D118=1,IF(GDP_per_cap!S103&gt;'all_1961-1990'!$H$1,0,IF(UrbanPopRate!S103&gt;=$J$1,0,1)),0)</f>
        <v>1</v>
      </c>
      <c r="X118">
        <f>IF($D118=1,IF(GDP_per_cap!T103&gt;'all_1961-1990'!$H$1,0,IF(UrbanPopRate!T103&gt;=$J$1,0,1)),0)</f>
        <v>1</v>
      </c>
      <c r="Y118">
        <f>IF($D118=1,IF(GDP_per_cap!U103&gt;'all_1961-1990'!$H$1,0,IF(UrbanPopRate!U103&gt;=$J$1,0,1)),0)</f>
        <v>1</v>
      </c>
      <c r="Z118">
        <f>IF($D118=1,IF(GDP_per_cap!V103&gt;'all_1961-1990'!$H$1,0,IF(UrbanPopRate!V103&gt;=$J$1,0,1)),0)</f>
        <v>1</v>
      </c>
      <c r="AA118">
        <f>IF($D118=1,IF(GDP_per_cap!W103&gt;'all_1961-1990'!$H$1,0,IF(UrbanPopRate!W103&gt;=$J$1,0,1)),0)</f>
        <v>1</v>
      </c>
      <c r="AB118">
        <f>IF($D118=1,IF(GDP_per_cap!X103&gt;'all_1961-1990'!$H$1,0,IF(UrbanPopRate!X103&gt;=$J$1,0,1)),0)</f>
        <v>1</v>
      </c>
      <c r="AC118">
        <f>IF($D118=1,IF(GDP_per_cap!Y103&gt;'all_1961-1990'!$H$1,0,IF(UrbanPopRate!Y103&gt;=$J$1,0,1)),0)</f>
        <v>1</v>
      </c>
      <c r="AD118">
        <f>IF($D118=1,IF(GDP_per_cap!Z103&gt;'all_1961-1990'!$H$1,0,IF(UrbanPopRate!Z103&gt;=$J$1,0,1)),0)</f>
        <v>1</v>
      </c>
      <c r="AE118">
        <f>IF($D118=1,IF(GDP_per_cap!AA103&gt;'all_1961-1990'!$H$1,0,IF(UrbanPopRate!AA103&gt;=$J$1,0,1)),0)</f>
        <v>1</v>
      </c>
      <c r="AF118">
        <f>IF($D118=1,IF(GDP_per_cap!AB103&gt;'all_1961-1990'!$H$1,0,IF(UrbanPopRate!AB103&gt;=$J$1,0,1)),0)</f>
        <v>1</v>
      </c>
      <c r="AG118">
        <f>IF($D118=1,IF(GDP_per_cap!AC103&gt;'all_1961-1990'!$H$1,0,IF(UrbanPopRate!AC103&gt;=$J$1,0,1)),0)</f>
        <v>1</v>
      </c>
      <c r="AH118">
        <f>IF($D118=1,IF(GDP_per_cap!AD103&gt;'all_1961-1990'!$H$1,0,IF(UrbanPopRate!AD103&gt;=$J$1,0,1)),0)</f>
        <v>1</v>
      </c>
      <c r="AI118">
        <f>IF($D118=1,IF(GDP_per_cap!AE103&gt;'all_1961-1990'!$H$1,0,IF(UrbanPopRate!AE103&gt;=$J$1,0,1)),0)</f>
        <v>1</v>
      </c>
      <c r="AJ118">
        <f>IF($D118=1,IF(GDP_per_cap!AF103&gt;'all_1961-1990'!$H$1,0,IF(UrbanPopRate!AF103&gt;=$J$1,0,1)),0)</f>
        <v>1</v>
      </c>
      <c r="AK118">
        <f>IF($D118=1,IF(GDP_per_cap!AG103&gt;'all_1961-1990'!$H$1,0,IF(UrbanPopRate!AG103&gt;=$J$1,0,1)),0)</f>
        <v>1</v>
      </c>
      <c r="AL118">
        <f>IF($D118=1,IF(GDP_per_cap!AH103&gt;'all_1961-1990'!$H$1,0,IF(UrbanPopRate!AH103&gt;=$J$1,0,1)),0)</f>
        <v>1</v>
      </c>
      <c r="AM118">
        <f>IF($D118=1,IF(GDP_per_cap!AI103&gt;'all_1961-1990'!$H$1,0,IF(UrbanPopRate!AI103&gt;=$J$1,0,1)),0)</f>
        <v>1</v>
      </c>
      <c r="AN118">
        <f>IF($D118=1,IF(GDP_per_cap!AJ103&gt;'all_1961-1990'!$H$1,0,IF(UrbanPopRate!AJ103&gt;=$J$1,0,1)),0)</f>
        <v>1</v>
      </c>
      <c r="AO118">
        <f>IF($D118=1,IF(GDP_per_cap!AK103&gt;'all_1961-1990'!$H$1,0,IF(UrbanPopRate!AK103&gt;=$J$1,0,1)),0)</f>
        <v>1</v>
      </c>
      <c r="AP118">
        <f>IF($D118=1,IF(GDP_per_cap!AL103&gt;'all_1961-1990'!$H$1,0,IF(UrbanPopRate!AL103&gt;=$J$1,0,1)),0)</f>
        <v>1</v>
      </c>
      <c r="AQ118">
        <f>IF($D118=1,IF(GDP_per_cap!AM103&gt;'all_1961-1990'!$H$1,0,IF(UrbanPopRate!AM103&gt;=$J$1,0,1)),0)</f>
        <v>1</v>
      </c>
      <c r="AR118">
        <f>IF($D118=1,IF(GDP_per_cap!AN103&gt;'all_1961-1990'!$H$1,0,IF(UrbanPopRate!AN103&gt;=$J$1,0,1)),0)</f>
        <v>1</v>
      </c>
      <c r="AS118">
        <f>IF($D118=1,IF(GDP_per_cap!AO103&gt;'all_1961-1990'!$H$1,0,IF(UrbanPopRate!AO103&gt;=$J$1,0,1)),0)</f>
        <v>1</v>
      </c>
      <c r="AT118">
        <f>IF($D118=1,IF(GDP_per_cap!AP103&gt;'all_1961-1990'!$H$1,0,IF(UrbanPopRate!AP103&gt;=$J$1,0,1)),0)</f>
        <v>1</v>
      </c>
      <c r="AU118">
        <f>IF($D118=1,IF(GDP_per_cap!AQ103&gt;'all_1961-1990'!$H$1,0,IF(UrbanPopRate!AQ103&gt;=$J$1,0,1)),0)</f>
        <v>1</v>
      </c>
      <c r="AV118">
        <f>IF($D118=1,IF(GDP_per_cap!AR103&gt;'all_1961-1990'!$H$1,0,IF(UrbanPopRate!AR103&gt;=$J$1,0,1)),0)</f>
        <v>1</v>
      </c>
      <c r="AW118">
        <f>IF($D118=1,IF(GDP_per_cap!AS103&gt;'all_1961-1990'!$H$1,0,IF(UrbanPopRate!AS103&gt;=$J$1,0,1)),0)</f>
        <v>1</v>
      </c>
      <c r="AX118">
        <f>IF($D118=1,IF(GDP_per_cap!AT103&gt;'all_1961-1990'!$H$1,0,IF(UrbanPopRate!AT103&gt;=$J$1,0,1)),0)</f>
        <v>1</v>
      </c>
      <c r="AY118">
        <f>IF($D118=1,IF(GDP_per_cap!AU103&gt;'all_1961-1990'!$H$1,0,IF(UrbanPopRate!AU103&gt;=$J$1,0,1)),0)</f>
        <v>1</v>
      </c>
      <c r="AZ118">
        <f>IF($D118=1,IF(GDP_per_cap!AV103&gt;'all_1961-1990'!$H$1,0,IF(UrbanPopRate!AV103&gt;=$J$1,0,1)),0)</f>
        <v>1</v>
      </c>
      <c r="BA118">
        <f>IF($D118=1,IF(GDP_per_cap!AW103&gt;'all_1961-1990'!$H$1,0,IF(UrbanPopRate!AW103&gt;=$J$1,0,1)),0)</f>
        <v>1</v>
      </c>
      <c r="BB118">
        <f>IF($D118=1,IF(GDP_per_cap!AX103&gt;'all_1961-1990'!$H$1,0,IF(UrbanPopRate!AX103&gt;=$J$1,0,1)),0)</f>
        <v>1</v>
      </c>
      <c r="BC118">
        <f>IF($D118=1,IF(GDP_per_cap!AY103&gt;'all_1961-1990'!$H$1,0,IF(UrbanPopRate!AY103&gt;=$J$1,0,1)),0)</f>
        <v>1</v>
      </c>
      <c r="BD118">
        <f>IF($D118=1,IF(GDP_per_cap!AZ103&gt;'all_1961-1990'!$H$1,0,IF(UrbanPopRate!AZ103&gt;=$J$1,0,1)),0)</f>
        <v>1</v>
      </c>
      <c r="BE118">
        <f>IF($D118=1,IF(GDP_per_cap!BA103&gt;'all_1961-1990'!$H$1,0,IF(UrbanPopRate!BA103&gt;=$J$1,0,1)),0)</f>
        <v>1</v>
      </c>
      <c r="BF118">
        <f>IF($D118=1,IF(GDP_per_cap!BB103&gt;'all_1961-1990'!$H$1,0,IF(UrbanPopRate!BB103&gt;=$J$1,0,1)),0)</f>
        <v>1</v>
      </c>
    </row>
    <row r="119" spans="1:58">
      <c r="A119" s="3">
        <v>195</v>
      </c>
      <c r="B119" s="3" t="s">
        <v>33</v>
      </c>
      <c r="C119" s="2">
        <v>4</v>
      </c>
      <c r="D119" s="35">
        <v>1</v>
      </c>
      <c r="E119" s="2">
        <v>26.303499999999996</v>
      </c>
      <c r="F119" s="36">
        <v>764.07026099999996</v>
      </c>
      <c r="G119">
        <f>IF($D119=1,IF(GDP_per_cap!C123&gt;'all_1961-1990'!$H$1,0,IF(UrbanPopRate!C123&gt;=$J$1,0,1)),0)</f>
        <v>1</v>
      </c>
      <c r="H119">
        <f>IF($D119=1,IF(GDP_per_cap!D123&gt;'all_1961-1990'!$H$1,0,IF(UrbanPopRate!D123&gt;=$J$1,0,1)),0)</f>
        <v>1</v>
      </c>
      <c r="I119">
        <f>IF($D119=1,IF(GDP_per_cap!E123&gt;'all_1961-1990'!$H$1,0,IF(UrbanPopRate!E123&gt;=$J$1,0,1)),0)</f>
        <v>1</v>
      </c>
      <c r="J119">
        <f>IF($D119=1,IF(GDP_per_cap!F123&gt;'all_1961-1990'!$H$1,0,IF(UrbanPopRate!F123&gt;=$J$1,0,1)),0)</f>
        <v>1</v>
      </c>
      <c r="K119">
        <f>IF($D119=1,IF(GDP_per_cap!G123&gt;'all_1961-1990'!$H$1,0,IF(UrbanPopRate!G123&gt;=$J$1,0,1)),0)</f>
        <v>1</v>
      </c>
      <c r="L119">
        <f>IF($D119=1,IF(GDP_per_cap!H123&gt;'all_1961-1990'!$H$1,0,IF(UrbanPopRate!H123&gt;=$J$1,0,1)),0)</f>
        <v>1</v>
      </c>
      <c r="M119">
        <f>IF($D119=1,IF(GDP_per_cap!I123&gt;'all_1961-1990'!$H$1,0,IF(UrbanPopRate!I123&gt;=$J$1,0,1)),0)</f>
        <v>1</v>
      </c>
      <c r="N119">
        <f>IF($D119=1,IF(GDP_per_cap!J123&gt;'all_1961-1990'!$H$1,0,IF(UrbanPopRate!J123&gt;=$J$1,0,1)),0)</f>
        <v>1</v>
      </c>
      <c r="O119">
        <f>IF($D119=1,IF(GDP_per_cap!K123&gt;'all_1961-1990'!$H$1,0,IF(UrbanPopRate!K123&gt;=$J$1,0,1)),0)</f>
        <v>1</v>
      </c>
      <c r="P119">
        <f>IF($D119=1,IF(GDP_per_cap!L123&gt;'all_1961-1990'!$H$1,0,IF(UrbanPopRate!L123&gt;=$J$1,0,1)),0)</f>
        <v>1</v>
      </c>
      <c r="Q119">
        <f>IF($D119=1,IF(GDP_per_cap!M123&gt;'all_1961-1990'!$H$1,0,IF(UrbanPopRate!M123&gt;=$J$1,0,1)),0)</f>
        <v>1</v>
      </c>
      <c r="R119">
        <f>IF($D119=1,IF(GDP_per_cap!N123&gt;'all_1961-1990'!$H$1,0,IF(UrbanPopRate!N123&gt;=$J$1,0,1)),0)</f>
        <v>1</v>
      </c>
      <c r="S119">
        <f>IF($D119=1,IF(GDP_per_cap!O123&gt;'all_1961-1990'!$H$1,0,IF(UrbanPopRate!O123&gt;=$J$1,0,1)),0)</f>
        <v>0</v>
      </c>
      <c r="T119">
        <f>IF($D119=1,IF(GDP_per_cap!P123&gt;'all_1961-1990'!$H$1,0,IF(UrbanPopRate!P123&gt;=$J$1,0,1)),0)</f>
        <v>0</v>
      </c>
      <c r="U119">
        <f>IF($D119=1,IF(GDP_per_cap!Q123&gt;'all_1961-1990'!$H$1,0,IF(UrbanPopRate!Q123&gt;=$J$1,0,1)),0)</f>
        <v>0</v>
      </c>
      <c r="V119">
        <f>IF($D119=1,IF(GDP_per_cap!R123&gt;'all_1961-1990'!$H$1,0,IF(UrbanPopRate!R123&gt;=$J$1,0,1)),0)</f>
        <v>0</v>
      </c>
      <c r="W119">
        <f>IF($D119=1,IF(GDP_per_cap!S123&gt;'all_1961-1990'!$H$1,0,IF(UrbanPopRate!S123&gt;=$J$1,0,1)),0)</f>
        <v>0</v>
      </c>
      <c r="X119">
        <f>IF($D119=1,IF(GDP_per_cap!T123&gt;'all_1961-1990'!$H$1,0,IF(UrbanPopRate!T123&gt;=$J$1,0,1)),0)</f>
        <v>0</v>
      </c>
      <c r="Y119">
        <f>IF($D119=1,IF(GDP_per_cap!U123&gt;'all_1961-1990'!$H$1,0,IF(UrbanPopRate!U123&gt;=$J$1,0,1)),0)</f>
        <v>0</v>
      </c>
      <c r="Z119">
        <f>IF($D119=1,IF(GDP_per_cap!V123&gt;'all_1961-1990'!$H$1,0,IF(UrbanPopRate!V123&gt;=$J$1,0,1)),0)</f>
        <v>0</v>
      </c>
      <c r="AA119">
        <f>IF($D119=1,IF(GDP_per_cap!W123&gt;'all_1961-1990'!$H$1,0,IF(UrbanPopRate!W123&gt;=$J$1,0,1)),0)</f>
        <v>0</v>
      </c>
      <c r="AB119">
        <f>IF($D119=1,IF(GDP_per_cap!X123&gt;'all_1961-1990'!$H$1,0,IF(UrbanPopRate!X123&gt;=$J$1,0,1)),0)</f>
        <v>0</v>
      </c>
      <c r="AC119">
        <f>IF($D119=1,IF(GDP_per_cap!Y123&gt;'all_1961-1990'!$H$1,0,IF(UrbanPopRate!Y123&gt;=$J$1,0,1)),0)</f>
        <v>0</v>
      </c>
      <c r="AD119">
        <f>IF($D119=1,IF(GDP_per_cap!Z123&gt;'all_1961-1990'!$H$1,0,IF(UrbanPopRate!Z123&gt;=$J$1,0,1)),0)</f>
        <v>0</v>
      </c>
      <c r="AE119">
        <f>IF($D119=1,IF(GDP_per_cap!AA123&gt;'all_1961-1990'!$H$1,0,IF(UrbanPopRate!AA123&gt;=$J$1,0,1)),0)</f>
        <v>0</v>
      </c>
      <c r="AF119">
        <f>IF($D119=1,IF(GDP_per_cap!AB123&gt;'all_1961-1990'!$H$1,0,IF(UrbanPopRate!AB123&gt;=$J$1,0,1)),0)</f>
        <v>0</v>
      </c>
      <c r="AG119">
        <f>IF($D119=1,IF(GDP_per_cap!AC123&gt;'all_1961-1990'!$H$1,0,IF(UrbanPopRate!AC123&gt;=$J$1,0,1)),0)</f>
        <v>0</v>
      </c>
      <c r="AH119">
        <f>IF($D119=1,IF(GDP_per_cap!AD123&gt;'all_1961-1990'!$H$1,0,IF(UrbanPopRate!AD123&gt;=$J$1,0,1)),0)</f>
        <v>0</v>
      </c>
      <c r="AI119">
        <f>IF($D119=1,IF(GDP_per_cap!AE123&gt;'all_1961-1990'!$H$1,0,IF(UrbanPopRate!AE123&gt;=$J$1,0,1)),0)</f>
        <v>0</v>
      </c>
      <c r="AJ119">
        <f>IF($D119=1,IF(GDP_per_cap!AF123&gt;'all_1961-1990'!$H$1,0,IF(UrbanPopRate!AF123&gt;=$J$1,0,1)),0)</f>
        <v>0</v>
      </c>
      <c r="AK119">
        <f>IF($D119=1,IF(GDP_per_cap!AG123&gt;'all_1961-1990'!$H$1,0,IF(UrbanPopRate!AG123&gt;=$J$1,0,1)),0)</f>
        <v>0</v>
      </c>
      <c r="AL119">
        <f>IF($D119=1,IF(GDP_per_cap!AH123&gt;'all_1961-1990'!$H$1,0,IF(UrbanPopRate!AH123&gt;=$J$1,0,1)),0)</f>
        <v>0</v>
      </c>
      <c r="AM119">
        <f>IF($D119=1,IF(GDP_per_cap!AI123&gt;'all_1961-1990'!$H$1,0,IF(UrbanPopRate!AI123&gt;=$J$1,0,1)),0)</f>
        <v>0</v>
      </c>
      <c r="AN119">
        <f>IF($D119=1,IF(GDP_per_cap!AJ123&gt;'all_1961-1990'!$H$1,0,IF(UrbanPopRate!AJ123&gt;=$J$1,0,1)),0)</f>
        <v>0</v>
      </c>
      <c r="AO119">
        <f>IF($D119=1,IF(GDP_per_cap!AK123&gt;'all_1961-1990'!$H$1,0,IF(UrbanPopRate!AK123&gt;=$J$1,0,1)),0)</f>
        <v>0</v>
      </c>
      <c r="AP119">
        <f>IF($D119=1,IF(GDP_per_cap!AL123&gt;'all_1961-1990'!$H$1,0,IF(UrbanPopRate!AL123&gt;=$J$1,0,1)),0)</f>
        <v>0</v>
      </c>
      <c r="AQ119">
        <f>IF($D119=1,IF(GDP_per_cap!AM123&gt;'all_1961-1990'!$H$1,0,IF(UrbanPopRate!AM123&gt;=$J$1,0,1)),0)</f>
        <v>0</v>
      </c>
      <c r="AR119">
        <f>IF($D119=1,IF(GDP_per_cap!AN123&gt;'all_1961-1990'!$H$1,0,IF(UrbanPopRate!AN123&gt;=$J$1,0,1)),0)</f>
        <v>0</v>
      </c>
      <c r="AS119">
        <f>IF($D119=1,IF(GDP_per_cap!AO123&gt;'all_1961-1990'!$H$1,0,IF(UrbanPopRate!AO123&gt;=$J$1,0,1)),0)</f>
        <v>0</v>
      </c>
      <c r="AT119">
        <f>IF($D119=1,IF(GDP_per_cap!AP123&gt;'all_1961-1990'!$H$1,0,IF(UrbanPopRate!AP123&gt;=$J$1,0,1)),0)</f>
        <v>0</v>
      </c>
      <c r="AU119">
        <f>IF($D119=1,IF(GDP_per_cap!AQ123&gt;'all_1961-1990'!$H$1,0,IF(UrbanPopRate!AQ123&gt;=$J$1,0,1)),0)</f>
        <v>0</v>
      </c>
      <c r="AV119">
        <f>IF($D119=1,IF(GDP_per_cap!AR123&gt;'all_1961-1990'!$H$1,0,IF(UrbanPopRate!AR123&gt;=$J$1,0,1)),0)</f>
        <v>0</v>
      </c>
      <c r="AW119">
        <f>IF($D119=1,IF(GDP_per_cap!AS123&gt;'all_1961-1990'!$H$1,0,IF(UrbanPopRate!AS123&gt;=$J$1,0,1)),0)</f>
        <v>0</v>
      </c>
      <c r="AX119">
        <f>IF($D119=1,IF(GDP_per_cap!AT123&gt;'all_1961-1990'!$H$1,0,IF(UrbanPopRate!AT123&gt;=$J$1,0,1)),0)</f>
        <v>0</v>
      </c>
      <c r="AY119">
        <f>IF($D119=1,IF(GDP_per_cap!AU123&gt;'all_1961-1990'!$H$1,0,IF(UrbanPopRate!AU123&gt;=$J$1,0,1)),0)</f>
        <v>0</v>
      </c>
      <c r="AZ119">
        <f>IF($D119=1,IF(GDP_per_cap!AV123&gt;'all_1961-1990'!$H$1,0,IF(UrbanPopRate!AV123&gt;=$J$1,0,1)),0)</f>
        <v>0</v>
      </c>
      <c r="BA119">
        <f>IF($D119=1,IF(GDP_per_cap!AW123&gt;'all_1961-1990'!$H$1,0,IF(UrbanPopRate!AW123&gt;=$J$1,0,1)),0)</f>
        <v>0</v>
      </c>
      <c r="BB119">
        <f>IF($D119=1,IF(GDP_per_cap!AX123&gt;'all_1961-1990'!$H$1,0,IF(UrbanPopRate!AX123&gt;=$J$1,0,1)),0)</f>
        <v>0</v>
      </c>
      <c r="BC119">
        <f>IF($D119=1,IF(GDP_per_cap!AY123&gt;'all_1961-1990'!$H$1,0,IF(UrbanPopRate!AY123&gt;=$J$1,0,1)),0)</f>
        <v>0</v>
      </c>
      <c r="BD119">
        <f>IF($D119=1,IF(GDP_per_cap!AZ123&gt;'all_1961-1990'!$H$1,0,IF(UrbanPopRate!AZ123&gt;=$J$1,0,1)),0)</f>
        <v>0</v>
      </c>
      <c r="BE119">
        <f>IF($D119=1,IF(GDP_per_cap!BA123&gt;'all_1961-1990'!$H$1,0,IF(UrbanPopRate!BA123&gt;=$J$1,0,1)),0)</f>
        <v>0</v>
      </c>
      <c r="BF119">
        <f>IF($D119=1,IF(GDP_per_cap!BB123&gt;'all_1961-1990'!$H$1,0,IF(UrbanPopRate!BB123&gt;=$J$1,0,1)),0)</f>
        <v>0</v>
      </c>
    </row>
    <row r="120" spans="1:58">
      <c r="A120" s="3">
        <v>35</v>
      </c>
      <c r="B120" s="3" t="s">
        <v>135</v>
      </c>
      <c r="C120" s="2">
        <v>4</v>
      </c>
      <c r="D120" s="35">
        <v>1</v>
      </c>
      <c r="E120" s="2">
        <v>8.0998333333333328</v>
      </c>
      <c r="F120" s="36">
        <v>676.29903390000004</v>
      </c>
      <c r="G120">
        <f>IF($D120=1,IF(GDP_per_cap!C21&gt;'all_1961-1990'!$H$1,0,IF(UrbanPopRate!C21&gt;=$J$1,0,1)),0)</f>
        <v>1</v>
      </c>
      <c r="H120">
        <f>IF($D120=1,IF(GDP_per_cap!D21&gt;'all_1961-1990'!$H$1,0,IF(UrbanPopRate!D21&gt;=$J$1,0,1)),0)</f>
        <v>1</v>
      </c>
      <c r="I120">
        <f>IF($D120=1,IF(GDP_per_cap!E21&gt;'all_1961-1990'!$H$1,0,IF(UrbanPopRate!E21&gt;=$J$1,0,1)),0)</f>
        <v>1</v>
      </c>
      <c r="J120">
        <f>IF($D120=1,IF(GDP_per_cap!F21&gt;'all_1961-1990'!$H$1,0,IF(UrbanPopRate!F21&gt;=$J$1,0,1)),0)</f>
        <v>1</v>
      </c>
      <c r="K120">
        <f>IF($D120=1,IF(GDP_per_cap!G21&gt;'all_1961-1990'!$H$1,0,IF(UrbanPopRate!G21&gt;=$J$1,0,1)),0)</f>
        <v>1</v>
      </c>
      <c r="L120">
        <f>IF($D120=1,IF(GDP_per_cap!H21&gt;'all_1961-1990'!$H$1,0,IF(UrbanPopRate!H21&gt;=$J$1,0,1)),0)</f>
        <v>1</v>
      </c>
      <c r="M120">
        <f>IF($D120=1,IF(GDP_per_cap!I21&gt;'all_1961-1990'!$H$1,0,IF(UrbanPopRate!I21&gt;=$J$1,0,1)),0)</f>
        <v>1</v>
      </c>
      <c r="N120">
        <f>IF($D120=1,IF(GDP_per_cap!J21&gt;'all_1961-1990'!$H$1,0,IF(UrbanPopRate!J21&gt;=$J$1,0,1)),0)</f>
        <v>1</v>
      </c>
      <c r="O120">
        <f>IF($D120=1,IF(GDP_per_cap!K21&gt;'all_1961-1990'!$H$1,0,IF(UrbanPopRate!K21&gt;=$J$1,0,1)),0)</f>
        <v>1</v>
      </c>
      <c r="P120">
        <f>IF($D120=1,IF(GDP_per_cap!L21&gt;'all_1961-1990'!$H$1,0,IF(UrbanPopRate!L21&gt;=$J$1,0,1)),0)</f>
        <v>1</v>
      </c>
      <c r="Q120">
        <f>IF($D120=1,IF(GDP_per_cap!M21&gt;'all_1961-1990'!$H$1,0,IF(UrbanPopRate!M21&gt;=$J$1,0,1)),0)</f>
        <v>1</v>
      </c>
      <c r="R120">
        <f>IF($D120=1,IF(GDP_per_cap!N21&gt;'all_1961-1990'!$H$1,0,IF(UrbanPopRate!N21&gt;=$J$1,0,1)),0)</f>
        <v>1</v>
      </c>
      <c r="S120">
        <f>IF($D120=1,IF(GDP_per_cap!O21&gt;'all_1961-1990'!$H$1,0,IF(UrbanPopRate!O21&gt;=$J$1,0,1)),0)</f>
        <v>1</v>
      </c>
      <c r="T120">
        <f>IF($D120=1,IF(GDP_per_cap!P21&gt;'all_1961-1990'!$H$1,0,IF(UrbanPopRate!P21&gt;=$J$1,0,1)),0)</f>
        <v>1</v>
      </c>
      <c r="U120">
        <f>IF($D120=1,IF(GDP_per_cap!Q21&gt;'all_1961-1990'!$H$1,0,IF(UrbanPopRate!Q21&gt;=$J$1,0,1)),0)</f>
        <v>1</v>
      </c>
      <c r="V120">
        <f>IF($D120=1,IF(GDP_per_cap!R21&gt;'all_1961-1990'!$H$1,0,IF(UrbanPopRate!R21&gt;=$J$1,0,1)),0)</f>
        <v>1</v>
      </c>
      <c r="W120">
        <f>IF($D120=1,IF(GDP_per_cap!S21&gt;'all_1961-1990'!$H$1,0,IF(UrbanPopRate!S21&gt;=$J$1,0,1)),0)</f>
        <v>1</v>
      </c>
      <c r="X120">
        <f>IF($D120=1,IF(GDP_per_cap!T21&gt;'all_1961-1990'!$H$1,0,IF(UrbanPopRate!T21&gt;=$J$1,0,1)),0)</f>
        <v>1</v>
      </c>
      <c r="Y120">
        <f>IF($D120=1,IF(GDP_per_cap!U21&gt;'all_1961-1990'!$H$1,0,IF(UrbanPopRate!U21&gt;=$J$1,0,1)),0)</f>
        <v>1</v>
      </c>
      <c r="Z120">
        <f>IF($D120=1,IF(GDP_per_cap!V21&gt;'all_1961-1990'!$H$1,0,IF(UrbanPopRate!V21&gt;=$J$1,0,1)),0)</f>
        <v>1</v>
      </c>
      <c r="AA120">
        <f>IF($D120=1,IF(GDP_per_cap!W21&gt;'all_1961-1990'!$H$1,0,IF(UrbanPopRate!W21&gt;=$J$1,0,1)),0)</f>
        <v>1</v>
      </c>
      <c r="AB120">
        <f>IF($D120=1,IF(GDP_per_cap!X21&gt;'all_1961-1990'!$H$1,0,IF(UrbanPopRate!X21&gt;=$J$1,0,1)),0)</f>
        <v>1</v>
      </c>
      <c r="AC120">
        <f>IF($D120=1,IF(GDP_per_cap!Y21&gt;'all_1961-1990'!$H$1,0,IF(UrbanPopRate!Y21&gt;=$J$1,0,1)),0)</f>
        <v>1</v>
      </c>
      <c r="AD120">
        <f>IF($D120=1,IF(GDP_per_cap!Z21&gt;'all_1961-1990'!$H$1,0,IF(UrbanPopRate!Z21&gt;=$J$1,0,1)),0)</f>
        <v>1</v>
      </c>
      <c r="AE120">
        <f>IF($D120=1,IF(GDP_per_cap!AA21&gt;'all_1961-1990'!$H$1,0,IF(UrbanPopRate!AA21&gt;=$J$1,0,1)),0)</f>
        <v>1</v>
      </c>
      <c r="AF120">
        <f>IF($D120=1,IF(GDP_per_cap!AB21&gt;'all_1961-1990'!$H$1,0,IF(UrbanPopRate!AB21&gt;=$J$1,0,1)),0)</f>
        <v>1</v>
      </c>
      <c r="AG120">
        <f>IF($D120=1,IF(GDP_per_cap!AC21&gt;'all_1961-1990'!$H$1,0,IF(UrbanPopRate!AC21&gt;=$J$1,0,1)),0)</f>
        <v>1</v>
      </c>
      <c r="AH120">
        <f>IF($D120=1,IF(GDP_per_cap!AD21&gt;'all_1961-1990'!$H$1,0,IF(UrbanPopRate!AD21&gt;=$J$1,0,1)),0)</f>
        <v>1</v>
      </c>
      <c r="AI120">
        <f>IF($D120=1,IF(GDP_per_cap!AE21&gt;'all_1961-1990'!$H$1,0,IF(UrbanPopRate!AE21&gt;=$J$1,0,1)),0)</f>
        <v>1</v>
      </c>
      <c r="AJ120">
        <f>IF($D120=1,IF(GDP_per_cap!AF21&gt;'all_1961-1990'!$H$1,0,IF(UrbanPopRate!AF21&gt;=$J$1,0,1)),0)</f>
        <v>1</v>
      </c>
      <c r="AK120">
        <f>IF($D120=1,IF(GDP_per_cap!AG21&gt;'all_1961-1990'!$H$1,0,IF(UrbanPopRate!AG21&gt;=$J$1,0,1)),0)</f>
        <v>1</v>
      </c>
      <c r="AL120">
        <f>IF($D120=1,IF(GDP_per_cap!AH21&gt;'all_1961-1990'!$H$1,0,IF(UrbanPopRate!AH21&gt;=$J$1,0,1)),0)</f>
        <v>1</v>
      </c>
      <c r="AM120">
        <f>IF($D120=1,IF(GDP_per_cap!AI21&gt;'all_1961-1990'!$H$1,0,IF(UrbanPopRate!AI21&gt;=$J$1,0,1)),0)</f>
        <v>1</v>
      </c>
      <c r="AN120">
        <f>IF($D120=1,IF(GDP_per_cap!AJ21&gt;'all_1961-1990'!$H$1,0,IF(UrbanPopRate!AJ21&gt;=$J$1,0,1)),0)</f>
        <v>1</v>
      </c>
      <c r="AO120">
        <f>IF($D120=1,IF(GDP_per_cap!AK21&gt;'all_1961-1990'!$H$1,0,IF(UrbanPopRate!AK21&gt;=$J$1,0,1)),0)</f>
        <v>1</v>
      </c>
      <c r="AP120">
        <f>IF($D120=1,IF(GDP_per_cap!AL21&gt;'all_1961-1990'!$H$1,0,IF(UrbanPopRate!AL21&gt;=$J$1,0,1)),0)</f>
        <v>1</v>
      </c>
      <c r="AQ120">
        <f>IF($D120=1,IF(GDP_per_cap!AM21&gt;'all_1961-1990'!$H$1,0,IF(UrbanPopRate!AM21&gt;=$J$1,0,1)),0)</f>
        <v>1</v>
      </c>
      <c r="AR120">
        <f>IF($D120=1,IF(GDP_per_cap!AN21&gt;'all_1961-1990'!$H$1,0,IF(UrbanPopRate!AN21&gt;=$J$1,0,1)),0)</f>
        <v>1</v>
      </c>
      <c r="AS120">
        <f>IF($D120=1,IF(GDP_per_cap!AO21&gt;'all_1961-1990'!$H$1,0,IF(UrbanPopRate!AO21&gt;=$J$1,0,1)),0)</f>
        <v>1</v>
      </c>
      <c r="AT120">
        <f>IF($D120=1,IF(GDP_per_cap!AP21&gt;'all_1961-1990'!$H$1,0,IF(UrbanPopRate!AP21&gt;=$J$1,0,1)),0)</f>
        <v>1</v>
      </c>
      <c r="AU120">
        <f>IF($D120=1,IF(GDP_per_cap!AQ21&gt;'all_1961-1990'!$H$1,0,IF(UrbanPopRate!AQ21&gt;=$J$1,0,1)),0)</f>
        <v>1</v>
      </c>
      <c r="AV120">
        <f>IF($D120=1,IF(GDP_per_cap!AR21&gt;'all_1961-1990'!$H$1,0,IF(UrbanPopRate!AR21&gt;=$J$1,0,1)),0)</f>
        <v>1</v>
      </c>
      <c r="AW120">
        <f>IF($D120=1,IF(GDP_per_cap!AS21&gt;'all_1961-1990'!$H$1,0,IF(UrbanPopRate!AS21&gt;=$J$1,0,1)),0)</f>
        <v>1</v>
      </c>
      <c r="AX120">
        <f>IF($D120=1,IF(GDP_per_cap!AT21&gt;'all_1961-1990'!$H$1,0,IF(UrbanPopRate!AT21&gt;=$J$1,0,1)),0)</f>
        <v>1</v>
      </c>
      <c r="AY120">
        <f>IF($D120=1,IF(GDP_per_cap!AU21&gt;'all_1961-1990'!$H$1,0,IF(UrbanPopRate!AU21&gt;=$J$1,0,1)),0)</f>
        <v>1</v>
      </c>
      <c r="AZ120">
        <f>IF($D120=1,IF(GDP_per_cap!AV21&gt;'all_1961-1990'!$H$1,0,IF(UrbanPopRate!AV21&gt;=$J$1,0,1)),0)</f>
        <v>1</v>
      </c>
      <c r="BA120">
        <f>IF($D120=1,IF(GDP_per_cap!AW21&gt;'all_1961-1990'!$H$1,0,IF(UrbanPopRate!AW21&gt;=$J$1,0,1)),0)</f>
        <v>1</v>
      </c>
      <c r="BB120">
        <f>IF($D120=1,IF(GDP_per_cap!AX21&gt;'all_1961-1990'!$H$1,0,IF(UrbanPopRate!AX21&gt;=$J$1,0,1)),0)</f>
        <v>1</v>
      </c>
      <c r="BC120">
        <f>IF($D120=1,IF(GDP_per_cap!AY21&gt;'all_1961-1990'!$H$1,0,IF(UrbanPopRate!AY21&gt;=$J$1,0,1)),0)</f>
        <v>1</v>
      </c>
      <c r="BD120">
        <f>IF($D120=1,IF(GDP_per_cap!AZ21&gt;'all_1961-1990'!$H$1,0,IF(UrbanPopRate!AZ21&gt;=$J$1,0,1)),0)</f>
        <v>0</v>
      </c>
      <c r="BE120">
        <f>IF($D120=1,IF(GDP_per_cap!BA21&gt;'all_1961-1990'!$H$1,0,IF(UrbanPopRate!BA21&gt;=$J$1,0,1)),0)</f>
        <v>0</v>
      </c>
      <c r="BF120">
        <f>IF($D120=1,IF(GDP_per_cap!BB21&gt;'all_1961-1990'!$H$1,0,IF(UrbanPopRate!BB21&gt;=$J$1,0,1)),0)</f>
        <v>0</v>
      </c>
    </row>
    <row r="121" spans="1:58">
      <c r="A121" s="3">
        <v>135</v>
      </c>
      <c r="B121" s="3" t="s">
        <v>67</v>
      </c>
      <c r="C121" s="2">
        <v>4</v>
      </c>
      <c r="D121" s="35">
        <v>1</v>
      </c>
      <c r="E121" s="2">
        <v>16.849766666666667</v>
      </c>
      <c r="F121" s="36">
        <v>657.04991919999998</v>
      </c>
      <c r="G121">
        <f>IF($D121=1,IF(GDP_per_cap!C89&gt;'all_1961-1990'!$H$1,0,IF(UrbanPopRate!C89&gt;=$J$1,0,1)),0)</f>
        <v>1</v>
      </c>
      <c r="H121">
        <f>IF($D121=1,IF(GDP_per_cap!D89&gt;'all_1961-1990'!$H$1,0,IF(UrbanPopRate!D89&gt;=$J$1,0,1)),0)</f>
        <v>1</v>
      </c>
      <c r="I121">
        <f>IF($D121=1,IF(GDP_per_cap!E89&gt;'all_1961-1990'!$H$1,0,IF(UrbanPopRate!E89&gt;=$J$1,0,1)),0)</f>
        <v>1</v>
      </c>
      <c r="J121">
        <f>IF($D121=1,IF(GDP_per_cap!F89&gt;'all_1961-1990'!$H$1,0,IF(UrbanPopRate!F89&gt;=$J$1,0,1)),0)</f>
        <v>1</v>
      </c>
      <c r="K121">
        <f>IF($D121=1,IF(GDP_per_cap!G89&gt;'all_1961-1990'!$H$1,0,IF(UrbanPopRate!G89&gt;=$J$1,0,1)),0)</f>
        <v>1</v>
      </c>
      <c r="L121">
        <f>IF($D121=1,IF(GDP_per_cap!H89&gt;'all_1961-1990'!$H$1,0,IF(UrbanPopRate!H89&gt;=$J$1,0,1)),0)</f>
        <v>1</v>
      </c>
      <c r="M121">
        <f>IF($D121=1,IF(GDP_per_cap!I89&gt;'all_1961-1990'!$H$1,0,IF(UrbanPopRate!I89&gt;=$J$1,0,1)),0)</f>
        <v>1</v>
      </c>
      <c r="N121">
        <f>IF($D121=1,IF(GDP_per_cap!J89&gt;'all_1961-1990'!$H$1,0,IF(UrbanPopRate!J89&gt;=$J$1,0,1)),0)</f>
        <v>1</v>
      </c>
      <c r="O121">
        <f>IF($D121=1,IF(GDP_per_cap!K89&gt;'all_1961-1990'!$H$1,0,IF(UrbanPopRate!K89&gt;=$J$1,0,1)),0)</f>
        <v>1</v>
      </c>
      <c r="P121">
        <f>IF($D121=1,IF(GDP_per_cap!L89&gt;'all_1961-1990'!$H$1,0,IF(UrbanPopRate!L89&gt;=$J$1,0,1)),0)</f>
        <v>1</v>
      </c>
      <c r="Q121">
        <f>IF($D121=1,IF(GDP_per_cap!M89&gt;'all_1961-1990'!$H$1,0,IF(UrbanPopRate!M89&gt;=$J$1,0,1)),0)</f>
        <v>1</v>
      </c>
      <c r="R121">
        <f>IF($D121=1,IF(GDP_per_cap!N89&gt;'all_1961-1990'!$H$1,0,IF(UrbanPopRate!N89&gt;=$J$1,0,1)),0)</f>
        <v>1</v>
      </c>
      <c r="S121">
        <f>IF($D121=1,IF(GDP_per_cap!O89&gt;'all_1961-1990'!$H$1,0,IF(UrbanPopRate!O89&gt;=$J$1,0,1)),0)</f>
        <v>1</v>
      </c>
      <c r="T121">
        <f>IF($D121=1,IF(GDP_per_cap!P89&gt;'all_1961-1990'!$H$1,0,IF(UrbanPopRate!P89&gt;=$J$1,0,1)),0)</f>
        <v>1</v>
      </c>
      <c r="U121">
        <f>IF($D121=1,IF(GDP_per_cap!Q89&gt;'all_1961-1990'!$H$1,0,IF(UrbanPopRate!Q89&gt;=$J$1,0,1)),0)</f>
        <v>1</v>
      </c>
      <c r="V121">
        <f>IF($D121=1,IF(GDP_per_cap!R89&gt;'all_1961-1990'!$H$1,0,IF(UrbanPopRate!R89&gt;=$J$1,0,1)),0)</f>
        <v>1</v>
      </c>
      <c r="W121">
        <f>IF($D121=1,IF(GDP_per_cap!S89&gt;'all_1961-1990'!$H$1,0,IF(UrbanPopRate!S89&gt;=$J$1,0,1)),0)</f>
        <v>1</v>
      </c>
      <c r="X121">
        <f>IF($D121=1,IF(GDP_per_cap!T89&gt;'all_1961-1990'!$H$1,0,IF(UrbanPopRate!T89&gt;=$J$1,0,1)),0)</f>
        <v>1</v>
      </c>
      <c r="Y121">
        <f>IF($D121=1,IF(GDP_per_cap!U89&gt;'all_1961-1990'!$H$1,0,IF(UrbanPopRate!U89&gt;=$J$1,0,1)),0)</f>
        <v>1</v>
      </c>
      <c r="Z121">
        <f>IF($D121=1,IF(GDP_per_cap!V89&gt;'all_1961-1990'!$H$1,0,IF(UrbanPopRate!V89&gt;=$J$1,0,1)),0)</f>
        <v>1</v>
      </c>
      <c r="AA121">
        <f>IF($D121=1,IF(GDP_per_cap!W89&gt;'all_1961-1990'!$H$1,0,IF(UrbanPopRate!W89&gt;=$J$1,0,1)),0)</f>
        <v>1</v>
      </c>
      <c r="AB121">
        <f>IF($D121=1,IF(GDP_per_cap!X89&gt;'all_1961-1990'!$H$1,0,IF(UrbanPopRate!X89&gt;=$J$1,0,1)),0)</f>
        <v>1</v>
      </c>
      <c r="AC121">
        <f>IF($D121=1,IF(GDP_per_cap!Y89&gt;'all_1961-1990'!$H$1,0,IF(UrbanPopRate!Y89&gt;=$J$1,0,1)),0)</f>
        <v>1</v>
      </c>
      <c r="AD121">
        <f>IF($D121=1,IF(GDP_per_cap!Z89&gt;'all_1961-1990'!$H$1,0,IF(UrbanPopRate!Z89&gt;=$J$1,0,1)),0)</f>
        <v>1</v>
      </c>
      <c r="AE121">
        <f>IF($D121=1,IF(GDP_per_cap!AA89&gt;'all_1961-1990'!$H$1,0,IF(UrbanPopRate!AA89&gt;=$J$1,0,1)),0)</f>
        <v>1</v>
      </c>
      <c r="AF121">
        <f>IF($D121=1,IF(GDP_per_cap!AB89&gt;'all_1961-1990'!$H$1,0,IF(UrbanPopRate!AB89&gt;=$J$1,0,1)),0)</f>
        <v>1</v>
      </c>
      <c r="AG121">
        <f>IF($D121=1,IF(GDP_per_cap!AC89&gt;'all_1961-1990'!$H$1,0,IF(UrbanPopRate!AC89&gt;=$J$1,0,1)),0)</f>
        <v>1</v>
      </c>
      <c r="AH121">
        <f>IF($D121=1,IF(GDP_per_cap!AD89&gt;'all_1961-1990'!$H$1,0,IF(UrbanPopRate!AD89&gt;=$J$1,0,1)),0)</f>
        <v>1</v>
      </c>
      <c r="AI121">
        <f>IF($D121=1,IF(GDP_per_cap!AE89&gt;'all_1961-1990'!$H$1,0,IF(UrbanPopRate!AE89&gt;=$J$1,0,1)),0)</f>
        <v>1</v>
      </c>
      <c r="AJ121">
        <f>IF($D121=1,IF(GDP_per_cap!AF89&gt;'all_1961-1990'!$H$1,0,IF(UrbanPopRate!AF89&gt;=$J$1,0,1)),0)</f>
        <v>1</v>
      </c>
      <c r="AK121">
        <f>IF($D121=1,IF(GDP_per_cap!AG89&gt;'all_1961-1990'!$H$1,0,IF(UrbanPopRate!AG89&gt;=$J$1,0,1)),0)</f>
        <v>1</v>
      </c>
      <c r="AL121">
        <f>IF($D121=1,IF(GDP_per_cap!AH89&gt;'all_1961-1990'!$H$1,0,IF(UrbanPopRate!AH89&gt;=$J$1,0,1)),0)</f>
        <v>1</v>
      </c>
      <c r="AM121">
        <f>IF($D121=1,IF(GDP_per_cap!AI89&gt;'all_1961-1990'!$H$1,0,IF(UrbanPopRate!AI89&gt;=$J$1,0,1)),0)</f>
        <v>1</v>
      </c>
      <c r="AN121">
        <f>IF($D121=1,IF(GDP_per_cap!AJ89&gt;'all_1961-1990'!$H$1,0,IF(UrbanPopRate!AJ89&gt;=$J$1,0,1)),0)</f>
        <v>0</v>
      </c>
      <c r="AO121">
        <f>IF($D121=1,IF(GDP_per_cap!AK89&gt;'all_1961-1990'!$H$1,0,IF(UrbanPopRate!AK89&gt;=$J$1,0,1)),0)</f>
        <v>0</v>
      </c>
      <c r="AP121">
        <f>IF($D121=1,IF(GDP_per_cap!AL89&gt;'all_1961-1990'!$H$1,0,IF(UrbanPopRate!AL89&gt;=$J$1,0,1)),0)</f>
        <v>0</v>
      </c>
      <c r="AQ121">
        <f>IF($D121=1,IF(GDP_per_cap!AM89&gt;'all_1961-1990'!$H$1,0,IF(UrbanPopRate!AM89&gt;=$J$1,0,1)),0)</f>
        <v>0</v>
      </c>
      <c r="AR121">
        <f>IF($D121=1,IF(GDP_per_cap!AN89&gt;'all_1961-1990'!$H$1,0,IF(UrbanPopRate!AN89&gt;=$J$1,0,1)),0)</f>
        <v>0</v>
      </c>
      <c r="AS121">
        <f>IF($D121=1,IF(GDP_per_cap!AO89&gt;'all_1961-1990'!$H$1,0,IF(UrbanPopRate!AO89&gt;=$J$1,0,1)),0)</f>
        <v>0</v>
      </c>
      <c r="AT121">
        <f>IF($D121=1,IF(GDP_per_cap!AP89&gt;'all_1961-1990'!$H$1,0,IF(UrbanPopRate!AP89&gt;=$J$1,0,1)),0)</f>
        <v>0</v>
      </c>
      <c r="AU121">
        <f>IF($D121=1,IF(GDP_per_cap!AQ89&gt;'all_1961-1990'!$H$1,0,IF(UrbanPopRate!AQ89&gt;=$J$1,0,1)),0)</f>
        <v>0</v>
      </c>
      <c r="AV121">
        <f>IF($D121=1,IF(GDP_per_cap!AR89&gt;'all_1961-1990'!$H$1,0,IF(UrbanPopRate!AR89&gt;=$J$1,0,1)),0)</f>
        <v>0</v>
      </c>
      <c r="AW121">
        <f>IF($D121=1,IF(GDP_per_cap!AS89&gt;'all_1961-1990'!$H$1,0,IF(UrbanPopRate!AS89&gt;=$J$1,0,1)),0)</f>
        <v>0</v>
      </c>
      <c r="AX121">
        <f>IF($D121=1,IF(GDP_per_cap!AT89&gt;'all_1961-1990'!$H$1,0,IF(UrbanPopRate!AT89&gt;=$J$1,0,1)),0)</f>
        <v>0</v>
      </c>
      <c r="AY121">
        <f>IF($D121=1,IF(GDP_per_cap!AU89&gt;'all_1961-1990'!$H$1,0,IF(UrbanPopRate!AU89&gt;=$J$1,0,1)),0)</f>
        <v>0</v>
      </c>
      <c r="AZ121">
        <f>IF($D121=1,IF(GDP_per_cap!AV89&gt;'all_1961-1990'!$H$1,0,IF(UrbanPopRate!AV89&gt;=$J$1,0,1)),0)</f>
        <v>0</v>
      </c>
      <c r="BA121">
        <f>IF($D121=1,IF(GDP_per_cap!AW89&gt;'all_1961-1990'!$H$1,0,IF(UrbanPopRate!AW89&gt;=$J$1,0,1)),0)</f>
        <v>0</v>
      </c>
      <c r="BB121">
        <f>IF($D121=1,IF(GDP_per_cap!AX89&gt;'all_1961-1990'!$H$1,0,IF(UrbanPopRate!AX89&gt;=$J$1,0,1)),0)</f>
        <v>0</v>
      </c>
      <c r="BC121">
        <f>IF($D121=1,IF(GDP_per_cap!AY89&gt;'all_1961-1990'!$H$1,0,IF(UrbanPopRate!AY89&gt;=$J$1,0,1)),0)</f>
        <v>0</v>
      </c>
      <c r="BD121">
        <f>IF($D121=1,IF(GDP_per_cap!AZ89&gt;'all_1961-1990'!$H$1,0,IF(UrbanPopRate!AZ89&gt;=$J$1,0,1)),0)</f>
        <v>0</v>
      </c>
      <c r="BE121">
        <f>IF($D121=1,IF(GDP_per_cap!BA89&gt;'all_1961-1990'!$H$1,0,IF(UrbanPopRate!BA89&gt;=$J$1,0,1)),0)</f>
        <v>0</v>
      </c>
      <c r="BF121">
        <f>IF($D121=1,IF(GDP_per_cap!BB89&gt;'all_1961-1990'!$H$1,0,IF(UrbanPopRate!BB89&gt;=$J$1,0,1)),0)</f>
        <v>0</v>
      </c>
    </row>
    <row r="122" spans="1:58">
      <c r="A122" s="3">
        <v>132</v>
      </c>
      <c r="B122" s="3" t="s">
        <v>69</v>
      </c>
      <c r="C122" s="2">
        <v>4</v>
      </c>
      <c r="D122" s="35">
        <v>1</v>
      </c>
      <c r="E122" s="2">
        <v>7.7530000000000019</v>
      </c>
      <c r="F122" s="36">
        <v>614.35602649999998</v>
      </c>
      <c r="G122">
        <f>IF($D122=1,IF(GDP_per_cap!C87&gt;'all_1961-1990'!$H$1,0,IF(UrbanPopRate!C87&gt;=$J$1,0,1)),0)</f>
        <v>1</v>
      </c>
      <c r="H122">
        <f>IF($D122=1,IF(GDP_per_cap!D87&gt;'all_1961-1990'!$H$1,0,IF(UrbanPopRate!D87&gt;=$J$1,0,1)),0)</f>
        <v>1</v>
      </c>
      <c r="I122">
        <f>IF($D122=1,IF(GDP_per_cap!E87&gt;'all_1961-1990'!$H$1,0,IF(UrbanPopRate!E87&gt;=$J$1,0,1)),0)</f>
        <v>1</v>
      </c>
      <c r="J122">
        <f>IF($D122=1,IF(GDP_per_cap!F87&gt;'all_1961-1990'!$H$1,0,IF(UrbanPopRate!F87&gt;=$J$1,0,1)),0)</f>
        <v>1</v>
      </c>
      <c r="K122">
        <f>IF($D122=1,IF(GDP_per_cap!G87&gt;'all_1961-1990'!$H$1,0,IF(UrbanPopRate!G87&gt;=$J$1,0,1)),0)</f>
        <v>1</v>
      </c>
      <c r="L122">
        <f>IF($D122=1,IF(GDP_per_cap!H87&gt;'all_1961-1990'!$H$1,0,IF(UrbanPopRate!H87&gt;=$J$1,0,1)),0)</f>
        <v>1</v>
      </c>
      <c r="M122">
        <f>IF($D122=1,IF(GDP_per_cap!I87&gt;'all_1961-1990'!$H$1,0,IF(UrbanPopRate!I87&gt;=$J$1,0,1)),0)</f>
        <v>1</v>
      </c>
      <c r="N122">
        <f>IF($D122=1,IF(GDP_per_cap!J87&gt;'all_1961-1990'!$H$1,0,IF(UrbanPopRate!J87&gt;=$J$1,0,1)),0)</f>
        <v>1</v>
      </c>
      <c r="O122">
        <f>IF($D122=1,IF(GDP_per_cap!K87&gt;'all_1961-1990'!$H$1,0,IF(UrbanPopRate!K87&gt;=$J$1,0,1)),0)</f>
        <v>1</v>
      </c>
      <c r="P122">
        <f>IF($D122=1,IF(GDP_per_cap!L87&gt;'all_1961-1990'!$H$1,0,IF(UrbanPopRate!L87&gt;=$J$1,0,1)),0)</f>
        <v>1</v>
      </c>
      <c r="Q122">
        <f>IF($D122=1,IF(GDP_per_cap!M87&gt;'all_1961-1990'!$H$1,0,IF(UrbanPopRate!M87&gt;=$J$1,0,1)),0)</f>
        <v>1</v>
      </c>
      <c r="R122">
        <f>IF($D122=1,IF(GDP_per_cap!N87&gt;'all_1961-1990'!$H$1,0,IF(UrbanPopRate!N87&gt;=$J$1,0,1)),0)</f>
        <v>1</v>
      </c>
      <c r="S122">
        <f>IF($D122=1,IF(GDP_per_cap!O87&gt;'all_1961-1990'!$H$1,0,IF(UrbanPopRate!O87&gt;=$J$1,0,1)),0)</f>
        <v>1</v>
      </c>
      <c r="T122">
        <f>IF($D122=1,IF(GDP_per_cap!P87&gt;'all_1961-1990'!$H$1,0,IF(UrbanPopRate!P87&gt;=$J$1,0,1)),0)</f>
        <v>1</v>
      </c>
      <c r="U122">
        <f>IF($D122=1,IF(GDP_per_cap!Q87&gt;'all_1961-1990'!$H$1,0,IF(UrbanPopRate!Q87&gt;=$J$1,0,1)),0)</f>
        <v>1</v>
      </c>
      <c r="V122">
        <f>IF($D122=1,IF(GDP_per_cap!R87&gt;'all_1961-1990'!$H$1,0,IF(UrbanPopRate!R87&gt;=$J$1,0,1)),0)</f>
        <v>1</v>
      </c>
      <c r="W122">
        <f>IF($D122=1,IF(GDP_per_cap!S87&gt;'all_1961-1990'!$H$1,0,IF(UrbanPopRate!S87&gt;=$J$1,0,1)),0)</f>
        <v>1</v>
      </c>
      <c r="X122">
        <f>IF($D122=1,IF(GDP_per_cap!T87&gt;'all_1961-1990'!$H$1,0,IF(UrbanPopRate!T87&gt;=$J$1,0,1)),0)</f>
        <v>1</v>
      </c>
      <c r="Y122">
        <f>IF($D122=1,IF(GDP_per_cap!U87&gt;'all_1961-1990'!$H$1,0,IF(UrbanPopRate!U87&gt;=$J$1,0,1)),0)</f>
        <v>1</v>
      </c>
      <c r="Z122">
        <f>IF($D122=1,IF(GDP_per_cap!V87&gt;'all_1961-1990'!$H$1,0,IF(UrbanPopRate!V87&gt;=$J$1,0,1)),0)</f>
        <v>1</v>
      </c>
      <c r="AA122">
        <f>IF($D122=1,IF(GDP_per_cap!W87&gt;'all_1961-1990'!$H$1,0,IF(UrbanPopRate!W87&gt;=$J$1,0,1)),0)</f>
        <v>1</v>
      </c>
      <c r="AB122">
        <f>IF($D122=1,IF(GDP_per_cap!X87&gt;'all_1961-1990'!$H$1,0,IF(UrbanPopRate!X87&gt;=$J$1,0,1)),0)</f>
        <v>1</v>
      </c>
      <c r="AC122">
        <f>IF($D122=1,IF(GDP_per_cap!Y87&gt;'all_1961-1990'!$H$1,0,IF(UrbanPopRate!Y87&gt;=$J$1,0,1)),0)</f>
        <v>1</v>
      </c>
      <c r="AD122">
        <f>IF($D122=1,IF(GDP_per_cap!Z87&gt;'all_1961-1990'!$H$1,0,IF(UrbanPopRate!Z87&gt;=$J$1,0,1)),0)</f>
        <v>1</v>
      </c>
      <c r="AE122">
        <f>IF($D122=1,IF(GDP_per_cap!AA87&gt;'all_1961-1990'!$H$1,0,IF(UrbanPopRate!AA87&gt;=$J$1,0,1)),0)</f>
        <v>1</v>
      </c>
      <c r="AF122">
        <f>IF($D122=1,IF(GDP_per_cap!AB87&gt;'all_1961-1990'!$H$1,0,IF(UrbanPopRate!AB87&gt;=$J$1,0,1)),0)</f>
        <v>1</v>
      </c>
      <c r="AG122">
        <f>IF($D122=1,IF(GDP_per_cap!AC87&gt;'all_1961-1990'!$H$1,0,IF(UrbanPopRate!AC87&gt;=$J$1,0,1)),0)</f>
        <v>1</v>
      </c>
      <c r="AH122">
        <f>IF($D122=1,IF(GDP_per_cap!AD87&gt;'all_1961-1990'!$H$1,0,IF(UrbanPopRate!AD87&gt;=$J$1,0,1)),0)</f>
        <v>1</v>
      </c>
      <c r="AI122">
        <f>IF($D122=1,IF(GDP_per_cap!AE87&gt;'all_1961-1990'!$H$1,0,IF(UrbanPopRate!AE87&gt;=$J$1,0,1)),0)</f>
        <v>1</v>
      </c>
      <c r="AJ122">
        <f>IF($D122=1,IF(GDP_per_cap!AF87&gt;'all_1961-1990'!$H$1,0,IF(UrbanPopRate!AF87&gt;=$J$1,0,1)),0)</f>
        <v>1</v>
      </c>
      <c r="AK122">
        <f>IF($D122=1,IF(GDP_per_cap!AG87&gt;'all_1961-1990'!$H$1,0,IF(UrbanPopRate!AG87&gt;=$J$1,0,1)),0)</f>
        <v>1</v>
      </c>
      <c r="AL122">
        <f>IF($D122=1,IF(GDP_per_cap!AH87&gt;'all_1961-1990'!$H$1,0,IF(UrbanPopRate!AH87&gt;=$J$1,0,1)),0)</f>
        <v>1</v>
      </c>
      <c r="AM122">
        <f>IF($D122=1,IF(GDP_per_cap!AI87&gt;'all_1961-1990'!$H$1,0,IF(UrbanPopRate!AI87&gt;=$J$1,0,1)),0)</f>
        <v>1</v>
      </c>
      <c r="AN122">
        <f>IF($D122=1,IF(GDP_per_cap!AJ87&gt;'all_1961-1990'!$H$1,0,IF(UrbanPopRate!AJ87&gt;=$J$1,0,1)),0)</f>
        <v>1</v>
      </c>
      <c r="AO122">
        <f>IF($D122=1,IF(GDP_per_cap!AK87&gt;'all_1961-1990'!$H$1,0,IF(UrbanPopRate!AK87&gt;=$J$1,0,1)),0)</f>
        <v>1</v>
      </c>
      <c r="AP122">
        <f>IF($D122=1,IF(GDP_per_cap!AL87&gt;'all_1961-1990'!$H$1,0,IF(UrbanPopRate!AL87&gt;=$J$1,0,1)),0)</f>
        <v>1</v>
      </c>
      <c r="AQ122">
        <f>IF($D122=1,IF(GDP_per_cap!AM87&gt;'all_1961-1990'!$H$1,0,IF(UrbanPopRate!AM87&gt;=$J$1,0,1)),0)</f>
        <v>1</v>
      </c>
      <c r="AR122">
        <f>IF($D122=1,IF(GDP_per_cap!AN87&gt;'all_1961-1990'!$H$1,0,IF(UrbanPopRate!AN87&gt;=$J$1,0,1)),0)</f>
        <v>1</v>
      </c>
      <c r="AS122">
        <f>IF($D122=1,IF(GDP_per_cap!AO87&gt;'all_1961-1990'!$H$1,0,IF(UrbanPopRate!AO87&gt;=$J$1,0,1)),0)</f>
        <v>1</v>
      </c>
      <c r="AT122">
        <f>IF($D122=1,IF(GDP_per_cap!AP87&gt;'all_1961-1990'!$H$1,0,IF(UrbanPopRate!AP87&gt;=$J$1,0,1)),0)</f>
        <v>1</v>
      </c>
      <c r="AU122">
        <f>IF($D122=1,IF(GDP_per_cap!AQ87&gt;'all_1961-1990'!$H$1,0,IF(UrbanPopRate!AQ87&gt;=$J$1,0,1)),0)</f>
        <v>1</v>
      </c>
      <c r="AV122">
        <f>IF($D122=1,IF(GDP_per_cap!AR87&gt;'all_1961-1990'!$H$1,0,IF(UrbanPopRate!AR87&gt;=$J$1,0,1)),0)</f>
        <v>1</v>
      </c>
      <c r="AW122">
        <f>IF($D122=1,IF(GDP_per_cap!AS87&gt;'all_1961-1990'!$H$1,0,IF(UrbanPopRate!AS87&gt;=$J$1,0,1)),0)</f>
        <v>1</v>
      </c>
      <c r="AX122">
        <f>IF($D122=1,IF(GDP_per_cap!AT87&gt;'all_1961-1990'!$H$1,0,IF(UrbanPopRate!AT87&gt;=$J$1,0,1)),0)</f>
        <v>1</v>
      </c>
      <c r="AY122">
        <f>IF($D122=1,IF(GDP_per_cap!AU87&gt;'all_1961-1990'!$H$1,0,IF(UrbanPopRate!AU87&gt;=$J$1,0,1)),0)</f>
        <v>1</v>
      </c>
      <c r="AZ122">
        <f>IF($D122=1,IF(GDP_per_cap!AV87&gt;'all_1961-1990'!$H$1,0,IF(UrbanPopRate!AV87&gt;=$J$1,0,1)),0)</f>
        <v>1</v>
      </c>
      <c r="BA122">
        <f>IF($D122=1,IF(GDP_per_cap!AW87&gt;'all_1961-1990'!$H$1,0,IF(UrbanPopRate!AW87&gt;=$J$1,0,1)),0)</f>
        <v>1</v>
      </c>
      <c r="BB122">
        <f>IF($D122=1,IF(GDP_per_cap!AX87&gt;'all_1961-1990'!$H$1,0,IF(UrbanPopRate!AX87&gt;=$J$1,0,1)),0)</f>
        <v>1</v>
      </c>
      <c r="BC122">
        <f>IF($D122=1,IF(GDP_per_cap!AY87&gt;'all_1961-1990'!$H$1,0,IF(UrbanPopRate!AY87&gt;=$J$1,0,1)),0)</f>
        <v>1</v>
      </c>
      <c r="BD122">
        <f>IF($D122=1,IF(GDP_per_cap!AZ87&gt;'all_1961-1990'!$H$1,0,IF(UrbanPopRate!AZ87&gt;=$J$1,0,1)),0)</f>
        <v>1</v>
      </c>
      <c r="BE122">
        <f>IF($D122=1,IF(GDP_per_cap!BA87&gt;'all_1961-1990'!$H$1,0,IF(UrbanPopRate!BA87&gt;=$J$1,0,1)),0)</f>
        <v>1</v>
      </c>
      <c r="BF122">
        <f>IF($D122=1,IF(GDP_per_cap!BB87&gt;'all_1961-1990'!$H$1,0,IF(UrbanPopRate!BB87&gt;=$J$1,0,1)),0)</f>
        <v>1</v>
      </c>
    </row>
    <row r="123" spans="1:58">
      <c r="A123" s="3">
        <v>200</v>
      </c>
      <c r="B123" s="3" t="s">
        <v>29</v>
      </c>
      <c r="C123" s="2">
        <v>4</v>
      </c>
      <c r="D123" s="35">
        <v>1</v>
      </c>
      <c r="E123" s="2">
        <v>24.614933333333333</v>
      </c>
      <c r="F123" s="36">
        <v>600</v>
      </c>
      <c r="G123">
        <f>IF($D123=1,IF(GDP_per_cap!C127&gt;'all_1961-1990'!$H$1,0,IF(UrbanPopRate!C127&gt;=$J$1,0,1)),0)</f>
        <v>1</v>
      </c>
      <c r="H123">
        <f>IF($D123=1,IF(GDP_per_cap!D127&gt;'all_1961-1990'!$H$1,0,IF(UrbanPopRate!D127&gt;=$J$1,0,1)),0)</f>
        <v>1</v>
      </c>
      <c r="I123">
        <f>IF($D123=1,IF(GDP_per_cap!E127&gt;'all_1961-1990'!$H$1,0,IF(UrbanPopRate!E127&gt;=$J$1,0,1)),0)</f>
        <v>1</v>
      </c>
      <c r="J123">
        <f>IF($D123=1,IF(GDP_per_cap!F127&gt;'all_1961-1990'!$H$1,0,IF(UrbanPopRate!F127&gt;=$J$1,0,1)),0)</f>
        <v>1</v>
      </c>
      <c r="K123">
        <f>IF($D123=1,IF(GDP_per_cap!G127&gt;'all_1961-1990'!$H$1,0,IF(UrbanPopRate!G127&gt;=$J$1,0,1)),0)</f>
        <v>1</v>
      </c>
      <c r="L123">
        <f>IF($D123=1,IF(GDP_per_cap!H127&gt;'all_1961-1990'!$H$1,0,IF(UrbanPopRate!H127&gt;=$J$1,0,1)),0)</f>
        <v>1</v>
      </c>
      <c r="M123">
        <f>IF($D123=1,IF(GDP_per_cap!I127&gt;'all_1961-1990'!$H$1,0,IF(UrbanPopRate!I127&gt;=$J$1,0,1)),0)</f>
        <v>1</v>
      </c>
      <c r="N123">
        <f>IF($D123=1,IF(GDP_per_cap!J127&gt;'all_1961-1990'!$H$1,0,IF(UrbanPopRate!J127&gt;=$J$1,0,1)),0)</f>
        <v>1</v>
      </c>
      <c r="O123">
        <f>IF($D123=1,IF(GDP_per_cap!K127&gt;'all_1961-1990'!$H$1,0,IF(UrbanPopRate!K127&gt;=$J$1,0,1)),0)</f>
        <v>1</v>
      </c>
      <c r="P123">
        <f>IF($D123=1,IF(GDP_per_cap!L127&gt;'all_1961-1990'!$H$1,0,IF(UrbanPopRate!L127&gt;=$J$1,0,1)),0)</f>
        <v>1</v>
      </c>
      <c r="Q123">
        <f>IF($D123=1,IF(GDP_per_cap!M127&gt;'all_1961-1990'!$H$1,0,IF(UrbanPopRate!M127&gt;=$J$1,0,1)),0)</f>
        <v>1</v>
      </c>
      <c r="R123">
        <f>IF($D123=1,IF(GDP_per_cap!N127&gt;'all_1961-1990'!$H$1,0,IF(UrbanPopRate!N127&gt;=$J$1,0,1)),0)</f>
        <v>1</v>
      </c>
      <c r="S123">
        <f>IF($D123=1,IF(GDP_per_cap!O127&gt;'all_1961-1990'!$H$1,0,IF(UrbanPopRate!O127&gt;=$J$1,0,1)),0)</f>
        <v>1</v>
      </c>
      <c r="T123">
        <f>IF($D123=1,IF(GDP_per_cap!P127&gt;'all_1961-1990'!$H$1,0,IF(UrbanPopRate!P127&gt;=$J$1,0,1)),0)</f>
        <v>1</v>
      </c>
      <c r="U123">
        <f>IF($D123=1,IF(GDP_per_cap!Q127&gt;'all_1961-1990'!$H$1,0,IF(UrbanPopRate!Q127&gt;=$J$1,0,1)),0)</f>
        <v>0</v>
      </c>
      <c r="V123">
        <f>IF($D123=1,IF(GDP_per_cap!R127&gt;'all_1961-1990'!$H$1,0,IF(UrbanPopRate!R127&gt;=$J$1,0,1)),0)</f>
        <v>0</v>
      </c>
      <c r="W123">
        <f>IF($D123=1,IF(GDP_per_cap!S127&gt;'all_1961-1990'!$H$1,0,IF(UrbanPopRate!S127&gt;=$J$1,0,1)),0)</f>
        <v>0</v>
      </c>
      <c r="X123">
        <f>IF($D123=1,IF(GDP_per_cap!T127&gt;'all_1961-1990'!$H$1,0,IF(UrbanPopRate!T127&gt;=$J$1,0,1)),0)</f>
        <v>0</v>
      </c>
      <c r="Y123">
        <f>IF($D123=1,IF(GDP_per_cap!U127&gt;'all_1961-1990'!$H$1,0,IF(UrbanPopRate!U127&gt;=$J$1,0,1)),0)</f>
        <v>0</v>
      </c>
      <c r="Z123">
        <f>IF($D123=1,IF(GDP_per_cap!V127&gt;'all_1961-1990'!$H$1,0,IF(UrbanPopRate!V127&gt;=$J$1,0,1)),0)</f>
        <v>0</v>
      </c>
      <c r="AA123">
        <f>IF($D123=1,IF(GDP_per_cap!W127&gt;'all_1961-1990'!$H$1,0,IF(UrbanPopRate!W127&gt;=$J$1,0,1)),0)</f>
        <v>0</v>
      </c>
      <c r="AB123">
        <f>IF($D123=1,IF(GDP_per_cap!X127&gt;'all_1961-1990'!$H$1,0,IF(UrbanPopRate!X127&gt;=$J$1,0,1)),0)</f>
        <v>0</v>
      </c>
      <c r="AC123">
        <f>IF($D123=1,IF(GDP_per_cap!Y127&gt;'all_1961-1990'!$H$1,0,IF(UrbanPopRate!Y127&gt;=$J$1,0,1)),0)</f>
        <v>0</v>
      </c>
      <c r="AD123">
        <f>IF($D123=1,IF(GDP_per_cap!Z127&gt;'all_1961-1990'!$H$1,0,IF(UrbanPopRate!Z127&gt;=$J$1,0,1)),0)</f>
        <v>0</v>
      </c>
      <c r="AE123">
        <f>IF($D123=1,IF(GDP_per_cap!AA127&gt;'all_1961-1990'!$H$1,0,IF(UrbanPopRate!AA127&gt;=$J$1,0,1)),0)</f>
        <v>0</v>
      </c>
      <c r="AF123">
        <f>IF($D123=1,IF(GDP_per_cap!AB127&gt;'all_1961-1990'!$H$1,0,IF(UrbanPopRate!AB127&gt;=$J$1,0,1)),0)</f>
        <v>0</v>
      </c>
      <c r="AG123">
        <f>IF($D123=1,IF(GDP_per_cap!AC127&gt;'all_1961-1990'!$H$1,0,IF(UrbanPopRate!AC127&gt;=$J$1,0,1)),0)</f>
        <v>0</v>
      </c>
      <c r="AH123">
        <f>IF($D123=1,IF(GDP_per_cap!AD127&gt;'all_1961-1990'!$H$1,0,IF(UrbanPopRate!AD127&gt;=$J$1,0,1)),0)</f>
        <v>0</v>
      </c>
      <c r="AI123">
        <f>IF($D123=1,IF(GDP_per_cap!AE127&gt;'all_1961-1990'!$H$1,0,IF(UrbanPopRate!AE127&gt;=$J$1,0,1)),0)</f>
        <v>0</v>
      </c>
      <c r="AJ123">
        <f>IF($D123=1,IF(GDP_per_cap!AF127&gt;'all_1961-1990'!$H$1,0,IF(UrbanPopRate!AF127&gt;=$J$1,0,1)),0)</f>
        <v>0</v>
      </c>
      <c r="AK123">
        <f>IF($D123=1,IF(GDP_per_cap!AG127&gt;'all_1961-1990'!$H$1,0,IF(UrbanPopRate!AG127&gt;=$J$1,0,1)),0)</f>
        <v>0</v>
      </c>
      <c r="AL123">
        <f>IF($D123=1,IF(GDP_per_cap!AH127&gt;'all_1961-1990'!$H$1,0,IF(UrbanPopRate!AH127&gt;=$J$1,0,1)),0)</f>
        <v>0</v>
      </c>
      <c r="AM123">
        <f>IF($D123=1,IF(GDP_per_cap!AI127&gt;'all_1961-1990'!$H$1,0,IF(UrbanPopRate!AI127&gt;=$J$1,0,1)),0)</f>
        <v>0</v>
      </c>
      <c r="AN123">
        <f>IF($D123=1,IF(GDP_per_cap!AJ127&gt;'all_1961-1990'!$H$1,0,IF(UrbanPopRate!AJ127&gt;=$J$1,0,1)),0)</f>
        <v>0</v>
      </c>
      <c r="AO123">
        <f>IF($D123=1,IF(GDP_per_cap!AK127&gt;'all_1961-1990'!$H$1,0,IF(UrbanPopRate!AK127&gt;=$J$1,0,1)),0)</f>
        <v>0</v>
      </c>
      <c r="AP123">
        <f>IF($D123=1,IF(GDP_per_cap!AL127&gt;'all_1961-1990'!$H$1,0,IF(UrbanPopRate!AL127&gt;=$J$1,0,1)),0)</f>
        <v>0</v>
      </c>
      <c r="AQ123">
        <f>IF($D123=1,IF(GDP_per_cap!AM127&gt;'all_1961-1990'!$H$1,0,IF(UrbanPopRate!AM127&gt;=$J$1,0,1)),0)</f>
        <v>0</v>
      </c>
      <c r="AR123">
        <f>IF($D123=1,IF(GDP_per_cap!AN127&gt;'all_1961-1990'!$H$1,0,IF(UrbanPopRate!AN127&gt;=$J$1,0,1)),0)</f>
        <v>0</v>
      </c>
      <c r="AS123">
        <f>IF($D123=1,IF(GDP_per_cap!AO127&gt;'all_1961-1990'!$H$1,0,IF(UrbanPopRate!AO127&gt;=$J$1,0,1)),0)</f>
        <v>0</v>
      </c>
      <c r="AT123">
        <f>IF($D123=1,IF(GDP_per_cap!AP127&gt;'all_1961-1990'!$H$1,0,IF(UrbanPopRate!AP127&gt;=$J$1,0,1)),0)</f>
        <v>0</v>
      </c>
      <c r="AU123">
        <f>IF($D123=1,IF(GDP_per_cap!AQ127&gt;'all_1961-1990'!$H$1,0,IF(UrbanPopRate!AQ127&gt;=$J$1,0,1)),0)</f>
        <v>0</v>
      </c>
      <c r="AV123">
        <f>IF($D123=1,IF(GDP_per_cap!AR127&gt;'all_1961-1990'!$H$1,0,IF(UrbanPopRate!AR127&gt;=$J$1,0,1)),0)</f>
        <v>0</v>
      </c>
      <c r="AW123">
        <f>IF($D123=1,IF(GDP_per_cap!AS127&gt;'all_1961-1990'!$H$1,0,IF(UrbanPopRate!AS127&gt;=$J$1,0,1)),0)</f>
        <v>0</v>
      </c>
      <c r="AX123">
        <f>IF($D123=1,IF(GDP_per_cap!AT127&gt;'all_1961-1990'!$H$1,0,IF(UrbanPopRate!AT127&gt;=$J$1,0,1)),0)</f>
        <v>0</v>
      </c>
      <c r="AY123">
        <f>IF($D123=1,IF(GDP_per_cap!AU127&gt;'all_1961-1990'!$H$1,0,IF(UrbanPopRate!AU127&gt;=$J$1,0,1)),0)</f>
        <v>0</v>
      </c>
      <c r="AZ123">
        <f>IF($D123=1,IF(GDP_per_cap!AV127&gt;'all_1961-1990'!$H$1,0,IF(UrbanPopRate!AV127&gt;=$J$1,0,1)),0)</f>
        <v>0</v>
      </c>
      <c r="BA123">
        <f>IF($D123=1,IF(GDP_per_cap!AW127&gt;'all_1961-1990'!$H$1,0,IF(UrbanPopRate!AW127&gt;=$J$1,0,1)),0)</f>
        <v>0</v>
      </c>
      <c r="BB123">
        <f>IF($D123=1,IF(GDP_per_cap!AX127&gt;'all_1961-1990'!$H$1,0,IF(UrbanPopRate!AX127&gt;=$J$1,0,1)),0)</f>
        <v>0</v>
      </c>
      <c r="BC123">
        <f>IF($D123=1,IF(GDP_per_cap!AY127&gt;'all_1961-1990'!$H$1,0,IF(UrbanPopRate!AY127&gt;=$J$1,0,1)),0)</f>
        <v>0</v>
      </c>
      <c r="BD123">
        <f>IF($D123=1,IF(GDP_per_cap!AZ127&gt;'all_1961-1990'!$H$1,0,IF(UrbanPopRate!AZ127&gt;=$J$1,0,1)),0)</f>
        <v>0</v>
      </c>
      <c r="BE123">
        <f>IF($D123=1,IF(GDP_per_cap!BA127&gt;'all_1961-1990'!$H$1,0,IF(UrbanPopRate!BA127&gt;=$J$1,0,1)),0)</f>
        <v>0</v>
      </c>
      <c r="BF123">
        <f>IF($D123=1,IF(GDP_per_cap!BB127&gt;'all_1961-1990'!$H$1,0,IF(UrbanPopRate!BB127&gt;=$J$1,0,1)),0)</f>
        <v>0</v>
      </c>
    </row>
    <row r="124" spans="1:58">
      <c r="A124" s="3">
        <v>226</v>
      </c>
      <c r="B124" s="3" t="s">
        <v>11</v>
      </c>
      <c r="C124" s="2">
        <v>4</v>
      </c>
      <c r="D124" s="35">
        <v>1</v>
      </c>
      <c r="E124" s="2">
        <v>7.3852333333333329</v>
      </c>
      <c r="F124" s="36">
        <v>544.77022250000005</v>
      </c>
      <c r="G124">
        <f>IF($D124=1,IF(GDP_per_cap!C145&gt;'all_1961-1990'!$H$1,0,IF(UrbanPopRate!C145&gt;=$J$1,0,1)),0)</f>
        <v>1</v>
      </c>
      <c r="H124">
        <f>IF($D124=1,IF(GDP_per_cap!D145&gt;'all_1961-1990'!$H$1,0,IF(UrbanPopRate!D145&gt;=$J$1,0,1)),0)</f>
        <v>1</v>
      </c>
      <c r="I124">
        <f>IF($D124=1,IF(GDP_per_cap!E145&gt;'all_1961-1990'!$H$1,0,IF(UrbanPopRate!E145&gt;=$J$1,0,1)),0)</f>
        <v>1</v>
      </c>
      <c r="J124">
        <f>IF($D124=1,IF(GDP_per_cap!F145&gt;'all_1961-1990'!$H$1,0,IF(UrbanPopRate!F145&gt;=$J$1,0,1)),0)</f>
        <v>1</v>
      </c>
      <c r="K124">
        <f>IF($D124=1,IF(GDP_per_cap!G145&gt;'all_1961-1990'!$H$1,0,IF(UrbanPopRate!G145&gt;=$J$1,0,1)),0)</f>
        <v>1</v>
      </c>
      <c r="L124">
        <f>IF($D124=1,IF(GDP_per_cap!H145&gt;'all_1961-1990'!$H$1,0,IF(UrbanPopRate!H145&gt;=$J$1,0,1)),0)</f>
        <v>1</v>
      </c>
      <c r="M124">
        <f>IF($D124=1,IF(GDP_per_cap!I145&gt;'all_1961-1990'!$H$1,0,IF(UrbanPopRate!I145&gt;=$J$1,0,1)),0)</f>
        <v>1</v>
      </c>
      <c r="N124">
        <f>IF($D124=1,IF(GDP_per_cap!J145&gt;'all_1961-1990'!$H$1,0,IF(UrbanPopRate!J145&gt;=$J$1,0,1)),0)</f>
        <v>1</v>
      </c>
      <c r="O124">
        <f>IF($D124=1,IF(GDP_per_cap!K145&gt;'all_1961-1990'!$H$1,0,IF(UrbanPopRate!K145&gt;=$J$1,0,1)),0)</f>
        <v>1</v>
      </c>
      <c r="P124">
        <f>IF($D124=1,IF(GDP_per_cap!L145&gt;'all_1961-1990'!$H$1,0,IF(UrbanPopRate!L145&gt;=$J$1,0,1)),0)</f>
        <v>1</v>
      </c>
      <c r="Q124">
        <f>IF($D124=1,IF(GDP_per_cap!M145&gt;'all_1961-1990'!$H$1,0,IF(UrbanPopRate!M145&gt;=$J$1,0,1)),0)</f>
        <v>1</v>
      </c>
      <c r="R124">
        <f>IF($D124=1,IF(GDP_per_cap!N145&gt;'all_1961-1990'!$H$1,0,IF(UrbanPopRate!N145&gt;=$J$1,0,1)),0)</f>
        <v>1</v>
      </c>
      <c r="S124">
        <f>IF($D124=1,IF(GDP_per_cap!O145&gt;'all_1961-1990'!$H$1,0,IF(UrbanPopRate!O145&gt;=$J$1,0,1)),0)</f>
        <v>1</v>
      </c>
      <c r="T124">
        <f>IF($D124=1,IF(GDP_per_cap!P145&gt;'all_1961-1990'!$H$1,0,IF(UrbanPopRate!P145&gt;=$J$1,0,1)),0)</f>
        <v>1</v>
      </c>
      <c r="U124">
        <f>IF($D124=1,IF(GDP_per_cap!Q145&gt;'all_1961-1990'!$H$1,0,IF(UrbanPopRate!Q145&gt;=$J$1,0,1)),0)</f>
        <v>1</v>
      </c>
      <c r="V124">
        <f>IF($D124=1,IF(GDP_per_cap!R145&gt;'all_1961-1990'!$H$1,0,IF(UrbanPopRate!R145&gt;=$J$1,0,1)),0)</f>
        <v>1</v>
      </c>
      <c r="W124">
        <f>IF($D124=1,IF(GDP_per_cap!S145&gt;'all_1961-1990'!$H$1,0,IF(UrbanPopRate!S145&gt;=$J$1,0,1)),0)</f>
        <v>1</v>
      </c>
      <c r="X124">
        <f>IF($D124=1,IF(GDP_per_cap!T145&gt;'all_1961-1990'!$H$1,0,IF(UrbanPopRate!T145&gt;=$J$1,0,1)),0)</f>
        <v>1</v>
      </c>
      <c r="Y124">
        <f>IF($D124=1,IF(GDP_per_cap!U145&gt;'all_1961-1990'!$H$1,0,IF(UrbanPopRate!U145&gt;=$J$1,0,1)),0)</f>
        <v>1</v>
      </c>
      <c r="Z124">
        <f>IF($D124=1,IF(GDP_per_cap!V145&gt;'all_1961-1990'!$H$1,0,IF(UrbanPopRate!V145&gt;=$J$1,0,1)),0)</f>
        <v>1</v>
      </c>
      <c r="AA124">
        <f>IF($D124=1,IF(GDP_per_cap!W145&gt;'all_1961-1990'!$H$1,0,IF(UrbanPopRate!W145&gt;=$J$1,0,1)),0)</f>
        <v>1</v>
      </c>
      <c r="AB124">
        <f>IF($D124=1,IF(GDP_per_cap!X145&gt;'all_1961-1990'!$H$1,0,IF(UrbanPopRate!X145&gt;=$J$1,0,1)),0)</f>
        <v>1</v>
      </c>
      <c r="AC124">
        <f>IF($D124=1,IF(GDP_per_cap!Y145&gt;'all_1961-1990'!$H$1,0,IF(UrbanPopRate!Y145&gt;=$J$1,0,1)),0)</f>
        <v>1</v>
      </c>
      <c r="AD124">
        <f>IF($D124=1,IF(GDP_per_cap!Z145&gt;'all_1961-1990'!$H$1,0,IF(UrbanPopRate!Z145&gt;=$J$1,0,1)),0)</f>
        <v>1</v>
      </c>
      <c r="AE124">
        <f>IF($D124=1,IF(GDP_per_cap!AA145&gt;'all_1961-1990'!$H$1,0,IF(UrbanPopRate!AA145&gt;=$J$1,0,1)),0)</f>
        <v>1</v>
      </c>
      <c r="AF124">
        <f>IF($D124=1,IF(GDP_per_cap!AB145&gt;'all_1961-1990'!$H$1,0,IF(UrbanPopRate!AB145&gt;=$J$1,0,1)),0)</f>
        <v>1</v>
      </c>
      <c r="AG124">
        <f>IF($D124=1,IF(GDP_per_cap!AC145&gt;'all_1961-1990'!$H$1,0,IF(UrbanPopRate!AC145&gt;=$J$1,0,1)),0)</f>
        <v>1</v>
      </c>
      <c r="AH124">
        <f>IF($D124=1,IF(GDP_per_cap!AD145&gt;'all_1961-1990'!$H$1,0,IF(UrbanPopRate!AD145&gt;=$J$1,0,1)),0)</f>
        <v>1</v>
      </c>
      <c r="AI124">
        <f>IF($D124=1,IF(GDP_per_cap!AE145&gt;'all_1961-1990'!$H$1,0,IF(UrbanPopRate!AE145&gt;=$J$1,0,1)),0)</f>
        <v>1</v>
      </c>
      <c r="AJ124">
        <f>IF($D124=1,IF(GDP_per_cap!AF145&gt;'all_1961-1990'!$H$1,0,IF(UrbanPopRate!AF145&gt;=$J$1,0,1)),0)</f>
        <v>1</v>
      </c>
      <c r="AK124">
        <f>IF($D124=1,IF(GDP_per_cap!AG145&gt;'all_1961-1990'!$H$1,0,IF(UrbanPopRate!AG145&gt;=$J$1,0,1)),0)</f>
        <v>1</v>
      </c>
      <c r="AL124">
        <f>IF($D124=1,IF(GDP_per_cap!AH145&gt;'all_1961-1990'!$H$1,0,IF(UrbanPopRate!AH145&gt;=$J$1,0,1)),0)</f>
        <v>1</v>
      </c>
      <c r="AM124">
        <f>IF($D124=1,IF(GDP_per_cap!AI145&gt;'all_1961-1990'!$H$1,0,IF(UrbanPopRate!AI145&gt;=$J$1,0,1)),0)</f>
        <v>1</v>
      </c>
      <c r="AN124">
        <f>IF($D124=1,IF(GDP_per_cap!AJ145&gt;'all_1961-1990'!$H$1,0,IF(UrbanPopRate!AJ145&gt;=$J$1,0,1)),0)</f>
        <v>1</v>
      </c>
      <c r="AO124">
        <f>IF($D124=1,IF(GDP_per_cap!AK145&gt;'all_1961-1990'!$H$1,0,IF(UrbanPopRate!AK145&gt;=$J$1,0,1)),0)</f>
        <v>1</v>
      </c>
      <c r="AP124">
        <f>IF($D124=1,IF(GDP_per_cap!AL145&gt;'all_1961-1990'!$H$1,0,IF(UrbanPopRate!AL145&gt;=$J$1,0,1)),0)</f>
        <v>1</v>
      </c>
      <c r="AQ124">
        <f>IF($D124=1,IF(GDP_per_cap!AM145&gt;'all_1961-1990'!$H$1,0,IF(UrbanPopRate!AM145&gt;=$J$1,0,1)),0)</f>
        <v>1</v>
      </c>
      <c r="AR124">
        <f>IF($D124=1,IF(GDP_per_cap!AN145&gt;'all_1961-1990'!$H$1,0,IF(UrbanPopRate!AN145&gt;=$J$1,0,1)),0)</f>
        <v>1</v>
      </c>
      <c r="AS124">
        <f>IF($D124=1,IF(GDP_per_cap!AO145&gt;'all_1961-1990'!$H$1,0,IF(UrbanPopRate!AO145&gt;=$J$1,0,1)),0)</f>
        <v>1</v>
      </c>
      <c r="AT124">
        <f>IF($D124=1,IF(GDP_per_cap!AP145&gt;'all_1961-1990'!$H$1,0,IF(UrbanPopRate!AP145&gt;=$J$1,0,1)),0)</f>
        <v>1</v>
      </c>
      <c r="AU124">
        <f>IF($D124=1,IF(GDP_per_cap!AQ145&gt;'all_1961-1990'!$H$1,0,IF(UrbanPopRate!AQ145&gt;=$J$1,0,1)),0)</f>
        <v>1</v>
      </c>
      <c r="AV124">
        <f>IF($D124=1,IF(GDP_per_cap!AR145&gt;'all_1961-1990'!$H$1,0,IF(UrbanPopRate!AR145&gt;=$J$1,0,1)),0)</f>
        <v>1</v>
      </c>
      <c r="AW124">
        <f>IF($D124=1,IF(GDP_per_cap!AS145&gt;'all_1961-1990'!$H$1,0,IF(UrbanPopRate!AS145&gt;=$J$1,0,1)),0)</f>
        <v>1</v>
      </c>
      <c r="AX124">
        <f>IF($D124=1,IF(GDP_per_cap!AT145&gt;'all_1961-1990'!$H$1,0,IF(UrbanPopRate!AT145&gt;=$J$1,0,1)),0)</f>
        <v>1</v>
      </c>
      <c r="AY124">
        <f>IF($D124=1,IF(GDP_per_cap!AU145&gt;'all_1961-1990'!$H$1,0,IF(UrbanPopRate!AU145&gt;=$J$1,0,1)),0)</f>
        <v>1</v>
      </c>
      <c r="AZ124">
        <f>IF($D124=1,IF(GDP_per_cap!AV145&gt;'all_1961-1990'!$H$1,0,IF(UrbanPopRate!AV145&gt;=$J$1,0,1)),0)</f>
        <v>1</v>
      </c>
      <c r="BA124">
        <f>IF($D124=1,IF(GDP_per_cap!AW145&gt;'all_1961-1990'!$H$1,0,IF(UrbanPopRate!AW145&gt;=$J$1,0,1)),0)</f>
        <v>1</v>
      </c>
      <c r="BB124">
        <f>IF($D124=1,IF(GDP_per_cap!AX145&gt;'all_1961-1990'!$H$1,0,IF(UrbanPopRate!AX145&gt;=$J$1,0,1)),0)</f>
        <v>1</v>
      </c>
      <c r="BC124">
        <f>IF($D124=1,IF(GDP_per_cap!AY145&gt;'all_1961-1990'!$H$1,0,IF(UrbanPopRate!AY145&gt;=$J$1,0,1)),0)</f>
        <v>1</v>
      </c>
      <c r="BD124">
        <f>IF($D124=1,IF(GDP_per_cap!AZ145&gt;'all_1961-1990'!$H$1,0,IF(UrbanPopRate!AZ145&gt;=$J$1,0,1)),0)</f>
        <v>1</v>
      </c>
      <c r="BE124">
        <f>IF($D124=1,IF(GDP_per_cap!BA145&gt;'all_1961-1990'!$H$1,0,IF(UrbanPopRate!BA145&gt;=$J$1,0,1)),0)</f>
        <v>1</v>
      </c>
      <c r="BF124">
        <f>IF($D124=1,IF(GDP_per_cap!BB145&gt;'all_1961-1990'!$H$1,0,IF(UrbanPopRate!BB145&gt;=$J$1,0,1)),0)</f>
        <v>1</v>
      </c>
    </row>
    <row r="125" spans="1:58">
      <c r="A125" s="3">
        <v>243</v>
      </c>
      <c r="B125" s="3" t="s">
        <v>0</v>
      </c>
      <c r="C125" s="2">
        <v>4</v>
      </c>
      <c r="D125" s="37">
        <v>1</v>
      </c>
      <c r="E125" s="38">
        <v>20.345999999999997</v>
      </c>
      <c r="F125" s="39">
        <v>400</v>
      </c>
      <c r="G125">
        <f>IF($D125=1,IF(GDP_per_cap!C156&gt;'all_1961-1990'!$H$1,0,IF(UrbanPopRate!C156&gt;=$J$1,0,1)),0)</f>
        <v>1</v>
      </c>
      <c r="H125">
        <f>IF($D125=1,IF(GDP_per_cap!D156&gt;'all_1961-1990'!$H$1,0,IF(UrbanPopRate!D156&gt;=$J$1,0,1)),0)</f>
        <v>1</v>
      </c>
      <c r="I125">
        <f>IF($D125=1,IF(GDP_per_cap!E156&gt;'all_1961-1990'!$H$1,0,IF(UrbanPopRate!E156&gt;=$J$1,0,1)),0)</f>
        <v>1</v>
      </c>
      <c r="J125">
        <f>IF($D125=1,IF(GDP_per_cap!F156&gt;'all_1961-1990'!$H$1,0,IF(UrbanPopRate!F156&gt;=$J$1,0,1)),0)</f>
        <v>1</v>
      </c>
      <c r="K125">
        <f>IF($D125=1,IF(GDP_per_cap!G156&gt;'all_1961-1990'!$H$1,0,IF(UrbanPopRate!G156&gt;=$J$1,0,1)),0)</f>
        <v>1</v>
      </c>
      <c r="L125">
        <f>IF($D125=1,IF(GDP_per_cap!H156&gt;'all_1961-1990'!$H$1,0,IF(UrbanPopRate!H156&gt;=$J$1,0,1)),0)</f>
        <v>1</v>
      </c>
      <c r="M125">
        <f>IF($D125=1,IF(GDP_per_cap!I156&gt;'all_1961-1990'!$H$1,0,IF(UrbanPopRate!I156&gt;=$J$1,0,1)),0)</f>
        <v>1</v>
      </c>
      <c r="N125">
        <f>IF($D125=1,IF(GDP_per_cap!J156&gt;'all_1961-1990'!$H$1,0,IF(UrbanPopRate!J156&gt;=$J$1,0,1)),0)</f>
        <v>1</v>
      </c>
      <c r="O125">
        <f>IF($D125=1,IF(GDP_per_cap!K156&gt;'all_1961-1990'!$H$1,0,IF(UrbanPopRate!K156&gt;=$J$1,0,1)),0)</f>
        <v>1</v>
      </c>
      <c r="P125">
        <f>IF($D125=1,IF(GDP_per_cap!L156&gt;'all_1961-1990'!$H$1,0,IF(UrbanPopRate!L156&gt;=$J$1,0,1)),0)</f>
        <v>1</v>
      </c>
      <c r="Q125">
        <f>IF($D125=1,IF(GDP_per_cap!M156&gt;'all_1961-1990'!$H$1,0,IF(UrbanPopRate!M156&gt;=$J$1,0,1)),0)</f>
        <v>1</v>
      </c>
      <c r="R125">
        <f>IF($D125=1,IF(GDP_per_cap!N156&gt;'all_1961-1990'!$H$1,0,IF(UrbanPopRate!N156&gt;=$J$1,0,1)),0)</f>
        <v>1</v>
      </c>
      <c r="S125">
        <f>IF($D125=1,IF(GDP_per_cap!O156&gt;'all_1961-1990'!$H$1,0,IF(UrbanPopRate!O156&gt;=$J$1,0,1)),0)</f>
        <v>1</v>
      </c>
      <c r="T125">
        <f>IF($D125=1,IF(GDP_per_cap!P156&gt;'all_1961-1990'!$H$1,0,IF(UrbanPopRate!P156&gt;=$J$1,0,1)),0)</f>
        <v>1</v>
      </c>
      <c r="U125">
        <f>IF($D125=1,IF(GDP_per_cap!Q156&gt;'all_1961-1990'!$H$1,0,IF(UrbanPopRate!Q156&gt;=$J$1,0,1)),0)</f>
        <v>1</v>
      </c>
      <c r="V125">
        <f>IF($D125=1,IF(GDP_per_cap!R156&gt;'all_1961-1990'!$H$1,0,IF(UrbanPopRate!R156&gt;=$J$1,0,1)),0)</f>
        <v>1</v>
      </c>
      <c r="W125">
        <f>IF($D125=1,IF(GDP_per_cap!S156&gt;'all_1961-1990'!$H$1,0,IF(UrbanPopRate!S156&gt;=$J$1,0,1)),0)</f>
        <v>1</v>
      </c>
      <c r="X125">
        <f>IF($D125=1,IF(GDP_per_cap!T156&gt;'all_1961-1990'!$H$1,0,IF(UrbanPopRate!T156&gt;=$J$1,0,1)),0)</f>
        <v>1</v>
      </c>
      <c r="Y125">
        <f>IF($D125=1,IF(GDP_per_cap!U156&gt;'all_1961-1990'!$H$1,0,IF(UrbanPopRate!U156&gt;=$J$1,0,1)),0)</f>
        <v>1</v>
      </c>
      <c r="Z125">
        <f>IF($D125=1,IF(GDP_per_cap!V156&gt;'all_1961-1990'!$H$1,0,IF(UrbanPopRate!V156&gt;=$J$1,0,1)),0)</f>
        <v>1</v>
      </c>
      <c r="AA125">
        <f>IF($D125=1,IF(GDP_per_cap!W156&gt;'all_1961-1990'!$H$1,0,IF(UrbanPopRate!W156&gt;=$J$1,0,1)),0)</f>
        <v>1</v>
      </c>
      <c r="AB125">
        <f>IF($D125=1,IF(GDP_per_cap!X156&gt;'all_1961-1990'!$H$1,0,IF(UrbanPopRate!X156&gt;=$J$1,0,1)),0)</f>
        <v>1</v>
      </c>
      <c r="AC125">
        <f>IF($D125=1,IF(GDP_per_cap!Y156&gt;'all_1961-1990'!$H$1,0,IF(UrbanPopRate!Y156&gt;=$J$1,0,1)),0)</f>
        <v>1</v>
      </c>
      <c r="AD125">
        <f>IF($D125=1,IF(GDP_per_cap!Z156&gt;'all_1961-1990'!$H$1,0,IF(UrbanPopRate!Z156&gt;=$J$1,0,1)),0)</f>
        <v>1</v>
      </c>
      <c r="AE125">
        <f>IF($D125=1,IF(GDP_per_cap!AA156&gt;'all_1961-1990'!$H$1,0,IF(UrbanPopRate!AA156&gt;=$J$1,0,1)),0)</f>
        <v>0</v>
      </c>
      <c r="AF125">
        <f>IF($D125=1,IF(GDP_per_cap!AB156&gt;'all_1961-1990'!$H$1,0,IF(UrbanPopRate!AB156&gt;=$J$1,0,1)),0)</f>
        <v>0</v>
      </c>
      <c r="AG125">
        <f>IF($D125=1,IF(GDP_per_cap!AC156&gt;'all_1961-1990'!$H$1,0,IF(UrbanPopRate!AC156&gt;=$J$1,0,1)),0)</f>
        <v>0</v>
      </c>
      <c r="AH125">
        <f>IF($D125=1,IF(GDP_per_cap!AD156&gt;'all_1961-1990'!$H$1,0,IF(UrbanPopRate!AD156&gt;=$J$1,0,1)),0)</f>
        <v>0</v>
      </c>
      <c r="AI125">
        <f>IF($D125=1,IF(GDP_per_cap!AE156&gt;'all_1961-1990'!$H$1,0,IF(UrbanPopRate!AE156&gt;=$J$1,0,1)),0)</f>
        <v>0</v>
      </c>
      <c r="AJ125">
        <f>IF($D125=1,IF(GDP_per_cap!AF156&gt;'all_1961-1990'!$H$1,0,IF(UrbanPopRate!AF156&gt;=$J$1,0,1)),0)</f>
        <v>0</v>
      </c>
      <c r="AK125">
        <f>IF($D125=1,IF(GDP_per_cap!AG156&gt;'all_1961-1990'!$H$1,0,IF(UrbanPopRate!AG156&gt;=$J$1,0,1)),0)</f>
        <v>0</v>
      </c>
      <c r="AL125">
        <f>IF($D125=1,IF(GDP_per_cap!AH156&gt;'all_1961-1990'!$H$1,0,IF(UrbanPopRate!AH156&gt;=$J$1,0,1)),0)</f>
        <v>0</v>
      </c>
      <c r="AM125">
        <f>IF($D125=1,IF(GDP_per_cap!AI156&gt;'all_1961-1990'!$H$1,0,IF(UrbanPopRate!AI156&gt;=$J$1,0,1)),0)</f>
        <v>0</v>
      </c>
      <c r="AN125">
        <f>IF($D125=1,IF(GDP_per_cap!AJ156&gt;'all_1961-1990'!$H$1,0,IF(UrbanPopRate!AJ156&gt;=$J$1,0,1)),0)</f>
        <v>0</v>
      </c>
      <c r="AO125">
        <f>IF($D125=1,IF(GDP_per_cap!AK156&gt;'all_1961-1990'!$H$1,0,IF(UrbanPopRate!AK156&gt;=$J$1,0,1)),0)</f>
        <v>0</v>
      </c>
      <c r="AP125">
        <f>IF($D125=1,IF(GDP_per_cap!AL156&gt;'all_1961-1990'!$H$1,0,IF(UrbanPopRate!AL156&gt;=$J$1,0,1)),0)</f>
        <v>0</v>
      </c>
      <c r="AQ125">
        <f>IF($D125=1,IF(GDP_per_cap!AM156&gt;'all_1961-1990'!$H$1,0,IF(UrbanPopRate!AM156&gt;=$J$1,0,1)),0)</f>
        <v>0</v>
      </c>
      <c r="AR125">
        <f>IF($D125=1,IF(GDP_per_cap!AN156&gt;'all_1961-1990'!$H$1,0,IF(UrbanPopRate!AN156&gt;=$J$1,0,1)),0)</f>
        <v>0</v>
      </c>
      <c r="AS125">
        <f>IF($D125=1,IF(GDP_per_cap!AO156&gt;'all_1961-1990'!$H$1,0,IF(UrbanPopRate!AO156&gt;=$J$1,0,1)),0)</f>
        <v>0</v>
      </c>
      <c r="AT125">
        <f>IF($D125=1,IF(GDP_per_cap!AP156&gt;'all_1961-1990'!$H$1,0,IF(UrbanPopRate!AP156&gt;=$J$1,0,1)),0)</f>
        <v>0</v>
      </c>
      <c r="AU125">
        <f>IF($D125=1,IF(GDP_per_cap!AQ156&gt;'all_1961-1990'!$H$1,0,IF(UrbanPopRate!AQ156&gt;=$J$1,0,1)),0)</f>
        <v>0</v>
      </c>
      <c r="AV125">
        <f>IF($D125=1,IF(GDP_per_cap!AR156&gt;'all_1961-1990'!$H$1,0,IF(UrbanPopRate!AR156&gt;=$J$1,0,1)),0)</f>
        <v>0</v>
      </c>
      <c r="AW125">
        <f>IF($D125=1,IF(GDP_per_cap!AS156&gt;'all_1961-1990'!$H$1,0,IF(UrbanPopRate!AS156&gt;=$J$1,0,1)),0)</f>
        <v>0</v>
      </c>
      <c r="AX125">
        <f>IF($D125=1,IF(GDP_per_cap!AT156&gt;'all_1961-1990'!$H$1,0,IF(UrbanPopRate!AT156&gt;=$J$1,0,1)),0)</f>
        <v>0</v>
      </c>
      <c r="AY125">
        <f>IF($D125=1,IF(GDP_per_cap!AU156&gt;'all_1961-1990'!$H$1,0,IF(UrbanPopRate!AU156&gt;=$J$1,0,1)),0)</f>
        <v>0</v>
      </c>
      <c r="AZ125">
        <f>IF($D125=1,IF(GDP_per_cap!AV156&gt;'all_1961-1990'!$H$1,0,IF(UrbanPopRate!AV156&gt;=$J$1,0,1)),0)</f>
        <v>0</v>
      </c>
      <c r="BA125">
        <f>IF($D125=1,IF(GDP_per_cap!AW156&gt;'all_1961-1990'!$H$1,0,IF(UrbanPopRate!AW156&gt;=$J$1,0,1)),0)</f>
        <v>0</v>
      </c>
      <c r="BB125">
        <f>IF($D125=1,IF(GDP_per_cap!AX156&gt;'all_1961-1990'!$H$1,0,IF(UrbanPopRate!AX156&gt;=$J$1,0,1)),0)</f>
        <v>0</v>
      </c>
      <c r="BC125">
        <f>IF($D125=1,IF(GDP_per_cap!AY156&gt;'all_1961-1990'!$H$1,0,IF(UrbanPopRate!AY156&gt;=$J$1,0,1)),0)</f>
        <v>0</v>
      </c>
      <c r="BD125">
        <f>IF($D125=1,IF(GDP_per_cap!AZ156&gt;'all_1961-1990'!$H$1,0,IF(UrbanPopRate!AZ156&gt;=$J$1,0,1)),0)</f>
        <v>0</v>
      </c>
      <c r="BE125">
        <f>IF($D125=1,IF(GDP_per_cap!BA156&gt;'all_1961-1990'!$H$1,0,IF(UrbanPopRate!BA156&gt;=$J$1,0,1)),0)</f>
        <v>0</v>
      </c>
      <c r="BF125">
        <f>IF($D125=1,IF(GDP_per_cap!BB156&gt;'all_1961-1990'!$H$1,0,IF(UrbanPopRate!BB156&gt;=$J$1,0,1)),0)</f>
        <v>0</v>
      </c>
    </row>
    <row r="126" spans="1:58">
      <c r="A126" s="12">
        <v>12</v>
      </c>
      <c r="B126" s="12" t="s">
        <v>149</v>
      </c>
      <c r="C126" s="13"/>
      <c r="D126" s="13">
        <v>1</v>
      </c>
      <c r="E126" s="13">
        <v>62.199933333333334</v>
      </c>
      <c r="F126" s="13"/>
      <c r="G126">
        <f>IF($D126=1,IF(GDP_per_cap!C7&gt;'all_1961-1990'!$H$1,0,IF(UrbanPopRate!C7&gt;=$J$1,0,1)),0)</f>
        <v>0</v>
      </c>
      <c r="H126">
        <f>IF($D126=1,IF(GDP_per_cap!D7&gt;'all_1961-1990'!$H$1,0,IF(UrbanPopRate!D7&gt;=$J$1,0,1)),0)</f>
        <v>0</v>
      </c>
      <c r="I126">
        <f>IF($D126=1,IF(GDP_per_cap!E7&gt;'all_1961-1990'!$H$1,0,IF(UrbanPopRate!E7&gt;=$J$1,0,1)),0)</f>
        <v>0</v>
      </c>
      <c r="J126">
        <f>IF($D126=1,IF(GDP_per_cap!F7&gt;'all_1961-1990'!$H$1,0,IF(UrbanPopRate!F7&gt;=$J$1,0,1)),0)</f>
        <v>0</v>
      </c>
      <c r="K126">
        <f>IF($D126=1,IF(GDP_per_cap!G7&gt;'all_1961-1990'!$H$1,0,IF(UrbanPopRate!G7&gt;=$J$1,0,1)),0)</f>
        <v>0</v>
      </c>
      <c r="L126">
        <f>IF($D126=1,IF(GDP_per_cap!H7&gt;'all_1961-1990'!$H$1,0,IF(UrbanPopRate!H7&gt;=$J$1,0,1)),0)</f>
        <v>0</v>
      </c>
      <c r="M126">
        <f>IF($D126=1,IF(GDP_per_cap!I7&gt;'all_1961-1990'!$H$1,0,IF(UrbanPopRate!I7&gt;=$J$1,0,1)),0)</f>
        <v>0</v>
      </c>
      <c r="N126">
        <f>IF($D126=1,IF(GDP_per_cap!J7&gt;'all_1961-1990'!$H$1,0,IF(UrbanPopRate!J7&gt;=$J$1,0,1)),0)</f>
        <v>0</v>
      </c>
      <c r="O126">
        <f>IF($D126=1,IF(GDP_per_cap!K7&gt;'all_1961-1990'!$H$1,0,IF(UrbanPopRate!K7&gt;=$J$1,0,1)),0)</f>
        <v>0</v>
      </c>
      <c r="P126">
        <f>IF($D126=1,IF(GDP_per_cap!L7&gt;'all_1961-1990'!$H$1,0,IF(UrbanPopRate!L7&gt;=$J$1,0,1)),0)</f>
        <v>0</v>
      </c>
      <c r="Q126">
        <f>IF($D126=1,IF(GDP_per_cap!M7&gt;'all_1961-1990'!$H$1,0,IF(UrbanPopRate!M7&gt;=$J$1,0,1)),0)</f>
        <v>0</v>
      </c>
      <c r="R126">
        <f>IF($D126=1,IF(GDP_per_cap!N7&gt;'all_1961-1990'!$H$1,0,IF(UrbanPopRate!N7&gt;=$J$1,0,1)),0)</f>
        <v>0</v>
      </c>
      <c r="S126">
        <f>IF($D126=1,IF(GDP_per_cap!O7&gt;'all_1961-1990'!$H$1,0,IF(UrbanPopRate!O7&gt;=$J$1,0,1)),0)</f>
        <v>0</v>
      </c>
      <c r="T126">
        <f>IF($D126=1,IF(GDP_per_cap!P7&gt;'all_1961-1990'!$H$1,0,IF(UrbanPopRate!P7&gt;=$J$1,0,1)),0)</f>
        <v>0</v>
      </c>
      <c r="U126">
        <f>IF($D126=1,IF(GDP_per_cap!Q7&gt;'all_1961-1990'!$H$1,0,IF(UrbanPopRate!Q7&gt;=$J$1,0,1)),0)</f>
        <v>0</v>
      </c>
      <c r="V126">
        <f>IF($D126=1,IF(GDP_per_cap!R7&gt;'all_1961-1990'!$H$1,0,IF(UrbanPopRate!R7&gt;=$J$1,0,1)),0)</f>
        <v>0</v>
      </c>
      <c r="W126">
        <f>IF($D126=1,IF(GDP_per_cap!S7&gt;'all_1961-1990'!$H$1,0,IF(UrbanPopRate!S7&gt;=$J$1,0,1)),0)</f>
        <v>0</v>
      </c>
      <c r="X126">
        <f>IF($D126=1,IF(GDP_per_cap!T7&gt;'all_1961-1990'!$H$1,0,IF(UrbanPopRate!T7&gt;=$J$1,0,1)),0)</f>
        <v>0</v>
      </c>
      <c r="Y126">
        <f>IF($D126=1,IF(GDP_per_cap!U7&gt;'all_1961-1990'!$H$1,0,IF(UrbanPopRate!U7&gt;=$J$1,0,1)),0)</f>
        <v>0</v>
      </c>
      <c r="Z126">
        <f>IF($D126=1,IF(GDP_per_cap!V7&gt;'all_1961-1990'!$H$1,0,IF(UrbanPopRate!V7&gt;=$J$1,0,1)),0)</f>
        <v>0</v>
      </c>
      <c r="AA126">
        <f>IF($D126=1,IF(GDP_per_cap!W7&gt;'all_1961-1990'!$H$1,0,IF(UrbanPopRate!W7&gt;=$J$1,0,1)),0)</f>
        <v>0</v>
      </c>
      <c r="AB126">
        <f>IF($D126=1,IF(GDP_per_cap!X7&gt;'all_1961-1990'!$H$1,0,IF(UrbanPopRate!X7&gt;=$J$1,0,1)),0)</f>
        <v>0</v>
      </c>
      <c r="AC126">
        <f>IF($D126=1,IF(GDP_per_cap!Y7&gt;'all_1961-1990'!$H$1,0,IF(UrbanPopRate!Y7&gt;=$J$1,0,1)),0)</f>
        <v>0</v>
      </c>
      <c r="AD126">
        <f>IF($D126=1,IF(GDP_per_cap!Z7&gt;'all_1961-1990'!$H$1,0,IF(UrbanPopRate!Z7&gt;=$J$1,0,1)),0)</f>
        <v>0</v>
      </c>
      <c r="AE126">
        <f>IF($D126=1,IF(GDP_per_cap!AA7&gt;'all_1961-1990'!$H$1,0,IF(UrbanPopRate!AA7&gt;=$J$1,0,1)),0)</f>
        <v>0</v>
      </c>
      <c r="AF126">
        <f>IF($D126=1,IF(GDP_per_cap!AB7&gt;'all_1961-1990'!$H$1,0,IF(UrbanPopRate!AB7&gt;=$J$1,0,1)),0)</f>
        <v>0</v>
      </c>
      <c r="AG126">
        <f>IF($D126=1,IF(GDP_per_cap!AC7&gt;'all_1961-1990'!$H$1,0,IF(UrbanPopRate!AC7&gt;=$J$1,0,1)),0)</f>
        <v>0</v>
      </c>
      <c r="AH126">
        <f>IF($D126=1,IF(GDP_per_cap!AD7&gt;'all_1961-1990'!$H$1,0,IF(UrbanPopRate!AD7&gt;=$J$1,0,1)),0)</f>
        <v>0</v>
      </c>
      <c r="AI126">
        <f>IF($D126=1,IF(GDP_per_cap!AE7&gt;'all_1961-1990'!$H$1,0,IF(UrbanPopRate!AE7&gt;=$J$1,0,1)),0)</f>
        <v>0</v>
      </c>
      <c r="AJ126">
        <f>IF($D126=1,IF(GDP_per_cap!AF7&gt;'all_1961-1990'!$H$1,0,IF(UrbanPopRate!AF7&gt;=$J$1,0,1)),0)</f>
        <v>0</v>
      </c>
      <c r="AK126">
        <f>IF($D126=1,IF(GDP_per_cap!AG7&gt;'all_1961-1990'!$H$1,0,IF(UrbanPopRate!AG7&gt;=$J$1,0,1)),0)</f>
        <v>0</v>
      </c>
      <c r="AL126">
        <f>IF($D126=1,IF(GDP_per_cap!AH7&gt;'all_1961-1990'!$H$1,0,IF(UrbanPopRate!AH7&gt;=$J$1,0,1)),0)</f>
        <v>0</v>
      </c>
      <c r="AM126">
        <f>IF($D126=1,IF(GDP_per_cap!AI7&gt;'all_1961-1990'!$H$1,0,IF(UrbanPopRate!AI7&gt;=$J$1,0,1)),0)</f>
        <v>0</v>
      </c>
      <c r="AN126">
        <f>IF($D126=1,IF(GDP_per_cap!AJ7&gt;'all_1961-1990'!$H$1,0,IF(UrbanPopRate!AJ7&gt;=$J$1,0,1)),0)</f>
        <v>0</v>
      </c>
      <c r="AO126">
        <f>IF($D126=1,IF(GDP_per_cap!AK7&gt;'all_1961-1990'!$H$1,0,IF(UrbanPopRate!AK7&gt;=$J$1,0,1)),0)</f>
        <v>0</v>
      </c>
      <c r="AP126">
        <f>IF($D126=1,IF(GDP_per_cap!AL7&gt;'all_1961-1990'!$H$1,0,IF(UrbanPopRate!AL7&gt;=$J$1,0,1)),0)</f>
        <v>0</v>
      </c>
      <c r="AQ126">
        <f>IF($D126=1,IF(GDP_per_cap!AM7&gt;'all_1961-1990'!$H$1,0,IF(UrbanPopRate!AM7&gt;=$J$1,0,1)),0)</f>
        <v>0</v>
      </c>
      <c r="AR126">
        <f>IF($D126=1,IF(GDP_per_cap!AN7&gt;'all_1961-1990'!$H$1,0,IF(UrbanPopRate!AN7&gt;=$J$1,0,1)),0)</f>
        <v>0</v>
      </c>
      <c r="AS126">
        <f>IF($D126=1,IF(GDP_per_cap!AO7&gt;'all_1961-1990'!$H$1,0,IF(UrbanPopRate!AO7&gt;=$J$1,0,1)),0)</f>
        <v>0</v>
      </c>
      <c r="AT126">
        <f>IF($D126=1,IF(GDP_per_cap!AP7&gt;'all_1961-1990'!$H$1,0,IF(UrbanPopRate!AP7&gt;=$J$1,0,1)),0)</f>
        <v>0</v>
      </c>
      <c r="AU126">
        <f>IF($D126=1,IF(GDP_per_cap!AQ7&gt;'all_1961-1990'!$H$1,0,IF(UrbanPopRate!AQ7&gt;=$J$1,0,1)),0)</f>
        <v>0</v>
      </c>
      <c r="AV126">
        <f>IF($D126=1,IF(GDP_per_cap!AR7&gt;'all_1961-1990'!$H$1,0,IF(UrbanPopRate!AR7&gt;=$J$1,0,1)),0)</f>
        <v>0</v>
      </c>
      <c r="AW126">
        <f>IF($D126=1,IF(GDP_per_cap!AS7&gt;'all_1961-1990'!$H$1,0,IF(UrbanPopRate!AS7&gt;=$J$1,0,1)),0)</f>
        <v>0</v>
      </c>
      <c r="AX126">
        <f>IF($D126=1,IF(GDP_per_cap!AT7&gt;'all_1961-1990'!$H$1,0,IF(UrbanPopRate!AT7&gt;=$J$1,0,1)),0)</f>
        <v>0</v>
      </c>
      <c r="AY126">
        <f>IF($D126=1,IF(GDP_per_cap!AU7&gt;'all_1961-1990'!$H$1,0,IF(UrbanPopRate!AU7&gt;=$J$1,0,1)),0)</f>
        <v>0</v>
      </c>
      <c r="AZ126">
        <f>IF($D126=1,IF(GDP_per_cap!AV7&gt;'all_1961-1990'!$H$1,0,IF(UrbanPopRate!AV7&gt;=$J$1,0,1)),0)</f>
        <v>0</v>
      </c>
      <c r="BA126">
        <f>IF($D126=1,IF(GDP_per_cap!AW7&gt;'all_1961-1990'!$H$1,0,IF(UrbanPopRate!AW7&gt;=$J$1,0,1)),0)</f>
        <v>0</v>
      </c>
      <c r="BB126">
        <f>IF($D126=1,IF(GDP_per_cap!AX7&gt;'all_1961-1990'!$H$1,0,IF(UrbanPopRate!AX7&gt;=$J$1,0,1)),0)</f>
        <v>0</v>
      </c>
      <c r="BC126">
        <f>IF($D126=1,IF(GDP_per_cap!AY7&gt;'all_1961-1990'!$H$1,0,IF(UrbanPopRate!AY7&gt;=$J$1,0,1)),0)</f>
        <v>0</v>
      </c>
      <c r="BD126">
        <f>IF($D126=1,IF(GDP_per_cap!AZ7&gt;'all_1961-1990'!$H$1,0,IF(UrbanPopRate!AZ7&gt;=$J$1,0,1)),0)</f>
        <v>0</v>
      </c>
      <c r="BE126">
        <f>IF($D126=1,IF(GDP_per_cap!BA7&gt;'all_1961-1990'!$H$1,0,IF(UrbanPopRate!BA7&gt;=$J$1,0,1)),0)</f>
        <v>0</v>
      </c>
      <c r="BF126">
        <f>IF($D126=1,IF(GDP_per_cap!BB7&gt;'all_1961-1990'!$H$1,0,IF(UrbanPopRate!BB7&gt;=$J$1,0,1)),0)</f>
        <v>0</v>
      </c>
    </row>
    <row r="127" spans="1:58">
      <c r="A127" s="12">
        <v>16</v>
      </c>
      <c r="B127" s="12" t="s">
        <v>146</v>
      </c>
      <c r="C127" s="13"/>
      <c r="D127" s="13">
        <v>1</v>
      </c>
      <c r="E127" s="13">
        <v>52.109766666666658</v>
      </c>
      <c r="F127" s="13"/>
      <c r="G127">
        <f>IF($D127=1,IF(GDP_per_cap!C10&gt;'all_1961-1990'!$H$1,0,IF(UrbanPopRate!C10&gt;=$J$1,0,1)),0)</f>
        <v>0</v>
      </c>
      <c r="H127">
        <f>IF($D127=1,IF(GDP_per_cap!D10&gt;'all_1961-1990'!$H$1,0,IF(UrbanPopRate!D10&gt;=$J$1,0,1)),0)</f>
        <v>0</v>
      </c>
      <c r="I127">
        <f>IF($D127=1,IF(GDP_per_cap!E10&gt;'all_1961-1990'!$H$1,0,IF(UrbanPopRate!E10&gt;=$J$1,0,1)),0)</f>
        <v>0</v>
      </c>
      <c r="J127">
        <f>IF($D127=1,IF(GDP_per_cap!F10&gt;'all_1961-1990'!$H$1,0,IF(UrbanPopRate!F10&gt;=$J$1,0,1)),0)</f>
        <v>0</v>
      </c>
      <c r="K127">
        <f>IF($D127=1,IF(GDP_per_cap!G10&gt;'all_1961-1990'!$H$1,0,IF(UrbanPopRate!G10&gt;=$J$1,0,1)),0)</f>
        <v>0</v>
      </c>
      <c r="L127">
        <f>IF($D127=1,IF(GDP_per_cap!H10&gt;'all_1961-1990'!$H$1,0,IF(UrbanPopRate!H10&gt;=$J$1,0,1)),0)</f>
        <v>0</v>
      </c>
      <c r="M127">
        <f>IF($D127=1,IF(GDP_per_cap!I10&gt;'all_1961-1990'!$H$1,0,IF(UrbanPopRate!I10&gt;=$J$1,0,1)),0)</f>
        <v>0</v>
      </c>
      <c r="N127">
        <f>IF($D127=1,IF(GDP_per_cap!J10&gt;'all_1961-1990'!$H$1,0,IF(UrbanPopRate!J10&gt;=$J$1,0,1)),0)</f>
        <v>0</v>
      </c>
      <c r="O127">
        <f>IF($D127=1,IF(GDP_per_cap!K10&gt;'all_1961-1990'!$H$1,0,IF(UrbanPopRate!K10&gt;=$J$1,0,1)),0)</f>
        <v>0</v>
      </c>
      <c r="P127">
        <f>IF($D127=1,IF(GDP_per_cap!L10&gt;'all_1961-1990'!$H$1,0,IF(UrbanPopRate!L10&gt;=$J$1,0,1)),0)</f>
        <v>0</v>
      </c>
      <c r="Q127">
        <f>IF($D127=1,IF(GDP_per_cap!M10&gt;'all_1961-1990'!$H$1,0,IF(UrbanPopRate!M10&gt;=$J$1,0,1)),0)</f>
        <v>0</v>
      </c>
      <c r="R127">
        <f>IF($D127=1,IF(GDP_per_cap!N10&gt;'all_1961-1990'!$H$1,0,IF(UrbanPopRate!N10&gt;=$J$1,0,1)),0)</f>
        <v>0</v>
      </c>
      <c r="S127">
        <f>IF($D127=1,IF(GDP_per_cap!O10&gt;'all_1961-1990'!$H$1,0,IF(UrbanPopRate!O10&gt;=$J$1,0,1)),0)</f>
        <v>0</v>
      </c>
      <c r="T127">
        <f>IF($D127=1,IF(GDP_per_cap!P10&gt;'all_1961-1990'!$H$1,0,IF(UrbanPopRate!P10&gt;=$J$1,0,1)),0)</f>
        <v>0</v>
      </c>
      <c r="U127">
        <f>IF($D127=1,IF(GDP_per_cap!Q10&gt;'all_1961-1990'!$H$1,0,IF(UrbanPopRate!Q10&gt;=$J$1,0,1)),0)</f>
        <v>0</v>
      </c>
      <c r="V127">
        <f>IF($D127=1,IF(GDP_per_cap!R10&gt;'all_1961-1990'!$H$1,0,IF(UrbanPopRate!R10&gt;=$J$1,0,1)),0)</f>
        <v>0</v>
      </c>
      <c r="W127">
        <f>IF($D127=1,IF(GDP_per_cap!S10&gt;'all_1961-1990'!$H$1,0,IF(UrbanPopRate!S10&gt;=$J$1,0,1)),0)</f>
        <v>0</v>
      </c>
      <c r="X127">
        <f>IF($D127=1,IF(GDP_per_cap!T10&gt;'all_1961-1990'!$H$1,0,IF(UrbanPopRate!T10&gt;=$J$1,0,1)),0)</f>
        <v>0</v>
      </c>
      <c r="Y127">
        <f>IF($D127=1,IF(GDP_per_cap!U10&gt;'all_1961-1990'!$H$1,0,IF(UrbanPopRate!U10&gt;=$J$1,0,1)),0)</f>
        <v>0</v>
      </c>
      <c r="Z127">
        <f>IF($D127=1,IF(GDP_per_cap!V10&gt;'all_1961-1990'!$H$1,0,IF(UrbanPopRate!V10&gt;=$J$1,0,1)),0)</f>
        <v>0</v>
      </c>
      <c r="AA127">
        <f>IF($D127=1,IF(GDP_per_cap!W10&gt;'all_1961-1990'!$H$1,0,IF(UrbanPopRate!W10&gt;=$J$1,0,1)),0)</f>
        <v>0</v>
      </c>
      <c r="AB127">
        <f>IF($D127=1,IF(GDP_per_cap!X10&gt;'all_1961-1990'!$H$1,0,IF(UrbanPopRate!X10&gt;=$J$1,0,1)),0)</f>
        <v>0</v>
      </c>
      <c r="AC127">
        <f>IF($D127=1,IF(GDP_per_cap!Y10&gt;'all_1961-1990'!$H$1,0,IF(UrbanPopRate!Y10&gt;=$J$1,0,1)),0)</f>
        <v>0</v>
      </c>
      <c r="AD127">
        <f>IF($D127=1,IF(GDP_per_cap!Z10&gt;'all_1961-1990'!$H$1,0,IF(UrbanPopRate!Z10&gt;=$J$1,0,1)),0)</f>
        <v>0</v>
      </c>
      <c r="AE127">
        <f>IF($D127=1,IF(GDP_per_cap!AA10&gt;'all_1961-1990'!$H$1,0,IF(UrbanPopRate!AA10&gt;=$J$1,0,1)),0)</f>
        <v>0</v>
      </c>
      <c r="AF127">
        <f>IF($D127=1,IF(GDP_per_cap!AB10&gt;'all_1961-1990'!$H$1,0,IF(UrbanPopRate!AB10&gt;=$J$1,0,1)),0)</f>
        <v>0</v>
      </c>
      <c r="AG127">
        <f>IF($D127=1,IF(GDP_per_cap!AC10&gt;'all_1961-1990'!$H$1,0,IF(UrbanPopRate!AC10&gt;=$J$1,0,1)),0)</f>
        <v>0</v>
      </c>
      <c r="AH127">
        <f>IF($D127=1,IF(GDP_per_cap!AD10&gt;'all_1961-1990'!$H$1,0,IF(UrbanPopRate!AD10&gt;=$J$1,0,1)),0)</f>
        <v>0</v>
      </c>
      <c r="AI127">
        <f>IF($D127=1,IF(GDP_per_cap!AE10&gt;'all_1961-1990'!$H$1,0,IF(UrbanPopRate!AE10&gt;=$J$1,0,1)),0)</f>
        <v>0</v>
      </c>
      <c r="AJ127">
        <f>IF($D127=1,IF(GDP_per_cap!AF10&gt;'all_1961-1990'!$H$1,0,IF(UrbanPopRate!AF10&gt;=$J$1,0,1)),0)</f>
        <v>0</v>
      </c>
      <c r="AK127">
        <f>IF($D127=1,IF(GDP_per_cap!AG10&gt;'all_1961-1990'!$H$1,0,IF(UrbanPopRate!AG10&gt;=$J$1,0,1)),0)</f>
        <v>0</v>
      </c>
      <c r="AL127">
        <f>IF($D127=1,IF(GDP_per_cap!AH10&gt;'all_1961-1990'!$H$1,0,IF(UrbanPopRate!AH10&gt;=$J$1,0,1)),0)</f>
        <v>0</v>
      </c>
      <c r="AM127">
        <f>IF($D127=1,IF(GDP_per_cap!AI10&gt;'all_1961-1990'!$H$1,0,IF(UrbanPopRate!AI10&gt;=$J$1,0,1)),0)</f>
        <v>0</v>
      </c>
      <c r="AN127">
        <f>IF($D127=1,IF(GDP_per_cap!AJ10&gt;'all_1961-1990'!$H$1,0,IF(UrbanPopRate!AJ10&gt;=$J$1,0,1)),0)</f>
        <v>0</v>
      </c>
      <c r="AO127">
        <f>IF($D127=1,IF(GDP_per_cap!AK10&gt;'all_1961-1990'!$H$1,0,IF(UrbanPopRate!AK10&gt;=$J$1,0,1)),0)</f>
        <v>0</v>
      </c>
      <c r="AP127">
        <f>IF($D127=1,IF(GDP_per_cap!AL10&gt;'all_1961-1990'!$H$1,0,IF(UrbanPopRate!AL10&gt;=$J$1,0,1)),0)</f>
        <v>0</v>
      </c>
      <c r="AQ127">
        <f>IF($D127=1,IF(GDP_per_cap!AM10&gt;'all_1961-1990'!$H$1,0,IF(UrbanPopRate!AM10&gt;=$J$1,0,1)),0)</f>
        <v>0</v>
      </c>
      <c r="AR127">
        <f>IF($D127=1,IF(GDP_per_cap!AN10&gt;'all_1961-1990'!$H$1,0,IF(UrbanPopRate!AN10&gt;=$J$1,0,1)),0)</f>
        <v>0</v>
      </c>
      <c r="AS127">
        <f>IF($D127=1,IF(GDP_per_cap!AO10&gt;'all_1961-1990'!$H$1,0,IF(UrbanPopRate!AO10&gt;=$J$1,0,1)),0)</f>
        <v>0</v>
      </c>
      <c r="AT127">
        <f>IF($D127=1,IF(GDP_per_cap!AP10&gt;'all_1961-1990'!$H$1,0,IF(UrbanPopRate!AP10&gt;=$J$1,0,1)),0)</f>
        <v>0</v>
      </c>
      <c r="AU127">
        <f>IF($D127=1,IF(GDP_per_cap!AQ10&gt;'all_1961-1990'!$H$1,0,IF(UrbanPopRate!AQ10&gt;=$J$1,0,1)),0)</f>
        <v>0</v>
      </c>
      <c r="AV127">
        <f>IF($D127=1,IF(GDP_per_cap!AR10&gt;'all_1961-1990'!$H$1,0,IF(UrbanPopRate!AR10&gt;=$J$1,0,1)),0)</f>
        <v>0</v>
      </c>
      <c r="AW127">
        <f>IF($D127=1,IF(GDP_per_cap!AS10&gt;'all_1961-1990'!$H$1,0,IF(UrbanPopRate!AS10&gt;=$J$1,0,1)),0)</f>
        <v>0</v>
      </c>
      <c r="AX127">
        <f>IF($D127=1,IF(GDP_per_cap!AT10&gt;'all_1961-1990'!$H$1,0,IF(UrbanPopRate!AT10&gt;=$J$1,0,1)),0)</f>
        <v>0</v>
      </c>
      <c r="AY127">
        <f>IF($D127=1,IF(GDP_per_cap!AU10&gt;'all_1961-1990'!$H$1,0,IF(UrbanPopRate!AU10&gt;=$J$1,0,1)),0)</f>
        <v>0</v>
      </c>
      <c r="AZ127">
        <f>IF($D127=1,IF(GDP_per_cap!AV10&gt;'all_1961-1990'!$H$1,0,IF(UrbanPopRate!AV10&gt;=$J$1,0,1)),0)</f>
        <v>0</v>
      </c>
      <c r="BA127">
        <f>IF($D127=1,IF(GDP_per_cap!AW10&gt;'all_1961-1990'!$H$1,0,IF(UrbanPopRate!AW10&gt;=$J$1,0,1)),0)</f>
        <v>0</v>
      </c>
      <c r="BB127">
        <f>IF($D127=1,IF(GDP_per_cap!AX10&gt;'all_1961-1990'!$H$1,0,IF(UrbanPopRate!AX10&gt;=$J$1,0,1)),0)</f>
        <v>0</v>
      </c>
      <c r="BC127">
        <f>IF($D127=1,IF(GDP_per_cap!AY10&gt;'all_1961-1990'!$H$1,0,IF(UrbanPopRate!AY10&gt;=$J$1,0,1)),0)</f>
        <v>0</v>
      </c>
      <c r="BD127">
        <f>IF($D127=1,IF(GDP_per_cap!AZ10&gt;'all_1961-1990'!$H$1,0,IF(UrbanPopRate!AZ10&gt;=$J$1,0,1)),0)</f>
        <v>0</v>
      </c>
      <c r="BE127">
        <f>IF($D127=1,IF(GDP_per_cap!BA10&gt;'all_1961-1990'!$H$1,0,IF(UrbanPopRate!BA10&gt;=$J$1,0,1)),0)</f>
        <v>0</v>
      </c>
      <c r="BF127">
        <f>IF($D127=1,IF(GDP_per_cap!BB10&gt;'all_1961-1990'!$H$1,0,IF(UrbanPopRate!BB10&gt;=$J$1,0,1)),0)</f>
        <v>0</v>
      </c>
    </row>
    <row r="128" spans="1:58">
      <c r="A128" s="12">
        <v>18</v>
      </c>
      <c r="B128" s="12" t="s">
        <v>145</v>
      </c>
      <c r="C128" s="13"/>
      <c r="D128" s="13">
        <v>1</v>
      </c>
      <c r="E128" s="13">
        <v>85.052999999999983</v>
      </c>
      <c r="F128" s="13"/>
      <c r="G128">
        <f>IF($D128=1,IF(GDP_per_cap!C11&gt;'all_1961-1990'!$H$1,0,IF(UrbanPopRate!C11&gt;=$J$1,0,1)),0)</f>
        <v>0</v>
      </c>
      <c r="H128">
        <f>IF($D128=1,IF(GDP_per_cap!D11&gt;'all_1961-1990'!$H$1,0,IF(UrbanPopRate!D11&gt;=$J$1,0,1)),0)</f>
        <v>0</v>
      </c>
      <c r="I128">
        <f>IF($D128=1,IF(GDP_per_cap!E11&gt;'all_1961-1990'!$H$1,0,IF(UrbanPopRate!E11&gt;=$J$1,0,1)),0)</f>
        <v>0</v>
      </c>
      <c r="J128">
        <f>IF($D128=1,IF(GDP_per_cap!F11&gt;'all_1961-1990'!$H$1,0,IF(UrbanPopRate!F11&gt;=$J$1,0,1)),0)</f>
        <v>0</v>
      </c>
      <c r="K128">
        <f>IF($D128=1,IF(GDP_per_cap!G11&gt;'all_1961-1990'!$H$1,0,IF(UrbanPopRate!G11&gt;=$J$1,0,1)),0)</f>
        <v>0</v>
      </c>
      <c r="L128">
        <f>IF($D128=1,IF(GDP_per_cap!H11&gt;'all_1961-1990'!$H$1,0,IF(UrbanPopRate!H11&gt;=$J$1,0,1)),0)</f>
        <v>0</v>
      </c>
      <c r="M128">
        <f>IF($D128=1,IF(GDP_per_cap!I11&gt;'all_1961-1990'!$H$1,0,IF(UrbanPopRate!I11&gt;=$J$1,0,1)),0)</f>
        <v>0</v>
      </c>
      <c r="N128">
        <f>IF($D128=1,IF(GDP_per_cap!J11&gt;'all_1961-1990'!$H$1,0,IF(UrbanPopRate!J11&gt;=$J$1,0,1)),0)</f>
        <v>0</v>
      </c>
      <c r="O128">
        <f>IF($D128=1,IF(GDP_per_cap!K11&gt;'all_1961-1990'!$H$1,0,IF(UrbanPopRate!K11&gt;=$J$1,0,1)),0)</f>
        <v>0</v>
      </c>
      <c r="P128">
        <f>IF($D128=1,IF(GDP_per_cap!L11&gt;'all_1961-1990'!$H$1,0,IF(UrbanPopRate!L11&gt;=$J$1,0,1)),0)</f>
        <v>0</v>
      </c>
      <c r="Q128">
        <f>IF($D128=1,IF(GDP_per_cap!M11&gt;'all_1961-1990'!$H$1,0,IF(UrbanPopRate!M11&gt;=$J$1,0,1)),0)</f>
        <v>0</v>
      </c>
      <c r="R128">
        <f>IF($D128=1,IF(GDP_per_cap!N11&gt;'all_1961-1990'!$H$1,0,IF(UrbanPopRate!N11&gt;=$J$1,0,1)),0)</f>
        <v>0</v>
      </c>
      <c r="S128">
        <f>IF($D128=1,IF(GDP_per_cap!O11&gt;'all_1961-1990'!$H$1,0,IF(UrbanPopRate!O11&gt;=$J$1,0,1)),0)</f>
        <v>0</v>
      </c>
      <c r="T128">
        <f>IF($D128=1,IF(GDP_per_cap!P11&gt;'all_1961-1990'!$H$1,0,IF(UrbanPopRate!P11&gt;=$J$1,0,1)),0)</f>
        <v>0</v>
      </c>
      <c r="U128">
        <f>IF($D128=1,IF(GDP_per_cap!Q11&gt;'all_1961-1990'!$H$1,0,IF(UrbanPopRate!Q11&gt;=$J$1,0,1)),0)</f>
        <v>0</v>
      </c>
      <c r="V128">
        <f>IF($D128=1,IF(GDP_per_cap!R11&gt;'all_1961-1990'!$H$1,0,IF(UrbanPopRate!R11&gt;=$J$1,0,1)),0)</f>
        <v>0</v>
      </c>
      <c r="W128">
        <f>IF($D128=1,IF(GDP_per_cap!S11&gt;'all_1961-1990'!$H$1,0,IF(UrbanPopRate!S11&gt;=$J$1,0,1)),0)</f>
        <v>0</v>
      </c>
      <c r="X128">
        <f>IF($D128=1,IF(GDP_per_cap!T11&gt;'all_1961-1990'!$H$1,0,IF(UrbanPopRate!T11&gt;=$J$1,0,1)),0)</f>
        <v>0</v>
      </c>
      <c r="Y128">
        <f>IF($D128=1,IF(GDP_per_cap!U11&gt;'all_1961-1990'!$H$1,0,IF(UrbanPopRate!U11&gt;=$J$1,0,1)),0)</f>
        <v>0</v>
      </c>
      <c r="Z128">
        <f>IF($D128=1,IF(GDP_per_cap!V11&gt;'all_1961-1990'!$H$1,0,IF(UrbanPopRate!V11&gt;=$J$1,0,1)),0)</f>
        <v>0</v>
      </c>
      <c r="AA128">
        <f>IF($D128=1,IF(GDP_per_cap!W11&gt;'all_1961-1990'!$H$1,0,IF(UrbanPopRate!W11&gt;=$J$1,0,1)),0)</f>
        <v>0</v>
      </c>
      <c r="AB128">
        <f>IF($D128=1,IF(GDP_per_cap!X11&gt;'all_1961-1990'!$H$1,0,IF(UrbanPopRate!X11&gt;=$J$1,0,1)),0)</f>
        <v>0</v>
      </c>
      <c r="AC128">
        <f>IF($D128=1,IF(GDP_per_cap!Y11&gt;'all_1961-1990'!$H$1,0,IF(UrbanPopRate!Y11&gt;=$J$1,0,1)),0)</f>
        <v>0</v>
      </c>
      <c r="AD128">
        <f>IF($D128=1,IF(GDP_per_cap!Z11&gt;'all_1961-1990'!$H$1,0,IF(UrbanPopRate!Z11&gt;=$J$1,0,1)),0)</f>
        <v>0</v>
      </c>
      <c r="AE128">
        <f>IF($D128=1,IF(GDP_per_cap!AA11&gt;'all_1961-1990'!$H$1,0,IF(UrbanPopRate!AA11&gt;=$J$1,0,1)),0)</f>
        <v>0</v>
      </c>
      <c r="AF128">
        <f>IF($D128=1,IF(GDP_per_cap!AB11&gt;'all_1961-1990'!$H$1,0,IF(UrbanPopRate!AB11&gt;=$J$1,0,1)),0)</f>
        <v>0</v>
      </c>
      <c r="AG128">
        <f>IF($D128=1,IF(GDP_per_cap!AC11&gt;'all_1961-1990'!$H$1,0,IF(UrbanPopRate!AC11&gt;=$J$1,0,1)),0)</f>
        <v>0</v>
      </c>
      <c r="AH128">
        <f>IF($D128=1,IF(GDP_per_cap!AD11&gt;'all_1961-1990'!$H$1,0,IF(UrbanPopRate!AD11&gt;=$J$1,0,1)),0)</f>
        <v>0</v>
      </c>
      <c r="AI128">
        <f>IF($D128=1,IF(GDP_per_cap!AE11&gt;'all_1961-1990'!$H$1,0,IF(UrbanPopRate!AE11&gt;=$J$1,0,1)),0)</f>
        <v>0</v>
      </c>
      <c r="AJ128">
        <f>IF($D128=1,IF(GDP_per_cap!AF11&gt;'all_1961-1990'!$H$1,0,IF(UrbanPopRate!AF11&gt;=$J$1,0,1)),0)</f>
        <v>0</v>
      </c>
      <c r="AK128">
        <f>IF($D128=1,IF(GDP_per_cap!AG11&gt;'all_1961-1990'!$H$1,0,IF(UrbanPopRate!AG11&gt;=$J$1,0,1)),0)</f>
        <v>0</v>
      </c>
      <c r="AL128">
        <f>IF($D128=1,IF(GDP_per_cap!AH11&gt;'all_1961-1990'!$H$1,0,IF(UrbanPopRate!AH11&gt;=$J$1,0,1)),0)</f>
        <v>0</v>
      </c>
      <c r="AM128">
        <f>IF($D128=1,IF(GDP_per_cap!AI11&gt;'all_1961-1990'!$H$1,0,IF(UrbanPopRate!AI11&gt;=$J$1,0,1)),0)</f>
        <v>0</v>
      </c>
      <c r="AN128">
        <f>IF($D128=1,IF(GDP_per_cap!AJ11&gt;'all_1961-1990'!$H$1,0,IF(UrbanPopRate!AJ11&gt;=$J$1,0,1)),0)</f>
        <v>0</v>
      </c>
      <c r="AO128">
        <f>IF($D128=1,IF(GDP_per_cap!AK11&gt;'all_1961-1990'!$H$1,0,IF(UrbanPopRate!AK11&gt;=$J$1,0,1)),0)</f>
        <v>0</v>
      </c>
      <c r="AP128">
        <f>IF($D128=1,IF(GDP_per_cap!AL11&gt;'all_1961-1990'!$H$1,0,IF(UrbanPopRate!AL11&gt;=$J$1,0,1)),0)</f>
        <v>0</v>
      </c>
      <c r="AQ128">
        <f>IF($D128=1,IF(GDP_per_cap!AM11&gt;'all_1961-1990'!$H$1,0,IF(UrbanPopRate!AM11&gt;=$J$1,0,1)),0)</f>
        <v>0</v>
      </c>
      <c r="AR128">
        <f>IF($D128=1,IF(GDP_per_cap!AN11&gt;'all_1961-1990'!$H$1,0,IF(UrbanPopRate!AN11&gt;=$J$1,0,1)),0)</f>
        <v>0</v>
      </c>
      <c r="AS128">
        <f>IF($D128=1,IF(GDP_per_cap!AO11&gt;'all_1961-1990'!$H$1,0,IF(UrbanPopRate!AO11&gt;=$J$1,0,1)),0)</f>
        <v>0</v>
      </c>
      <c r="AT128">
        <f>IF($D128=1,IF(GDP_per_cap!AP11&gt;'all_1961-1990'!$H$1,0,IF(UrbanPopRate!AP11&gt;=$J$1,0,1)),0)</f>
        <v>0</v>
      </c>
      <c r="AU128">
        <f>IF($D128=1,IF(GDP_per_cap!AQ11&gt;'all_1961-1990'!$H$1,0,IF(UrbanPopRate!AQ11&gt;=$J$1,0,1)),0)</f>
        <v>0</v>
      </c>
      <c r="AV128">
        <f>IF($D128=1,IF(GDP_per_cap!AR11&gt;'all_1961-1990'!$H$1,0,IF(UrbanPopRate!AR11&gt;=$J$1,0,1)),0)</f>
        <v>0</v>
      </c>
      <c r="AW128">
        <f>IF($D128=1,IF(GDP_per_cap!AS11&gt;'all_1961-1990'!$H$1,0,IF(UrbanPopRate!AS11&gt;=$J$1,0,1)),0)</f>
        <v>0</v>
      </c>
      <c r="AX128">
        <f>IF($D128=1,IF(GDP_per_cap!AT11&gt;'all_1961-1990'!$H$1,0,IF(UrbanPopRate!AT11&gt;=$J$1,0,1)),0)</f>
        <v>0</v>
      </c>
      <c r="AY128">
        <f>IF($D128=1,IF(GDP_per_cap!AU11&gt;'all_1961-1990'!$H$1,0,IF(UrbanPopRate!AU11&gt;=$J$1,0,1)),0)</f>
        <v>0</v>
      </c>
      <c r="AZ128">
        <f>IF($D128=1,IF(GDP_per_cap!AV11&gt;'all_1961-1990'!$H$1,0,IF(UrbanPopRate!AV11&gt;=$J$1,0,1)),0)</f>
        <v>0</v>
      </c>
      <c r="BA128">
        <f>IF($D128=1,IF(GDP_per_cap!AW11&gt;'all_1961-1990'!$H$1,0,IF(UrbanPopRate!AW11&gt;=$J$1,0,1)),0)</f>
        <v>0</v>
      </c>
      <c r="BB128">
        <f>IF($D128=1,IF(GDP_per_cap!AX11&gt;'all_1961-1990'!$H$1,0,IF(UrbanPopRate!AX11&gt;=$J$1,0,1)),0)</f>
        <v>0</v>
      </c>
      <c r="BC128">
        <f>IF($D128=1,IF(GDP_per_cap!AY11&gt;'all_1961-1990'!$H$1,0,IF(UrbanPopRate!AY11&gt;=$J$1,0,1)),0)</f>
        <v>0</v>
      </c>
      <c r="BD128">
        <f>IF($D128=1,IF(GDP_per_cap!AZ11&gt;'all_1961-1990'!$H$1,0,IF(UrbanPopRate!AZ11&gt;=$J$1,0,1)),0)</f>
        <v>0</v>
      </c>
      <c r="BE128">
        <f>IF($D128=1,IF(GDP_per_cap!BA11&gt;'all_1961-1990'!$H$1,0,IF(UrbanPopRate!BA11&gt;=$J$1,0,1)),0)</f>
        <v>0</v>
      </c>
      <c r="BF128">
        <f>IF($D128=1,IF(GDP_per_cap!BB11&gt;'all_1961-1990'!$H$1,0,IF(UrbanPopRate!BB11&gt;=$J$1,0,1)),0)</f>
        <v>0</v>
      </c>
    </row>
    <row r="129" spans="1:58">
      <c r="A129" s="12">
        <v>21</v>
      </c>
      <c r="B129" s="12" t="s">
        <v>143</v>
      </c>
      <c r="C129" s="13"/>
      <c r="D129" s="13">
        <v>1</v>
      </c>
      <c r="E129" s="13">
        <v>50.605166666666655</v>
      </c>
      <c r="F129" s="13"/>
      <c r="G129">
        <f>IF($D129=1,IF(GDP_per_cap!C13&gt;'all_1961-1990'!$H$1,0,IF(UrbanPopRate!C13&gt;=$J$1,0,1)),0)</f>
        <v>0</v>
      </c>
      <c r="H129">
        <f>IF($D129=1,IF(GDP_per_cap!D13&gt;'all_1961-1990'!$H$1,0,IF(UrbanPopRate!D13&gt;=$J$1,0,1)),0)</f>
        <v>0</v>
      </c>
      <c r="I129">
        <f>IF($D129=1,IF(GDP_per_cap!E13&gt;'all_1961-1990'!$H$1,0,IF(UrbanPopRate!E13&gt;=$J$1,0,1)),0)</f>
        <v>0</v>
      </c>
      <c r="J129">
        <f>IF($D129=1,IF(GDP_per_cap!F13&gt;'all_1961-1990'!$H$1,0,IF(UrbanPopRate!F13&gt;=$J$1,0,1)),0)</f>
        <v>0</v>
      </c>
      <c r="K129">
        <f>IF($D129=1,IF(GDP_per_cap!G13&gt;'all_1961-1990'!$H$1,0,IF(UrbanPopRate!G13&gt;=$J$1,0,1)),0)</f>
        <v>0</v>
      </c>
      <c r="L129">
        <f>IF($D129=1,IF(GDP_per_cap!H13&gt;'all_1961-1990'!$H$1,0,IF(UrbanPopRate!H13&gt;=$J$1,0,1)),0)</f>
        <v>0</v>
      </c>
      <c r="M129">
        <f>IF($D129=1,IF(GDP_per_cap!I13&gt;'all_1961-1990'!$H$1,0,IF(UrbanPopRate!I13&gt;=$J$1,0,1)),0)</f>
        <v>0</v>
      </c>
      <c r="N129">
        <f>IF($D129=1,IF(GDP_per_cap!J13&gt;'all_1961-1990'!$H$1,0,IF(UrbanPopRate!J13&gt;=$J$1,0,1)),0)</f>
        <v>0</v>
      </c>
      <c r="O129">
        <f>IF($D129=1,IF(GDP_per_cap!K13&gt;'all_1961-1990'!$H$1,0,IF(UrbanPopRate!K13&gt;=$J$1,0,1)),0)</f>
        <v>0</v>
      </c>
      <c r="P129">
        <f>IF($D129=1,IF(GDP_per_cap!L13&gt;'all_1961-1990'!$H$1,0,IF(UrbanPopRate!L13&gt;=$J$1,0,1)),0)</f>
        <v>0</v>
      </c>
      <c r="Q129">
        <f>IF($D129=1,IF(GDP_per_cap!M13&gt;'all_1961-1990'!$H$1,0,IF(UrbanPopRate!M13&gt;=$J$1,0,1)),0)</f>
        <v>0</v>
      </c>
      <c r="R129">
        <f>IF($D129=1,IF(GDP_per_cap!N13&gt;'all_1961-1990'!$H$1,0,IF(UrbanPopRate!N13&gt;=$J$1,0,1)),0)</f>
        <v>0</v>
      </c>
      <c r="S129">
        <f>IF($D129=1,IF(GDP_per_cap!O13&gt;'all_1961-1990'!$H$1,0,IF(UrbanPopRate!O13&gt;=$J$1,0,1)),0)</f>
        <v>0</v>
      </c>
      <c r="T129">
        <f>IF($D129=1,IF(GDP_per_cap!P13&gt;'all_1961-1990'!$H$1,0,IF(UrbanPopRate!P13&gt;=$J$1,0,1)),0)</f>
        <v>0</v>
      </c>
      <c r="U129">
        <f>IF($D129=1,IF(GDP_per_cap!Q13&gt;'all_1961-1990'!$H$1,0,IF(UrbanPopRate!Q13&gt;=$J$1,0,1)),0)</f>
        <v>0</v>
      </c>
      <c r="V129">
        <f>IF($D129=1,IF(GDP_per_cap!R13&gt;'all_1961-1990'!$H$1,0,IF(UrbanPopRate!R13&gt;=$J$1,0,1)),0)</f>
        <v>0</v>
      </c>
      <c r="W129">
        <f>IF($D129=1,IF(GDP_per_cap!S13&gt;'all_1961-1990'!$H$1,0,IF(UrbanPopRate!S13&gt;=$J$1,0,1)),0)</f>
        <v>0</v>
      </c>
      <c r="X129">
        <f>IF($D129=1,IF(GDP_per_cap!T13&gt;'all_1961-1990'!$H$1,0,IF(UrbanPopRate!T13&gt;=$J$1,0,1)),0)</f>
        <v>0</v>
      </c>
      <c r="Y129">
        <f>IF($D129=1,IF(GDP_per_cap!U13&gt;'all_1961-1990'!$H$1,0,IF(UrbanPopRate!U13&gt;=$J$1,0,1)),0)</f>
        <v>0</v>
      </c>
      <c r="Z129">
        <f>IF($D129=1,IF(GDP_per_cap!V13&gt;'all_1961-1990'!$H$1,0,IF(UrbanPopRate!V13&gt;=$J$1,0,1)),0)</f>
        <v>0</v>
      </c>
      <c r="AA129">
        <f>IF($D129=1,IF(GDP_per_cap!W13&gt;'all_1961-1990'!$H$1,0,IF(UrbanPopRate!W13&gt;=$J$1,0,1)),0)</f>
        <v>0</v>
      </c>
      <c r="AB129">
        <f>IF($D129=1,IF(GDP_per_cap!X13&gt;'all_1961-1990'!$H$1,0,IF(UrbanPopRate!X13&gt;=$J$1,0,1)),0)</f>
        <v>0</v>
      </c>
      <c r="AC129">
        <f>IF($D129=1,IF(GDP_per_cap!Y13&gt;'all_1961-1990'!$H$1,0,IF(UrbanPopRate!Y13&gt;=$J$1,0,1)),0)</f>
        <v>0</v>
      </c>
      <c r="AD129">
        <f>IF($D129=1,IF(GDP_per_cap!Z13&gt;'all_1961-1990'!$H$1,0,IF(UrbanPopRate!Z13&gt;=$J$1,0,1)),0)</f>
        <v>0</v>
      </c>
      <c r="AE129">
        <f>IF($D129=1,IF(GDP_per_cap!AA13&gt;'all_1961-1990'!$H$1,0,IF(UrbanPopRate!AA13&gt;=$J$1,0,1)),0)</f>
        <v>0</v>
      </c>
      <c r="AF129">
        <f>IF($D129=1,IF(GDP_per_cap!AB13&gt;'all_1961-1990'!$H$1,0,IF(UrbanPopRate!AB13&gt;=$J$1,0,1)),0)</f>
        <v>0</v>
      </c>
      <c r="AG129">
        <f>IF($D129=1,IF(GDP_per_cap!AC13&gt;'all_1961-1990'!$H$1,0,IF(UrbanPopRate!AC13&gt;=$J$1,0,1)),0)</f>
        <v>0</v>
      </c>
      <c r="AH129">
        <f>IF($D129=1,IF(GDP_per_cap!AD13&gt;'all_1961-1990'!$H$1,0,IF(UrbanPopRate!AD13&gt;=$J$1,0,1)),0)</f>
        <v>0</v>
      </c>
      <c r="AI129">
        <f>IF($D129=1,IF(GDP_per_cap!AE13&gt;'all_1961-1990'!$H$1,0,IF(UrbanPopRate!AE13&gt;=$J$1,0,1)),0)</f>
        <v>0</v>
      </c>
      <c r="AJ129">
        <f>IF($D129=1,IF(GDP_per_cap!AF13&gt;'all_1961-1990'!$H$1,0,IF(UrbanPopRate!AF13&gt;=$J$1,0,1)),0)</f>
        <v>0</v>
      </c>
      <c r="AK129">
        <f>IF($D129=1,IF(GDP_per_cap!AG13&gt;'all_1961-1990'!$H$1,0,IF(UrbanPopRate!AG13&gt;=$J$1,0,1)),0)</f>
        <v>0</v>
      </c>
      <c r="AL129">
        <f>IF($D129=1,IF(GDP_per_cap!AH13&gt;'all_1961-1990'!$H$1,0,IF(UrbanPopRate!AH13&gt;=$J$1,0,1)),0)</f>
        <v>0</v>
      </c>
      <c r="AM129">
        <f>IF($D129=1,IF(GDP_per_cap!AI13&gt;'all_1961-1990'!$H$1,0,IF(UrbanPopRate!AI13&gt;=$J$1,0,1)),0)</f>
        <v>0</v>
      </c>
      <c r="AN129">
        <f>IF($D129=1,IF(GDP_per_cap!AJ13&gt;'all_1961-1990'!$H$1,0,IF(UrbanPopRate!AJ13&gt;=$J$1,0,1)),0)</f>
        <v>0</v>
      </c>
      <c r="AO129">
        <f>IF($D129=1,IF(GDP_per_cap!AK13&gt;'all_1961-1990'!$H$1,0,IF(UrbanPopRate!AK13&gt;=$J$1,0,1)),0)</f>
        <v>0</v>
      </c>
      <c r="AP129">
        <f>IF($D129=1,IF(GDP_per_cap!AL13&gt;'all_1961-1990'!$H$1,0,IF(UrbanPopRate!AL13&gt;=$J$1,0,1)),0)</f>
        <v>0</v>
      </c>
      <c r="AQ129">
        <f>IF($D129=1,IF(GDP_per_cap!AM13&gt;'all_1961-1990'!$H$1,0,IF(UrbanPopRate!AM13&gt;=$J$1,0,1)),0)</f>
        <v>0</v>
      </c>
      <c r="AR129">
        <f>IF($D129=1,IF(GDP_per_cap!AN13&gt;'all_1961-1990'!$H$1,0,IF(UrbanPopRate!AN13&gt;=$J$1,0,1)),0)</f>
        <v>0</v>
      </c>
      <c r="AS129">
        <f>IF($D129=1,IF(GDP_per_cap!AO13&gt;'all_1961-1990'!$H$1,0,IF(UrbanPopRate!AO13&gt;=$J$1,0,1)),0)</f>
        <v>0</v>
      </c>
      <c r="AT129">
        <f>IF($D129=1,IF(GDP_per_cap!AP13&gt;'all_1961-1990'!$H$1,0,IF(UrbanPopRate!AP13&gt;=$J$1,0,1)),0)</f>
        <v>0</v>
      </c>
      <c r="AU129">
        <f>IF($D129=1,IF(GDP_per_cap!AQ13&gt;'all_1961-1990'!$H$1,0,IF(UrbanPopRate!AQ13&gt;=$J$1,0,1)),0)</f>
        <v>0</v>
      </c>
      <c r="AV129">
        <f>IF($D129=1,IF(GDP_per_cap!AR13&gt;'all_1961-1990'!$H$1,0,IF(UrbanPopRate!AR13&gt;=$J$1,0,1)),0)</f>
        <v>0</v>
      </c>
      <c r="AW129">
        <f>IF($D129=1,IF(GDP_per_cap!AS13&gt;'all_1961-1990'!$H$1,0,IF(UrbanPopRate!AS13&gt;=$J$1,0,1)),0)</f>
        <v>0</v>
      </c>
      <c r="AX129">
        <f>IF($D129=1,IF(GDP_per_cap!AT13&gt;'all_1961-1990'!$H$1,0,IF(UrbanPopRate!AT13&gt;=$J$1,0,1)),0)</f>
        <v>0</v>
      </c>
      <c r="AY129">
        <f>IF($D129=1,IF(GDP_per_cap!AU13&gt;'all_1961-1990'!$H$1,0,IF(UrbanPopRate!AU13&gt;=$J$1,0,1)),0)</f>
        <v>0</v>
      </c>
      <c r="AZ129">
        <f>IF($D129=1,IF(GDP_per_cap!AV13&gt;'all_1961-1990'!$H$1,0,IF(UrbanPopRate!AV13&gt;=$J$1,0,1)),0)</f>
        <v>0</v>
      </c>
      <c r="BA129">
        <f>IF($D129=1,IF(GDP_per_cap!AW13&gt;'all_1961-1990'!$H$1,0,IF(UrbanPopRate!AW13&gt;=$J$1,0,1)),0)</f>
        <v>0</v>
      </c>
      <c r="BB129">
        <f>IF($D129=1,IF(GDP_per_cap!AX13&gt;'all_1961-1990'!$H$1,0,IF(UrbanPopRate!AX13&gt;=$J$1,0,1)),0)</f>
        <v>0</v>
      </c>
      <c r="BC129">
        <f>IF($D129=1,IF(GDP_per_cap!AY13&gt;'all_1961-1990'!$H$1,0,IF(UrbanPopRate!AY13&gt;=$J$1,0,1)),0)</f>
        <v>0</v>
      </c>
      <c r="BD129">
        <f>IF($D129=1,IF(GDP_per_cap!AZ13&gt;'all_1961-1990'!$H$1,0,IF(UrbanPopRate!AZ13&gt;=$J$1,0,1)),0)</f>
        <v>0</v>
      </c>
      <c r="BE129">
        <f>IF($D129=1,IF(GDP_per_cap!BA13&gt;'all_1961-1990'!$H$1,0,IF(UrbanPopRate!BA13&gt;=$J$1,0,1)),0)</f>
        <v>0</v>
      </c>
      <c r="BF129">
        <f>IF($D129=1,IF(GDP_per_cap!BB13&gt;'all_1961-1990'!$H$1,0,IF(UrbanPopRate!BB13&gt;=$J$1,0,1)),0)</f>
        <v>0</v>
      </c>
    </row>
    <row r="130" spans="1:58">
      <c r="A130" s="12">
        <v>28</v>
      </c>
      <c r="B130" s="12" t="s">
        <v>139</v>
      </c>
      <c r="C130" s="13"/>
      <c r="D130" s="13">
        <v>1</v>
      </c>
      <c r="E130" s="13">
        <v>30.933900000000008</v>
      </c>
      <c r="F130" s="13"/>
      <c r="G130">
        <f>IF($D130=1,IF(GDP_per_cap!C17&gt;'all_1961-1990'!$H$1,0,IF(UrbanPopRate!C17&gt;=$J$1,0,1)),0)</f>
        <v>1</v>
      </c>
      <c r="H130">
        <f>IF($D130=1,IF(GDP_per_cap!D17&gt;'all_1961-1990'!$H$1,0,IF(UrbanPopRate!D17&gt;=$J$1,0,1)),0)</f>
        <v>1</v>
      </c>
      <c r="I130">
        <f>IF($D130=1,IF(GDP_per_cap!E17&gt;'all_1961-1990'!$H$1,0,IF(UrbanPopRate!E17&gt;=$J$1,0,1)),0)</f>
        <v>1</v>
      </c>
      <c r="J130">
        <f>IF($D130=1,IF(GDP_per_cap!F17&gt;'all_1961-1990'!$H$1,0,IF(UrbanPopRate!F17&gt;=$J$1,0,1)),0)</f>
        <v>1</v>
      </c>
      <c r="K130">
        <f>IF($D130=1,IF(GDP_per_cap!G17&gt;'all_1961-1990'!$H$1,0,IF(UrbanPopRate!G17&gt;=$J$1,0,1)),0)</f>
        <v>1</v>
      </c>
      <c r="L130">
        <f>IF($D130=1,IF(GDP_per_cap!H17&gt;'all_1961-1990'!$H$1,0,IF(UrbanPopRate!H17&gt;=$J$1,0,1)),0)</f>
        <v>1</v>
      </c>
      <c r="M130">
        <f>IF($D130=1,IF(GDP_per_cap!I17&gt;'all_1961-1990'!$H$1,0,IF(UrbanPopRate!I17&gt;=$J$1,0,1)),0)</f>
        <v>1</v>
      </c>
      <c r="N130">
        <f>IF($D130=1,IF(GDP_per_cap!J17&gt;'all_1961-1990'!$H$1,0,IF(UrbanPopRate!J17&gt;=$J$1,0,1)),0)</f>
        <v>0</v>
      </c>
      <c r="O130">
        <f>IF($D130=1,IF(GDP_per_cap!K17&gt;'all_1961-1990'!$H$1,0,IF(UrbanPopRate!K17&gt;=$J$1,0,1)),0)</f>
        <v>0</v>
      </c>
      <c r="P130">
        <f>IF($D130=1,IF(GDP_per_cap!L17&gt;'all_1961-1990'!$H$1,0,IF(UrbanPopRate!L17&gt;=$J$1,0,1)),0)</f>
        <v>0</v>
      </c>
      <c r="Q130">
        <f>IF($D130=1,IF(GDP_per_cap!M17&gt;'all_1961-1990'!$H$1,0,IF(UrbanPopRate!M17&gt;=$J$1,0,1)),0)</f>
        <v>0</v>
      </c>
      <c r="R130">
        <f>IF($D130=1,IF(GDP_per_cap!N17&gt;'all_1961-1990'!$H$1,0,IF(UrbanPopRate!N17&gt;=$J$1,0,1)),0)</f>
        <v>0</v>
      </c>
      <c r="S130">
        <f>IF($D130=1,IF(GDP_per_cap!O17&gt;'all_1961-1990'!$H$1,0,IF(UrbanPopRate!O17&gt;=$J$1,0,1)),0)</f>
        <v>0</v>
      </c>
      <c r="T130">
        <f>IF($D130=1,IF(GDP_per_cap!P17&gt;'all_1961-1990'!$H$1,0,IF(UrbanPopRate!P17&gt;=$J$1,0,1)),0)</f>
        <v>0</v>
      </c>
      <c r="U130">
        <f>IF($D130=1,IF(GDP_per_cap!Q17&gt;'all_1961-1990'!$H$1,0,IF(UrbanPopRate!Q17&gt;=$J$1,0,1)),0)</f>
        <v>0</v>
      </c>
      <c r="V130">
        <f>IF($D130=1,IF(GDP_per_cap!R17&gt;'all_1961-1990'!$H$1,0,IF(UrbanPopRate!R17&gt;=$J$1,0,1)),0)</f>
        <v>0</v>
      </c>
      <c r="W130">
        <f>IF($D130=1,IF(GDP_per_cap!S17&gt;'all_1961-1990'!$H$1,0,IF(UrbanPopRate!S17&gt;=$J$1,0,1)),0)</f>
        <v>0</v>
      </c>
      <c r="X130">
        <f>IF($D130=1,IF(GDP_per_cap!T17&gt;'all_1961-1990'!$H$1,0,IF(UrbanPopRate!T17&gt;=$J$1,0,1)),0)</f>
        <v>0</v>
      </c>
      <c r="Y130">
        <f>IF($D130=1,IF(GDP_per_cap!U17&gt;'all_1961-1990'!$H$1,0,IF(UrbanPopRate!U17&gt;=$J$1,0,1)),0)</f>
        <v>0</v>
      </c>
      <c r="Z130">
        <f>IF($D130=1,IF(GDP_per_cap!V17&gt;'all_1961-1990'!$H$1,0,IF(UrbanPopRate!V17&gt;=$J$1,0,1)),0)</f>
        <v>0</v>
      </c>
      <c r="AA130">
        <f>IF($D130=1,IF(GDP_per_cap!W17&gt;'all_1961-1990'!$H$1,0,IF(UrbanPopRate!W17&gt;=$J$1,0,1)),0)</f>
        <v>0</v>
      </c>
      <c r="AB130">
        <f>IF($D130=1,IF(GDP_per_cap!X17&gt;'all_1961-1990'!$H$1,0,IF(UrbanPopRate!X17&gt;=$J$1,0,1)),0)</f>
        <v>0</v>
      </c>
      <c r="AC130">
        <f>IF($D130=1,IF(GDP_per_cap!Y17&gt;'all_1961-1990'!$H$1,0,IF(UrbanPopRate!Y17&gt;=$J$1,0,1)),0)</f>
        <v>0</v>
      </c>
      <c r="AD130">
        <f>IF($D130=1,IF(GDP_per_cap!Z17&gt;'all_1961-1990'!$H$1,0,IF(UrbanPopRate!Z17&gt;=$J$1,0,1)),0)</f>
        <v>0</v>
      </c>
      <c r="AE130">
        <f>IF($D130=1,IF(GDP_per_cap!AA17&gt;'all_1961-1990'!$H$1,0,IF(UrbanPopRate!AA17&gt;=$J$1,0,1)),0)</f>
        <v>0</v>
      </c>
      <c r="AF130">
        <f>IF($D130=1,IF(GDP_per_cap!AB17&gt;'all_1961-1990'!$H$1,0,IF(UrbanPopRate!AB17&gt;=$J$1,0,1)),0)</f>
        <v>0</v>
      </c>
      <c r="AG130">
        <f>IF($D130=1,IF(GDP_per_cap!AC17&gt;'all_1961-1990'!$H$1,0,IF(UrbanPopRate!AC17&gt;=$J$1,0,1)),0)</f>
        <v>0</v>
      </c>
      <c r="AH130">
        <f>IF($D130=1,IF(GDP_per_cap!AD17&gt;'all_1961-1990'!$H$1,0,IF(UrbanPopRate!AD17&gt;=$J$1,0,1)),0)</f>
        <v>0</v>
      </c>
      <c r="AI130">
        <f>IF($D130=1,IF(GDP_per_cap!AE17&gt;'all_1961-1990'!$H$1,0,IF(UrbanPopRate!AE17&gt;=$J$1,0,1)),0)</f>
        <v>0</v>
      </c>
      <c r="AJ130">
        <f>IF($D130=1,IF(GDP_per_cap!AF17&gt;'all_1961-1990'!$H$1,0,IF(UrbanPopRate!AF17&gt;=$J$1,0,1)),0)</f>
        <v>0</v>
      </c>
      <c r="AK130">
        <f>IF($D130=1,IF(GDP_per_cap!AG17&gt;'all_1961-1990'!$H$1,0,IF(UrbanPopRate!AG17&gt;=$J$1,0,1)),0)</f>
        <v>0</v>
      </c>
      <c r="AL130">
        <f>IF($D130=1,IF(GDP_per_cap!AH17&gt;'all_1961-1990'!$H$1,0,IF(UrbanPopRate!AH17&gt;=$J$1,0,1)),0)</f>
        <v>0</v>
      </c>
      <c r="AM130">
        <f>IF($D130=1,IF(GDP_per_cap!AI17&gt;'all_1961-1990'!$H$1,0,IF(UrbanPopRate!AI17&gt;=$J$1,0,1)),0)</f>
        <v>0</v>
      </c>
      <c r="AN130">
        <f>IF($D130=1,IF(GDP_per_cap!AJ17&gt;'all_1961-1990'!$H$1,0,IF(UrbanPopRate!AJ17&gt;=$J$1,0,1)),0)</f>
        <v>0</v>
      </c>
      <c r="AO130">
        <f>IF($D130=1,IF(GDP_per_cap!AK17&gt;'all_1961-1990'!$H$1,0,IF(UrbanPopRate!AK17&gt;=$J$1,0,1)),0)</f>
        <v>0</v>
      </c>
      <c r="AP130">
        <f>IF($D130=1,IF(GDP_per_cap!AL17&gt;'all_1961-1990'!$H$1,0,IF(UrbanPopRate!AL17&gt;=$J$1,0,1)),0)</f>
        <v>0</v>
      </c>
      <c r="AQ130">
        <f>IF($D130=1,IF(GDP_per_cap!AM17&gt;'all_1961-1990'!$H$1,0,IF(UrbanPopRate!AM17&gt;=$J$1,0,1)),0)</f>
        <v>0</v>
      </c>
      <c r="AR130">
        <f>IF($D130=1,IF(GDP_per_cap!AN17&gt;'all_1961-1990'!$H$1,0,IF(UrbanPopRate!AN17&gt;=$J$1,0,1)),0)</f>
        <v>0</v>
      </c>
      <c r="AS130">
        <f>IF($D130=1,IF(GDP_per_cap!AO17&gt;'all_1961-1990'!$H$1,0,IF(UrbanPopRate!AO17&gt;=$J$1,0,1)),0)</f>
        <v>0</v>
      </c>
      <c r="AT130">
        <f>IF($D130=1,IF(GDP_per_cap!AP17&gt;'all_1961-1990'!$H$1,0,IF(UrbanPopRate!AP17&gt;=$J$1,0,1)),0)</f>
        <v>0</v>
      </c>
      <c r="AU130">
        <f>IF($D130=1,IF(GDP_per_cap!AQ17&gt;'all_1961-1990'!$H$1,0,IF(UrbanPopRate!AQ17&gt;=$J$1,0,1)),0)</f>
        <v>0</v>
      </c>
      <c r="AV130">
        <f>IF($D130=1,IF(GDP_per_cap!AR17&gt;'all_1961-1990'!$H$1,0,IF(UrbanPopRate!AR17&gt;=$J$1,0,1)),0)</f>
        <v>0</v>
      </c>
      <c r="AW130">
        <f>IF($D130=1,IF(GDP_per_cap!AS17&gt;'all_1961-1990'!$H$1,0,IF(UrbanPopRate!AS17&gt;=$J$1,0,1)),0)</f>
        <v>0</v>
      </c>
      <c r="AX130">
        <f>IF($D130=1,IF(GDP_per_cap!AT17&gt;'all_1961-1990'!$H$1,0,IF(UrbanPopRate!AT17&gt;=$J$1,0,1)),0)</f>
        <v>0</v>
      </c>
      <c r="AY130">
        <f>IF($D130=1,IF(GDP_per_cap!AU17&gt;'all_1961-1990'!$H$1,0,IF(UrbanPopRate!AU17&gt;=$J$1,0,1)),0)</f>
        <v>0</v>
      </c>
      <c r="AZ130">
        <f>IF($D130=1,IF(GDP_per_cap!AV17&gt;'all_1961-1990'!$H$1,0,IF(UrbanPopRate!AV17&gt;=$J$1,0,1)),0)</f>
        <v>0</v>
      </c>
      <c r="BA130">
        <f>IF($D130=1,IF(GDP_per_cap!AW17&gt;'all_1961-1990'!$H$1,0,IF(UrbanPopRate!AW17&gt;=$J$1,0,1)),0)</f>
        <v>0</v>
      </c>
      <c r="BB130">
        <f>IF($D130=1,IF(GDP_per_cap!AX17&gt;'all_1961-1990'!$H$1,0,IF(UrbanPopRate!AX17&gt;=$J$1,0,1)),0)</f>
        <v>0</v>
      </c>
      <c r="BC130">
        <f>IF($D130=1,IF(GDP_per_cap!AY17&gt;'all_1961-1990'!$H$1,0,IF(UrbanPopRate!AY17&gt;=$J$1,0,1)),0)</f>
        <v>0</v>
      </c>
      <c r="BD130">
        <f>IF($D130=1,IF(GDP_per_cap!AZ17&gt;'all_1961-1990'!$H$1,0,IF(UrbanPopRate!AZ17&gt;=$J$1,0,1)),0)</f>
        <v>0</v>
      </c>
      <c r="BE130">
        <f>IF($D130=1,IF(GDP_per_cap!BA17&gt;'all_1961-1990'!$H$1,0,IF(UrbanPopRate!BA17&gt;=$J$1,0,1)),0)</f>
        <v>0</v>
      </c>
      <c r="BF130">
        <f>IF($D130=1,IF(GDP_per_cap!BB17&gt;'all_1961-1990'!$H$1,0,IF(UrbanPopRate!BB17&gt;=$J$1,0,1)),0)</f>
        <v>0</v>
      </c>
    </row>
    <row r="131" spans="1:58">
      <c r="A131" s="12">
        <v>51</v>
      </c>
      <c r="B131" s="12" t="s">
        <v>124</v>
      </c>
      <c r="C131" s="13"/>
      <c r="D131" s="13">
        <v>1</v>
      </c>
      <c r="E131" s="13">
        <v>28.027300000000018</v>
      </c>
      <c r="F131" s="13"/>
      <c r="G131">
        <f>IF($D131=1,IF(GDP_per_cap!C32&gt;'all_1961-1990'!$H$1,0,IF(UrbanPopRate!C32&gt;=$J$1,0,1)),0)</f>
        <v>1</v>
      </c>
      <c r="H131">
        <f>IF($D131=1,IF(GDP_per_cap!D32&gt;'all_1961-1990'!$H$1,0,IF(UrbanPopRate!D32&gt;=$J$1,0,1)),0)</f>
        <v>1</v>
      </c>
      <c r="I131">
        <f>IF($D131=1,IF(GDP_per_cap!E32&gt;'all_1961-1990'!$H$1,0,IF(UrbanPopRate!E32&gt;=$J$1,0,1)),0)</f>
        <v>1</v>
      </c>
      <c r="J131">
        <f>IF($D131=1,IF(GDP_per_cap!F32&gt;'all_1961-1990'!$H$1,0,IF(UrbanPopRate!F32&gt;=$J$1,0,1)),0)</f>
        <v>0</v>
      </c>
      <c r="K131">
        <f>IF($D131=1,IF(GDP_per_cap!G32&gt;'all_1961-1990'!$H$1,0,IF(UrbanPopRate!G32&gt;=$J$1,0,1)),0)</f>
        <v>0</v>
      </c>
      <c r="L131">
        <f>IF($D131=1,IF(GDP_per_cap!H32&gt;'all_1961-1990'!$H$1,0,IF(UrbanPopRate!H32&gt;=$J$1,0,1)),0)</f>
        <v>0</v>
      </c>
      <c r="M131">
        <f>IF($D131=1,IF(GDP_per_cap!I32&gt;'all_1961-1990'!$H$1,0,IF(UrbanPopRate!I32&gt;=$J$1,0,1)),0)</f>
        <v>0</v>
      </c>
      <c r="N131">
        <f>IF($D131=1,IF(GDP_per_cap!J32&gt;'all_1961-1990'!$H$1,0,IF(UrbanPopRate!J32&gt;=$J$1,0,1)),0)</f>
        <v>0</v>
      </c>
      <c r="O131">
        <f>IF($D131=1,IF(GDP_per_cap!K32&gt;'all_1961-1990'!$H$1,0,IF(UrbanPopRate!K32&gt;=$J$1,0,1)),0)</f>
        <v>0</v>
      </c>
      <c r="P131">
        <f>IF($D131=1,IF(GDP_per_cap!L32&gt;'all_1961-1990'!$H$1,0,IF(UrbanPopRate!L32&gt;=$J$1,0,1)),0)</f>
        <v>0</v>
      </c>
      <c r="Q131">
        <f>IF($D131=1,IF(GDP_per_cap!M32&gt;'all_1961-1990'!$H$1,0,IF(UrbanPopRate!M32&gt;=$J$1,0,1)),0)</f>
        <v>0</v>
      </c>
      <c r="R131">
        <f>IF($D131=1,IF(GDP_per_cap!N32&gt;'all_1961-1990'!$H$1,0,IF(UrbanPopRate!N32&gt;=$J$1,0,1)),0)</f>
        <v>0</v>
      </c>
      <c r="S131">
        <f>IF($D131=1,IF(GDP_per_cap!O32&gt;'all_1961-1990'!$H$1,0,IF(UrbanPopRate!O32&gt;=$J$1,0,1)),0)</f>
        <v>0</v>
      </c>
      <c r="T131">
        <f>IF($D131=1,IF(GDP_per_cap!P32&gt;'all_1961-1990'!$H$1,0,IF(UrbanPopRate!P32&gt;=$J$1,0,1)),0)</f>
        <v>0</v>
      </c>
      <c r="U131">
        <f>IF($D131=1,IF(GDP_per_cap!Q32&gt;'all_1961-1990'!$H$1,0,IF(UrbanPopRate!Q32&gt;=$J$1,0,1)),0)</f>
        <v>0</v>
      </c>
      <c r="V131">
        <f>IF($D131=1,IF(GDP_per_cap!R32&gt;'all_1961-1990'!$H$1,0,IF(UrbanPopRate!R32&gt;=$J$1,0,1)),0)</f>
        <v>0</v>
      </c>
      <c r="W131">
        <f>IF($D131=1,IF(GDP_per_cap!S32&gt;'all_1961-1990'!$H$1,0,IF(UrbanPopRate!S32&gt;=$J$1,0,1)),0)</f>
        <v>0</v>
      </c>
      <c r="X131">
        <f>IF($D131=1,IF(GDP_per_cap!T32&gt;'all_1961-1990'!$H$1,0,IF(UrbanPopRate!T32&gt;=$J$1,0,1)),0)</f>
        <v>0</v>
      </c>
      <c r="Y131">
        <f>IF($D131=1,IF(GDP_per_cap!U32&gt;'all_1961-1990'!$H$1,0,IF(UrbanPopRate!U32&gt;=$J$1,0,1)),0)</f>
        <v>0</v>
      </c>
      <c r="Z131">
        <f>IF($D131=1,IF(GDP_per_cap!V32&gt;'all_1961-1990'!$H$1,0,IF(UrbanPopRate!V32&gt;=$J$1,0,1)),0)</f>
        <v>0</v>
      </c>
      <c r="AA131">
        <f>IF($D131=1,IF(GDP_per_cap!W32&gt;'all_1961-1990'!$H$1,0,IF(UrbanPopRate!W32&gt;=$J$1,0,1)),0)</f>
        <v>0</v>
      </c>
      <c r="AB131">
        <f>IF($D131=1,IF(GDP_per_cap!X32&gt;'all_1961-1990'!$H$1,0,IF(UrbanPopRate!X32&gt;=$J$1,0,1)),0)</f>
        <v>0</v>
      </c>
      <c r="AC131">
        <f>IF($D131=1,IF(GDP_per_cap!Y32&gt;'all_1961-1990'!$H$1,0,IF(UrbanPopRate!Y32&gt;=$J$1,0,1)),0)</f>
        <v>0</v>
      </c>
      <c r="AD131">
        <f>IF($D131=1,IF(GDP_per_cap!Z32&gt;'all_1961-1990'!$H$1,0,IF(UrbanPopRate!Z32&gt;=$J$1,0,1)),0)</f>
        <v>0</v>
      </c>
      <c r="AE131">
        <f>IF($D131=1,IF(GDP_per_cap!AA32&gt;'all_1961-1990'!$H$1,0,IF(UrbanPopRate!AA32&gt;=$J$1,0,1)),0)</f>
        <v>0</v>
      </c>
      <c r="AF131">
        <f>IF($D131=1,IF(GDP_per_cap!AB32&gt;'all_1961-1990'!$H$1,0,IF(UrbanPopRate!AB32&gt;=$J$1,0,1)),0)</f>
        <v>0</v>
      </c>
      <c r="AG131">
        <f>IF($D131=1,IF(GDP_per_cap!AC32&gt;'all_1961-1990'!$H$1,0,IF(UrbanPopRate!AC32&gt;=$J$1,0,1)),0)</f>
        <v>0</v>
      </c>
      <c r="AH131">
        <f>IF($D131=1,IF(GDP_per_cap!AD32&gt;'all_1961-1990'!$H$1,0,IF(UrbanPopRate!AD32&gt;=$J$1,0,1)),0)</f>
        <v>0</v>
      </c>
      <c r="AI131">
        <f>IF($D131=1,IF(GDP_per_cap!AE32&gt;'all_1961-1990'!$H$1,0,IF(UrbanPopRate!AE32&gt;=$J$1,0,1)),0)</f>
        <v>0</v>
      </c>
      <c r="AJ131">
        <f>IF($D131=1,IF(GDP_per_cap!AF32&gt;'all_1961-1990'!$H$1,0,IF(UrbanPopRate!AF32&gt;=$J$1,0,1)),0)</f>
        <v>0</v>
      </c>
      <c r="AK131">
        <f>IF($D131=1,IF(GDP_per_cap!AG32&gt;'all_1961-1990'!$H$1,0,IF(UrbanPopRate!AG32&gt;=$J$1,0,1)),0)</f>
        <v>0</v>
      </c>
      <c r="AL131">
        <f>IF($D131=1,IF(GDP_per_cap!AH32&gt;'all_1961-1990'!$H$1,0,IF(UrbanPopRate!AH32&gt;=$J$1,0,1)),0)</f>
        <v>0</v>
      </c>
      <c r="AM131">
        <f>IF($D131=1,IF(GDP_per_cap!AI32&gt;'all_1961-1990'!$H$1,0,IF(UrbanPopRate!AI32&gt;=$J$1,0,1)),0)</f>
        <v>0</v>
      </c>
      <c r="AN131">
        <f>IF($D131=1,IF(GDP_per_cap!AJ32&gt;'all_1961-1990'!$H$1,0,IF(UrbanPopRate!AJ32&gt;=$J$1,0,1)),0)</f>
        <v>0</v>
      </c>
      <c r="AO131">
        <f>IF($D131=1,IF(GDP_per_cap!AK32&gt;'all_1961-1990'!$H$1,0,IF(UrbanPopRate!AK32&gt;=$J$1,0,1)),0)</f>
        <v>0</v>
      </c>
      <c r="AP131">
        <f>IF($D131=1,IF(GDP_per_cap!AL32&gt;'all_1961-1990'!$H$1,0,IF(UrbanPopRate!AL32&gt;=$J$1,0,1)),0)</f>
        <v>0</v>
      </c>
      <c r="AQ131">
        <f>IF($D131=1,IF(GDP_per_cap!AM32&gt;'all_1961-1990'!$H$1,0,IF(UrbanPopRate!AM32&gt;=$J$1,0,1)),0)</f>
        <v>0</v>
      </c>
      <c r="AR131">
        <f>IF($D131=1,IF(GDP_per_cap!AN32&gt;'all_1961-1990'!$H$1,0,IF(UrbanPopRate!AN32&gt;=$J$1,0,1)),0)</f>
        <v>0</v>
      </c>
      <c r="AS131">
        <f>IF($D131=1,IF(GDP_per_cap!AO32&gt;'all_1961-1990'!$H$1,0,IF(UrbanPopRate!AO32&gt;=$J$1,0,1)),0)</f>
        <v>0</v>
      </c>
      <c r="AT131">
        <f>IF($D131=1,IF(GDP_per_cap!AP32&gt;'all_1961-1990'!$H$1,0,IF(UrbanPopRate!AP32&gt;=$J$1,0,1)),0)</f>
        <v>0</v>
      </c>
      <c r="AU131">
        <f>IF($D131=1,IF(GDP_per_cap!AQ32&gt;'all_1961-1990'!$H$1,0,IF(UrbanPopRate!AQ32&gt;=$J$1,0,1)),0)</f>
        <v>0</v>
      </c>
      <c r="AV131">
        <f>IF($D131=1,IF(GDP_per_cap!AR32&gt;'all_1961-1990'!$H$1,0,IF(UrbanPopRate!AR32&gt;=$J$1,0,1)),0)</f>
        <v>0</v>
      </c>
      <c r="AW131">
        <f>IF($D131=1,IF(GDP_per_cap!AS32&gt;'all_1961-1990'!$H$1,0,IF(UrbanPopRate!AS32&gt;=$J$1,0,1)),0)</f>
        <v>0</v>
      </c>
      <c r="AX131">
        <f>IF($D131=1,IF(GDP_per_cap!AT32&gt;'all_1961-1990'!$H$1,0,IF(UrbanPopRate!AT32&gt;=$J$1,0,1)),0)</f>
        <v>0</v>
      </c>
      <c r="AY131">
        <f>IF($D131=1,IF(GDP_per_cap!AU32&gt;'all_1961-1990'!$H$1,0,IF(UrbanPopRate!AU32&gt;=$J$1,0,1)),0)</f>
        <v>0</v>
      </c>
      <c r="AZ131">
        <f>IF($D131=1,IF(GDP_per_cap!AV32&gt;'all_1961-1990'!$H$1,0,IF(UrbanPopRate!AV32&gt;=$J$1,0,1)),0)</f>
        <v>0</v>
      </c>
      <c r="BA131">
        <f>IF($D131=1,IF(GDP_per_cap!AW32&gt;'all_1961-1990'!$H$1,0,IF(UrbanPopRate!AW32&gt;=$J$1,0,1)),0)</f>
        <v>0</v>
      </c>
      <c r="BB131">
        <f>IF($D131=1,IF(GDP_per_cap!AX32&gt;'all_1961-1990'!$H$1,0,IF(UrbanPopRate!AX32&gt;=$J$1,0,1)),0)</f>
        <v>0</v>
      </c>
      <c r="BC131">
        <f>IF($D131=1,IF(GDP_per_cap!AY32&gt;'all_1961-1990'!$H$1,0,IF(UrbanPopRate!AY32&gt;=$J$1,0,1)),0)</f>
        <v>0</v>
      </c>
      <c r="BD131">
        <f>IF($D131=1,IF(GDP_per_cap!AZ32&gt;'all_1961-1990'!$H$1,0,IF(UrbanPopRate!AZ32&gt;=$J$1,0,1)),0)</f>
        <v>0</v>
      </c>
      <c r="BE131">
        <f>IF($D131=1,IF(GDP_per_cap!BA32&gt;'all_1961-1990'!$H$1,0,IF(UrbanPopRate!BA32&gt;=$J$1,0,1)),0)</f>
        <v>0</v>
      </c>
      <c r="BF131">
        <f>IF($D131=1,IF(GDP_per_cap!BB32&gt;'all_1961-1990'!$H$1,0,IF(UrbanPopRate!BB32&gt;=$J$1,0,1)),0)</f>
        <v>0</v>
      </c>
    </row>
    <row r="132" spans="1:58">
      <c r="A132" s="12">
        <v>54</v>
      </c>
      <c r="B132" s="12" t="s">
        <v>122</v>
      </c>
      <c r="C132" s="13"/>
      <c r="D132" s="13">
        <v>1</v>
      </c>
      <c r="E132" s="13">
        <v>31.718266666666668</v>
      </c>
      <c r="F132" s="13"/>
      <c r="G132">
        <f>IF($D132=1,IF(GDP_per_cap!C34&gt;'all_1961-1990'!$H$1,0,IF(UrbanPopRate!C34&gt;=$J$1,0,1)),0)</f>
        <v>1</v>
      </c>
      <c r="H132">
        <f>IF($D132=1,IF(GDP_per_cap!D34&gt;'all_1961-1990'!$H$1,0,IF(UrbanPopRate!D34&gt;=$J$1,0,1)),0)</f>
        <v>1</v>
      </c>
      <c r="I132">
        <f>IF($D132=1,IF(GDP_per_cap!E34&gt;'all_1961-1990'!$H$1,0,IF(UrbanPopRate!E34&gt;=$J$1,0,1)),0)</f>
        <v>1</v>
      </c>
      <c r="J132">
        <f>IF($D132=1,IF(GDP_per_cap!F34&gt;'all_1961-1990'!$H$1,0,IF(UrbanPopRate!F34&gt;=$J$1,0,1)),0)</f>
        <v>1</v>
      </c>
      <c r="K132">
        <f>IF($D132=1,IF(GDP_per_cap!G34&gt;'all_1961-1990'!$H$1,0,IF(UrbanPopRate!G34&gt;=$J$1,0,1)),0)</f>
        <v>1</v>
      </c>
      <c r="L132">
        <f>IF($D132=1,IF(GDP_per_cap!H34&gt;'all_1961-1990'!$H$1,0,IF(UrbanPopRate!H34&gt;=$J$1,0,1)),0)</f>
        <v>0</v>
      </c>
      <c r="M132">
        <f>IF($D132=1,IF(GDP_per_cap!I34&gt;'all_1961-1990'!$H$1,0,IF(UrbanPopRate!I34&gt;=$J$1,0,1)),0)</f>
        <v>0</v>
      </c>
      <c r="N132">
        <f>IF($D132=1,IF(GDP_per_cap!J34&gt;'all_1961-1990'!$H$1,0,IF(UrbanPopRate!J34&gt;=$J$1,0,1)),0)</f>
        <v>0</v>
      </c>
      <c r="O132">
        <f>IF($D132=1,IF(GDP_per_cap!K34&gt;'all_1961-1990'!$H$1,0,IF(UrbanPopRate!K34&gt;=$J$1,0,1)),0)</f>
        <v>0</v>
      </c>
      <c r="P132">
        <f>IF($D132=1,IF(GDP_per_cap!L34&gt;'all_1961-1990'!$H$1,0,IF(UrbanPopRate!L34&gt;=$J$1,0,1)),0)</f>
        <v>0</v>
      </c>
      <c r="Q132">
        <f>IF($D132=1,IF(GDP_per_cap!M34&gt;'all_1961-1990'!$H$1,0,IF(UrbanPopRate!M34&gt;=$J$1,0,1)),0)</f>
        <v>0</v>
      </c>
      <c r="R132">
        <f>IF($D132=1,IF(GDP_per_cap!N34&gt;'all_1961-1990'!$H$1,0,IF(UrbanPopRate!N34&gt;=$J$1,0,1)),0)</f>
        <v>0</v>
      </c>
      <c r="S132">
        <f>IF($D132=1,IF(GDP_per_cap!O34&gt;'all_1961-1990'!$H$1,0,IF(UrbanPopRate!O34&gt;=$J$1,0,1)),0)</f>
        <v>0</v>
      </c>
      <c r="T132">
        <f>IF($D132=1,IF(GDP_per_cap!P34&gt;'all_1961-1990'!$H$1,0,IF(UrbanPopRate!P34&gt;=$J$1,0,1)),0)</f>
        <v>0</v>
      </c>
      <c r="U132">
        <f>IF($D132=1,IF(GDP_per_cap!Q34&gt;'all_1961-1990'!$H$1,0,IF(UrbanPopRate!Q34&gt;=$J$1,0,1)),0)</f>
        <v>0</v>
      </c>
      <c r="V132">
        <f>IF($D132=1,IF(GDP_per_cap!R34&gt;'all_1961-1990'!$H$1,0,IF(UrbanPopRate!R34&gt;=$J$1,0,1)),0)</f>
        <v>0</v>
      </c>
      <c r="W132">
        <f>IF($D132=1,IF(GDP_per_cap!S34&gt;'all_1961-1990'!$H$1,0,IF(UrbanPopRate!S34&gt;=$J$1,0,1)),0)</f>
        <v>0</v>
      </c>
      <c r="X132">
        <f>IF($D132=1,IF(GDP_per_cap!T34&gt;'all_1961-1990'!$H$1,0,IF(UrbanPopRate!T34&gt;=$J$1,0,1)),0)</f>
        <v>0</v>
      </c>
      <c r="Y132">
        <f>IF($D132=1,IF(GDP_per_cap!U34&gt;'all_1961-1990'!$H$1,0,IF(UrbanPopRate!U34&gt;=$J$1,0,1)),0)</f>
        <v>0</v>
      </c>
      <c r="Z132">
        <f>IF($D132=1,IF(GDP_per_cap!V34&gt;'all_1961-1990'!$H$1,0,IF(UrbanPopRate!V34&gt;=$J$1,0,1)),0)</f>
        <v>0</v>
      </c>
      <c r="AA132">
        <f>IF($D132=1,IF(GDP_per_cap!W34&gt;'all_1961-1990'!$H$1,0,IF(UrbanPopRate!W34&gt;=$J$1,0,1)),0)</f>
        <v>0</v>
      </c>
      <c r="AB132">
        <f>IF($D132=1,IF(GDP_per_cap!X34&gt;'all_1961-1990'!$H$1,0,IF(UrbanPopRate!X34&gt;=$J$1,0,1)),0)</f>
        <v>0</v>
      </c>
      <c r="AC132">
        <f>IF($D132=1,IF(GDP_per_cap!Y34&gt;'all_1961-1990'!$H$1,0,IF(UrbanPopRate!Y34&gt;=$J$1,0,1)),0)</f>
        <v>0</v>
      </c>
      <c r="AD132">
        <f>IF($D132=1,IF(GDP_per_cap!Z34&gt;'all_1961-1990'!$H$1,0,IF(UrbanPopRate!Z34&gt;=$J$1,0,1)),0)</f>
        <v>0</v>
      </c>
      <c r="AE132">
        <f>IF($D132=1,IF(GDP_per_cap!AA34&gt;'all_1961-1990'!$H$1,0,IF(UrbanPopRate!AA34&gt;=$J$1,0,1)),0)</f>
        <v>0</v>
      </c>
      <c r="AF132">
        <f>IF($D132=1,IF(GDP_per_cap!AB34&gt;'all_1961-1990'!$H$1,0,IF(UrbanPopRate!AB34&gt;=$J$1,0,1)),0)</f>
        <v>0</v>
      </c>
      <c r="AG132">
        <f>IF($D132=1,IF(GDP_per_cap!AC34&gt;'all_1961-1990'!$H$1,0,IF(UrbanPopRate!AC34&gt;=$J$1,0,1)),0)</f>
        <v>0</v>
      </c>
      <c r="AH132">
        <f>IF($D132=1,IF(GDP_per_cap!AD34&gt;'all_1961-1990'!$H$1,0,IF(UrbanPopRate!AD34&gt;=$J$1,0,1)),0)</f>
        <v>0</v>
      </c>
      <c r="AI132">
        <f>IF($D132=1,IF(GDP_per_cap!AE34&gt;'all_1961-1990'!$H$1,0,IF(UrbanPopRate!AE34&gt;=$J$1,0,1)),0)</f>
        <v>0</v>
      </c>
      <c r="AJ132">
        <f>IF($D132=1,IF(GDP_per_cap!AF34&gt;'all_1961-1990'!$H$1,0,IF(UrbanPopRate!AF34&gt;=$J$1,0,1)),0)</f>
        <v>0</v>
      </c>
      <c r="AK132">
        <f>IF($D132=1,IF(GDP_per_cap!AG34&gt;'all_1961-1990'!$H$1,0,IF(UrbanPopRate!AG34&gt;=$J$1,0,1)),0)</f>
        <v>0</v>
      </c>
      <c r="AL132">
        <f>IF($D132=1,IF(GDP_per_cap!AH34&gt;'all_1961-1990'!$H$1,0,IF(UrbanPopRate!AH34&gt;=$J$1,0,1)),0)</f>
        <v>0</v>
      </c>
      <c r="AM132">
        <f>IF($D132=1,IF(GDP_per_cap!AI34&gt;'all_1961-1990'!$H$1,0,IF(UrbanPopRate!AI34&gt;=$J$1,0,1)),0)</f>
        <v>0</v>
      </c>
      <c r="AN132">
        <f>IF($D132=1,IF(GDP_per_cap!AJ34&gt;'all_1961-1990'!$H$1,0,IF(UrbanPopRate!AJ34&gt;=$J$1,0,1)),0)</f>
        <v>0</v>
      </c>
      <c r="AO132">
        <f>IF($D132=1,IF(GDP_per_cap!AK34&gt;'all_1961-1990'!$H$1,0,IF(UrbanPopRate!AK34&gt;=$J$1,0,1)),0)</f>
        <v>0</v>
      </c>
      <c r="AP132">
        <f>IF($D132=1,IF(GDP_per_cap!AL34&gt;'all_1961-1990'!$H$1,0,IF(UrbanPopRate!AL34&gt;=$J$1,0,1)),0)</f>
        <v>0</v>
      </c>
      <c r="AQ132">
        <f>IF($D132=1,IF(GDP_per_cap!AM34&gt;'all_1961-1990'!$H$1,0,IF(UrbanPopRate!AM34&gt;=$J$1,0,1)),0)</f>
        <v>0</v>
      </c>
      <c r="AR132">
        <f>IF($D132=1,IF(GDP_per_cap!AN34&gt;'all_1961-1990'!$H$1,0,IF(UrbanPopRate!AN34&gt;=$J$1,0,1)),0)</f>
        <v>0</v>
      </c>
      <c r="AS132">
        <f>IF($D132=1,IF(GDP_per_cap!AO34&gt;'all_1961-1990'!$H$1,0,IF(UrbanPopRate!AO34&gt;=$J$1,0,1)),0)</f>
        <v>0</v>
      </c>
      <c r="AT132">
        <f>IF($D132=1,IF(GDP_per_cap!AP34&gt;'all_1961-1990'!$H$1,0,IF(UrbanPopRate!AP34&gt;=$J$1,0,1)),0)</f>
        <v>0</v>
      </c>
      <c r="AU132">
        <f>IF($D132=1,IF(GDP_per_cap!AQ34&gt;'all_1961-1990'!$H$1,0,IF(UrbanPopRate!AQ34&gt;=$J$1,0,1)),0)</f>
        <v>0</v>
      </c>
      <c r="AV132">
        <f>IF($D132=1,IF(GDP_per_cap!AR34&gt;'all_1961-1990'!$H$1,0,IF(UrbanPopRate!AR34&gt;=$J$1,0,1)),0)</f>
        <v>0</v>
      </c>
      <c r="AW132">
        <f>IF($D132=1,IF(GDP_per_cap!AS34&gt;'all_1961-1990'!$H$1,0,IF(UrbanPopRate!AS34&gt;=$J$1,0,1)),0)</f>
        <v>0</v>
      </c>
      <c r="AX132">
        <f>IF($D132=1,IF(GDP_per_cap!AT34&gt;'all_1961-1990'!$H$1,0,IF(UrbanPopRate!AT34&gt;=$J$1,0,1)),0)</f>
        <v>0</v>
      </c>
      <c r="AY132">
        <f>IF($D132=1,IF(GDP_per_cap!AU34&gt;'all_1961-1990'!$H$1,0,IF(UrbanPopRate!AU34&gt;=$J$1,0,1)),0)</f>
        <v>0</v>
      </c>
      <c r="AZ132">
        <f>IF($D132=1,IF(GDP_per_cap!AV34&gt;'all_1961-1990'!$H$1,0,IF(UrbanPopRate!AV34&gt;=$J$1,0,1)),0)</f>
        <v>0</v>
      </c>
      <c r="BA132">
        <f>IF($D132=1,IF(GDP_per_cap!AW34&gt;'all_1961-1990'!$H$1,0,IF(UrbanPopRate!AW34&gt;=$J$1,0,1)),0)</f>
        <v>0</v>
      </c>
      <c r="BB132">
        <f>IF($D132=1,IF(GDP_per_cap!AX34&gt;'all_1961-1990'!$H$1,0,IF(UrbanPopRate!AX34&gt;=$J$1,0,1)),0)</f>
        <v>0</v>
      </c>
      <c r="BC132">
        <f>IF($D132=1,IF(GDP_per_cap!AY34&gt;'all_1961-1990'!$H$1,0,IF(UrbanPopRate!AY34&gt;=$J$1,0,1)),0)</f>
        <v>0</v>
      </c>
      <c r="BD132">
        <f>IF($D132=1,IF(GDP_per_cap!AZ34&gt;'all_1961-1990'!$H$1,0,IF(UrbanPopRate!AZ34&gt;=$J$1,0,1)),0)</f>
        <v>0</v>
      </c>
      <c r="BE132">
        <f>IF($D132=1,IF(GDP_per_cap!BA34&gt;'all_1961-1990'!$H$1,0,IF(UrbanPopRate!BA34&gt;=$J$1,0,1)),0)</f>
        <v>0</v>
      </c>
      <c r="BF132">
        <f>IF($D132=1,IF(GDP_per_cap!BB34&gt;'all_1961-1990'!$H$1,0,IF(UrbanPopRate!BB34&gt;=$J$1,0,1)),0)</f>
        <v>0</v>
      </c>
    </row>
    <row r="133" spans="1:58">
      <c r="A133" s="12">
        <v>55</v>
      </c>
      <c r="B133" s="12" t="s">
        <v>121</v>
      </c>
      <c r="C133" s="13"/>
      <c r="D133" s="13">
        <v>1</v>
      </c>
      <c r="E133" s="13">
        <v>44.522666666666659</v>
      </c>
      <c r="F133" s="13"/>
      <c r="G133">
        <f>IF($D133=1,IF(GDP_per_cap!C35&gt;'all_1961-1990'!$H$1,0,IF(UrbanPopRate!C35&gt;=$J$1,0,1)),0)</f>
        <v>0</v>
      </c>
      <c r="H133">
        <f>IF($D133=1,IF(GDP_per_cap!D35&gt;'all_1961-1990'!$H$1,0,IF(UrbanPopRate!D35&gt;=$J$1,0,1)),0)</f>
        <v>0</v>
      </c>
      <c r="I133">
        <f>IF($D133=1,IF(GDP_per_cap!E35&gt;'all_1961-1990'!$H$1,0,IF(UrbanPopRate!E35&gt;=$J$1,0,1)),0)</f>
        <v>0</v>
      </c>
      <c r="J133">
        <f>IF($D133=1,IF(GDP_per_cap!F35&gt;'all_1961-1990'!$H$1,0,IF(UrbanPopRate!F35&gt;=$J$1,0,1)),0)</f>
        <v>0</v>
      </c>
      <c r="K133">
        <f>IF($D133=1,IF(GDP_per_cap!G35&gt;'all_1961-1990'!$H$1,0,IF(UrbanPopRate!G35&gt;=$J$1,0,1)),0)</f>
        <v>0</v>
      </c>
      <c r="L133">
        <f>IF($D133=1,IF(GDP_per_cap!H35&gt;'all_1961-1990'!$H$1,0,IF(UrbanPopRate!H35&gt;=$J$1,0,1)),0)</f>
        <v>0</v>
      </c>
      <c r="M133">
        <f>IF($D133=1,IF(GDP_per_cap!I35&gt;'all_1961-1990'!$H$1,0,IF(UrbanPopRate!I35&gt;=$J$1,0,1)),0)</f>
        <v>0</v>
      </c>
      <c r="N133">
        <f>IF($D133=1,IF(GDP_per_cap!J35&gt;'all_1961-1990'!$H$1,0,IF(UrbanPopRate!J35&gt;=$J$1,0,1)),0)</f>
        <v>0</v>
      </c>
      <c r="O133">
        <f>IF($D133=1,IF(GDP_per_cap!K35&gt;'all_1961-1990'!$H$1,0,IF(UrbanPopRate!K35&gt;=$J$1,0,1)),0)</f>
        <v>0</v>
      </c>
      <c r="P133">
        <f>IF($D133=1,IF(GDP_per_cap!L35&gt;'all_1961-1990'!$H$1,0,IF(UrbanPopRate!L35&gt;=$J$1,0,1)),0)</f>
        <v>0</v>
      </c>
      <c r="Q133">
        <f>IF($D133=1,IF(GDP_per_cap!M35&gt;'all_1961-1990'!$H$1,0,IF(UrbanPopRate!M35&gt;=$J$1,0,1)),0)</f>
        <v>0</v>
      </c>
      <c r="R133">
        <f>IF($D133=1,IF(GDP_per_cap!N35&gt;'all_1961-1990'!$H$1,0,IF(UrbanPopRate!N35&gt;=$J$1,0,1)),0)</f>
        <v>0</v>
      </c>
      <c r="S133">
        <f>IF($D133=1,IF(GDP_per_cap!O35&gt;'all_1961-1990'!$H$1,0,IF(UrbanPopRate!O35&gt;=$J$1,0,1)),0)</f>
        <v>0</v>
      </c>
      <c r="T133">
        <f>IF($D133=1,IF(GDP_per_cap!P35&gt;'all_1961-1990'!$H$1,0,IF(UrbanPopRate!P35&gt;=$J$1,0,1)),0)</f>
        <v>0</v>
      </c>
      <c r="U133">
        <f>IF($D133=1,IF(GDP_per_cap!Q35&gt;'all_1961-1990'!$H$1,0,IF(UrbanPopRate!Q35&gt;=$J$1,0,1)),0)</f>
        <v>0</v>
      </c>
      <c r="V133">
        <f>IF($D133=1,IF(GDP_per_cap!R35&gt;'all_1961-1990'!$H$1,0,IF(UrbanPopRate!R35&gt;=$J$1,0,1)),0)</f>
        <v>0</v>
      </c>
      <c r="W133">
        <f>IF($D133=1,IF(GDP_per_cap!S35&gt;'all_1961-1990'!$H$1,0,IF(UrbanPopRate!S35&gt;=$J$1,0,1)),0)</f>
        <v>0</v>
      </c>
      <c r="X133">
        <f>IF($D133=1,IF(GDP_per_cap!T35&gt;'all_1961-1990'!$H$1,0,IF(UrbanPopRate!T35&gt;=$J$1,0,1)),0)</f>
        <v>0</v>
      </c>
      <c r="Y133">
        <f>IF($D133=1,IF(GDP_per_cap!U35&gt;'all_1961-1990'!$H$1,0,IF(UrbanPopRate!U35&gt;=$J$1,0,1)),0)</f>
        <v>0</v>
      </c>
      <c r="Z133">
        <f>IF($D133=1,IF(GDP_per_cap!V35&gt;'all_1961-1990'!$H$1,0,IF(UrbanPopRate!V35&gt;=$J$1,0,1)),0)</f>
        <v>0</v>
      </c>
      <c r="AA133">
        <f>IF($D133=1,IF(GDP_per_cap!W35&gt;'all_1961-1990'!$H$1,0,IF(UrbanPopRate!W35&gt;=$J$1,0,1)),0)</f>
        <v>0</v>
      </c>
      <c r="AB133">
        <f>IF($D133=1,IF(GDP_per_cap!X35&gt;'all_1961-1990'!$H$1,0,IF(UrbanPopRate!X35&gt;=$J$1,0,1)),0)</f>
        <v>0</v>
      </c>
      <c r="AC133">
        <f>IF($D133=1,IF(GDP_per_cap!Y35&gt;'all_1961-1990'!$H$1,0,IF(UrbanPopRate!Y35&gt;=$J$1,0,1)),0)</f>
        <v>0</v>
      </c>
      <c r="AD133">
        <f>IF($D133=1,IF(GDP_per_cap!Z35&gt;'all_1961-1990'!$H$1,0,IF(UrbanPopRate!Z35&gt;=$J$1,0,1)),0)</f>
        <v>0</v>
      </c>
      <c r="AE133">
        <f>IF($D133=1,IF(GDP_per_cap!AA35&gt;'all_1961-1990'!$H$1,0,IF(UrbanPopRate!AA35&gt;=$J$1,0,1)),0)</f>
        <v>0</v>
      </c>
      <c r="AF133">
        <f>IF($D133=1,IF(GDP_per_cap!AB35&gt;'all_1961-1990'!$H$1,0,IF(UrbanPopRate!AB35&gt;=$J$1,0,1)),0)</f>
        <v>0</v>
      </c>
      <c r="AG133">
        <f>IF($D133=1,IF(GDP_per_cap!AC35&gt;'all_1961-1990'!$H$1,0,IF(UrbanPopRate!AC35&gt;=$J$1,0,1)),0)</f>
        <v>0</v>
      </c>
      <c r="AH133">
        <f>IF($D133=1,IF(GDP_per_cap!AD35&gt;'all_1961-1990'!$H$1,0,IF(UrbanPopRate!AD35&gt;=$J$1,0,1)),0)</f>
        <v>0</v>
      </c>
      <c r="AI133">
        <f>IF($D133=1,IF(GDP_per_cap!AE35&gt;'all_1961-1990'!$H$1,0,IF(UrbanPopRate!AE35&gt;=$J$1,0,1)),0)</f>
        <v>0</v>
      </c>
      <c r="AJ133">
        <f>IF($D133=1,IF(GDP_per_cap!AF35&gt;'all_1961-1990'!$H$1,0,IF(UrbanPopRate!AF35&gt;=$J$1,0,1)),0)</f>
        <v>0</v>
      </c>
      <c r="AK133">
        <f>IF($D133=1,IF(GDP_per_cap!AG35&gt;'all_1961-1990'!$H$1,0,IF(UrbanPopRate!AG35&gt;=$J$1,0,1)),0)</f>
        <v>0</v>
      </c>
      <c r="AL133">
        <f>IF($D133=1,IF(GDP_per_cap!AH35&gt;'all_1961-1990'!$H$1,0,IF(UrbanPopRate!AH35&gt;=$J$1,0,1)),0)</f>
        <v>0</v>
      </c>
      <c r="AM133">
        <f>IF($D133=1,IF(GDP_per_cap!AI35&gt;'all_1961-1990'!$H$1,0,IF(UrbanPopRate!AI35&gt;=$J$1,0,1)),0)</f>
        <v>0</v>
      </c>
      <c r="AN133">
        <f>IF($D133=1,IF(GDP_per_cap!AJ35&gt;'all_1961-1990'!$H$1,0,IF(UrbanPopRate!AJ35&gt;=$J$1,0,1)),0)</f>
        <v>0</v>
      </c>
      <c r="AO133">
        <f>IF($D133=1,IF(GDP_per_cap!AK35&gt;'all_1961-1990'!$H$1,0,IF(UrbanPopRate!AK35&gt;=$J$1,0,1)),0)</f>
        <v>0</v>
      </c>
      <c r="AP133">
        <f>IF($D133=1,IF(GDP_per_cap!AL35&gt;'all_1961-1990'!$H$1,0,IF(UrbanPopRate!AL35&gt;=$J$1,0,1)),0)</f>
        <v>0</v>
      </c>
      <c r="AQ133">
        <f>IF($D133=1,IF(GDP_per_cap!AM35&gt;'all_1961-1990'!$H$1,0,IF(UrbanPopRate!AM35&gt;=$J$1,0,1)),0)</f>
        <v>0</v>
      </c>
      <c r="AR133">
        <f>IF($D133=1,IF(GDP_per_cap!AN35&gt;'all_1961-1990'!$H$1,0,IF(UrbanPopRate!AN35&gt;=$J$1,0,1)),0)</f>
        <v>0</v>
      </c>
      <c r="AS133">
        <f>IF($D133=1,IF(GDP_per_cap!AO35&gt;'all_1961-1990'!$H$1,0,IF(UrbanPopRate!AO35&gt;=$J$1,0,1)),0)</f>
        <v>0</v>
      </c>
      <c r="AT133">
        <f>IF($D133=1,IF(GDP_per_cap!AP35&gt;'all_1961-1990'!$H$1,0,IF(UrbanPopRate!AP35&gt;=$J$1,0,1)),0)</f>
        <v>0</v>
      </c>
      <c r="AU133">
        <f>IF($D133=1,IF(GDP_per_cap!AQ35&gt;'all_1961-1990'!$H$1,0,IF(UrbanPopRate!AQ35&gt;=$J$1,0,1)),0)</f>
        <v>0</v>
      </c>
      <c r="AV133">
        <f>IF($D133=1,IF(GDP_per_cap!AR35&gt;'all_1961-1990'!$H$1,0,IF(UrbanPopRate!AR35&gt;=$J$1,0,1)),0)</f>
        <v>0</v>
      </c>
      <c r="AW133">
        <f>IF($D133=1,IF(GDP_per_cap!AS35&gt;'all_1961-1990'!$H$1,0,IF(UrbanPopRate!AS35&gt;=$J$1,0,1)),0)</f>
        <v>0</v>
      </c>
      <c r="AX133">
        <f>IF($D133=1,IF(GDP_per_cap!AT35&gt;'all_1961-1990'!$H$1,0,IF(UrbanPopRate!AT35&gt;=$J$1,0,1)),0)</f>
        <v>0</v>
      </c>
      <c r="AY133">
        <f>IF($D133=1,IF(GDP_per_cap!AU35&gt;'all_1961-1990'!$H$1,0,IF(UrbanPopRate!AU35&gt;=$J$1,0,1)),0)</f>
        <v>0</v>
      </c>
      <c r="AZ133">
        <f>IF($D133=1,IF(GDP_per_cap!AV35&gt;'all_1961-1990'!$H$1,0,IF(UrbanPopRate!AV35&gt;=$J$1,0,1)),0)</f>
        <v>0</v>
      </c>
      <c r="BA133">
        <f>IF($D133=1,IF(GDP_per_cap!AW35&gt;'all_1961-1990'!$H$1,0,IF(UrbanPopRate!AW35&gt;=$J$1,0,1)),0)</f>
        <v>0</v>
      </c>
      <c r="BB133">
        <f>IF($D133=1,IF(GDP_per_cap!AX35&gt;'all_1961-1990'!$H$1,0,IF(UrbanPopRate!AX35&gt;=$J$1,0,1)),0)</f>
        <v>0</v>
      </c>
      <c r="BC133">
        <f>IF($D133=1,IF(GDP_per_cap!AY35&gt;'all_1961-1990'!$H$1,0,IF(UrbanPopRate!AY35&gt;=$J$1,0,1)),0)</f>
        <v>0</v>
      </c>
      <c r="BD133">
        <f>IF($D133=1,IF(GDP_per_cap!AZ35&gt;'all_1961-1990'!$H$1,0,IF(UrbanPopRate!AZ35&gt;=$J$1,0,1)),0)</f>
        <v>0</v>
      </c>
      <c r="BE133">
        <f>IF($D133=1,IF(GDP_per_cap!BA35&gt;'all_1961-1990'!$H$1,0,IF(UrbanPopRate!BA35&gt;=$J$1,0,1)),0)</f>
        <v>0</v>
      </c>
      <c r="BF133">
        <f>IF($D133=1,IF(GDP_per_cap!BB35&gt;'all_1961-1990'!$H$1,0,IF(UrbanPopRate!BB35&gt;=$J$1,0,1)),0)</f>
        <v>0</v>
      </c>
    </row>
    <row r="134" spans="1:58">
      <c r="A134" s="12">
        <v>57</v>
      </c>
      <c r="B134" s="12" t="s">
        <v>119</v>
      </c>
      <c r="C134" s="13"/>
      <c r="D134" s="13">
        <v>1</v>
      </c>
      <c r="E134" s="13">
        <v>50.639133333333341</v>
      </c>
      <c r="F134" s="13"/>
      <c r="G134">
        <f>IF($D134=1,IF(GDP_per_cap!C37&gt;'all_1961-1990'!$H$1,0,IF(UrbanPopRate!C37&gt;=$J$1,0,1)),0)</f>
        <v>0</v>
      </c>
      <c r="H134">
        <f>IF($D134=1,IF(GDP_per_cap!D37&gt;'all_1961-1990'!$H$1,0,IF(UrbanPopRate!D37&gt;=$J$1,0,1)),0)</f>
        <v>0</v>
      </c>
      <c r="I134">
        <f>IF($D134=1,IF(GDP_per_cap!E37&gt;'all_1961-1990'!$H$1,0,IF(UrbanPopRate!E37&gt;=$J$1,0,1)),0)</f>
        <v>0</v>
      </c>
      <c r="J134">
        <f>IF($D134=1,IF(GDP_per_cap!F37&gt;'all_1961-1990'!$H$1,0,IF(UrbanPopRate!F37&gt;=$J$1,0,1)),0)</f>
        <v>0</v>
      </c>
      <c r="K134">
        <f>IF($D134=1,IF(GDP_per_cap!G37&gt;'all_1961-1990'!$H$1,0,IF(UrbanPopRate!G37&gt;=$J$1,0,1)),0)</f>
        <v>0</v>
      </c>
      <c r="L134">
        <f>IF($D134=1,IF(GDP_per_cap!H37&gt;'all_1961-1990'!$H$1,0,IF(UrbanPopRate!H37&gt;=$J$1,0,1)),0)</f>
        <v>0</v>
      </c>
      <c r="M134">
        <f>IF($D134=1,IF(GDP_per_cap!I37&gt;'all_1961-1990'!$H$1,0,IF(UrbanPopRate!I37&gt;=$J$1,0,1)),0)</f>
        <v>0</v>
      </c>
      <c r="N134">
        <f>IF($D134=1,IF(GDP_per_cap!J37&gt;'all_1961-1990'!$H$1,0,IF(UrbanPopRate!J37&gt;=$J$1,0,1)),0)</f>
        <v>0</v>
      </c>
      <c r="O134">
        <f>IF($D134=1,IF(GDP_per_cap!K37&gt;'all_1961-1990'!$H$1,0,IF(UrbanPopRate!K37&gt;=$J$1,0,1)),0)</f>
        <v>0</v>
      </c>
      <c r="P134">
        <f>IF($D134=1,IF(GDP_per_cap!L37&gt;'all_1961-1990'!$H$1,0,IF(UrbanPopRate!L37&gt;=$J$1,0,1)),0)</f>
        <v>0</v>
      </c>
      <c r="Q134">
        <f>IF($D134=1,IF(GDP_per_cap!M37&gt;'all_1961-1990'!$H$1,0,IF(UrbanPopRate!M37&gt;=$J$1,0,1)),0)</f>
        <v>0</v>
      </c>
      <c r="R134">
        <f>IF($D134=1,IF(GDP_per_cap!N37&gt;'all_1961-1990'!$H$1,0,IF(UrbanPopRate!N37&gt;=$J$1,0,1)),0)</f>
        <v>0</v>
      </c>
      <c r="S134">
        <f>IF($D134=1,IF(GDP_per_cap!O37&gt;'all_1961-1990'!$H$1,0,IF(UrbanPopRate!O37&gt;=$J$1,0,1)),0)</f>
        <v>0</v>
      </c>
      <c r="T134">
        <f>IF($D134=1,IF(GDP_per_cap!P37&gt;'all_1961-1990'!$H$1,0,IF(UrbanPopRate!P37&gt;=$J$1,0,1)),0)</f>
        <v>0</v>
      </c>
      <c r="U134">
        <f>IF($D134=1,IF(GDP_per_cap!Q37&gt;'all_1961-1990'!$H$1,0,IF(UrbanPopRate!Q37&gt;=$J$1,0,1)),0)</f>
        <v>0</v>
      </c>
      <c r="V134">
        <f>IF($D134=1,IF(GDP_per_cap!R37&gt;'all_1961-1990'!$H$1,0,IF(UrbanPopRate!R37&gt;=$J$1,0,1)),0)</f>
        <v>0</v>
      </c>
      <c r="W134">
        <f>IF($D134=1,IF(GDP_per_cap!S37&gt;'all_1961-1990'!$H$1,0,IF(UrbanPopRate!S37&gt;=$J$1,0,1)),0)</f>
        <v>0</v>
      </c>
      <c r="X134">
        <f>IF($D134=1,IF(GDP_per_cap!T37&gt;'all_1961-1990'!$H$1,0,IF(UrbanPopRate!T37&gt;=$J$1,0,1)),0)</f>
        <v>0</v>
      </c>
      <c r="Y134">
        <f>IF($D134=1,IF(GDP_per_cap!U37&gt;'all_1961-1990'!$H$1,0,IF(UrbanPopRate!U37&gt;=$J$1,0,1)),0)</f>
        <v>0</v>
      </c>
      <c r="Z134">
        <f>IF($D134=1,IF(GDP_per_cap!V37&gt;'all_1961-1990'!$H$1,0,IF(UrbanPopRate!V37&gt;=$J$1,0,1)),0)</f>
        <v>0</v>
      </c>
      <c r="AA134">
        <f>IF($D134=1,IF(GDP_per_cap!W37&gt;'all_1961-1990'!$H$1,0,IF(UrbanPopRate!W37&gt;=$J$1,0,1)),0)</f>
        <v>0</v>
      </c>
      <c r="AB134">
        <f>IF($D134=1,IF(GDP_per_cap!X37&gt;'all_1961-1990'!$H$1,0,IF(UrbanPopRate!X37&gt;=$J$1,0,1)),0)</f>
        <v>0</v>
      </c>
      <c r="AC134">
        <f>IF($D134=1,IF(GDP_per_cap!Y37&gt;'all_1961-1990'!$H$1,0,IF(UrbanPopRate!Y37&gt;=$J$1,0,1)),0)</f>
        <v>0</v>
      </c>
      <c r="AD134">
        <f>IF($D134=1,IF(GDP_per_cap!Z37&gt;'all_1961-1990'!$H$1,0,IF(UrbanPopRate!Z37&gt;=$J$1,0,1)),0)</f>
        <v>0</v>
      </c>
      <c r="AE134">
        <f>IF($D134=1,IF(GDP_per_cap!AA37&gt;'all_1961-1990'!$H$1,0,IF(UrbanPopRate!AA37&gt;=$J$1,0,1)),0)</f>
        <v>0</v>
      </c>
      <c r="AF134">
        <f>IF($D134=1,IF(GDP_per_cap!AB37&gt;'all_1961-1990'!$H$1,0,IF(UrbanPopRate!AB37&gt;=$J$1,0,1)),0)</f>
        <v>0</v>
      </c>
      <c r="AG134">
        <f>IF($D134=1,IF(GDP_per_cap!AC37&gt;'all_1961-1990'!$H$1,0,IF(UrbanPopRate!AC37&gt;=$J$1,0,1)),0)</f>
        <v>0</v>
      </c>
      <c r="AH134">
        <f>IF($D134=1,IF(GDP_per_cap!AD37&gt;'all_1961-1990'!$H$1,0,IF(UrbanPopRate!AD37&gt;=$J$1,0,1)),0)</f>
        <v>0</v>
      </c>
      <c r="AI134">
        <f>IF($D134=1,IF(GDP_per_cap!AE37&gt;'all_1961-1990'!$H$1,0,IF(UrbanPopRate!AE37&gt;=$J$1,0,1)),0)</f>
        <v>0</v>
      </c>
      <c r="AJ134">
        <f>IF($D134=1,IF(GDP_per_cap!AF37&gt;'all_1961-1990'!$H$1,0,IF(UrbanPopRate!AF37&gt;=$J$1,0,1)),0)</f>
        <v>0</v>
      </c>
      <c r="AK134">
        <f>IF($D134=1,IF(GDP_per_cap!AG37&gt;'all_1961-1990'!$H$1,0,IF(UrbanPopRate!AG37&gt;=$J$1,0,1)),0)</f>
        <v>0</v>
      </c>
      <c r="AL134">
        <f>IF($D134=1,IF(GDP_per_cap!AH37&gt;'all_1961-1990'!$H$1,0,IF(UrbanPopRate!AH37&gt;=$J$1,0,1)),0)</f>
        <v>0</v>
      </c>
      <c r="AM134">
        <f>IF($D134=1,IF(GDP_per_cap!AI37&gt;'all_1961-1990'!$H$1,0,IF(UrbanPopRate!AI37&gt;=$J$1,0,1)),0)</f>
        <v>0</v>
      </c>
      <c r="AN134">
        <f>IF($D134=1,IF(GDP_per_cap!AJ37&gt;'all_1961-1990'!$H$1,0,IF(UrbanPopRate!AJ37&gt;=$J$1,0,1)),0)</f>
        <v>0</v>
      </c>
      <c r="AO134">
        <f>IF($D134=1,IF(GDP_per_cap!AK37&gt;'all_1961-1990'!$H$1,0,IF(UrbanPopRate!AK37&gt;=$J$1,0,1)),0)</f>
        <v>0</v>
      </c>
      <c r="AP134">
        <f>IF($D134=1,IF(GDP_per_cap!AL37&gt;'all_1961-1990'!$H$1,0,IF(UrbanPopRate!AL37&gt;=$J$1,0,1)),0)</f>
        <v>0</v>
      </c>
      <c r="AQ134">
        <f>IF($D134=1,IF(GDP_per_cap!AM37&gt;'all_1961-1990'!$H$1,0,IF(UrbanPopRate!AM37&gt;=$J$1,0,1)),0)</f>
        <v>0</v>
      </c>
      <c r="AR134">
        <f>IF($D134=1,IF(GDP_per_cap!AN37&gt;'all_1961-1990'!$H$1,0,IF(UrbanPopRate!AN37&gt;=$J$1,0,1)),0)</f>
        <v>0</v>
      </c>
      <c r="AS134">
        <f>IF($D134=1,IF(GDP_per_cap!AO37&gt;'all_1961-1990'!$H$1,0,IF(UrbanPopRate!AO37&gt;=$J$1,0,1)),0)</f>
        <v>0</v>
      </c>
      <c r="AT134">
        <f>IF($D134=1,IF(GDP_per_cap!AP37&gt;'all_1961-1990'!$H$1,0,IF(UrbanPopRate!AP37&gt;=$J$1,0,1)),0)</f>
        <v>0</v>
      </c>
      <c r="AU134">
        <f>IF($D134=1,IF(GDP_per_cap!AQ37&gt;'all_1961-1990'!$H$1,0,IF(UrbanPopRate!AQ37&gt;=$J$1,0,1)),0)</f>
        <v>0</v>
      </c>
      <c r="AV134">
        <f>IF($D134=1,IF(GDP_per_cap!AR37&gt;'all_1961-1990'!$H$1,0,IF(UrbanPopRate!AR37&gt;=$J$1,0,1)),0)</f>
        <v>0</v>
      </c>
      <c r="AW134">
        <f>IF($D134=1,IF(GDP_per_cap!AS37&gt;'all_1961-1990'!$H$1,0,IF(UrbanPopRate!AS37&gt;=$J$1,0,1)),0)</f>
        <v>0</v>
      </c>
      <c r="AX134">
        <f>IF($D134=1,IF(GDP_per_cap!AT37&gt;'all_1961-1990'!$H$1,0,IF(UrbanPopRate!AT37&gt;=$J$1,0,1)),0)</f>
        <v>0</v>
      </c>
      <c r="AY134">
        <f>IF($D134=1,IF(GDP_per_cap!AU37&gt;'all_1961-1990'!$H$1,0,IF(UrbanPopRate!AU37&gt;=$J$1,0,1)),0)</f>
        <v>0</v>
      </c>
      <c r="AZ134">
        <f>IF($D134=1,IF(GDP_per_cap!AV37&gt;'all_1961-1990'!$H$1,0,IF(UrbanPopRate!AV37&gt;=$J$1,0,1)),0)</f>
        <v>0</v>
      </c>
      <c r="BA134">
        <f>IF($D134=1,IF(GDP_per_cap!AW37&gt;'all_1961-1990'!$H$1,0,IF(UrbanPopRate!AW37&gt;=$J$1,0,1)),0)</f>
        <v>0</v>
      </c>
      <c r="BB134">
        <f>IF($D134=1,IF(GDP_per_cap!AX37&gt;'all_1961-1990'!$H$1,0,IF(UrbanPopRate!AX37&gt;=$J$1,0,1)),0)</f>
        <v>0</v>
      </c>
      <c r="BC134">
        <f>IF($D134=1,IF(GDP_per_cap!AY37&gt;'all_1961-1990'!$H$1,0,IF(UrbanPopRate!AY37&gt;=$J$1,0,1)),0)</f>
        <v>0</v>
      </c>
      <c r="BD134">
        <f>IF($D134=1,IF(GDP_per_cap!AZ37&gt;'all_1961-1990'!$H$1,0,IF(UrbanPopRate!AZ37&gt;=$J$1,0,1)),0)</f>
        <v>0</v>
      </c>
      <c r="BE134">
        <f>IF($D134=1,IF(GDP_per_cap!BA37&gt;'all_1961-1990'!$H$1,0,IF(UrbanPopRate!BA37&gt;=$J$1,0,1)),0)</f>
        <v>0</v>
      </c>
      <c r="BF134">
        <f>IF($D134=1,IF(GDP_per_cap!BB37&gt;'all_1961-1990'!$H$1,0,IF(UrbanPopRate!BB37&gt;=$J$1,0,1)),0)</f>
        <v>0</v>
      </c>
    </row>
    <row r="135" spans="1:58">
      <c r="A135" s="12">
        <v>67</v>
      </c>
      <c r="B135" s="12" t="s">
        <v>112</v>
      </c>
      <c r="C135" s="13"/>
      <c r="D135" s="13">
        <v>1</v>
      </c>
      <c r="E135" s="13">
        <v>13.400400000000001</v>
      </c>
      <c r="F135" s="13"/>
      <c r="G135">
        <f>IF($D135=1,IF(GDP_per_cap!C44&gt;'all_1961-1990'!$H$1,0,IF(UrbanPopRate!C44&gt;=$J$1,0,1)),0)</f>
        <v>1</v>
      </c>
      <c r="H135">
        <f>IF($D135=1,IF(GDP_per_cap!D44&gt;'all_1961-1990'!$H$1,0,IF(UrbanPopRate!D44&gt;=$J$1,0,1)),0)</f>
        <v>1</v>
      </c>
      <c r="I135">
        <f>IF($D135=1,IF(GDP_per_cap!E44&gt;'all_1961-1990'!$H$1,0,IF(UrbanPopRate!E44&gt;=$J$1,0,1)),0)</f>
        <v>1</v>
      </c>
      <c r="J135">
        <f>IF($D135=1,IF(GDP_per_cap!F44&gt;'all_1961-1990'!$H$1,0,IF(UrbanPopRate!F44&gt;=$J$1,0,1)),0)</f>
        <v>1</v>
      </c>
      <c r="K135">
        <f>IF($D135=1,IF(GDP_per_cap!G44&gt;'all_1961-1990'!$H$1,0,IF(UrbanPopRate!G44&gt;=$J$1,0,1)),0)</f>
        <v>1</v>
      </c>
      <c r="L135">
        <f>IF($D135=1,IF(GDP_per_cap!H44&gt;'all_1961-1990'!$H$1,0,IF(UrbanPopRate!H44&gt;=$J$1,0,1)),0)</f>
        <v>1</v>
      </c>
      <c r="M135">
        <f>IF($D135=1,IF(GDP_per_cap!I44&gt;'all_1961-1990'!$H$1,0,IF(UrbanPopRate!I44&gt;=$J$1,0,1)),0)</f>
        <v>1</v>
      </c>
      <c r="N135">
        <f>IF($D135=1,IF(GDP_per_cap!J44&gt;'all_1961-1990'!$H$1,0,IF(UrbanPopRate!J44&gt;=$J$1,0,1)),0)</f>
        <v>1</v>
      </c>
      <c r="O135">
        <f>IF($D135=1,IF(GDP_per_cap!K44&gt;'all_1961-1990'!$H$1,0,IF(UrbanPopRate!K44&gt;=$J$1,0,1)),0)</f>
        <v>1</v>
      </c>
      <c r="P135">
        <f>IF($D135=1,IF(GDP_per_cap!L44&gt;'all_1961-1990'!$H$1,0,IF(UrbanPopRate!L44&gt;=$J$1,0,1)),0)</f>
        <v>1</v>
      </c>
      <c r="Q135">
        <f>IF($D135=1,IF(GDP_per_cap!M44&gt;'all_1961-1990'!$H$1,0,IF(UrbanPopRate!M44&gt;=$J$1,0,1)),0)</f>
        <v>1</v>
      </c>
      <c r="R135">
        <f>IF($D135=1,IF(GDP_per_cap!N44&gt;'all_1961-1990'!$H$1,0,IF(UrbanPopRate!N44&gt;=$J$1,0,1)),0)</f>
        <v>1</v>
      </c>
      <c r="S135">
        <f>IF($D135=1,IF(GDP_per_cap!O44&gt;'all_1961-1990'!$H$1,0,IF(UrbanPopRate!O44&gt;=$J$1,0,1)),0)</f>
        <v>1</v>
      </c>
      <c r="T135">
        <f>IF($D135=1,IF(GDP_per_cap!P44&gt;'all_1961-1990'!$H$1,0,IF(UrbanPopRate!P44&gt;=$J$1,0,1)),0)</f>
        <v>1</v>
      </c>
      <c r="U135">
        <f>IF($D135=1,IF(GDP_per_cap!Q44&gt;'all_1961-1990'!$H$1,0,IF(UrbanPopRate!Q44&gt;=$J$1,0,1)),0)</f>
        <v>1</v>
      </c>
      <c r="V135">
        <f>IF($D135=1,IF(GDP_per_cap!R44&gt;'all_1961-1990'!$H$1,0,IF(UrbanPopRate!R44&gt;=$J$1,0,1)),0)</f>
        <v>1</v>
      </c>
      <c r="W135">
        <f>IF($D135=1,IF(GDP_per_cap!S44&gt;'all_1961-1990'!$H$1,0,IF(UrbanPopRate!S44&gt;=$J$1,0,1)),0)</f>
        <v>1</v>
      </c>
      <c r="X135">
        <f>IF($D135=1,IF(GDP_per_cap!T44&gt;'all_1961-1990'!$H$1,0,IF(UrbanPopRate!T44&gt;=$J$1,0,1)),0)</f>
        <v>1</v>
      </c>
      <c r="Y135">
        <f>IF($D135=1,IF(GDP_per_cap!U44&gt;'all_1961-1990'!$H$1,0,IF(UrbanPopRate!U44&gt;=$J$1,0,1)),0)</f>
        <v>1</v>
      </c>
      <c r="Z135">
        <f>IF($D135=1,IF(GDP_per_cap!V44&gt;'all_1961-1990'!$H$1,0,IF(UrbanPopRate!V44&gt;=$J$1,0,1)),0)</f>
        <v>1</v>
      </c>
      <c r="AA135">
        <f>IF($D135=1,IF(GDP_per_cap!W44&gt;'all_1961-1990'!$H$1,0,IF(UrbanPopRate!W44&gt;=$J$1,0,1)),0)</f>
        <v>1</v>
      </c>
      <c r="AB135">
        <f>IF($D135=1,IF(GDP_per_cap!X44&gt;'all_1961-1990'!$H$1,0,IF(UrbanPopRate!X44&gt;=$J$1,0,1)),0)</f>
        <v>1</v>
      </c>
      <c r="AC135">
        <f>IF($D135=1,IF(GDP_per_cap!Y44&gt;'all_1961-1990'!$H$1,0,IF(UrbanPopRate!Y44&gt;=$J$1,0,1)),0)</f>
        <v>1</v>
      </c>
      <c r="AD135">
        <f>IF($D135=1,IF(GDP_per_cap!Z44&gt;'all_1961-1990'!$H$1,0,IF(UrbanPopRate!Z44&gt;=$J$1,0,1)),0)</f>
        <v>1</v>
      </c>
      <c r="AE135">
        <f>IF($D135=1,IF(GDP_per_cap!AA44&gt;'all_1961-1990'!$H$1,0,IF(UrbanPopRate!AA44&gt;=$J$1,0,1)),0)</f>
        <v>1</v>
      </c>
      <c r="AF135">
        <f>IF($D135=1,IF(GDP_per_cap!AB44&gt;'all_1961-1990'!$H$1,0,IF(UrbanPopRate!AB44&gt;=$J$1,0,1)),0)</f>
        <v>1</v>
      </c>
      <c r="AG135">
        <f>IF($D135=1,IF(GDP_per_cap!AC44&gt;'all_1961-1990'!$H$1,0,IF(UrbanPopRate!AC44&gt;=$J$1,0,1)),0)</f>
        <v>1</v>
      </c>
      <c r="AH135">
        <f>IF($D135=1,IF(GDP_per_cap!AD44&gt;'all_1961-1990'!$H$1,0,IF(UrbanPopRate!AD44&gt;=$J$1,0,1)),0)</f>
        <v>1</v>
      </c>
      <c r="AI135">
        <f>IF($D135=1,IF(GDP_per_cap!AE44&gt;'all_1961-1990'!$H$1,0,IF(UrbanPopRate!AE44&gt;=$J$1,0,1)),0)</f>
        <v>1</v>
      </c>
      <c r="AJ135">
        <f>IF($D135=1,IF(GDP_per_cap!AF44&gt;'all_1961-1990'!$H$1,0,IF(UrbanPopRate!AF44&gt;=$J$1,0,1)),0)</f>
        <v>1</v>
      </c>
      <c r="AK135">
        <f>IF($D135=1,IF(GDP_per_cap!AG44&gt;'all_1961-1990'!$H$1,0,IF(UrbanPopRate!AG44&gt;=$J$1,0,1)),0)</f>
        <v>1</v>
      </c>
      <c r="AL135">
        <f>IF($D135=1,IF(GDP_per_cap!AH44&gt;'all_1961-1990'!$H$1,0,IF(UrbanPopRate!AH44&gt;=$J$1,0,1)),0)</f>
        <v>1</v>
      </c>
      <c r="AM135">
        <f>IF($D135=1,IF(GDP_per_cap!AI44&gt;'all_1961-1990'!$H$1,0,IF(UrbanPopRate!AI44&gt;=$J$1,0,1)),0)</f>
        <v>1</v>
      </c>
      <c r="AN135">
        <f>IF($D135=1,IF(GDP_per_cap!AJ44&gt;'all_1961-1990'!$H$1,0,IF(UrbanPopRate!AJ44&gt;=$J$1,0,1)),0)</f>
        <v>1</v>
      </c>
      <c r="AO135">
        <f>IF($D135=1,IF(GDP_per_cap!AK44&gt;'all_1961-1990'!$H$1,0,IF(UrbanPopRate!AK44&gt;=$J$1,0,1)),0)</f>
        <v>1</v>
      </c>
      <c r="AP135">
        <f>IF($D135=1,IF(GDP_per_cap!AL44&gt;'all_1961-1990'!$H$1,0,IF(UrbanPopRate!AL44&gt;=$J$1,0,1)),0)</f>
        <v>1</v>
      </c>
      <c r="AQ135">
        <f>IF($D135=1,IF(GDP_per_cap!AM44&gt;'all_1961-1990'!$H$1,0,IF(UrbanPopRate!AM44&gt;=$J$1,0,1)),0)</f>
        <v>1</v>
      </c>
      <c r="AR135">
        <f>IF($D135=1,IF(GDP_per_cap!AN44&gt;'all_1961-1990'!$H$1,0,IF(UrbanPopRate!AN44&gt;=$J$1,0,1)),0)</f>
        <v>1</v>
      </c>
      <c r="AS135">
        <f>IF($D135=1,IF(GDP_per_cap!AO44&gt;'all_1961-1990'!$H$1,0,IF(UrbanPopRate!AO44&gt;=$J$1,0,1)),0)</f>
        <v>1</v>
      </c>
      <c r="AT135">
        <f>IF($D135=1,IF(GDP_per_cap!AP44&gt;'all_1961-1990'!$H$1,0,IF(UrbanPopRate!AP44&gt;=$J$1,0,1)),0)</f>
        <v>1</v>
      </c>
      <c r="AU135">
        <f>IF($D135=1,IF(GDP_per_cap!AQ44&gt;'all_1961-1990'!$H$1,0,IF(UrbanPopRate!AQ44&gt;=$J$1,0,1)),0)</f>
        <v>1</v>
      </c>
      <c r="AV135">
        <f>IF($D135=1,IF(GDP_per_cap!AR44&gt;'all_1961-1990'!$H$1,0,IF(UrbanPopRate!AR44&gt;=$J$1,0,1)),0)</f>
        <v>1</v>
      </c>
      <c r="AW135">
        <f>IF($D135=1,IF(GDP_per_cap!AS44&gt;'all_1961-1990'!$H$1,0,IF(UrbanPopRate!AS44&gt;=$J$1,0,1)),0)</f>
        <v>1</v>
      </c>
      <c r="AX135">
        <f>IF($D135=1,IF(GDP_per_cap!AT44&gt;'all_1961-1990'!$H$1,0,IF(UrbanPopRate!AT44&gt;=$J$1,0,1)),0)</f>
        <v>1</v>
      </c>
      <c r="AY135">
        <f>IF($D135=1,IF(GDP_per_cap!AU44&gt;'all_1961-1990'!$H$1,0,IF(UrbanPopRate!AU44&gt;=$J$1,0,1)),0)</f>
        <v>1</v>
      </c>
      <c r="AZ135">
        <f>IF($D135=1,IF(GDP_per_cap!AV44&gt;'all_1961-1990'!$H$1,0,IF(UrbanPopRate!AV44&gt;=$J$1,0,1)),0)</f>
        <v>1</v>
      </c>
      <c r="BA135">
        <f>IF($D135=1,IF(GDP_per_cap!AW44&gt;'all_1961-1990'!$H$1,0,IF(UrbanPopRate!AW44&gt;=$J$1,0,1)),0)</f>
        <v>1</v>
      </c>
      <c r="BB135">
        <f>IF($D135=1,IF(GDP_per_cap!AX44&gt;'all_1961-1990'!$H$1,0,IF(UrbanPopRate!AX44&gt;=$J$1,0,1)),0)</f>
        <v>1</v>
      </c>
      <c r="BC135">
        <f>IF($D135=1,IF(GDP_per_cap!AY44&gt;'all_1961-1990'!$H$1,0,IF(UrbanPopRate!AY44&gt;=$J$1,0,1)),0)</f>
        <v>1</v>
      </c>
      <c r="BD135">
        <f>IF($D135=1,IF(GDP_per_cap!AZ44&gt;'all_1961-1990'!$H$1,0,IF(UrbanPopRate!AZ44&gt;=$J$1,0,1)),0)</f>
        <v>1</v>
      </c>
      <c r="BE135">
        <f>IF($D135=1,IF(GDP_per_cap!BA44&gt;'all_1961-1990'!$H$1,0,IF(UrbanPopRate!BA44&gt;=$J$1,0,1)),0)</f>
        <v>1</v>
      </c>
      <c r="BF135">
        <f>IF($D135=1,IF(GDP_per_cap!BB44&gt;'all_1961-1990'!$H$1,0,IF(UrbanPopRate!BB44&gt;=$J$1,0,1)),0)</f>
        <v>1</v>
      </c>
    </row>
    <row r="136" spans="1:58">
      <c r="A136" s="12">
        <v>68</v>
      </c>
      <c r="B136" s="12" t="s">
        <v>111</v>
      </c>
      <c r="C136" s="13"/>
      <c r="D136" s="13">
        <v>1</v>
      </c>
      <c r="E136" s="13">
        <v>66.675333333333327</v>
      </c>
      <c r="F136" s="13"/>
      <c r="G136">
        <f>IF($D136=1,IF(GDP_per_cap!C45&gt;'all_1961-1990'!$H$1,0,IF(UrbanPopRate!C45&gt;=$J$1,0,1)),0)</f>
        <v>0</v>
      </c>
      <c r="H136">
        <f>IF($D136=1,IF(GDP_per_cap!D45&gt;'all_1961-1990'!$H$1,0,IF(UrbanPopRate!D45&gt;=$J$1,0,1)),0)</f>
        <v>0</v>
      </c>
      <c r="I136">
        <f>IF($D136=1,IF(GDP_per_cap!E45&gt;'all_1961-1990'!$H$1,0,IF(UrbanPopRate!E45&gt;=$J$1,0,1)),0)</f>
        <v>0</v>
      </c>
      <c r="J136">
        <f>IF($D136=1,IF(GDP_per_cap!F45&gt;'all_1961-1990'!$H$1,0,IF(UrbanPopRate!F45&gt;=$J$1,0,1)),0)</f>
        <v>0</v>
      </c>
      <c r="K136">
        <f>IF($D136=1,IF(GDP_per_cap!G45&gt;'all_1961-1990'!$H$1,0,IF(UrbanPopRate!G45&gt;=$J$1,0,1)),0)</f>
        <v>0</v>
      </c>
      <c r="L136">
        <f>IF($D136=1,IF(GDP_per_cap!H45&gt;'all_1961-1990'!$H$1,0,IF(UrbanPopRate!H45&gt;=$J$1,0,1)),0)</f>
        <v>0</v>
      </c>
      <c r="M136">
        <f>IF($D136=1,IF(GDP_per_cap!I45&gt;'all_1961-1990'!$H$1,0,IF(UrbanPopRate!I45&gt;=$J$1,0,1)),0)</f>
        <v>0</v>
      </c>
      <c r="N136">
        <f>IF($D136=1,IF(GDP_per_cap!J45&gt;'all_1961-1990'!$H$1,0,IF(UrbanPopRate!J45&gt;=$J$1,0,1)),0)</f>
        <v>0</v>
      </c>
      <c r="O136">
        <f>IF($D136=1,IF(GDP_per_cap!K45&gt;'all_1961-1990'!$H$1,0,IF(UrbanPopRate!K45&gt;=$J$1,0,1)),0)</f>
        <v>0</v>
      </c>
      <c r="P136">
        <f>IF($D136=1,IF(GDP_per_cap!L45&gt;'all_1961-1990'!$H$1,0,IF(UrbanPopRate!L45&gt;=$J$1,0,1)),0)</f>
        <v>0</v>
      </c>
      <c r="Q136">
        <f>IF($D136=1,IF(GDP_per_cap!M45&gt;'all_1961-1990'!$H$1,0,IF(UrbanPopRate!M45&gt;=$J$1,0,1)),0)</f>
        <v>0</v>
      </c>
      <c r="R136">
        <f>IF($D136=1,IF(GDP_per_cap!N45&gt;'all_1961-1990'!$H$1,0,IF(UrbanPopRate!N45&gt;=$J$1,0,1)),0)</f>
        <v>0</v>
      </c>
      <c r="S136">
        <f>IF($D136=1,IF(GDP_per_cap!O45&gt;'all_1961-1990'!$H$1,0,IF(UrbanPopRate!O45&gt;=$J$1,0,1)),0)</f>
        <v>0</v>
      </c>
      <c r="T136">
        <f>IF($D136=1,IF(GDP_per_cap!P45&gt;'all_1961-1990'!$H$1,0,IF(UrbanPopRate!P45&gt;=$J$1,0,1)),0)</f>
        <v>0</v>
      </c>
      <c r="U136">
        <f>IF($D136=1,IF(GDP_per_cap!Q45&gt;'all_1961-1990'!$H$1,0,IF(UrbanPopRate!Q45&gt;=$J$1,0,1)),0)</f>
        <v>0</v>
      </c>
      <c r="V136">
        <f>IF($D136=1,IF(GDP_per_cap!R45&gt;'all_1961-1990'!$H$1,0,IF(UrbanPopRate!R45&gt;=$J$1,0,1)),0)</f>
        <v>0</v>
      </c>
      <c r="W136">
        <f>IF($D136=1,IF(GDP_per_cap!S45&gt;'all_1961-1990'!$H$1,0,IF(UrbanPopRate!S45&gt;=$J$1,0,1)),0)</f>
        <v>0</v>
      </c>
      <c r="X136">
        <f>IF($D136=1,IF(GDP_per_cap!T45&gt;'all_1961-1990'!$H$1,0,IF(UrbanPopRate!T45&gt;=$J$1,0,1)),0)</f>
        <v>0</v>
      </c>
      <c r="Y136">
        <f>IF($D136=1,IF(GDP_per_cap!U45&gt;'all_1961-1990'!$H$1,0,IF(UrbanPopRate!U45&gt;=$J$1,0,1)),0)</f>
        <v>0</v>
      </c>
      <c r="Z136">
        <f>IF($D136=1,IF(GDP_per_cap!V45&gt;'all_1961-1990'!$H$1,0,IF(UrbanPopRate!V45&gt;=$J$1,0,1)),0)</f>
        <v>0</v>
      </c>
      <c r="AA136">
        <f>IF($D136=1,IF(GDP_per_cap!W45&gt;'all_1961-1990'!$H$1,0,IF(UrbanPopRate!W45&gt;=$J$1,0,1)),0)</f>
        <v>0</v>
      </c>
      <c r="AB136">
        <f>IF($D136=1,IF(GDP_per_cap!X45&gt;'all_1961-1990'!$H$1,0,IF(UrbanPopRate!X45&gt;=$J$1,0,1)),0)</f>
        <v>0</v>
      </c>
      <c r="AC136">
        <f>IF($D136=1,IF(GDP_per_cap!Y45&gt;'all_1961-1990'!$H$1,0,IF(UrbanPopRate!Y45&gt;=$J$1,0,1)),0)</f>
        <v>0</v>
      </c>
      <c r="AD136">
        <f>IF($D136=1,IF(GDP_per_cap!Z45&gt;'all_1961-1990'!$H$1,0,IF(UrbanPopRate!Z45&gt;=$J$1,0,1)),0)</f>
        <v>0</v>
      </c>
      <c r="AE136">
        <f>IF($D136=1,IF(GDP_per_cap!AA45&gt;'all_1961-1990'!$H$1,0,IF(UrbanPopRate!AA45&gt;=$J$1,0,1)),0)</f>
        <v>0</v>
      </c>
      <c r="AF136">
        <f>IF($D136=1,IF(GDP_per_cap!AB45&gt;'all_1961-1990'!$H$1,0,IF(UrbanPopRate!AB45&gt;=$J$1,0,1)),0)</f>
        <v>0</v>
      </c>
      <c r="AG136">
        <f>IF($D136=1,IF(GDP_per_cap!AC45&gt;'all_1961-1990'!$H$1,0,IF(UrbanPopRate!AC45&gt;=$J$1,0,1)),0)</f>
        <v>0</v>
      </c>
      <c r="AH136">
        <f>IF($D136=1,IF(GDP_per_cap!AD45&gt;'all_1961-1990'!$H$1,0,IF(UrbanPopRate!AD45&gt;=$J$1,0,1)),0)</f>
        <v>0</v>
      </c>
      <c r="AI136">
        <f>IF($D136=1,IF(GDP_per_cap!AE45&gt;'all_1961-1990'!$H$1,0,IF(UrbanPopRate!AE45&gt;=$J$1,0,1)),0)</f>
        <v>0</v>
      </c>
      <c r="AJ136">
        <f>IF($D136=1,IF(GDP_per_cap!AF45&gt;'all_1961-1990'!$H$1,0,IF(UrbanPopRate!AF45&gt;=$J$1,0,1)),0)</f>
        <v>0</v>
      </c>
      <c r="AK136">
        <f>IF($D136=1,IF(GDP_per_cap!AG45&gt;'all_1961-1990'!$H$1,0,IF(UrbanPopRate!AG45&gt;=$J$1,0,1)),0)</f>
        <v>0</v>
      </c>
      <c r="AL136">
        <f>IF($D136=1,IF(GDP_per_cap!AH45&gt;'all_1961-1990'!$H$1,0,IF(UrbanPopRate!AH45&gt;=$J$1,0,1)),0)</f>
        <v>0</v>
      </c>
      <c r="AM136">
        <f>IF($D136=1,IF(GDP_per_cap!AI45&gt;'all_1961-1990'!$H$1,0,IF(UrbanPopRate!AI45&gt;=$J$1,0,1)),0)</f>
        <v>0</v>
      </c>
      <c r="AN136">
        <f>IF($D136=1,IF(GDP_per_cap!AJ45&gt;'all_1961-1990'!$H$1,0,IF(UrbanPopRate!AJ45&gt;=$J$1,0,1)),0)</f>
        <v>0</v>
      </c>
      <c r="AO136">
        <f>IF($D136=1,IF(GDP_per_cap!AK45&gt;'all_1961-1990'!$H$1,0,IF(UrbanPopRate!AK45&gt;=$J$1,0,1)),0)</f>
        <v>0</v>
      </c>
      <c r="AP136">
        <f>IF($D136=1,IF(GDP_per_cap!AL45&gt;'all_1961-1990'!$H$1,0,IF(UrbanPopRate!AL45&gt;=$J$1,0,1)),0)</f>
        <v>0</v>
      </c>
      <c r="AQ136">
        <f>IF($D136=1,IF(GDP_per_cap!AM45&gt;'all_1961-1990'!$H$1,0,IF(UrbanPopRate!AM45&gt;=$J$1,0,1)),0)</f>
        <v>0</v>
      </c>
      <c r="AR136">
        <f>IF($D136=1,IF(GDP_per_cap!AN45&gt;'all_1961-1990'!$H$1,0,IF(UrbanPopRate!AN45&gt;=$J$1,0,1)),0)</f>
        <v>0</v>
      </c>
      <c r="AS136">
        <f>IF($D136=1,IF(GDP_per_cap!AO45&gt;'all_1961-1990'!$H$1,0,IF(UrbanPopRate!AO45&gt;=$J$1,0,1)),0)</f>
        <v>0</v>
      </c>
      <c r="AT136">
        <f>IF($D136=1,IF(GDP_per_cap!AP45&gt;'all_1961-1990'!$H$1,0,IF(UrbanPopRate!AP45&gt;=$J$1,0,1)),0)</f>
        <v>0</v>
      </c>
      <c r="AU136">
        <f>IF($D136=1,IF(GDP_per_cap!AQ45&gt;'all_1961-1990'!$H$1,0,IF(UrbanPopRate!AQ45&gt;=$J$1,0,1)),0)</f>
        <v>0</v>
      </c>
      <c r="AV136">
        <f>IF($D136=1,IF(GDP_per_cap!AR45&gt;'all_1961-1990'!$H$1,0,IF(UrbanPopRate!AR45&gt;=$J$1,0,1)),0)</f>
        <v>0</v>
      </c>
      <c r="AW136">
        <f>IF($D136=1,IF(GDP_per_cap!AS45&gt;'all_1961-1990'!$H$1,0,IF(UrbanPopRate!AS45&gt;=$J$1,0,1)),0)</f>
        <v>0</v>
      </c>
      <c r="AX136">
        <f>IF($D136=1,IF(GDP_per_cap!AT45&gt;'all_1961-1990'!$H$1,0,IF(UrbanPopRate!AT45&gt;=$J$1,0,1)),0)</f>
        <v>0</v>
      </c>
      <c r="AY136">
        <f>IF($D136=1,IF(GDP_per_cap!AU45&gt;'all_1961-1990'!$H$1,0,IF(UrbanPopRate!AU45&gt;=$J$1,0,1)),0)</f>
        <v>0</v>
      </c>
      <c r="AZ136">
        <f>IF($D136=1,IF(GDP_per_cap!AV45&gt;'all_1961-1990'!$H$1,0,IF(UrbanPopRate!AV45&gt;=$J$1,0,1)),0)</f>
        <v>0</v>
      </c>
      <c r="BA136">
        <f>IF($D136=1,IF(GDP_per_cap!AW45&gt;'all_1961-1990'!$H$1,0,IF(UrbanPopRate!AW45&gt;=$J$1,0,1)),0)</f>
        <v>0</v>
      </c>
      <c r="BB136">
        <f>IF($D136=1,IF(GDP_per_cap!AX45&gt;'all_1961-1990'!$H$1,0,IF(UrbanPopRate!AX45&gt;=$J$1,0,1)),0)</f>
        <v>0</v>
      </c>
      <c r="BC136">
        <f>IF($D136=1,IF(GDP_per_cap!AY45&gt;'all_1961-1990'!$H$1,0,IF(UrbanPopRate!AY45&gt;=$J$1,0,1)),0)</f>
        <v>0</v>
      </c>
      <c r="BD136">
        <f>IF($D136=1,IF(GDP_per_cap!AZ45&gt;'all_1961-1990'!$H$1,0,IF(UrbanPopRate!AZ45&gt;=$J$1,0,1)),0)</f>
        <v>0</v>
      </c>
      <c r="BE136">
        <f>IF($D136=1,IF(GDP_per_cap!BA45&gt;'all_1961-1990'!$H$1,0,IF(UrbanPopRate!BA45&gt;=$J$1,0,1)),0)</f>
        <v>0</v>
      </c>
      <c r="BF136">
        <f>IF($D136=1,IF(GDP_per_cap!BB45&gt;'all_1961-1990'!$H$1,0,IF(UrbanPopRate!BB45&gt;=$J$1,0,1)),0)</f>
        <v>0</v>
      </c>
    </row>
    <row r="137" spans="1:58">
      <c r="A137" s="12">
        <v>80</v>
      </c>
      <c r="B137" s="12" t="s">
        <v>105</v>
      </c>
      <c r="C137" s="13"/>
      <c r="D137" s="13">
        <v>1</v>
      </c>
      <c r="E137" s="13">
        <v>50.137566666666672</v>
      </c>
      <c r="F137" s="13"/>
      <c r="G137">
        <f>IF($D137=1,IF(GDP_per_cap!C51&gt;'all_1961-1990'!$H$1,0,IF(UrbanPopRate!C51&gt;=$J$1,0,1)),0)</f>
        <v>0</v>
      </c>
      <c r="H137">
        <f>IF($D137=1,IF(GDP_per_cap!D51&gt;'all_1961-1990'!$H$1,0,IF(UrbanPopRate!D51&gt;=$J$1,0,1)),0)</f>
        <v>0</v>
      </c>
      <c r="I137">
        <f>IF($D137=1,IF(GDP_per_cap!E51&gt;'all_1961-1990'!$H$1,0,IF(UrbanPopRate!E51&gt;=$J$1,0,1)),0)</f>
        <v>0</v>
      </c>
      <c r="J137">
        <f>IF($D137=1,IF(GDP_per_cap!F51&gt;'all_1961-1990'!$H$1,0,IF(UrbanPopRate!F51&gt;=$J$1,0,1)),0)</f>
        <v>0</v>
      </c>
      <c r="K137">
        <f>IF($D137=1,IF(GDP_per_cap!G51&gt;'all_1961-1990'!$H$1,0,IF(UrbanPopRate!G51&gt;=$J$1,0,1)),0)</f>
        <v>0</v>
      </c>
      <c r="L137">
        <f>IF($D137=1,IF(GDP_per_cap!H51&gt;'all_1961-1990'!$H$1,0,IF(UrbanPopRate!H51&gt;=$J$1,0,1)),0)</f>
        <v>0</v>
      </c>
      <c r="M137">
        <f>IF($D137=1,IF(GDP_per_cap!I51&gt;'all_1961-1990'!$H$1,0,IF(UrbanPopRate!I51&gt;=$J$1,0,1)),0)</f>
        <v>0</v>
      </c>
      <c r="N137">
        <f>IF($D137=1,IF(GDP_per_cap!J51&gt;'all_1961-1990'!$H$1,0,IF(UrbanPopRate!J51&gt;=$J$1,0,1)),0)</f>
        <v>0</v>
      </c>
      <c r="O137">
        <f>IF($D137=1,IF(GDP_per_cap!K51&gt;'all_1961-1990'!$H$1,0,IF(UrbanPopRate!K51&gt;=$J$1,0,1)),0)</f>
        <v>0</v>
      </c>
      <c r="P137">
        <f>IF($D137=1,IF(GDP_per_cap!L51&gt;'all_1961-1990'!$H$1,0,IF(UrbanPopRate!L51&gt;=$J$1,0,1)),0)</f>
        <v>0</v>
      </c>
      <c r="Q137">
        <f>IF($D137=1,IF(GDP_per_cap!M51&gt;'all_1961-1990'!$H$1,0,IF(UrbanPopRate!M51&gt;=$J$1,0,1)),0)</f>
        <v>0</v>
      </c>
      <c r="R137">
        <f>IF($D137=1,IF(GDP_per_cap!N51&gt;'all_1961-1990'!$H$1,0,IF(UrbanPopRate!N51&gt;=$J$1,0,1)),0)</f>
        <v>0</v>
      </c>
      <c r="S137">
        <f>IF($D137=1,IF(GDP_per_cap!O51&gt;'all_1961-1990'!$H$1,0,IF(UrbanPopRate!O51&gt;=$J$1,0,1)),0)</f>
        <v>0</v>
      </c>
      <c r="T137">
        <f>IF($D137=1,IF(GDP_per_cap!P51&gt;'all_1961-1990'!$H$1,0,IF(UrbanPopRate!P51&gt;=$J$1,0,1)),0)</f>
        <v>0</v>
      </c>
      <c r="U137">
        <f>IF($D137=1,IF(GDP_per_cap!Q51&gt;'all_1961-1990'!$H$1,0,IF(UrbanPopRate!Q51&gt;=$J$1,0,1)),0)</f>
        <v>0</v>
      </c>
      <c r="V137">
        <f>IF($D137=1,IF(GDP_per_cap!R51&gt;'all_1961-1990'!$H$1,0,IF(UrbanPopRate!R51&gt;=$J$1,0,1)),0)</f>
        <v>0</v>
      </c>
      <c r="W137">
        <f>IF($D137=1,IF(GDP_per_cap!S51&gt;'all_1961-1990'!$H$1,0,IF(UrbanPopRate!S51&gt;=$J$1,0,1)),0)</f>
        <v>0</v>
      </c>
      <c r="X137">
        <f>IF($D137=1,IF(GDP_per_cap!T51&gt;'all_1961-1990'!$H$1,0,IF(UrbanPopRate!T51&gt;=$J$1,0,1)),0)</f>
        <v>0</v>
      </c>
      <c r="Y137">
        <f>IF($D137=1,IF(GDP_per_cap!U51&gt;'all_1961-1990'!$H$1,0,IF(UrbanPopRate!U51&gt;=$J$1,0,1)),0)</f>
        <v>0</v>
      </c>
      <c r="Z137">
        <f>IF($D137=1,IF(GDP_per_cap!V51&gt;'all_1961-1990'!$H$1,0,IF(UrbanPopRate!V51&gt;=$J$1,0,1)),0)</f>
        <v>0</v>
      </c>
      <c r="AA137">
        <f>IF($D137=1,IF(GDP_per_cap!W51&gt;'all_1961-1990'!$H$1,0,IF(UrbanPopRate!W51&gt;=$J$1,0,1)),0)</f>
        <v>0</v>
      </c>
      <c r="AB137">
        <f>IF($D137=1,IF(GDP_per_cap!X51&gt;'all_1961-1990'!$H$1,0,IF(UrbanPopRate!X51&gt;=$J$1,0,1)),0)</f>
        <v>0</v>
      </c>
      <c r="AC137">
        <f>IF($D137=1,IF(GDP_per_cap!Y51&gt;'all_1961-1990'!$H$1,0,IF(UrbanPopRate!Y51&gt;=$J$1,0,1)),0)</f>
        <v>0</v>
      </c>
      <c r="AD137">
        <f>IF($D137=1,IF(GDP_per_cap!Z51&gt;'all_1961-1990'!$H$1,0,IF(UrbanPopRate!Z51&gt;=$J$1,0,1)),0)</f>
        <v>0</v>
      </c>
      <c r="AE137">
        <f>IF($D137=1,IF(GDP_per_cap!AA51&gt;'all_1961-1990'!$H$1,0,IF(UrbanPopRate!AA51&gt;=$J$1,0,1)),0)</f>
        <v>0</v>
      </c>
      <c r="AF137">
        <f>IF($D137=1,IF(GDP_per_cap!AB51&gt;'all_1961-1990'!$H$1,0,IF(UrbanPopRate!AB51&gt;=$J$1,0,1)),0)</f>
        <v>0</v>
      </c>
      <c r="AG137">
        <f>IF($D137=1,IF(GDP_per_cap!AC51&gt;'all_1961-1990'!$H$1,0,IF(UrbanPopRate!AC51&gt;=$J$1,0,1)),0)</f>
        <v>0</v>
      </c>
      <c r="AH137">
        <f>IF($D137=1,IF(GDP_per_cap!AD51&gt;'all_1961-1990'!$H$1,0,IF(UrbanPopRate!AD51&gt;=$J$1,0,1)),0)</f>
        <v>0</v>
      </c>
      <c r="AI137">
        <f>IF($D137=1,IF(GDP_per_cap!AE51&gt;'all_1961-1990'!$H$1,0,IF(UrbanPopRate!AE51&gt;=$J$1,0,1)),0)</f>
        <v>0</v>
      </c>
      <c r="AJ137">
        <f>IF($D137=1,IF(GDP_per_cap!AF51&gt;'all_1961-1990'!$H$1,0,IF(UrbanPopRate!AF51&gt;=$J$1,0,1)),0)</f>
        <v>0</v>
      </c>
      <c r="AK137">
        <f>IF($D137=1,IF(GDP_per_cap!AG51&gt;'all_1961-1990'!$H$1,0,IF(UrbanPopRate!AG51&gt;=$J$1,0,1)),0)</f>
        <v>0</v>
      </c>
      <c r="AL137">
        <f>IF($D137=1,IF(GDP_per_cap!AH51&gt;'all_1961-1990'!$H$1,0,IF(UrbanPopRate!AH51&gt;=$J$1,0,1)),0)</f>
        <v>0</v>
      </c>
      <c r="AM137">
        <f>IF($D137=1,IF(GDP_per_cap!AI51&gt;'all_1961-1990'!$H$1,0,IF(UrbanPopRate!AI51&gt;=$J$1,0,1)),0)</f>
        <v>0</v>
      </c>
      <c r="AN137">
        <f>IF($D137=1,IF(GDP_per_cap!AJ51&gt;'all_1961-1990'!$H$1,0,IF(UrbanPopRate!AJ51&gt;=$J$1,0,1)),0)</f>
        <v>0</v>
      </c>
      <c r="AO137">
        <f>IF($D137=1,IF(GDP_per_cap!AK51&gt;'all_1961-1990'!$H$1,0,IF(UrbanPopRate!AK51&gt;=$J$1,0,1)),0)</f>
        <v>0</v>
      </c>
      <c r="AP137">
        <f>IF($D137=1,IF(GDP_per_cap!AL51&gt;'all_1961-1990'!$H$1,0,IF(UrbanPopRate!AL51&gt;=$J$1,0,1)),0)</f>
        <v>0</v>
      </c>
      <c r="AQ137">
        <f>IF($D137=1,IF(GDP_per_cap!AM51&gt;'all_1961-1990'!$H$1,0,IF(UrbanPopRate!AM51&gt;=$J$1,0,1)),0)</f>
        <v>0</v>
      </c>
      <c r="AR137">
        <f>IF($D137=1,IF(GDP_per_cap!AN51&gt;'all_1961-1990'!$H$1,0,IF(UrbanPopRate!AN51&gt;=$J$1,0,1)),0)</f>
        <v>0</v>
      </c>
      <c r="AS137">
        <f>IF($D137=1,IF(GDP_per_cap!AO51&gt;'all_1961-1990'!$H$1,0,IF(UrbanPopRate!AO51&gt;=$J$1,0,1)),0)</f>
        <v>0</v>
      </c>
      <c r="AT137">
        <f>IF($D137=1,IF(GDP_per_cap!AP51&gt;'all_1961-1990'!$H$1,0,IF(UrbanPopRate!AP51&gt;=$J$1,0,1)),0)</f>
        <v>0</v>
      </c>
      <c r="AU137">
        <f>IF($D137=1,IF(GDP_per_cap!AQ51&gt;'all_1961-1990'!$H$1,0,IF(UrbanPopRate!AQ51&gt;=$J$1,0,1)),0)</f>
        <v>0</v>
      </c>
      <c r="AV137">
        <f>IF($D137=1,IF(GDP_per_cap!AR51&gt;'all_1961-1990'!$H$1,0,IF(UrbanPopRate!AR51&gt;=$J$1,0,1)),0)</f>
        <v>0</v>
      </c>
      <c r="AW137">
        <f>IF($D137=1,IF(GDP_per_cap!AS51&gt;'all_1961-1990'!$H$1,0,IF(UrbanPopRate!AS51&gt;=$J$1,0,1)),0)</f>
        <v>0</v>
      </c>
      <c r="AX137">
        <f>IF($D137=1,IF(GDP_per_cap!AT51&gt;'all_1961-1990'!$H$1,0,IF(UrbanPopRate!AT51&gt;=$J$1,0,1)),0)</f>
        <v>0</v>
      </c>
      <c r="AY137">
        <f>IF($D137=1,IF(GDP_per_cap!AU51&gt;'all_1961-1990'!$H$1,0,IF(UrbanPopRate!AU51&gt;=$J$1,0,1)),0)</f>
        <v>0</v>
      </c>
      <c r="AZ137">
        <f>IF($D137=1,IF(GDP_per_cap!AV51&gt;'all_1961-1990'!$H$1,0,IF(UrbanPopRate!AV51&gt;=$J$1,0,1)),0)</f>
        <v>0</v>
      </c>
      <c r="BA137">
        <f>IF($D137=1,IF(GDP_per_cap!AW51&gt;'all_1961-1990'!$H$1,0,IF(UrbanPopRate!AW51&gt;=$J$1,0,1)),0)</f>
        <v>0</v>
      </c>
      <c r="BB137">
        <f>IF($D137=1,IF(GDP_per_cap!AX51&gt;'all_1961-1990'!$H$1,0,IF(UrbanPopRate!AX51&gt;=$J$1,0,1)),0)</f>
        <v>0</v>
      </c>
      <c r="BC137">
        <f>IF($D137=1,IF(GDP_per_cap!AY51&gt;'all_1961-1990'!$H$1,0,IF(UrbanPopRate!AY51&gt;=$J$1,0,1)),0)</f>
        <v>0</v>
      </c>
      <c r="BD137">
        <f>IF($D137=1,IF(GDP_per_cap!AZ51&gt;'all_1961-1990'!$H$1,0,IF(UrbanPopRate!AZ51&gt;=$J$1,0,1)),0)</f>
        <v>0</v>
      </c>
      <c r="BE137">
        <f>IF($D137=1,IF(GDP_per_cap!BA51&gt;'all_1961-1990'!$H$1,0,IF(UrbanPopRate!BA51&gt;=$J$1,0,1)),0)</f>
        <v>0</v>
      </c>
      <c r="BF137">
        <f>IF($D137=1,IF(GDP_per_cap!BB51&gt;'all_1961-1990'!$H$1,0,IF(UrbanPopRate!BB51&gt;=$J$1,0,1)),0)</f>
        <v>0</v>
      </c>
    </row>
    <row r="138" spans="1:58">
      <c r="A138" s="12">
        <v>98</v>
      </c>
      <c r="B138" s="12" t="s">
        <v>96</v>
      </c>
      <c r="C138" s="13"/>
      <c r="D138" s="13">
        <v>1</v>
      </c>
      <c r="E138" s="13"/>
      <c r="F138" s="13"/>
      <c r="G138">
        <f>IF($D138=1,IF(GDP_per_cap!C60&gt;'all_1961-1990'!$H$1,0,IF(UrbanPopRate!C60&gt;=$J$1,0,1)),0)</f>
        <v>1</v>
      </c>
      <c r="H138">
        <f>IF($D138=1,IF(GDP_per_cap!D60&gt;'all_1961-1990'!$H$1,0,IF(UrbanPopRate!D60&gt;=$J$1,0,1)),0)</f>
        <v>1</v>
      </c>
      <c r="I138">
        <f>IF($D138=1,IF(GDP_per_cap!E60&gt;'all_1961-1990'!$H$1,0,IF(UrbanPopRate!E60&gt;=$J$1,0,1)),0)</f>
        <v>1</v>
      </c>
      <c r="J138">
        <f>IF($D138=1,IF(GDP_per_cap!F60&gt;'all_1961-1990'!$H$1,0,IF(UrbanPopRate!F60&gt;=$J$1,0,1)),0)</f>
        <v>1</v>
      </c>
      <c r="K138">
        <f>IF($D138=1,IF(GDP_per_cap!G60&gt;'all_1961-1990'!$H$1,0,IF(UrbanPopRate!G60&gt;=$J$1,0,1)),0)</f>
        <v>1</v>
      </c>
      <c r="L138">
        <f>IF($D138=1,IF(GDP_per_cap!H60&gt;'all_1961-1990'!$H$1,0,IF(UrbanPopRate!H60&gt;=$J$1,0,1)),0)</f>
        <v>1</v>
      </c>
      <c r="M138">
        <f>IF($D138=1,IF(GDP_per_cap!I60&gt;'all_1961-1990'!$H$1,0,IF(UrbanPopRate!I60&gt;=$J$1,0,1)),0)</f>
        <v>1</v>
      </c>
      <c r="N138">
        <f>IF($D138=1,IF(GDP_per_cap!J60&gt;'all_1961-1990'!$H$1,0,IF(UrbanPopRate!J60&gt;=$J$1,0,1)),0)</f>
        <v>1</v>
      </c>
      <c r="O138">
        <f>IF($D138=1,IF(GDP_per_cap!K60&gt;'all_1961-1990'!$H$1,0,IF(UrbanPopRate!K60&gt;=$J$1,0,1)),0)</f>
        <v>1</v>
      </c>
      <c r="P138">
        <f>IF($D138=1,IF(GDP_per_cap!L60&gt;'all_1961-1990'!$H$1,0,IF(UrbanPopRate!L60&gt;=$J$1,0,1)),0)</f>
        <v>1</v>
      </c>
      <c r="Q138">
        <f>IF($D138=1,IF(GDP_per_cap!M60&gt;'all_1961-1990'!$H$1,0,IF(UrbanPopRate!M60&gt;=$J$1,0,1)),0)</f>
        <v>1</v>
      </c>
      <c r="R138">
        <f>IF($D138=1,IF(GDP_per_cap!N60&gt;'all_1961-1990'!$H$1,0,IF(UrbanPopRate!N60&gt;=$J$1,0,1)),0)</f>
        <v>1</v>
      </c>
      <c r="S138">
        <f>IF($D138=1,IF(GDP_per_cap!O60&gt;'all_1961-1990'!$H$1,0,IF(UrbanPopRate!O60&gt;=$J$1,0,1)),0)</f>
        <v>1</v>
      </c>
      <c r="T138">
        <f>IF($D138=1,IF(GDP_per_cap!P60&gt;'all_1961-1990'!$H$1,0,IF(UrbanPopRate!P60&gt;=$J$1,0,1)),0)</f>
        <v>1</v>
      </c>
      <c r="U138">
        <f>IF($D138=1,IF(GDP_per_cap!Q60&gt;'all_1961-1990'!$H$1,0,IF(UrbanPopRate!Q60&gt;=$J$1,0,1)),0)</f>
        <v>1</v>
      </c>
      <c r="V138">
        <f>IF($D138=1,IF(GDP_per_cap!R60&gt;'all_1961-1990'!$H$1,0,IF(UrbanPopRate!R60&gt;=$J$1,0,1)),0)</f>
        <v>1</v>
      </c>
      <c r="W138">
        <f>IF($D138=1,IF(GDP_per_cap!S60&gt;'all_1961-1990'!$H$1,0,IF(UrbanPopRate!S60&gt;=$J$1,0,1)),0)</f>
        <v>1</v>
      </c>
      <c r="X138">
        <f>IF($D138=1,IF(GDP_per_cap!T60&gt;'all_1961-1990'!$H$1,0,IF(UrbanPopRate!T60&gt;=$J$1,0,1)),0)</f>
        <v>1</v>
      </c>
      <c r="Y138">
        <f>IF($D138=1,IF(GDP_per_cap!U60&gt;'all_1961-1990'!$H$1,0,IF(UrbanPopRate!U60&gt;=$J$1,0,1)),0)</f>
        <v>1</v>
      </c>
      <c r="Z138">
        <f>IF($D138=1,IF(GDP_per_cap!V60&gt;'all_1961-1990'!$H$1,0,IF(UrbanPopRate!V60&gt;=$J$1,0,1)),0)</f>
        <v>1</v>
      </c>
      <c r="AA138">
        <f>IF($D138=1,IF(GDP_per_cap!W60&gt;'all_1961-1990'!$H$1,0,IF(UrbanPopRate!W60&gt;=$J$1,0,1)),0)</f>
        <v>1</v>
      </c>
      <c r="AB138">
        <f>IF($D138=1,IF(GDP_per_cap!X60&gt;'all_1961-1990'!$H$1,0,IF(UrbanPopRate!X60&gt;=$J$1,0,1)),0)</f>
        <v>1</v>
      </c>
      <c r="AC138">
        <f>IF($D138=1,IF(GDP_per_cap!Y60&gt;'all_1961-1990'!$H$1,0,IF(UrbanPopRate!Y60&gt;=$J$1,0,1)),0)</f>
        <v>1</v>
      </c>
      <c r="AD138">
        <f>IF($D138=1,IF(GDP_per_cap!Z60&gt;'all_1961-1990'!$H$1,0,IF(UrbanPopRate!Z60&gt;=$J$1,0,1)),0)</f>
        <v>1</v>
      </c>
      <c r="AE138">
        <f>IF($D138=1,IF(GDP_per_cap!AA60&gt;'all_1961-1990'!$H$1,0,IF(UrbanPopRate!AA60&gt;=$J$1,0,1)),0)</f>
        <v>1</v>
      </c>
      <c r="AF138">
        <f>IF($D138=1,IF(GDP_per_cap!AB60&gt;'all_1961-1990'!$H$1,0,IF(UrbanPopRate!AB60&gt;=$J$1,0,1)),0)</f>
        <v>1</v>
      </c>
      <c r="AG138">
        <f>IF($D138=1,IF(GDP_per_cap!AC60&gt;'all_1961-1990'!$H$1,0,IF(UrbanPopRate!AC60&gt;=$J$1,0,1)),0)</f>
        <v>1</v>
      </c>
      <c r="AH138">
        <f>IF($D138=1,IF(GDP_per_cap!AD60&gt;'all_1961-1990'!$H$1,0,IF(UrbanPopRate!AD60&gt;=$J$1,0,1)),0)</f>
        <v>1</v>
      </c>
      <c r="AI138">
        <f>IF($D138=1,IF(GDP_per_cap!AE60&gt;'all_1961-1990'!$H$1,0,IF(UrbanPopRate!AE60&gt;=$J$1,0,1)),0)</f>
        <v>1</v>
      </c>
      <c r="AJ138">
        <f>IF($D138=1,IF(GDP_per_cap!AF60&gt;'all_1961-1990'!$H$1,0,IF(UrbanPopRate!AF60&gt;=$J$1,0,1)),0)</f>
        <v>1</v>
      </c>
      <c r="AK138">
        <f>IF($D138=1,IF(GDP_per_cap!AG60&gt;'all_1961-1990'!$H$1,0,IF(UrbanPopRate!AG60&gt;=$J$1,0,1)),0)</f>
        <v>1</v>
      </c>
      <c r="AL138">
        <f>IF($D138=1,IF(GDP_per_cap!AH60&gt;'all_1961-1990'!$H$1,0,IF(UrbanPopRate!AH60&gt;=$J$1,0,1)),0)</f>
        <v>1</v>
      </c>
      <c r="AM138">
        <f>IF($D138=1,IF(GDP_per_cap!AI60&gt;'all_1961-1990'!$H$1,0,IF(UrbanPopRate!AI60&gt;=$J$1,0,1)),0)</f>
        <v>1</v>
      </c>
      <c r="AN138">
        <f>IF($D138=1,IF(GDP_per_cap!AJ60&gt;'all_1961-1990'!$H$1,0,IF(UrbanPopRate!AJ60&gt;=$J$1,0,1)),0)</f>
        <v>1</v>
      </c>
      <c r="AO138">
        <f>IF($D138=1,IF(GDP_per_cap!AK60&gt;'all_1961-1990'!$H$1,0,IF(UrbanPopRate!AK60&gt;=$J$1,0,1)),0)</f>
        <v>1</v>
      </c>
      <c r="AP138">
        <f>IF($D138=1,IF(GDP_per_cap!AL60&gt;'all_1961-1990'!$H$1,0,IF(UrbanPopRate!AL60&gt;=$J$1,0,1)),0)</f>
        <v>1</v>
      </c>
      <c r="AQ138">
        <f>IF($D138=1,IF(GDP_per_cap!AM60&gt;'all_1961-1990'!$H$1,0,IF(UrbanPopRate!AM60&gt;=$J$1,0,1)),0)</f>
        <v>1</v>
      </c>
      <c r="AR138">
        <f>IF($D138=1,IF(GDP_per_cap!AN60&gt;'all_1961-1990'!$H$1,0,IF(UrbanPopRate!AN60&gt;=$J$1,0,1)),0)</f>
        <v>1</v>
      </c>
      <c r="AS138">
        <f>IF($D138=1,IF(GDP_per_cap!AO60&gt;'all_1961-1990'!$H$1,0,IF(UrbanPopRate!AO60&gt;=$J$1,0,1)),0)</f>
        <v>1</v>
      </c>
      <c r="AT138">
        <f>IF($D138=1,IF(GDP_per_cap!AP60&gt;'all_1961-1990'!$H$1,0,IF(UrbanPopRate!AP60&gt;=$J$1,0,1)),0)</f>
        <v>1</v>
      </c>
      <c r="AU138">
        <f>IF($D138=1,IF(GDP_per_cap!AQ60&gt;'all_1961-1990'!$H$1,0,IF(UrbanPopRate!AQ60&gt;=$J$1,0,1)),0)</f>
        <v>1</v>
      </c>
      <c r="AV138">
        <f>IF($D138=1,IF(GDP_per_cap!AR60&gt;'all_1961-1990'!$H$1,0,IF(UrbanPopRate!AR60&gt;=$J$1,0,1)),0)</f>
        <v>1</v>
      </c>
      <c r="AW138">
        <f>IF($D138=1,IF(GDP_per_cap!AS60&gt;'all_1961-1990'!$H$1,0,IF(UrbanPopRate!AS60&gt;=$J$1,0,1)),0)</f>
        <v>1</v>
      </c>
      <c r="AX138">
        <f>IF($D138=1,IF(GDP_per_cap!AT60&gt;'all_1961-1990'!$H$1,0,IF(UrbanPopRate!AT60&gt;=$J$1,0,1)),0)</f>
        <v>1</v>
      </c>
      <c r="AY138">
        <f>IF($D138=1,IF(GDP_per_cap!AU60&gt;'all_1961-1990'!$H$1,0,IF(UrbanPopRate!AU60&gt;=$J$1,0,1)),0)</f>
        <v>1</v>
      </c>
      <c r="AZ138">
        <f>IF($D138=1,IF(GDP_per_cap!AV60&gt;'all_1961-1990'!$H$1,0,IF(UrbanPopRate!AV60&gt;=$J$1,0,1)),0)</f>
        <v>1</v>
      </c>
      <c r="BA138">
        <f>IF($D138=1,IF(GDP_per_cap!AW60&gt;'all_1961-1990'!$H$1,0,IF(UrbanPopRate!AW60&gt;=$J$1,0,1)),0)</f>
        <v>1</v>
      </c>
      <c r="BB138">
        <f>IF($D138=1,IF(GDP_per_cap!AX60&gt;'all_1961-1990'!$H$1,0,IF(UrbanPopRate!AX60&gt;=$J$1,0,1)),0)</f>
        <v>1</v>
      </c>
      <c r="BC138">
        <f>IF($D138=1,IF(GDP_per_cap!AY60&gt;'all_1961-1990'!$H$1,0,IF(UrbanPopRate!AY60&gt;=$J$1,0,1)),0)</f>
        <v>1</v>
      </c>
      <c r="BD138">
        <f>IF($D138=1,IF(GDP_per_cap!AZ60&gt;'all_1961-1990'!$H$1,0,IF(UrbanPopRate!AZ60&gt;=$J$1,0,1)),0)</f>
        <v>1</v>
      </c>
      <c r="BE138">
        <f>IF($D138=1,IF(GDP_per_cap!BA60&gt;'all_1961-1990'!$H$1,0,IF(UrbanPopRate!BA60&gt;=$J$1,0,1)),0)</f>
        <v>1</v>
      </c>
      <c r="BF138">
        <f>IF($D138=1,IF(GDP_per_cap!BB60&gt;'all_1961-1990'!$H$1,0,IF(UrbanPopRate!BB60&gt;=$J$1,0,1)),0)</f>
        <v>1</v>
      </c>
    </row>
    <row r="139" spans="1:58">
      <c r="A139" s="12">
        <v>113</v>
      </c>
      <c r="B139" s="12" t="s">
        <v>84</v>
      </c>
      <c r="C139" s="13"/>
      <c r="D139" s="13">
        <v>1</v>
      </c>
      <c r="E139" s="13">
        <v>51.906300000000009</v>
      </c>
      <c r="F139" s="13"/>
      <c r="G139">
        <f>IF($D139=1,IF(GDP_per_cap!C72&gt;'all_1961-1990'!$H$1,0,IF(UrbanPopRate!C72&gt;=$J$1,0,1)),0)</f>
        <v>0</v>
      </c>
      <c r="H139">
        <f>IF($D139=1,IF(GDP_per_cap!D72&gt;'all_1961-1990'!$H$1,0,IF(UrbanPopRate!D72&gt;=$J$1,0,1)),0)</f>
        <v>0</v>
      </c>
      <c r="I139">
        <f>IF($D139=1,IF(GDP_per_cap!E72&gt;'all_1961-1990'!$H$1,0,IF(UrbanPopRate!E72&gt;=$J$1,0,1)),0)</f>
        <v>0</v>
      </c>
      <c r="J139">
        <f>IF($D139=1,IF(GDP_per_cap!F72&gt;'all_1961-1990'!$H$1,0,IF(UrbanPopRate!F72&gt;=$J$1,0,1)),0)</f>
        <v>0</v>
      </c>
      <c r="K139">
        <f>IF($D139=1,IF(GDP_per_cap!G72&gt;'all_1961-1990'!$H$1,0,IF(UrbanPopRate!G72&gt;=$J$1,0,1)),0)</f>
        <v>0</v>
      </c>
      <c r="L139">
        <f>IF($D139=1,IF(GDP_per_cap!H72&gt;'all_1961-1990'!$H$1,0,IF(UrbanPopRate!H72&gt;=$J$1,0,1)),0)</f>
        <v>0</v>
      </c>
      <c r="M139">
        <f>IF($D139=1,IF(GDP_per_cap!I72&gt;'all_1961-1990'!$H$1,0,IF(UrbanPopRate!I72&gt;=$J$1,0,1)),0)</f>
        <v>0</v>
      </c>
      <c r="N139">
        <f>IF($D139=1,IF(GDP_per_cap!J72&gt;'all_1961-1990'!$H$1,0,IF(UrbanPopRate!J72&gt;=$J$1,0,1)),0)</f>
        <v>0</v>
      </c>
      <c r="O139">
        <f>IF($D139=1,IF(GDP_per_cap!K72&gt;'all_1961-1990'!$H$1,0,IF(UrbanPopRate!K72&gt;=$J$1,0,1)),0)</f>
        <v>0</v>
      </c>
      <c r="P139">
        <f>IF($D139=1,IF(GDP_per_cap!L72&gt;'all_1961-1990'!$H$1,0,IF(UrbanPopRate!L72&gt;=$J$1,0,1)),0)</f>
        <v>0</v>
      </c>
      <c r="Q139">
        <f>IF($D139=1,IF(GDP_per_cap!M72&gt;'all_1961-1990'!$H$1,0,IF(UrbanPopRate!M72&gt;=$J$1,0,1)),0)</f>
        <v>0</v>
      </c>
      <c r="R139">
        <f>IF($D139=1,IF(GDP_per_cap!N72&gt;'all_1961-1990'!$H$1,0,IF(UrbanPopRate!N72&gt;=$J$1,0,1)),0)</f>
        <v>0</v>
      </c>
      <c r="S139">
        <f>IF($D139=1,IF(GDP_per_cap!O72&gt;'all_1961-1990'!$H$1,0,IF(UrbanPopRate!O72&gt;=$J$1,0,1)),0)</f>
        <v>0</v>
      </c>
      <c r="T139">
        <f>IF($D139=1,IF(GDP_per_cap!P72&gt;'all_1961-1990'!$H$1,0,IF(UrbanPopRate!P72&gt;=$J$1,0,1)),0)</f>
        <v>0</v>
      </c>
      <c r="U139">
        <f>IF($D139=1,IF(GDP_per_cap!Q72&gt;'all_1961-1990'!$H$1,0,IF(UrbanPopRate!Q72&gt;=$J$1,0,1)),0)</f>
        <v>0</v>
      </c>
      <c r="V139">
        <f>IF($D139=1,IF(GDP_per_cap!R72&gt;'all_1961-1990'!$H$1,0,IF(UrbanPopRate!R72&gt;=$J$1,0,1)),0)</f>
        <v>0</v>
      </c>
      <c r="W139">
        <f>IF($D139=1,IF(GDP_per_cap!S72&gt;'all_1961-1990'!$H$1,0,IF(UrbanPopRate!S72&gt;=$J$1,0,1)),0)</f>
        <v>0</v>
      </c>
      <c r="X139">
        <f>IF($D139=1,IF(GDP_per_cap!T72&gt;'all_1961-1990'!$H$1,0,IF(UrbanPopRate!T72&gt;=$J$1,0,1)),0)</f>
        <v>0</v>
      </c>
      <c r="Y139">
        <f>IF($D139=1,IF(GDP_per_cap!U72&gt;'all_1961-1990'!$H$1,0,IF(UrbanPopRate!U72&gt;=$J$1,0,1)),0)</f>
        <v>0</v>
      </c>
      <c r="Z139">
        <f>IF($D139=1,IF(GDP_per_cap!V72&gt;'all_1961-1990'!$H$1,0,IF(UrbanPopRate!V72&gt;=$J$1,0,1)),0)</f>
        <v>0</v>
      </c>
      <c r="AA139">
        <f>IF($D139=1,IF(GDP_per_cap!W72&gt;'all_1961-1990'!$H$1,0,IF(UrbanPopRate!W72&gt;=$J$1,0,1)),0)</f>
        <v>0</v>
      </c>
      <c r="AB139">
        <f>IF($D139=1,IF(GDP_per_cap!X72&gt;'all_1961-1990'!$H$1,0,IF(UrbanPopRate!X72&gt;=$J$1,0,1)),0)</f>
        <v>0</v>
      </c>
      <c r="AC139">
        <f>IF($D139=1,IF(GDP_per_cap!Y72&gt;'all_1961-1990'!$H$1,0,IF(UrbanPopRate!Y72&gt;=$J$1,0,1)),0)</f>
        <v>0</v>
      </c>
      <c r="AD139">
        <f>IF($D139=1,IF(GDP_per_cap!Z72&gt;'all_1961-1990'!$H$1,0,IF(UrbanPopRate!Z72&gt;=$J$1,0,1)),0)</f>
        <v>0</v>
      </c>
      <c r="AE139">
        <f>IF($D139=1,IF(GDP_per_cap!AA72&gt;'all_1961-1990'!$H$1,0,IF(UrbanPopRate!AA72&gt;=$J$1,0,1)),0)</f>
        <v>0</v>
      </c>
      <c r="AF139">
        <f>IF($D139=1,IF(GDP_per_cap!AB72&gt;'all_1961-1990'!$H$1,0,IF(UrbanPopRate!AB72&gt;=$J$1,0,1)),0)</f>
        <v>0</v>
      </c>
      <c r="AG139">
        <f>IF($D139=1,IF(GDP_per_cap!AC72&gt;'all_1961-1990'!$H$1,0,IF(UrbanPopRate!AC72&gt;=$J$1,0,1)),0)</f>
        <v>0</v>
      </c>
      <c r="AH139">
        <f>IF($D139=1,IF(GDP_per_cap!AD72&gt;'all_1961-1990'!$H$1,0,IF(UrbanPopRate!AD72&gt;=$J$1,0,1)),0)</f>
        <v>0</v>
      </c>
      <c r="AI139">
        <f>IF($D139=1,IF(GDP_per_cap!AE72&gt;'all_1961-1990'!$H$1,0,IF(UrbanPopRate!AE72&gt;=$J$1,0,1)),0)</f>
        <v>0</v>
      </c>
      <c r="AJ139">
        <f>IF($D139=1,IF(GDP_per_cap!AF72&gt;'all_1961-1990'!$H$1,0,IF(UrbanPopRate!AF72&gt;=$J$1,0,1)),0)</f>
        <v>0</v>
      </c>
      <c r="AK139">
        <f>IF($D139=1,IF(GDP_per_cap!AG72&gt;'all_1961-1990'!$H$1,0,IF(UrbanPopRate!AG72&gt;=$J$1,0,1)),0)</f>
        <v>0</v>
      </c>
      <c r="AL139">
        <f>IF($D139=1,IF(GDP_per_cap!AH72&gt;'all_1961-1990'!$H$1,0,IF(UrbanPopRate!AH72&gt;=$J$1,0,1)),0)</f>
        <v>0</v>
      </c>
      <c r="AM139">
        <f>IF($D139=1,IF(GDP_per_cap!AI72&gt;'all_1961-1990'!$H$1,0,IF(UrbanPopRate!AI72&gt;=$J$1,0,1)),0)</f>
        <v>0</v>
      </c>
      <c r="AN139">
        <f>IF($D139=1,IF(GDP_per_cap!AJ72&gt;'all_1961-1990'!$H$1,0,IF(UrbanPopRate!AJ72&gt;=$J$1,0,1)),0)</f>
        <v>0</v>
      </c>
      <c r="AO139">
        <f>IF($D139=1,IF(GDP_per_cap!AK72&gt;'all_1961-1990'!$H$1,0,IF(UrbanPopRate!AK72&gt;=$J$1,0,1)),0)</f>
        <v>0</v>
      </c>
      <c r="AP139">
        <f>IF($D139=1,IF(GDP_per_cap!AL72&gt;'all_1961-1990'!$H$1,0,IF(UrbanPopRate!AL72&gt;=$J$1,0,1)),0)</f>
        <v>0</v>
      </c>
      <c r="AQ139">
        <f>IF($D139=1,IF(GDP_per_cap!AM72&gt;'all_1961-1990'!$H$1,0,IF(UrbanPopRate!AM72&gt;=$J$1,0,1)),0)</f>
        <v>0</v>
      </c>
      <c r="AR139">
        <f>IF($D139=1,IF(GDP_per_cap!AN72&gt;'all_1961-1990'!$H$1,0,IF(UrbanPopRate!AN72&gt;=$J$1,0,1)),0)</f>
        <v>0</v>
      </c>
      <c r="AS139">
        <f>IF($D139=1,IF(GDP_per_cap!AO72&gt;'all_1961-1990'!$H$1,0,IF(UrbanPopRate!AO72&gt;=$J$1,0,1)),0)</f>
        <v>0</v>
      </c>
      <c r="AT139">
        <f>IF($D139=1,IF(GDP_per_cap!AP72&gt;'all_1961-1990'!$H$1,0,IF(UrbanPopRate!AP72&gt;=$J$1,0,1)),0)</f>
        <v>0</v>
      </c>
      <c r="AU139">
        <f>IF($D139=1,IF(GDP_per_cap!AQ72&gt;'all_1961-1990'!$H$1,0,IF(UrbanPopRate!AQ72&gt;=$J$1,0,1)),0)</f>
        <v>0</v>
      </c>
      <c r="AV139">
        <f>IF($D139=1,IF(GDP_per_cap!AR72&gt;'all_1961-1990'!$H$1,0,IF(UrbanPopRate!AR72&gt;=$J$1,0,1)),0)</f>
        <v>0</v>
      </c>
      <c r="AW139">
        <f>IF($D139=1,IF(GDP_per_cap!AS72&gt;'all_1961-1990'!$H$1,0,IF(UrbanPopRate!AS72&gt;=$J$1,0,1)),0)</f>
        <v>0</v>
      </c>
      <c r="AX139">
        <f>IF($D139=1,IF(GDP_per_cap!AT72&gt;'all_1961-1990'!$H$1,0,IF(UrbanPopRate!AT72&gt;=$J$1,0,1)),0)</f>
        <v>0</v>
      </c>
      <c r="AY139">
        <f>IF($D139=1,IF(GDP_per_cap!AU72&gt;'all_1961-1990'!$H$1,0,IF(UrbanPopRate!AU72&gt;=$J$1,0,1)),0)</f>
        <v>0</v>
      </c>
      <c r="AZ139">
        <f>IF($D139=1,IF(GDP_per_cap!AV72&gt;'all_1961-1990'!$H$1,0,IF(UrbanPopRate!AV72&gt;=$J$1,0,1)),0)</f>
        <v>0</v>
      </c>
      <c r="BA139">
        <f>IF($D139=1,IF(GDP_per_cap!AW72&gt;'all_1961-1990'!$H$1,0,IF(UrbanPopRate!AW72&gt;=$J$1,0,1)),0)</f>
        <v>0</v>
      </c>
      <c r="BB139">
        <f>IF($D139=1,IF(GDP_per_cap!AX72&gt;'all_1961-1990'!$H$1,0,IF(UrbanPopRate!AX72&gt;=$J$1,0,1)),0)</f>
        <v>0</v>
      </c>
      <c r="BC139">
        <f>IF($D139=1,IF(GDP_per_cap!AY72&gt;'all_1961-1990'!$H$1,0,IF(UrbanPopRate!AY72&gt;=$J$1,0,1)),0)</f>
        <v>0</v>
      </c>
      <c r="BD139">
        <f>IF($D139=1,IF(GDP_per_cap!AZ72&gt;'all_1961-1990'!$H$1,0,IF(UrbanPopRate!AZ72&gt;=$J$1,0,1)),0)</f>
        <v>0</v>
      </c>
      <c r="BE139">
        <f>IF($D139=1,IF(GDP_per_cap!BA72&gt;'all_1961-1990'!$H$1,0,IF(UrbanPopRate!BA72&gt;=$J$1,0,1)),0)</f>
        <v>0</v>
      </c>
      <c r="BF139">
        <f>IF($D139=1,IF(GDP_per_cap!BB72&gt;'all_1961-1990'!$H$1,0,IF(UrbanPopRate!BB72&gt;=$J$1,0,1)),0)</f>
        <v>0</v>
      </c>
    </row>
    <row r="140" spans="1:58">
      <c r="A140" s="12">
        <v>119</v>
      </c>
      <c r="B140" s="12" t="s">
        <v>79</v>
      </c>
      <c r="C140" s="13"/>
      <c r="D140" s="13">
        <v>1</v>
      </c>
      <c r="E140" s="13">
        <v>37.474266666666672</v>
      </c>
      <c r="F140" s="13"/>
      <c r="G140">
        <f>IF($D140=1,IF(GDP_per_cap!C77&gt;'all_1961-1990'!$H$1,0,IF(UrbanPopRate!C77&gt;=$J$1,0,1)),0)</f>
        <v>0</v>
      </c>
      <c r="H140">
        <f>IF($D140=1,IF(GDP_per_cap!D77&gt;'all_1961-1990'!$H$1,0,IF(UrbanPopRate!D77&gt;=$J$1,0,1)),0)</f>
        <v>0</v>
      </c>
      <c r="I140">
        <f>IF($D140=1,IF(GDP_per_cap!E77&gt;'all_1961-1990'!$H$1,0,IF(UrbanPopRate!E77&gt;=$J$1,0,1)),0)</f>
        <v>0</v>
      </c>
      <c r="J140">
        <f>IF($D140=1,IF(GDP_per_cap!F77&gt;'all_1961-1990'!$H$1,0,IF(UrbanPopRate!F77&gt;=$J$1,0,1)),0)</f>
        <v>0</v>
      </c>
      <c r="K140">
        <f>IF($D140=1,IF(GDP_per_cap!G77&gt;'all_1961-1990'!$H$1,0,IF(UrbanPopRate!G77&gt;=$J$1,0,1)),0)</f>
        <v>0</v>
      </c>
      <c r="L140">
        <f>IF($D140=1,IF(GDP_per_cap!H77&gt;'all_1961-1990'!$H$1,0,IF(UrbanPopRate!H77&gt;=$J$1,0,1)),0)</f>
        <v>0</v>
      </c>
      <c r="M140">
        <f>IF($D140=1,IF(GDP_per_cap!I77&gt;'all_1961-1990'!$H$1,0,IF(UrbanPopRate!I77&gt;=$J$1,0,1)),0)</f>
        <v>0</v>
      </c>
      <c r="N140">
        <f>IF($D140=1,IF(GDP_per_cap!J77&gt;'all_1961-1990'!$H$1,0,IF(UrbanPopRate!J77&gt;=$J$1,0,1)),0)</f>
        <v>0</v>
      </c>
      <c r="O140">
        <f>IF($D140=1,IF(GDP_per_cap!K77&gt;'all_1961-1990'!$H$1,0,IF(UrbanPopRate!K77&gt;=$J$1,0,1)),0)</f>
        <v>0</v>
      </c>
      <c r="P140">
        <f>IF($D140=1,IF(GDP_per_cap!L77&gt;'all_1961-1990'!$H$1,0,IF(UrbanPopRate!L77&gt;=$J$1,0,1)),0)</f>
        <v>0</v>
      </c>
      <c r="Q140">
        <f>IF($D140=1,IF(GDP_per_cap!M77&gt;'all_1961-1990'!$H$1,0,IF(UrbanPopRate!M77&gt;=$J$1,0,1)),0)</f>
        <v>0</v>
      </c>
      <c r="R140">
        <f>IF($D140=1,IF(GDP_per_cap!N77&gt;'all_1961-1990'!$H$1,0,IF(UrbanPopRate!N77&gt;=$J$1,0,1)),0)</f>
        <v>0</v>
      </c>
      <c r="S140">
        <f>IF($D140=1,IF(GDP_per_cap!O77&gt;'all_1961-1990'!$H$1,0,IF(UrbanPopRate!O77&gt;=$J$1,0,1)),0)</f>
        <v>0</v>
      </c>
      <c r="T140">
        <f>IF($D140=1,IF(GDP_per_cap!P77&gt;'all_1961-1990'!$H$1,0,IF(UrbanPopRate!P77&gt;=$J$1,0,1)),0)</f>
        <v>0</v>
      </c>
      <c r="U140">
        <f>IF($D140=1,IF(GDP_per_cap!Q77&gt;'all_1961-1990'!$H$1,0,IF(UrbanPopRate!Q77&gt;=$J$1,0,1)),0)</f>
        <v>0</v>
      </c>
      <c r="V140">
        <f>IF($D140=1,IF(GDP_per_cap!R77&gt;'all_1961-1990'!$H$1,0,IF(UrbanPopRate!R77&gt;=$J$1,0,1)),0)</f>
        <v>0</v>
      </c>
      <c r="W140">
        <f>IF($D140=1,IF(GDP_per_cap!S77&gt;'all_1961-1990'!$H$1,0,IF(UrbanPopRate!S77&gt;=$J$1,0,1)),0)</f>
        <v>0</v>
      </c>
      <c r="X140">
        <f>IF($D140=1,IF(GDP_per_cap!T77&gt;'all_1961-1990'!$H$1,0,IF(UrbanPopRate!T77&gt;=$J$1,0,1)),0)</f>
        <v>0</v>
      </c>
      <c r="Y140">
        <f>IF($D140=1,IF(GDP_per_cap!U77&gt;'all_1961-1990'!$H$1,0,IF(UrbanPopRate!U77&gt;=$J$1,0,1)),0)</f>
        <v>0</v>
      </c>
      <c r="Z140">
        <f>IF($D140=1,IF(GDP_per_cap!V77&gt;'all_1961-1990'!$H$1,0,IF(UrbanPopRate!V77&gt;=$J$1,0,1)),0)</f>
        <v>0</v>
      </c>
      <c r="AA140">
        <f>IF($D140=1,IF(GDP_per_cap!W77&gt;'all_1961-1990'!$H$1,0,IF(UrbanPopRate!W77&gt;=$J$1,0,1)),0)</f>
        <v>0</v>
      </c>
      <c r="AB140">
        <f>IF($D140=1,IF(GDP_per_cap!X77&gt;'all_1961-1990'!$H$1,0,IF(UrbanPopRate!X77&gt;=$J$1,0,1)),0)</f>
        <v>0</v>
      </c>
      <c r="AC140">
        <f>IF($D140=1,IF(GDP_per_cap!Y77&gt;'all_1961-1990'!$H$1,0,IF(UrbanPopRate!Y77&gt;=$J$1,0,1)),0)</f>
        <v>0</v>
      </c>
      <c r="AD140">
        <f>IF($D140=1,IF(GDP_per_cap!Z77&gt;'all_1961-1990'!$H$1,0,IF(UrbanPopRate!Z77&gt;=$J$1,0,1)),0)</f>
        <v>0</v>
      </c>
      <c r="AE140">
        <f>IF($D140=1,IF(GDP_per_cap!AA77&gt;'all_1961-1990'!$H$1,0,IF(UrbanPopRate!AA77&gt;=$J$1,0,1)),0)</f>
        <v>0</v>
      </c>
      <c r="AF140">
        <f>IF($D140=1,IF(GDP_per_cap!AB77&gt;'all_1961-1990'!$H$1,0,IF(UrbanPopRate!AB77&gt;=$J$1,0,1)),0)</f>
        <v>0</v>
      </c>
      <c r="AG140">
        <f>IF($D140=1,IF(GDP_per_cap!AC77&gt;'all_1961-1990'!$H$1,0,IF(UrbanPopRate!AC77&gt;=$J$1,0,1)),0)</f>
        <v>0</v>
      </c>
      <c r="AH140">
        <f>IF($D140=1,IF(GDP_per_cap!AD77&gt;'all_1961-1990'!$H$1,0,IF(UrbanPopRate!AD77&gt;=$J$1,0,1)),0)</f>
        <v>0</v>
      </c>
      <c r="AI140">
        <f>IF($D140=1,IF(GDP_per_cap!AE77&gt;'all_1961-1990'!$H$1,0,IF(UrbanPopRate!AE77&gt;=$J$1,0,1)),0)</f>
        <v>0</v>
      </c>
      <c r="AJ140">
        <f>IF($D140=1,IF(GDP_per_cap!AF77&gt;'all_1961-1990'!$H$1,0,IF(UrbanPopRate!AF77&gt;=$J$1,0,1)),0)</f>
        <v>0</v>
      </c>
      <c r="AK140">
        <f>IF($D140=1,IF(GDP_per_cap!AG77&gt;'all_1961-1990'!$H$1,0,IF(UrbanPopRate!AG77&gt;=$J$1,0,1)),0)</f>
        <v>0</v>
      </c>
      <c r="AL140">
        <f>IF($D140=1,IF(GDP_per_cap!AH77&gt;'all_1961-1990'!$H$1,0,IF(UrbanPopRate!AH77&gt;=$J$1,0,1)),0)</f>
        <v>0</v>
      </c>
      <c r="AM140">
        <f>IF($D140=1,IF(GDP_per_cap!AI77&gt;'all_1961-1990'!$H$1,0,IF(UrbanPopRate!AI77&gt;=$J$1,0,1)),0)</f>
        <v>0</v>
      </c>
      <c r="AN140">
        <f>IF($D140=1,IF(GDP_per_cap!AJ77&gt;'all_1961-1990'!$H$1,0,IF(UrbanPopRate!AJ77&gt;=$J$1,0,1)),0)</f>
        <v>0</v>
      </c>
      <c r="AO140">
        <f>IF($D140=1,IF(GDP_per_cap!AK77&gt;'all_1961-1990'!$H$1,0,IF(UrbanPopRate!AK77&gt;=$J$1,0,1)),0)</f>
        <v>0</v>
      </c>
      <c r="AP140">
        <f>IF($D140=1,IF(GDP_per_cap!AL77&gt;'all_1961-1990'!$H$1,0,IF(UrbanPopRate!AL77&gt;=$J$1,0,1)),0)</f>
        <v>0</v>
      </c>
      <c r="AQ140">
        <f>IF($D140=1,IF(GDP_per_cap!AM77&gt;'all_1961-1990'!$H$1,0,IF(UrbanPopRate!AM77&gt;=$J$1,0,1)),0)</f>
        <v>0</v>
      </c>
      <c r="AR140">
        <f>IF($D140=1,IF(GDP_per_cap!AN77&gt;'all_1961-1990'!$H$1,0,IF(UrbanPopRate!AN77&gt;=$J$1,0,1)),0)</f>
        <v>0</v>
      </c>
      <c r="AS140">
        <f>IF($D140=1,IF(GDP_per_cap!AO77&gt;'all_1961-1990'!$H$1,0,IF(UrbanPopRate!AO77&gt;=$J$1,0,1)),0)</f>
        <v>0</v>
      </c>
      <c r="AT140">
        <f>IF($D140=1,IF(GDP_per_cap!AP77&gt;'all_1961-1990'!$H$1,0,IF(UrbanPopRate!AP77&gt;=$J$1,0,1)),0)</f>
        <v>0</v>
      </c>
      <c r="AU140">
        <f>IF($D140=1,IF(GDP_per_cap!AQ77&gt;'all_1961-1990'!$H$1,0,IF(UrbanPopRate!AQ77&gt;=$J$1,0,1)),0)</f>
        <v>0</v>
      </c>
      <c r="AV140">
        <f>IF($D140=1,IF(GDP_per_cap!AR77&gt;'all_1961-1990'!$H$1,0,IF(UrbanPopRate!AR77&gt;=$J$1,0,1)),0)</f>
        <v>0</v>
      </c>
      <c r="AW140">
        <f>IF($D140=1,IF(GDP_per_cap!AS77&gt;'all_1961-1990'!$H$1,0,IF(UrbanPopRate!AS77&gt;=$J$1,0,1)),0)</f>
        <v>0</v>
      </c>
      <c r="AX140">
        <f>IF($D140=1,IF(GDP_per_cap!AT77&gt;'all_1961-1990'!$H$1,0,IF(UrbanPopRate!AT77&gt;=$J$1,0,1)),0)</f>
        <v>0</v>
      </c>
      <c r="AY140">
        <f>IF($D140=1,IF(GDP_per_cap!AU77&gt;'all_1961-1990'!$H$1,0,IF(UrbanPopRate!AU77&gt;=$J$1,0,1)),0)</f>
        <v>0</v>
      </c>
      <c r="AZ140">
        <f>IF($D140=1,IF(GDP_per_cap!AV77&gt;'all_1961-1990'!$H$1,0,IF(UrbanPopRate!AV77&gt;=$J$1,0,1)),0)</f>
        <v>0</v>
      </c>
      <c r="BA140">
        <f>IF($D140=1,IF(GDP_per_cap!AW77&gt;'all_1961-1990'!$H$1,0,IF(UrbanPopRate!AW77&gt;=$J$1,0,1)),0)</f>
        <v>0</v>
      </c>
      <c r="BB140">
        <f>IF($D140=1,IF(GDP_per_cap!AX77&gt;'all_1961-1990'!$H$1,0,IF(UrbanPopRate!AX77&gt;=$J$1,0,1)),0)</f>
        <v>0</v>
      </c>
      <c r="BC140">
        <f>IF($D140=1,IF(GDP_per_cap!AY77&gt;'all_1961-1990'!$H$1,0,IF(UrbanPopRate!AY77&gt;=$J$1,0,1)),0)</f>
        <v>0</v>
      </c>
      <c r="BD140">
        <f>IF($D140=1,IF(GDP_per_cap!AZ77&gt;'all_1961-1990'!$H$1,0,IF(UrbanPopRate!AZ77&gt;=$J$1,0,1)),0)</f>
        <v>0</v>
      </c>
      <c r="BE140">
        <f>IF($D140=1,IF(GDP_per_cap!BA77&gt;'all_1961-1990'!$H$1,0,IF(UrbanPopRate!BA77&gt;=$J$1,0,1)),0)</f>
        <v>0</v>
      </c>
      <c r="BF140">
        <f>IF($D140=1,IF(GDP_per_cap!BB77&gt;'all_1961-1990'!$H$1,0,IF(UrbanPopRate!BB77&gt;=$J$1,0,1)),0)</f>
        <v>0</v>
      </c>
    </row>
    <row r="141" spans="1:58">
      <c r="A141" s="12">
        <v>120</v>
      </c>
      <c r="B141" s="12" t="s">
        <v>78</v>
      </c>
      <c r="C141" s="13"/>
      <c r="D141" s="13">
        <v>1</v>
      </c>
      <c r="E141" s="13">
        <v>11.275100000000002</v>
      </c>
      <c r="F141" s="13"/>
      <c r="G141">
        <f>IF($D141=1,IF(GDP_per_cap!C78&gt;'all_1961-1990'!$H$1,0,IF(UrbanPopRate!C78&gt;=$J$1,0,1)),0)</f>
        <v>1</v>
      </c>
      <c r="H141">
        <f>IF($D141=1,IF(GDP_per_cap!D78&gt;'all_1961-1990'!$H$1,0,IF(UrbanPopRate!D78&gt;=$J$1,0,1)),0)</f>
        <v>1</v>
      </c>
      <c r="I141">
        <f>IF($D141=1,IF(GDP_per_cap!E78&gt;'all_1961-1990'!$H$1,0,IF(UrbanPopRate!E78&gt;=$J$1,0,1)),0)</f>
        <v>1</v>
      </c>
      <c r="J141">
        <f>IF($D141=1,IF(GDP_per_cap!F78&gt;'all_1961-1990'!$H$1,0,IF(UrbanPopRate!F78&gt;=$J$1,0,1)),0)</f>
        <v>1</v>
      </c>
      <c r="K141">
        <f>IF($D141=1,IF(GDP_per_cap!G78&gt;'all_1961-1990'!$H$1,0,IF(UrbanPopRate!G78&gt;=$J$1,0,1)),0)</f>
        <v>1</v>
      </c>
      <c r="L141">
        <f>IF($D141=1,IF(GDP_per_cap!H78&gt;'all_1961-1990'!$H$1,0,IF(UrbanPopRate!H78&gt;=$J$1,0,1)),0)</f>
        <v>1</v>
      </c>
      <c r="M141">
        <f>IF($D141=1,IF(GDP_per_cap!I78&gt;'all_1961-1990'!$H$1,0,IF(UrbanPopRate!I78&gt;=$J$1,0,1)),0)</f>
        <v>1</v>
      </c>
      <c r="N141">
        <f>IF($D141=1,IF(GDP_per_cap!J78&gt;'all_1961-1990'!$H$1,0,IF(UrbanPopRate!J78&gt;=$J$1,0,1)),0)</f>
        <v>1</v>
      </c>
      <c r="O141">
        <f>IF($D141=1,IF(GDP_per_cap!K78&gt;'all_1961-1990'!$H$1,0,IF(UrbanPopRate!K78&gt;=$J$1,0,1)),0)</f>
        <v>1</v>
      </c>
      <c r="P141">
        <f>IF($D141=1,IF(GDP_per_cap!L78&gt;'all_1961-1990'!$H$1,0,IF(UrbanPopRate!L78&gt;=$J$1,0,1)),0)</f>
        <v>1</v>
      </c>
      <c r="Q141">
        <f>IF($D141=1,IF(GDP_per_cap!M78&gt;'all_1961-1990'!$H$1,0,IF(UrbanPopRate!M78&gt;=$J$1,0,1)),0)</f>
        <v>1</v>
      </c>
      <c r="R141">
        <f>IF($D141=1,IF(GDP_per_cap!N78&gt;'all_1961-1990'!$H$1,0,IF(UrbanPopRate!N78&gt;=$J$1,0,1)),0)</f>
        <v>1</v>
      </c>
      <c r="S141">
        <f>IF($D141=1,IF(GDP_per_cap!O78&gt;'all_1961-1990'!$H$1,0,IF(UrbanPopRate!O78&gt;=$J$1,0,1)),0)</f>
        <v>1</v>
      </c>
      <c r="T141">
        <f>IF($D141=1,IF(GDP_per_cap!P78&gt;'all_1961-1990'!$H$1,0,IF(UrbanPopRate!P78&gt;=$J$1,0,1)),0)</f>
        <v>1</v>
      </c>
      <c r="U141">
        <f>IF($D141=1,IF(GDP_per_cap!Q78&gt;'all_1961-1990'!$H$1,0,IF(UrbanPopRate!Q78&gt;=$J$1,0,1)),0)</f>
        <v>1</v>
      </c>
      <c r="V141">
        <f>IF($D141=1,IF(GDP_per_cap!R78&gt;'all_1961-1990'!$H$1,0,IF(UrbanPopRate!R78&gt;=$J$1,0,1)),0)</f>
        <v>1</v>
      </c>
      <c r="W141">
        <f>IF($D141=1,IF(GDP_per_cap!S78&gt;'all_1961-1990'!$H$1,0,IF(UrbanPopRate!S78&gt;=$J$1,0,1)),0)</f>
        <v>1</v>
      </c>
      <c r="X141">
        <f>IF($D141=1,IF(GDP_per_cap!T78&gt;'all_1961-1990'!$H$1,0,IF(UrbanPopRate!T78&gt;=$J$1,0,1)),0)</f>
        <v>1</v>
      </c>
      <c r="Y141">
        <f>IF($D141=1,IF(GDP_per_cap!U78&gt;'all_1961-1990'!$H$1,0,IF(UrbanPopRate!U78&gt;=$J$1,0,1)),0)</f>
        <v>1</v>
      </c>
      <c r="Z141">
        <f>IF($D141=1,IF(GDP_per_cap!V78&gt;'all_1961-1990'!$H$1,0,IF(UrbanPopRate!V78&gt;=$J$1,0,1)),0)</f>
        <v>1</v>
      </c>
      <c r="AA141">
        <f>IF($D141=1,IF(GDP_per_cap!W78&gt;'all_1961-1990'!$H$1,0,IF(UrbanPopRate!W78&gt;=$J$1,0,1)),0)</f>
        <v>1</v>
      </c>
      <c r="AB141">
        <f>IF($D141=1,IF(GDP_per_cap!X78&gt;'all_1961-1990'!$H$1,0,IF(UrbanPopRate!X78&gt;=$J$1,0,1)),0)</f>
        <v>1</v>
      </c>
      <c r="AC141">
        <f>IF($D141=1,IF(GDP_per_cap!Y78&gt;'all_1961-1990'!$H$1,0,IF(UrbanPopRate!Y78&gt;=$J$1,0,1)),0)</f>
        <v>1</v>
      </c>
      <c r="AD141">
        <f>IF($D141=1,IF(GDP_per_cap!Z78&gt;'all_1961-1990'!$H$1,0,IF(UrbanPopRate!Z78&gt;=$J$1,0,1)),0)</f>
        <v>1</v>
      </c>
      <c r="AE141">
        <f>IF($D141=1,IF(GDP_per_cap!AA78&gt;'all_1961-1990'!$H$1,0,IF(UrbanPopRate!AA78&gt;=$J$1,0,1)),0)</f>
        <v>1</v>
      </c>
      <c r="AF141">
        <f>IF($D141=1,IF(GDP_per_cap!AB78&gt;'all_1961-1990'!$H$1,0,IF(UrbanPopRate!AB78&gt;=$J$1,0,1)),0)</f>
        <v>1</v>
      </c>
      <c r="AG141">
        <f>IF($D141=1,IF(GDP_per_cap!AC78&gt;'all_1961-1990'!$H$1,0,IF(UrbanPopRate!AC78&gt;=$J$1,0,1)),0)</f>
        <v>1</v>
      </c>
      <c r="AH141">
        <f>IF($D141=1,IF(GDP_per_cap!AD78&gt;'all_1961-1990'!$H$1,0,IF(UrbanPopRate!AD78&gt;=$J$1,0,1)),0)</f>
        <v>1</v>
      </c>
      <c r="AI141">
        <f>IF($D141=1,IF(GDP_per_cap!AE78&gt;'all_1961-1990'!$H$1,0,IF(UrbanPopRate!AE78&gt;=$J$1,0,1)),0)</f>
        <v>1</v>
      </c>
      <c r="AJ141">
        <f>IF($D141=1,IF(GDP_per_cap!AF78&gt;'all_1961-1990'!$H$1,0,IF(UrbanPopRate!AF78&gt;=$J$1,0,1)),0)</f>
        <v>1</v>
      </c>
      <c r="AK141">
        <f>IF($D141=1,IF(GDP_per_cap!AG78&gt;'all_1961-1990'!$H$1,0,IF(UrbanPopRate!AG78&gt;=$J$1,0,1)),0)</f>
        <v>1</v>
      </c>
      <c r="AL141">
        <f>IF($D141=1,IF(GDP_per_cap!AH78&gt;'all_1961-1990'!$H$1,0,IF(UrbanPopRate!AH78&gt;=$J$1,0,1)),0)</f>
        <v>1</v>
      </c>
      <c r="AM141">
        <f>IF($D141=1,IF(GDP_per_cap!AI78&gt;'all_1961-1990'!$H$1,0,IF(UrbanPopRate!AI78&gt;=$J$1,0,1)),0)</f>
        <v>1</v>
      </c>
      <c r="AN141">
        <f>IF($D141=1,IF(GDP_per_cap!AJ78&gt;'all_1961-1990'!$H$1,0,IF(UrbanPopRate!AJ78&gt;=$J$1,0,1)),0)</f>
        <v>1</v>
      </c>
      <c r="AO141">
        <f>IF($D141=1,IF(GDP_per_cap!AK78&gt;'all_1961-1990'!$H$1,0,IF(UrbanPopRate!AK78&gt;=$J$1,0,1)),0)</f>
        <v>1</v>
      </c>
      <c r="AP141">
        <f>IF($D141=1,IF(GDP_per_cap!AL78&gt;'all_1961-1990'!$H$1,0,IF(UrbanPopRate!AL78&gt;=$J$1,0,1)),0)</f>
        <v>1</v>
      </c>
      <c r="AQ141">
        <f>IF($D141=1,IF(GDP_per_cap!AM78&gt;'all_1961-1990'!$H$1,0,IF(UrbanPopRate!AM78&gt;=$J$1,0,1)),0)</f>
        <v>1</v>
      </c>
      <c r="AR141">
        <f>IF($D141=1,IF(GDP_per_cap!AN78&gt;'all_1961-1990'!$H$1,0,IF(UrbanPopRate!AN78&gt;=$J$1,0,1)),0)</f>
        <v>1</v>
      </c>
      <c r="AS141">
        <f>IF($D141=1,IF(GDP_per_cap!AO78&gt;'all_1961-1990'!$H$1,0,IF(UrbanPopRate!AO78&gt;=$J$1,0,1)),0)</f>
        <v>1</v>
      </c>
      <c r="AT141">
        <f>IF($D141=1,IF(GDP_per_cap!AP78&gt;'all_1961-1990'!$H$1,0,IF(UrbanPopRate!AP78&gt;=$J$1,0,1)),0)</f>
        <v>1</v>
      </c>
      <c r="AU141">
        <f>IF($D141=1,IF(GDP_per_cap!AQ78&gt;'all_1961-1990'!$H$1,0,IF(UrbanPopRate!AQ78&gt;=$J$1,0,1)),0)</f>
        <v>1</v>
      </c>
      <c r="AV141">
        <f>IF($D141=1,IF(GDP_per_cap!AR78&gt;'all_1961-1990'!$H$1,0,IF(UrbanPopRate!AR78&gt;=$J$1,0,1)),0)</f>
        <v>1</v>
      </c>
      <c r="AW141">
        <f>IF($D141=1,IF(GDP_per_cap!AS78&gt;'all_1961-1990'!$H$1,0,IF(UrbanPopRate!AS78&gt;=$J$1,0,1)),0)</f>
        <v>0</v>
      </c>
      <c r="AX141">
        <f>IF($D141=1,IF(GDP_per_cap!AT78&gt;'all_1961-1990'!$H$1,0,IF(UrbanPopRate!AT78&gt;=$J$1,0,1)),0)</f>
        <v>0</v>
      </c>
      <c r="AY141">
        <f>IF($D141=1,IF(GDP_per_cap!AU78&gt;'all_1961-1990'!$H$1,0,IF(UrbanPopRate!AU78&gt;=$J$1,0,1)),0)</f>
        <v>0</v>
      </c>
      <c r="AZ141">
        <f>IF($D141=1,IF(GDP_per_cap!AV78&gt;'all_1961-1990'!$H$1,0,IF(UrbanPopRate!AV78&gt;=$J$1,0,1)),0)</f>
        <v>0</v>
      </c>
      <c r="BA141">
        <f>IF($D141=1,IF(GDP_per_cap!AW78&gt;'all_1961-1990'!$H$1,0,IF(UrbanPopRate!AW78&gt;=$J$1,0,1)),0)</f>
        <v>0</v>
      </c>
      <c r="BB141">
        <f>IF($D141=1,IF(GDP_per_cap!AX78&gt;'all_1961-1990'!$H$1,0,IF(UrbanPopRate!AX78&gt;=$J$1,0,1)),0)</f>
        <v>0</v>
      </c>
      <c r="BC141">
        <f>IF($D141=1,IF(GDP_per_cap!AY78&gt;'all_1961-1990'!$H$1,0,IF(UrbanPopRate!AY78&gt;=$J$1,0,1)),0)</f>
        <v>0</v>
      </c>
      <c r="BD141">
        <f>IF($D141=1,IF(GDP_per_cap!AZ78&gt;'all_1961-1990'!$H$1,0,IF(UrbanPopRate!AZ78&gt;=$J$1,0,1)),0)</f>
        <v>0</v>
      </c>
      <c r="BE141">
        <f>IF($D141=1,IF(GDP_per_cap!BA78&gt;'all_1961-1990'!$H$1,0,IF(UrbanPopRate!BA78&gt;=$J$1,0,1)),0)</f>
        <v>0</v>
      </c>
      <c r="BF141">
        <f>IF($D141=1,IF(GDP_per_cap!BB78&gt;'all_1961-1990'!$H$1,0,IF(UrbanPopRate!BB78&gt;=$J$1,0,1)),0)</f>
        <v>0</v>
      </c>
    </row>
    <row r="142" spans="1:58">
      <c r="A142" s="12">
        <v>121</v>
      </c>
      <c r="B142" s="12" t="s">
        <v>77</v>
      </c>
      <c r="C142" s="13"/>
      <c r="D142" s="13">
        <v>1</v>
      </c>
      <c r="E142" s="13">
        <v>63.342300000000002</v>
      </c>
      <c r="F142" s="13"/>
      <c r="G142">
        <f>IF($D142=1,IF(GDP_per_cap!C79&gt;'all_1961-1990'!$H$1,0,IF(UrbanPopRate!C79&gt;=$J$1,0,1)),0)</f>
        <v>0</v>
      </c>
      <c r="H142">
        <f>IF($D142=1,IF(GDP_per_cap!D79&gt;'all_1961-1990'!$H$1,0,IF(UrbanPopRate!D79&gt;=$J$1,0,1)),0)</f>
        <v>0</v>
      </c>
      <c r="I142">
        <f>IF($D142=1,IF(GDP_per_cap!E79&gt;'all_1961-1990'!$H$1,0,IF(UrbanPopRate!E79&gt;=$J$1,0,1)),0)</f>
        <v>0</v>
      </c>
      <c r="J142">
        <f>IF($D142=1,IF(GDP_per_cap!F79&gt;'all_1961-1990'!$H$1,0,IF(UrbanPopRate!F79&gt;=$J$1,0,1)),0)</f>
        <v>0</v>
      </c>
      <c r="K142">
        <f>IF($D142=1,IF(GDP_per_cap!G79&gt;'all_1961-1990'!$H$1,0,IF(UrbanPopRate!G79&gt;=$J$1,0,1)),0)</f>
        <v>0</v>
      </c>
      <c r="L142">
        <f>IF($D142=1,IF(GDP_per_cap!H79&gt;'all_1961-1990'!$H$1,0,IF(UrbanPopRate!H79&gt;=$J$1,0,1)),0)</f>
        <v>0</v>
      </c>
      <c r="M142">
        <f>IF($D142=1,IF(GDP_per_cap!I79&gt;'all_1961-1990'!$H$1,0,IF(UrbanPopRate!I79&gt;=$J$1,0,1)),0)</f>
        <v>0</v>
      </c>
      <c r="N142">
        <f>IF($D142=1,IF(GDP_per_cap!J79&gt;'all_1961-1990'!$H$1,0,IF(UrbanPopRate!J79&gt;=$J$1,0,1)),0)</f>
        <v>0</v>
      </c>
      <c r="O142">
        <f>IF($D142=1,IF(GDP_per_cap!K79&gt;'all_1961-1990'!$H$1,0,IF(UrbanPopRate!K79&gt;=$J$1,0,1)),0)</f>
        <v>0</v>
      </c>
      <c r="P142">
        <f>IF($D142=1,IF(GDP_per_cap!L79&gt;'all_1961-1990'!$H$1,0,IF(UrbanPopRate!L79&gt;=$J$1,0,1)),0)</f>
        <v>0</v>
      </c>
      <c r="Q142">
        <f>IF($D142=1,IF(GDP_per_cap!M79&gt;'all_1961-1990'!$H$1,0,IF(UrbanPopRate!M79&gt;=$J$1,0,1)),0)</f>
        <v>0</v>
      </c>
      <c r="R142">
        <f>IF($D142=1,IF(GDP_per_cap!N79&gt;'all_1961-1990'!$H$1,0,IF(UrbanPopRate!N79&gt;=$J$1,0,1)),0)</f>
        <v>0</v>
      </c>
      <c r="S142">
        <f>IF($D142=1,IF(GDP_per_cap!O79&gt;'all_1961-1990'!$H$1,0,IF(UrbanPopRate!O79&gt;=$J$1,0,1)),0)</f>
        <v>0</v>
      </c>
      <c r="T142">
        <f>IF($D142=1,IF(GDP_per_cap!P79&gt;'all_1961-1990'!$H$1,0,IF(UrbanPopRate!P79&gt;=$J$1,0,1)),0)</f>
        <v>0</v>
      </c>
      <c r="U142">
        <f>IF($D142=1,IF(GDP_per_cap!Q79&gt;'all_1961-1990'!$H$1,0,IF(UrbanPopRate!Q79&gt;=$J$1,0,1)),0)</f>
        <v>0</v>
      </c>
      <c r="V142">
        <f>IF($D142=1,IF(GDP_per_cap!R79&gt;'all_1961-1990'!$H$1,0,IF(UrbanPopRate!R79&gt;=$J$1,0,1)),0)</f>
        <v>0</v>
      </c>
      <c r="W142">
        <f>IF($D142=1,IF(GDP_per_cap!S79&gt;'all_1961-1990'!$H$1,0,IF(UrbanPopRate!S79&gt;=$J$1,0,1)),0)</f>
        <v>0</v>
      </c>
      <c r="X142">
        <f>IF($D142=1,IF(GDP_per_cap!T79&gt;'all_1961-1990'!$H$1,0,IF(UrbanPopRate!T79&gt;=$J$1,0,1)),0)</f>
        <v>0</v>
      </c>
      <c r="Y142">
        <f>IF($D142=1,IF(GDP_per_cap!U79&gt;'all_1961-1990'!$H$1,0,IF(UrbanPopRate!U79&gt;=$J$1,0,1)),0)</f>
        <v>0</v>
      </c>
      <c r="Z142">
        <f>IF($D142=1,IF(GDP_per_cap!V79&gt;'all_1961-1990'!$H$1,0,IF(UrbanPopRate!V79&gt;=$J$1,0,1)),0)</f>
        <v>0</v>
      </c>
      <c r="AA142">
        <f>IF($D142=1,IF(GDP_per_cap!W79&gt;'all_1961-1990'!$H$1,0,IF(UrbanPopRate!W79&gt;=$J$1,0,1)),0)</f>
        <v>0</v>
      </c>
      <c r="AB142">
        <f>IF($D142=1,IF(GDP_per_cap!X79&gt;'all_1961-1990'!$H$1,0,IF(UrbanPopRate!X79&gt;=$J$1,0,1)),0)</f>
        <v>0</v>
      </c>
      <c r="AC142">
        <f>IF($D142=1,IF(GDP_per_cap!Y79&gt;'all_1961-1990'!$H$1,0,IF(UrbanPopRate!Y79&gt;=$J$1,0,1)),0)</f>
        <v>0</v>
      </c>
      <c r="AD142">
        <f>IF($D142=1,IF(GDP_per_cap!Z79&gt;'all_1961-1990'!$H$1,0,IF(UrbanPopRate!Z79&gt;=$J$1,0,1)),0)</f>
        <v>0</v>
      </c>
      <c r="AE142">
        <f>IF($D142=1,IF(GDP_per_cap!AA79&gt;'all_1961-1990'!$H$1,0,IF(UrbanPopRate!AA79&gt;=$J$1,0,1)),0)</f>
        <v>0</v>
      </c>
      <c r="AF142">
        <f>IF($D142=1,IF(GDP_per_cap!AB79&gt;'all_1961-1990'!$H$1,0,IF(UrbanPopRate!AB79&gt;=$J$1,0,1)),0)</f>
        <v>0</v>
      </c>
      <c r="AG142">
        <f>IF($D142=1,IF(GDP_per_cap!AC79&gt;'all_1961-1990'!$H$1,0,IF(UrbanPopRate!AC79&gt;=$J$1,0,1)),0)</f>
        <v>0</v>
      </c>
      <c r="AH142">
        <f>IF($D142=1,IF(GDP_per_cap!AD79&gt;'all_1961-1990'!$H$1,0,IF(UrbanPopRate!AD79&gt;=$J$1,0,1)),0)</f>
        <v>0</v>
      </c>
      <c r="AI142">
        <f>IF($D142=1,IF(GDP_per_cap!AE79&gt;'all_1961-1990'!$H$1,0,IF(UrbanPopRate!AE79&gt;=$J$1,0,1)),0)</f>
        <v>0</v>
      </c>
      <c r="AJ142">
        <f>IF($D142=1,IF(GDP_per_cap!AF79&gt;'all_1961-1990'!$H$1,0,IF(UrbanPopRate!AF79&gt;=$J$1,0,1)),0)</f>
        <v>0</v>
      </c>
      <c r="AK142">
        <f>IF($D142=1,IF(GDP_per_cap!AG79&gt;'all_1961-1990'!$H$1,0,IF(UrbanPopRate!AG79&gt;=$J$1,0,1)),0)</f>
        <v>0</v>
      </c>
      <c r="AL142">
        <f>IF($D142=1,IF(GDP_per_cap!AH79&gt;'all_1961-1990'!$H$1,0,IF(UrbanPopRate!AH79&gt;=$J$1,0,1)),0)</f>
        <v>0</v>
      </c>
      <c r="AM142">
        <f>IF($D142=1,IF(GDP_per_cap!AI79&gt;'all_1961-1990'!$H$1,0,IF(UrbanPopRate!AI79&gt;=$J$1,0,1)),0)</f>
        <v>0</v>
      </c>
      <c r="AN142">
        <f>IF($D142=1,IF(GDP_per_cap!AJ79&gt;'all_1961-1990'!$H$1,0,IF(UrbanPopRate!AJ79&gt;=$J$1,0,1)),0)</f>
        <v>0</v>
      </c>
      <c r="AO142">
        <f>IF($D142=1,IF(GDP_per_cap!AK79&gt;'all_1961-1990'!$H$1,0,IF(UrbanPopRate!AK79&gt;=$J$1,0,1)),0)</f>
        <v>0</v>
      </c>
      <c r="AP142">
        <f>IF($D142=1,IF(GDP_per_cap!AL79&gt;'all_1961-1990'!$H$1,0,IF(UrbanPopRate!AL79&gt;=$J$1,0,1)),0)</f>
        <v>0</v>
      </c>
      <c r="AQ142">
        <f>IF($D142=1,IF(GDP_per_cap!AM79&gt;'all_1961-1990'!$H$1,0,IF(UrbanPopRate!AM79&gt;=$J$1,0,1)),0)</f>
        <v>0</v>
      </c>
      <c r="AR142">
        <f>IF($D142=1,IF(GDP_per_cap!AN79&gt;'all_1961-1990'!$H$1,0,IF(UrbanPopRate!AN79&gt;=$J$1,0,1)),0)</f>
        <v>0</v>
      </c>
      <c r="AS142">
        <f>IF($D142=1,IF(GDP_per_cap!AO79&gt;'all_1961-1990'!$H$1,0,IF(UrbanPopRate!AO79&gt;=$J$1,0,1)),0)</f>
        <v>0</v>
      </c>
      <c r="AT142">
        <f>IF($D142=1,IF(GDP_per_cap!AP79&gt;'all_1961-1990'!$H$1,0,IF(UrbanPopRate!AP79&gt;=$J$1,0,1)),0)</f>
        <v>0</v>
      </c>
      <c r="AU142">
        <f>IF($D142=1,IF(GDP_per_cap!AQ79&gt;'all_1961-1990'!$H$1,0,IF(UrbanPopRate!AQ79&gt;=$J$1,0,1)),0)</f>
        <v>0</v>
      </c>
      <c r="AV142">
        <f>IF($D142=1,IF(GDP_per_cap!AR79&gt;'all_1961-1990'!$H$1,0,IF(UrbanPopRate!AR79&gt;=$J$1,0,1)),0)</f>
        <v>0</v>
      </c>
      <c r="AW142">
        <f>IF($D142=1,IF(GDP_per_cap!AS79&gt;'all_1961-1990'!$H$1,0,IF(UrbanPopRate!AS79&gt;=$J$1,0,1)),0)</f>
        <v>0</v>
      </c>
      <c r="AX142">
        <f>IF($D142=1,IF(GDP_per_cap!AT79&gt;'all_1961-1990'!$H$1,0,IF(UrbanPopRate!AT79&gt;=$J$1,0,1)),0)</f>
        <v>0</v>
      </c>
      <c r="AY142">
        <f>IF($D142=1,IF(GDP_per_cap!AU79&gt;'all_1961-1990'!$H$1,0,IF(UrbanPopRate!AU79&gt;=$J$1,0,1)),0)</f>
        <v>0</v>
      </c>
      <c r="AZ142">
        <f>IF($D142=1,IF(GDP_per_cap!AV79&gt;'all_1961-1990'!$H$1,0,IF(UrbanPopRate!AV79&gt;=$J$1,0,1)),0)</f>
        <v>0</v>
      </c>
      <c r="BA142">
        <f>IF($D142=1,IF(GDP_per_cap!AW79&gt;'all_1961-1990'!$H$1,0,IF(UrbanPopRate!AW79&gt;=$J$1,0,1)),0)</f>
        <v>0</v>
      </c>
      <c r="BB142">
        <f>IF($D142=1,IF(GDP_per_cap!AX79&gt;'all_1961-1990'!$H$1,0,IF(UrbanPopRate!AX79&gt;=$J$1,0,1)),0)</f>
        <v>0</v>
      </c>
      <c r="BC142">
        <f>IF($D142=1,IF(GDP_per_cap!AY79&gt;'all_1961-1990'!$H$1,0,IF(UrbanPopRate!AY79&gt;=$J$1,0,1)),0)</f>
        <v>0</v>
      </c>
      <c r="BD142">
        <f>IF($D142=1,IF(GDP_per_cap!AZ79&gt;'all_1961-1990'!$H$1,0,IF(UrbanPopRate!AZ79&gt;=$J$1,0,1)),0)</f>
        <v>0</v>
      </c>
      <c r="BE142">
        <f>IF($D142=1,IF(GDP_per_cap!BA79&gt;'all_1961-1990'!$H$1,0,IF(UrbanPopRate!BA79&gt;=$J$1,0,1)),0)</f>
        <v>0</v>
      </c>
      <c r="BF142">
        <f>IF($D142=1,IF(GDP_per_cap!BB79&gt;'all_1961-1990'!$H$1,0,IF(UrbanPopRate!BB79&gt;=$J$1,0,1)),0)</f>
        <v>0</v>
      </c>
    </row>
    <row r="143" spans="1:58">
      <c r="A143" s="12">
        <v>127</v>
      </c>
      <c r="B143" s="12" t="s">
        <v>72</v>
      </c>
      <c r="C143" s="13"/>
      <c r="D143" s="13">
        <v>1</v>
      </c>
      <c r="E143" s="13">
        <v>55.36996666666667</v>
      </c>
      <c r="F143" s="13"/>
      <c r="G143">
        <f>IF($D143=1,IF(GDP_per_cap!C84&gt;'all_1961-1990'!$H$1,0,IF(UrbanPopRate!C84&gt;=$J$1,0,1)),0)</f>
        <v>0</v>
      </c>
      <c r="H143">
        <f>IF($D143=1,IF(GDP_per_cap!D84&gt;'all_1961-1990'!$H$1,0,IF(UrbanPopRate!D84&gt;=$J$1,0,1)),0)</f>
        <v>0</v>
      </c>
      <c r="I143">
        <f>IF($D143=1,IF(GDP_per_cap!E84&gt;'all_1961-1990'!$H$1,0,IF(UrbanPopRate!E84&gt;=$J$1,0,1)),0)</f>
        <v>0</v>
      </c>
      <c r="J143">
        <f>IF($D143=1,IF(GDP_per_cap!F84&gt;'all_1961-1990'!$H$1,0,IF(UrbanPopRate!F84&gt;=$J$1,0,1)),0)</f>
        <v>0</v>
      </c>
      <c r="K143">
        <f>IF($D143=1,IF(GDP_per_cap!G84&gt;'all_1961-1990'!$H$1,0,IF(UrbanPopRate!G84&gt;=$J$1,0,1)),0)</f>
        <v>0</v>
      </c>
      <c r="L143">
        <f>IF($D143=1,IF(GDP_per_cap!H84&gt;'all_1961-1990'!$H$1,0,IF(UrbanPopRate!H84&gt;=$J$1,0,1)),0)</f>
        <v>0</v>
      </c>
      <c r="M143">
        <f>IF($D143=1,IF(GDP_per_cap!I84&gt;'all_1961-1990'!$H$1,0,IF(UrbanPopRate!I84&gt;=$J$1,0,1)),0)</f>
        <v>0</v>
      </c>
      <c r="N143">
        <f>IF($D143=1,IF(GDP_per_cap!J84&gt;'all_1961-1990'!$H$1,0,IF(UrbanPopRate!J84&gt;=$J$1,0,1)),0)</f>
        <v>0</v>
      </c>
      <c r="O143">
        <f>IF($D143=1,IF(GDP_per_cap!K84&gt;'all_1961-1990'!$H$1,0,IF(UrbanPopRate!K84&gt;=$J$1,0,1)),0)</f>
        <v>0</v>
      </c>
      <c r="P143">
        <f>IF($D143=1,IF(GDP_per_cap!L84&gt;'all_1961-1990'!$H$1,0,IF(UrbanPopRate!L84&gt;=$J$1,0,1)),0)</f>
        <v>0</v>
      </c>
      <c r="Q143">
        <f>IF($D143=1,IF(GDP_per_cap!M84&gt;'all_1961-1990'!$H$1,0,IF(UrbanPopRate!M84&gt;=$J$1,0,1)),0)</f>
        <v>0</v>
      </c>
      <c r="R143">
        <f>IF($D143=1,IF(GDP_per_cap!N84&gt;'all_1961-1990'!$H$1,0,IF(UrbanPopRate!N84&gt;=$J$1,0,1)),0)</f>
        <v>0</v>
      </c>
      <c r="S143">
        <f>IF($D143=1,IF(GDP_per_cap!O84&gt;'all_1961-1990'!$H$1,0,IF(UrbanPopRate!O84&gt;=$J$1,0,1)),0)</f>
        <v>0</v>
      </c>
      <c r="T143">
        <f>IF($D143=1,IF(GDP_per_cap!P84&gt;'all_1961-1990'!$H$1,0,IF(UrbanPopRate!P84&gt;=$J$1,0,1)),0)</f>
        <v>0</v>
      </c>
      <c r="U143">
        <f>IF($D143=1,IF(GDP_per_cap!Q84&gt;'all_1961-1990'!$H$1,0,IF(UrbanPopRate!Q84&gt;=$J$1,0,1)),0)</f>
        <v>0</v>
      </c>
      <c r="V143">
        <f>IF($D143=1,IF(GDP_per_cap!R84&gt;'all_1961-1990'!$H$1,0,IF(UrbanPopRate!R84&gt;=$J$1,0,1)),0)</f>
        <v>0</v>
      </c>
      <c r="W143">
        <f>IF($D143=1,IF(GDP_per_cap!S84&gt;'all_1961-1990'!$H$1,0,IF(UrbanPopRate!S84&gt;=$J$1,0,1)),0)</f>
        <v>0</v>
      </c>
      <c r="X143">
        <f>IF($D143=1,IF(GDP_per_cap!T84&gt;'all_1961-1990'!$H$1,0,IF(UrbanPopRate!T84&gt;=$J$1,0,1)),0)</f>
        <v>0</v>
      </c>
      <c r="Y143">
        <f>IF($D143=1,IF(GDP_per_cap!U84&gt;'all_1961-1990'!$H$1,0,IF(UrbanPopRate!U84&gt;=$J$1,0,1)),0)</f>
        <v>0</v>
      </c>
      <c r="Z143">
        <f>IF($D143=1,IF(GDP_per_cap!V84&gt;'all_1961-1990'!$H$1,0,IF(UrbanPopRate!V84&gt;=$J$1,0,1)),0)</f>
        <v>0</v>
      </c>
      <c r="AA143">
        <f>IF($D143=1,IF(GDP_per_cap!W84&gt;'all_1961-1990'!$H$1,0,IF(UrbanPopRate!W84&gt;=$J$1,0,1)),0)</f>
        <v>0</v>
      </c>
      <c r="AB143">
        <f>IF($D143=1,IF(GDP_per_cap!X84&gt;'all_1961-1990'!$H$1,0,IF(UrbanPopRate!X84&gt;=$J$1,0,1)),0)</f>
        <v>0</v>
      </c>
      <c r="AC143">
        <f>IF($D143=1,IF(GDP_per_cap!Y84&gt;'all_1961-1990'!$H$1,0,IF(UrbanPopRate!Y84&gt;=$J$1,0,1)),0)</f>
        <v>0</v>
      </c>
      <c r="AD143">
        <f>IF($D143=1,IF(GDP_per_cap!Z84&gt;'all_1961-1990'!$H$1,0,IF(UrbanPopRate!Z84&gt;=$J$1,0,1)),0)</f>
        <v>0</v>
      </c>
      <c r="AE143">
        <f>IF($D143=1,IF(GDP_per_cap!AA84&gt;'all_1961-1990'!$H$1,0,IF(UrbanPopRate!AA84&gt;=$J$1,0,1)),0)</f>
        <v>0</v>
      </c>
      <c r="AF143">
        <f>IF($D143=1,IF(GDP_per_cap!AB84&gt;'all_1961-1990'!$H$1,0,IF(UrbanPopRate!AB84&gt;=$J$1,0,1)),0)</f>
        <v>0</v>
      </c>
      <c r="AG143">
        <f>IF($D143=1,IF(GDP_per_cap!AC84&gt;'all_1961-1990'!$H$1,0,IF(UrbanPopRate!AC84&gt;=$J$1,0,1)),0)</f>
        <v>0</v>
      </c>
      <c r="AH143">
        <f>IF($D143=1,IF(GDP_per_cap!AD84&gt;'all_1961-1990'!$H$1,0,IF(UrbanPopRate!AD84&gt;=$J$1,0,1)),0)</f>
        <v>0</v>
      </c>
      <c r="AI143">
        <f>IF($D143=1,IF(GDP_per_cap!AE84&gt;'all_1961-1990'!$H$1,0,IF(UrbanPopRate!AE84&gt;=$J$1,0,1)),0)</f>
        <v>0</v>
      </c>
      <c r="AJ143">
        <f>IF($D143=1,IF(GDP_per_cap!AF84&gt;'all_1961-1990'!$H$1,0,IF(UrbanPopRate!AF84&gt;=$J$1,0,1)),0)</f>
        <v>0</v>
      </c>
      <c r="AK143">
        <f>IF($D143=1,IF(GDP_per_cap!AG84&gt;'all_1961-1990'!$H$1,0,IF(UrbanPopRate!AG84&gt;=$J$1,0,1)),0)</f>
        <v>0</v>
      </c>
      <c r="AL143">
        <f>IF($D143=1,IF(GDP_per_cap!AH84&gt;'all_1961-1990'!$H$1,0,IF(UrbanPopRate!AH84&gt;=$J$1,0,1)),0)</f>
        <v>0</v>
      </c>
      <c r="AM143">
        <f>IF($D143=1,IF(GDP_per_cap!AI84&gt;'all_1961-1990'!$H$1,0,IF(UrbanPopRate!AI84&gt;=$J$1,0,1)),0)</f>
        <v>0</v>
      </c>
      <c r="AN143">
        <f>IF($D143=1,IF(GDP_per_cap!AJ84&gt;'all_1961-1990'!$H$1,0,IF(UrbanPopRate!AJ84&gt;=$J$1,0,1)),0)</f>
        <v>0</v>
      </c>
      <c r="AO143">
        <f>IF($D143=1,IF(GDP_per_cap!AK84&gt;'all_1961-1990'!$H$1,0,IF(UrbanPopRate!AK84&gt;=$J$1,0,1)),0)</f>
        <v>0</v>
      </c>
      <c r="AP143">
        <f>IF($D143=1,IF(GDP_per_cap!AL84&gt;'all_1961-1990'!$H$1,0,IF(UrbanPopRate!AL84&gt;=$J$1,0,1)),0)</f>
        <v>0</v>
      </c>
      <c r="AQ143">
        <f>IF($D143=1,IF(GDP_per_cap!AM84&gt;'all_1961-1990'!$H$1,0,IF(UrbanPopRate!AM84&gt;=$J$1,0,1)),0)</f>
        <v>0</v>
      </c>
      <c r="AR143">
        <f>IF($D143=1,IF(GDP_per_cap!AN84&gt;'all_1961-1990'!$H$1,0,IF(UrbanPopRate!AN84&gt;=$J$1,0,1)),0)</f>
        <v>0</v>
      </c>
      <c r="AS143">
        <f>IF($D143=1,IF(GDP_per_cap!AO84&gt;'all_1961-1990'!$H$1,0,IF(UrbanPopRate!AO84&gt;=$J$1,0,1)),0)</f>
        <v>0</v>
      </c>
      <c r="AT143">
        <f>IF($D143=1,IF(GDP_per_cap!AP84&gt;'all_1961-1990'!$H$1,0,IF(UrbanPopRate!AP84&gt;=$J$1,0,1)),0)</f>
        <v>0</v>
      </c>
      <c r="AU143">
        <f>IF($D143=1,IF(GDP_per_cap!AQ84&gt;'all_1961-1990'!$H$1,0,IF(UrbanPopRate!AQ84&gt;=$J$1,0,1)),0)</f>
        <v>0</v>
      </c>
      <c r="AV143">
        <f>IF($D143=1,IF(GDP_per_cap!AR84&gt;'all_1961-1990'!$H$1,0,IF(UrbanPopRate!AR84&gt;=$J$1,0,1)),0)</f>
        <v>0</v>
      </c>
      <c r="AW143">
        <f>IF($D143=1,IF(GDP_per_cap!AS84&gt;'all_1961-1990'!$H$1,0,IF(UrbanPopRate!AS84&gt;=$J$1,0,1)),0)</f>
        <v>0</v>
      </c>
      <c r="AX143">
        <f>IF($D143=1,IF(GDP_per_cap!AT84&gt;'all_1961-1990'!$H$1,0,IF(UrbanPopRate!AT84&gt;=$J$1,0,1)),0)</f>
        <v>0</v>
      </c>
      <c r="AY143">
        <f>IF($D143=1,IF(GDP_per_cap!AU84&gt;'all_1961-1990'!$H$1,0,IF(UrbanPopRate!AU84&gt;=$J$1,0,1)),0)</f>
        <v>0</v>
      </c>
      <c r="AZ143">
        <f>IF($D143=1,IF(GDP_per_cap!AV84&gt;'all_1961-1990'!$H$1,0,IF(UrbanPopRate!AV84&gt;=$J$1,0,1)),0)</f>
        <v>0</v>
      </c>
      <c r="BA143">
        <f>IF($D143=1,IF(GDP_per_cap!AW84&gt;'all_1961-1990'!$H$1,0,IF(UrbanPopRate!AW84&gt;=$J$1,0,1)),0)</f>
        <v>0</v>
      </c>
      <c r="BB143">
        <f>IF($D143=1,IF(GDP_per_cap!AX84&gt;'all_1961-1990'!$H$1,0,IF(UrbanPopRate!AX84&gt;=$J$1,0,1)),0)</f>
        <v>0</v>
      </c>
      <c r="BC143">
        <f>IF($D143=1,IF(GDP_per_cap!AY84&gt;'all_1961-1990'!$H$1,0,IF(UrbanPopRate!AY84&gt;=$J$1,0,1)),0)</f>
        <v>0</v>
      </c>
      <c r="BD143">
        <f>IF($D143=1,IF(GDP_per_cap!AZ84&gt;'all_1961-1990'!$H$1,0,IF(UrbanPopRate!AZ84&gt;=$J$1,0,1)),0)</f>
        <v>0</v>
      </c>
      <c r="BE143">
        <f>IF($D143=1,IF(GDP_per_cap!BA84&gt;'all_1961-1990'!$H$1,0,IF(UrbanPopRate!BA84&gt;=$J$1,0,1)),0)</f>
        <v>0</v>
      </c>
      <c r="BF143">
        <f>IF($D143=1,IF(GDP_per_cap!BB84&gt;'all_1961-1990'!$H$1,0,IF(UrbanPopRate!BB84&gt;=$J$1,0,1)),0)</f>
        <v>0</v>
      </c>
    </row>
    <row r="144" spans="1:58">
      <c r="A144" s="12">
        <v>130</v>
      </c>
      <c r="B144" s="12" t="s">
        <v>71</v>
      </c>
      <c r="C144" s="13"/>
      <c r="D144" s="13">
        <v>1</v>
      </c>
      <c r="E144" s="13">
        <v>49.241566666666678</v>
      </c>
      <c r="F144" s="13"/>
      <c r="G144">
        <f>IF($D144=1,IF(GDP_per_cap!C85&gt;'all_1961-1990'!$H$1,0,IF(UrbanPopRate!C85&gt;=$J$1,0,1)),0)</f>
        <v>0</v>
      </c>
      <c r="H144">
        <f>IF($D144=1,IF(GDP_per_cap!D85&gt;'all_1961-1990'!$H$1,0,IF(UrbanPopRate!D85&gt;=$J$1,0,1)),0)</f>
        <v>0</v>
      </c>
      <c r="I144">
        <f>IF($D144=1,IF(GDP_per_cap!E85&gt;'all_1961-1990'!$H$1,0,IF(UrbanPopRate!E85&gt;=$J$1,0,1)),0)</f>
        <v>0</v>
      </c>
      <c r="J144">
        <f>IF($D144=1,IF(GDP_per_cap!F85&gt;'all_1961-1990'!$H$1,0,IF(UrbanPopRate!F85&gt;=$J$1,0,1)),0)</f>
        <v>0</v>
      </c>
      <c r="K144">
        <f>IF($D144=1,IF(GDP_per_cap!G85&gt;'all_1961-1990'!$H$1,0,IF(UrbanPopRate!G85&gt;=$J$1,0,1)),0)</f>
        <v>0</v>
      </c>
      <c r="L144">
        <f>IF($D144=1,IF(GDP_per_cap!H85&gt;'all_1961-1990'!$H$1,0,IF(UrbanPopRate!H85&gt;=$J$1,0,1)),0)</f>
        <v>0</v>
      </c>
      <c r="M144">
        <f>IF($D144=1,IF(GDP_per_cap!I85&gt;'all_1961-1990'!$H$1,0,IF(UrbanPopRate!I85&gt;=$J$1,0,1)),0)</f>
        <v>0</v>
      </c>
      <c r="N144">
        <f>IF($D144=1,IF(GDP_per_cap!J85&gt;'all_1961-1990'!$H$1,0,IF(UrbanPopRate!J85&gt;=$J$1,0,1)),0)</f>
        <v>0</v>
      </c>
      <c r="O144">
        <f>IF($D144=1,IF(GDP_per_cap!K85&gt;'all_1961-1990'!$H$1,0,IF(UrbanPopRate!K85&gt;=$J$1,0,1)),0)</f>
        <v>0</v>
      </c>
      <c r="P144">
        <f>IF($D144=1,IF(GDP_per_cap!L85&gt;'all_1961-1990'!$H$1,0,IF(UrbanPopRate!L85&gt;=$J$1,0,1)),0)</f>
        <v>0</v>
      </c>
      <c r="Q144">
        <f>IF($D144=1,IF(GDP_per_cap!M85&gt;'all_1961-1990'!$H$1,0,IF(UrbanPopRate!M85&gt;=$J$1,0,1)),0)</f>
        <v>0</v>
      </c>
      <c r="R144">
        <f>IF($D144=1,IF(GDP_per_cap!N85&gt;'all_1961-1990'!$H$1,0,IF(UrbanPopRate!N85&gt;=$J$1,0,1)),0)</f>
        <v>0</v>
      </c>
      <c r="S144">
        <f>IF($D144=1,IF(GDP_per_cap!O85&gt;'all_1961-1990'!$H$1,0,IF(UrbanPopRate!O85&gt;=$J$1,0,1)),0)</f>
        <v>0</v>
      </c>
      <c r="T144">
        <f>IF($D144=1,IF(GDP_per_cap!P85&gt;'all_1961-1990'!$H$1,0,IF(UrbanPopRate!P85&gt;=$J$1,0,1)),0)</f>
        <v>0</v>
      </c>
      <c r="U144">
        <f>IF($D144=1,IF(GDP_per_cap!Q85&gt;'all_1961-1990'!$H$1,0,IF(UrbanPopRate!Q85&gt;=$J$1,0,1)),0)</f>
        <v>0</v>
      </c>
      <c r="V144">
        <f>IF($D144=1,IF(GDP_per_cap!R85&gt;'all_1961-1990'!$H$1,0,IF(UrbanPopRate!R85&gt;=$J$1,0,1)),0)</f>
        <v>0</v>
      </c>
      <c r="W144">
        <f>IF($D144=1,IF(GDP_per_cap!S85&gt;'all_1961-1990'!$H$1,0,IF(UrbanPopRate!S85&gt;=$J$1,0,1)),0)</f>
        <v>0</v>
      </c>
      <c r="X144">
        <f>IF($D144=1,IF(GDP_per_cap!T85&gt;'all_1961-1990'!$H$1,0,IF(UrbanPopRate!T85&gt;=$J$1,0,1)),0)</f>
        <v>0</v>
      </c>
      <c r="Y144">
        <f>IF($D144=1,IF(GDP_per_cap!U85&gt;'all_1961-1990'!$H$1,0,IF(UrbanPopRate!U85&gt;=$J$1,0,1)),0)</f>
        <v>0</v>
      </c>
      <c r="Z144">
        <f>IF($D144=1,IF(GDP_per_cap!V85&gt;'all_1961-1990'!$H$1,0,IF(UrbanPopRate!V85&gt;=$J$1,0,1)),0)</f>
        <v>0</v>
      </c>
      <c r="AA144">
        <f>IF($D144=1,IF(GDP_per_cap!W85&gt;'all_1961-1990'!$H$1,0,IF(UrbanPopRate!W85&gt;=$J$1,0,1)),0)</f>
        <v>0</v>
      </c>
      <c r="AB144">
        <f>IF($D144=1,IF(GDP_per_cap!X85&gt;'all_1961-1990'!$H$1,0,IF(UrbanPopRate!X85&gt;=$J$1,0,1)),0)</f>
        <v>0</v>
      </c>
      <c r="AC144">
        <f>IF($D144=1,IF(GDP_per_cap!Y85&gt;'all_1961-1990'!$H$1,0,IF(UrbanPopRate!Y85&gt;=$J$1,0,1)),0)</f>
        <v>0</v>
      </c>
      <c r="AD144">
        <f>IF($D144=1,IF(GDP_per_cap!Z85&gt;'all_1961-1990'!$H$1,0,IF(UrbanPopRate!Z85&gt;=$J$1,0,1)),0)</f>
        <v>0</v>
      </c>
      <c r="AE144">
        <f>IF($D144=1,IF(GDP_per_cap!AA85&gt;'all_1961-1990'!$H$1,0,IF(UrbanPopRate!AA85&gt;=$J$1,0,1)),0)</f>
        <v>0</v>
      </c>
      <c r="AF144">
        <f>IF($D144=1,IF(GDP_per_cap!AB85&gt;'all_1961-1990'!$H$1,0,IF(UrbanPopRate!AB85&gt;=$J$1,0,1)),0)</f>
        <v>0</v>
      </c>
      <c r="AG144">
        <f>IF($D144=1,IF(GDP_per_cap!AC85&gt;'all_1961-1990'!$H$1,0,IF(UrbanPopRate!AC85&gt;=$J$1,0,1)),0)</f>
        <v>0</v>
      </c>
      <c r="AH144">
        <f>IF($D144=1,IF(GDP_per_cap!AD85&gt;'all_1961-1990'!$H$1,0,IF(UrbanPopRate!AD85&gt;=$J$1,0,1)),0)</f>
        <v>0</v>
      </c>
      <c r="AI144">
        <f>IF($D144=1,IF(GDP_per_cap!AE85&gt;'all_1961-1990'!$H$1,0,IF(UrbanPopRate!AE85&gt;=$J$1,0,1)),0)</f>
        <v>0</v>
      </c>
      <c r="AJ144">
        <f>IF($D144=1,IF(GDP_per_cap!AF85&gt;'all_1961-1990'!$H$1,0,IF(UrbanPopRate!AF85&gt;=$J$1,0,1)),0)</f>
        <v>0</v>
      </c>
      <c r="AK144">
        <f>IF($D144=1,IF(GDP_per_cap!AG85&gt;'all_1961-1990'!$H$1,0,IF(UrbanPopRate!AG85&gt;=$J$1,0,1)),0)</f>
        <v>0</v>
      </c>
      <c r="AL144">
        <f>IF($D144=1,IF(GDP_per_cap!AH85&gt;'all_1961-1990'!$H$1,0,IF(UrbanPopRate!AH85&gt;=$J$1,0,1)),0)</f>
        <v>0</v>
      </c>
      <c r="AM144">
        <f>IF($D144=1,IF(GDP_per_cap!AI85&gt;'all_1961-1990'!$H$1,0,IF(UrbanPopRate!AI85&gt;=$J$1,0,1)),0)</f>
        <v>0</v>
      </c>
      <c r="AN144">
        <f>IF($D144=1,IF(GDP_per_cap!AJ85&gt;'all_1961-1990'!$H$1,0,IF(UrbanPopRate!AJ85&gt;=$J$1,0,1)),0)</f>
        <v>0</v>
      </c>
      <c r="AO144">
        <f>IF($D144=1,IF(GDP_per_cap!AK85&gt;'all_1961-1990'!$H$1,0,IF(UrbanPopRate!AK85&gt;=$J$1,0,1)),0)</f>
        <v>0</v>
      </c>
      <c r="AP144">
        <f>IF($D144=1,IF(GDP_per_cap!AL85&gt;'all_1961-1990'!$H$1,0,IF(UrbanPopRate!AL85&gt;=$J$1,0,1)),0)</f>
        <v>0</v>
      </c>
      <c r="AQ144">
        <f>IF($D144=1,IF(GDP_per_cap!AM85&gt;'all_1961-1990'!$H$1,0,IF(UrbanPopRate!AM85&gt;=$J$1,0,1)),0)</f>
        <v>0</v>
      </c>
      <c r="AR144">
        <f>IF($D144=1,IF(GDP_per_cap!AN85&gt;'all_1961-1990'!$H$1,0,IF(UrbanPopRate!AN85&gt;=$J$1,0,1)),0)</f>
        <v>0</v>
      </c>
      <c r="AS144">
        <f>IF($D144=1,IF(GDP_per_cap!AO85&gt;'all_1961-1990'!$H$1,0,IF(UrbanPopRate!AO85&gt;=$J$1,0,1)),0)</f>
        <v>0</v>
      </c>
      <c r="AT144">
        <f>IF($D144=1,IF(GDP_per_cap!AP85&gt;'all_1961-1990'!$H$1,0,IF(UrbanPopRate!AP85&gt;=$J$1,0,1)),0)</f>
        <v>0</v>
      </c>
      <c r="AU144">
        <f>IF($D144=1,IF(GDP_per_cap!AQ85&gt;'all_1961-1990'!$H$1,0,IF(UrbanPopRate!AQ85&gt;=$J$1,0,1)),0)</f>
        <v>0</v>
      </c>
      <c r="AV144">
        <f>IF($D144=1,IF(GDP_per_cap!AR85&gt;'all_1961-1990'!$H$1,0,IF(UrbanPopRate!AR85&gt;=$J$1,0,1)),0)</f>
        <v>0</v>
      </c>
      <c r="AW144">
        <f>IF($D144=1,IF(GDP_per_cap!AS85&gt;'all_1961-1990'!$H$1,0,IF(UrbanPopRate!AS85&gt;=$J$1,0,1)),0)</f>
        <v>0</v>
      </c>
      <c r="AX144">
        <f>IF($D144=1,IF(GDP_per_cap!AT85&gt;'all_1961-1990'!$H$1,0,IF(UrbanPopRate!AT85&gt;=$J$1,0,1)),0)</f>
        <v>0</v>
      </c>
      <c r="AY144">
        <f>IF($D144=1,IF(GDP_per_cap!AU85&gt;'all_1961-1990'!$H$1,0,IF(UrbanPopRate!AU85&gt;=$J$1,0,1)),0)</f>
        <v>0</v>
      </c>
      <c r="AZ144">
        <f>IF($D144=1,IF(GDP_per_cap!AV85&gt;'all_1961-1990'!$H$1,0,IF(UrbanPopRate!AV85&gt;=$J$1,0,1)),0)</f>
        <v>0</v>
      </c>
      <c r="BA144">
        <f>IF($D144=1,IF(GDP_per_cap!AW85&gt;'all_1961-1990'!$H$1,0,IF(UrbanPopRate!AW85&gt;=$J$1,0,1)),0)</f>
        <v>0</v>
      </c>
      <c r="BB144">
        <f>IF($D144=1,IF(GDP_per_cap!AX85&gt;'all_1961-1990'!$H$1,0,IF(UrbanPopRate!AX85&gt;=$J$1,0,1)),0)</f>
        <v>0</v>
      </c>
      <c r="BC144">
        <f>IF($D144=1,IF(GDP_per_cap!AY85&gt;'all_1961-1990'!$H$1,0,IF(UrbanPopRate!AY85&gt;=$J$1,0,1)),0)</f>
        <v>0</v>
      </c>
      <c r="BD144">
        <f>IF($D144=1,IF(GDP_per_cap!AZ85&gt;'all_1961-1990'!$H$1,0,IF(UrbanPopRate!AZ85&gt;=$J$1,0,1)),0)</f>
        <v>0</v>
      </c>
      <c r="BE144">
        <f>IF($D144=1,IF(GDP_per_cap!BA85&gt;'all_1961-1990'!$H$1,0,IF(UrbanPopRate!BA85&gt;=$J$1,0,1)),0)</f>
        <v>0</v>
      </c>
      <c r="BF144">
        <f>IF($D144=1,IF(GDP_per_cap!BB85&gt;'all_1961-1990'!$H$1,0,IF(UrbanPopRate!BB85&gt;=$J$1,0,1)),0)</f>
        <v>0</v>
      </c>
    </row>
    <row r="145" spans="1:58">
      <c r="A145" s="12">
        <v>140</v>
      </c>
      <c r="B145" s="12" t="s">
        <v>65</v>
      </c>
      <c r="C145" s="13"/>
      <c r="D145" s="13">
        <v>1</v>
      </c>
      <c r="E145" s="13">
        <v>41.126800000000003</v>
      </c>
      <c r="F145" s="13"/>
      <c r="G145">
        <f>IF($D145=1,IF(GDP_per_cap!C91&gt;'all_1961-1990'!$H$1,0,IF(UrbanPopRate!C91&gt;=$J$1,0,1)),0)</f>
        <v>0</v>
      </c>
      <c r="H145">
        <f>IF($D145=1,IF(GDP_per_cap!D91&gt;'all_1961-1990'!$H$1,0,IF(UrbanPopRate!D91&gt;=$J$1,0,1)),0)</f>
        <v>0</v>
      </c>
      <c r="I145">
        <f>IF($D145=1,IF(GDP_per_cap!E91&gt;'all_1961-1990'!$H$1,0,IF(UrbanPopRate!E91&gt;=$J$1,0,1)),0)</f>
        <v>0</v>
      </c>
      <c r="J145">
        <f>IF($D145=1,IF(GDP_per_cap!F91&gt;'all_1961-1990'!$H$1,0,IF(UrbanPopRate!F91&gt;=$J$1,0,1)),0)</f>
        <v>0</v>
      </c>
      <c r="K145">
        <f>IF($D145=1,IF(GDP_per_cap!G91&gt;'all_1961-1990'!$H$1,0,IF(UrbanPopRate!G91&gt;=$J$1,0,1)),0)</f>
        <v>0</v>
      </c>
      <c r="L145">
        <f>IF($D145=1,IF(GDP_per_cap!H91&gt;'all_1961-1990'!$H$1,0,IF(UrbanPopRate!H91&gt;=$J$1,0,1)),0)</f>
        <v>0</v>
      </c>
      <c r="M145">
        <f>IF($D145=1,IF(GDP_per_cap!I91&gt;'all_1961-1990'!$H$1,0,IF(UrbanPopRate!I91&gt;=$J$1,0,1)),0)</f>
        <v>0</v>
      </c>
      <c r="N145">
        <f>IF($D145=1,IF(GDP_per_cap!J91&gt;'all_1961-1990'!$H$1,0,IF(UrbanPopRate!J91&gt;=$J$1,0,1)),0)</f>
        <v>0</v>
      </c>
      <c r="O145">
        <f>IF($D145=1,IF(GDP_per_cap!K91&gt;'all_1961-1990'!$H$1,0,IF(UrbanPopRate!K91&gt;=$J$1,0,1)),0)</f>
        <v>0</v>
      </c>
      <c r="P145">
        <f>IF($D145=1,IF(GDP_per_cap!L91&gt;'all_1961-1990'!$H$1,0,IF(UrbanPopRate!L91&gt;=$J$1,0,1)),0)</f>
        <v>0</v>
      </c>
      <c r="Q145">
        <f>IF($D145=1,IF(GDP_per_cap!M91&gt;'all_1961-1990'!$H$1,0,IF(UrbanPopRate!M91&gt;=$J$1,0,1)),0)</f>
        <v>0</v>
      </c>
      <c r="R145">
        <f>IF($D145=1,IF(GDP_per_cap!N91&gt;'all_1961-1990'!$H$1,0,IF(UrbanPopRate!N91&gt;=$J$1,0,1)),0)</f>
        <v>0</v>
      </c>
      <c r="S145">
        <f>IF($D145=1,IF(GDP_per_cap!O91&gt;'all_1961-1990'!$H$1,0,IF(UrbanPopRate!O91&gt;=$J$1,0,1)),0)</f>
        <v>0</v>
      </c>
      <c r="T145">
        <f>IF($D145=1,IF(GDP_per_cap!P91&gt;'all_1961-1990'!$H$1,0,IF(UrbanPopRate!P91&gt;=$J$1,0,1)),0)</f>
        <v>0</v>
      </c>
      <c r="U145">
        <f>IF($D145=1,IF(GDP_per_cap!Q91&gt;'all_1961-1990'!$H$1,0,IF(UrbanPopRate!Q91&gt;=$J$1,0,1)),0)</f>
        <v>0</v>
      </c>
      <c r="V145">
        <f>IF($D145=1,IF(GDP_per_cap!R91&gt;'all_1961-1990'!$H$1,0,IF(UrbanPopRate!R91&gt;=$J$1,0,1)),0)</f>
        <v>0</v>
      </c>
      <c r="W145">
        <f>IF($D145=1,IF(GDP_per_cap!S91&gt;'all_1961-1990'!$H$1,0,IF(UrbanPopRate!S91&gt;=$J$1,0,1)),0)</f>
        <v>0</v>
      </c>
      <c r="X145">
        <f>IF($D145=1,IF(GDP_per_cap!T91&gt;'all_1961-1990'!$H$1,0,IF(UrbanPopRate!T91&gt;=$J$1,0,1)),0)</f>
        <v>0</v>
      </c>
      <c r="Y145">
        <f>IF($D145=1,IF(GDP_per_cap!U91&gt;'all_1961-1990'!$H$1,0,IF(UrbanPopRate!U91&gt;=$J$1,0,1)),0)</f>
        <v>0</v>
      </c>
      <c r="Z145">
        <f>IF($D145=1,IF(GDP_per_cap!V91&gt;'all_1961-1990'!$H$1,0,IF(UrbanPopRate!V91&gt;=$J$1,0,1)),0)</f>
        <v>0</v>
      </c>
      <c r="AA145">
        <f>IF($D145=1,IF(GDP_per_cap!W91&gt;'all_1961-1990'!$H$1,0,IF(UrbanPopRate!W91&gt;=$J$1,0,1)),0)</f>
        <v>0</v>
      </c>
      <c r="AB145">
        <f>IF($D145=1,IF(GDP_per_cap!X91&gt;'all_1961-1990'!$H$1,0,IF(UrbanPopRate!X91&gt;=$J$1,0,1)),0)</f>
        <v>0</v>
      </c>
      <c r="AC145">
        <f>IF($D145=1,IF(GDP_per_cap!Y91&gt;'all_1961-1990'!$H$1,0,IF(UrbanPopRate!Y91&gt;=$J$1,0,1)),0)</f>
        <v>0</v>
      </c>
      <c r="AD145">
        <f>IF($D145=1,IF(GDP_per_cap!Z91&gt;'all_1961-1990'!$H$1,0,IF(UrbanPopRate!Z91&gt;=$J$1,0,1)),0)</f>
        <v>0</v>
      </c>
      <c r="AE145">
        <f>IF($D145=1,IF(GDP_per_cap!AA91&gt;'all_1961-1990'!$H$1,0,IF(UrbanPopRate!AA91&gt;=$J$1,0,1)),0)</f>
        <v>0</v>
      </c>
      <c r="AF145">
        <f>IF($D145=1,IF(GDP_per_cap!AB91&gt;'all_1961-1990'!$H$1,0,IF(UrbanPopRate!AB91&gt;=$J$1,0,1)),0)</f>
        <v>0</v>
      </c>
      <c r="AG145">
        <f>IF($D145=1,IF(GDP_per_cap!AC91&gt;'all_1961-1990'!$H$1,0,IF(UrbanPopRate!AC91&gt;=$J$1,0,1)),0)</f>
        <v>0</v>
      </c>
      <c r="AH145">
        <f>IF($D145=1,IF(GDP_per_cap!AD91&gt;'all_1961-1990'!$H$1,0,IF(UrbanPopRate!AD91&gt;=$J$1,0,1)),0)</f>
        <v>0</v>
      </c>
      <c r="AI145">
        <f>IF($D145=1,IF(GDP_per_cap!AE91&gt;'all_1961-1990'!$H$1,0,IF(UrbanPopRate!AE91&gt;=$J$1,0,1)),0)</f>
        <v>0</v>
      </c>
      <c r="AJ145">
        <f>IF($D145=1,IF(GDP_per_cap!AF91&gt;'all_1961-1990'!$H$1,0,IF(UrbanPopRate!AF91&gt;=$J$1,0,1)),0)</f>
        <v>0</v>
      </c>
      <c r="AK145">
        <f>IF($D145=1,IF(GDP_per_cap!AG91&gt;'all_1961-1990'!$H$1,0,IF(UrbanPopRate!AG91&gt;=$J$1,0,1)),0)</f>
        <v>0</v>
      </c>
      <c r="AL145">
        <f>IF($D145=1,IF(GDP_per_cap!AH91&gt;'all_1961-1990'!$H$1,0,IF(UrbanPopRate!AH91&gt;=$J$1,0,1)),0)</f>
        <v>0</v>
      </c>
      <c r="AM145">
        <f>IF($D145=1,IF(GDP_per_cap!AI91&gt;'all_1961-1990'!$H$1,0,IF(UrbanPopRate!AI91&gt;=$J$1,0,1)),0)</f>
        <v>0</v>
      </c>
      <c r="AN145">
        <f>IF($D145=1,IF(GDP_per_cap!AJ91&gt;'all_1961-1990'!$H$1,0,IF(UrbanPopRate!AJ91&gt;=$J$1,0,1)),0)</f>
        <v>0</v>
      </c>
      <c r="AO145">
        <f>IF($D145=1,IF(GDP_per_cap!AK91&gt;'all_1961-1990'!$H$1,0,IF(UrbanPopRate!AK91&gt;=$J$1,0,1)),0)</f>
        <v>0</v>
      </c>
      <c r="AP145">
        <f>IF($D145=1,IF(GDP_per_cap!AL91&gt;'all_1961-1990'!$H$1,0,IF(UrbanPopRate!AL91&gt;=$J$1,0,1)),0)</f>
        <v>0</v>
      </c>
      <c r="AQ145">
        <f>IF($D145=1,IF(GDP_per_cap!AM91&gt;'all_1961-1990'!$H$1,0,IF(UrbanPopRate!AM91&gt;=$J$1,0,1)),0)</f>
        <v>0</v>
      </c>
      <c r="AR145">
        <f>IF($D145=1,IF(GDP_per_cap!AN91&gt;'all_1961-1990'!$H$1,0,IF(UrbanPopRate!AN91&gt;=$J$1,0,1)),0)</f>
        <v>0</v>
      </c>
      <c r="AS145">
        <f>IF($D145=1,IF(GDP_per_cap!AO91&gt;'all_1961-1990'!$H$1,0,IF(UrbanPopRate!AO91&gt;=$J$1,0,1)),0)</f>
        <v>0</v>
      </c>
      <c r="AT145">
        <f>IF($D145=1,IF(GDP_per_cap!AP91&gt;'all_1961-1990'!$H$1,0,IF(UrbanPopRate!AP91&gt;=$J$1,0,1)),0)</f>
        <v>0</v>
      </c>
      <c r="AU145">
        <f>IF($D145=1,IF(GDP_per_cap!AQ91&gt;'all_1961-1990'!$H$1,0,IF(UrbanPopRate!AQ91&gt;=$J$1,0,1)),0)</f>
        <v>0</v>
      </c>
      <c r="AV145">
        <f>IF($D145=1,IF(GDP_per_cap!AR91&gt;'all_1961-1990'!$H$1,0,IF(UrbanPopRate!AR91&gt;=$J$1,0,1)),0)</f>
        <v>0</v>
      </c>
      <c r="AW145">
        <f>IF($D145=1,IF(GDP_per_cap!AS91&gt;'all_1961-1990'!$H$1,0,IF(UrbanPopRate!AS91&gt;=$J$1,0,1)),0)</f>
        <v>0</v>
      </c>
      <c r="AX145">
        <f>IF($D145=1,IF(GDP_per_cap!AT91&gt;'all_1961-1990'!$H$1,0,IF(UrbanPopRate!AT91&gt;=$J$1,0,1)),0)</f>
        <v>0</v>
      </c>
      <c r="AY145">
        <f>IF($D145=1,IF(GDP_per_cap!AU91&gt;'all_1961-1990'!$H$1,0,IF(UrbanPopRate!AU91&gt;=$J$1,0,1)),0)</f>
        <v>0</v>
      </c>
      <c r="AZ145">
        <f>IF($D145=1,IF(GDP_per_cap!AV91&gt;'all_1961-1990'!$H$1,0,IF(UrbanPopRate!AV91&gt;=$J$1,0,1)),0)</f>
        <v>0</v>
      </c>
      <c r="BA145">
        <f>IF($D145=1,IF(GDP_per_cap!AW91&gt;'all_1961-1990'!$H$1,0,IF(UrbanPopRate!AW91&gt;=$J$1,0,1)),0)</f>
        <v>0</v>
      </c>
      <c r="BB145">
        <f>IF($D145=1,IF(GDP_per_cap!AX91&gt;'all_1961-1990'!$H$1,0,IF(UrbanPopRate!AX91&gt;=$J$1,0,1)),0)</f>
        <v>0</v>
      </c>
      <c r="BC145">
        <f>IF($D145=1,IF(GDP_per_cap!AY91&gt;'all_1961-1990'!$H$1,0,IF(UrbanPopRate!AY91&gt;=$J$1,0,1)),0)</f>
        <v>0</v>
      </c>
      <c r="BD145">
        <f>IF($D145=1,IF(GDP_per_cap!AZ91&gt;'all_1961-1990'!$H$1,0,IF(UrbanPopRate!AZ91&gt;=$J$1,0,1)),0)</f>
        <v>0</v>
      </c>
      <c r="BE145">
        <f>IF($D145=1,IF(GDP_per_cap!BA91&gt;'all_1961-1990'!$H$1,0,IF(UrbanPopRate!BA91&gt;=$J$1,0,1)),0)</f>
        <v>0</v>
      </c>
      <c r="BF145">
        <f>IF($D145=1,IF(GDP_per_cap!BB91&gt;'all_1961-1990'!$H$1,0,IF(UrbanPopRate!BB91&gt;=$J$1,0,1)),0)</f>
        <v>0</v>
      </c>
    </row>
    <row r="146" spans="1:58">
      <c r="A146" s="12">
        <v>144</v>
      </c>
      <c r="B146" s="12" t="s">
        <v>63</v>
      </c>
      <c r="C146" s="13"/>
      <c r="D146" s="13">
        <v>1</v>
      </c>
      <c r="E146" s="13">
        <v>36.307633333333335</v>
      </c>
      <c r="F146" s="13"/>
      <c r="G146">
        <f>IF($D146=1,IF(GDP_per_cap!C93&gt;'all_1961-1990'!$H$1,0,IF(UrbanPopRate!C93&gt;=$J$1,0,1)),0)</f>
        <v>1</v>
      </c>
      <c r="H146">
        <f>IF($D146=1,IF(GDP_per_cap!D93&gt;'all_1961-1990'!$H$1,0,IF(UrbanPopRate!D93&gt;=$J$1,0,1)),0)</f>
        <v>0</v>
      </c>
      <c r="I146">
        <f>IF($D146=1,IF(GDP_per_cap!E93&gt;'all_1961-1990'!$H$1,0,IF(UrbanPopRate!E93&gt;=$J$1,0,1)),0)</f>
        <v>0</v>
      </c>
      <c r="J146">
        <f>IF($D146=1,IF(GDP_per_cap!F93&gt;'all_1961-1990'!$H$1,0,IF(UrbanPopRate!F93&gt;=$J$1,0,1)),0)</f>
        <v>0</v>
      </c>
      <c r="K146">
        <f>IF($D146=1,IF(GDP_per_cap!G93&gt;'all_1961-1990'!$H$1,0,IF(UrbanPopRate!G93&gt;=$J$1,0,1)),0)</f>
        <v>0</v>
      </c>
      <c r="L146">
        <f>IF($D146=1,IF(GDP_per_cap!H93&gt;'all_1961-1990'!$H$1,0,IF(UrbanPopRate!H93&gt;=$J$1,0,1)),0)</f>
        <v>0</v>
      </c>
      <c r="M146">
        <f>IF($D146=1,IF(GDP_per_cap!I93&gt;'all_1961-1990'!$H$1,0,IF(UrbanPopRate!I93&gt;=$J$1,0,1)),0)</f>
        <v>0</v>
      </c>
      <c r="N146">
        <f>IF($D146=1,IF(GDP_per_cap!J93&gt;'all_1961-1990'!$H$1,0,IF(UrbanPopRate!J93&gt;=$J$1,0,1)),0)</f>
        <v>0</v>
      </c>
      <c r="O146">
        <f>IF($D146=1,IF(GDP_per_cap!K93&gt;'all_1961-1990'!$H$1,0,IF(UrbanPopRate!K93&gt;=$J$1,0,1)),0)</f>
        <v>0</v>
      </c>
      <c r="P146">
        <f>IF($D146=1,IF(GDP_per_cap!L93&gt;'all_1961-1990'!$H$1,0,IF(UrbanPopRate!L93&gt;=$J$1,0,1)),0)</f>
        <v>0</v>
      </c>
      <c r="Q146">
        <f>IF($D146=1,IF(GDP_per_cap!M93&gt;'all_1961-1990'!$H$1,0,IF(UrbanPopRate!M93&gt;=$J$1,0,1)),0)</f>
        <v>0</v>
      </c>
      <c r="R146">
        <f>IF($D146=1,IF(GDP_per_cap!N93&gt;'all_1961-1990'!$H$1,0,IF(UrbanPopRate!N93&gt;=$J$1,0,1)),0)</f>
        <v>0</v>
      </c>
      <c r="S146">
        <f>IF($D146=1,IF(GDP_per_cap!O93&gt;'all_1961-1990'!$H$1,0,IF(UrbanPopRate!O93&gt;=$J$1,0,1)),0)</f>
        <v>0</v>
      </c>
      <c r="T146">
        <f>IF($D146=1,IF(GDP_per_cap!P93&gt;'all_1961-1990'!$H$1,0,IF(UrbanPopRate!P93&gt;=$J$1,0,1)),0)</f>
        <v>0</v>
      </c>
      <c r="U146">
        <f>IF($D146=1,IF(GDP_per_cap!Q93&gt;'all_1961-1990'!$H$1,0,IF(UrbanPopRate!Q93&gt;=$J$1,0,1)),0)</f>
        <v>0</v>
      </c>
      <c r="V146">
        <f>IF($D146=1,IF(GDP_per_cap!R93&gt;'all_1961-1990'!$H$1,0,IF(UrbanPopRate!R93&gt;=$J$1,0,1)),0)</f>
        <v>0</v>
      </c>
      <c r="W146">
        <f>IF($D146=1,IF(GDP_per_cap!S93&gt;'all_1961-1990'!$H$1,0,IF(UrbanPopRate!S93&gt;=$J$1,0,1)),0)</f>
        <v>0</v>
      </c>
      <c r="X146">
        <f>IF($D146=1,IF(GDP_per_cap!T93&gt;'all_1961-1990'!$H$1,0,IF(UrbanPopRate!T93&gt;=$J$1,0,1)),0)</f>
        <v>0</v>
      </c>
      <c r="Y146">
        <f>IF($D146=1,IF(GDP_per_cap!U93&gt;'all_1961-1990'!$H$1,0,IF(UrbanPopRate!U93&gt;=$J$1,0,1)),0)</f>
        <v>0</v>
      </c>
      <c r="Z146">
        <f>IF($D146=1,IF(GDP_per_cap!V93&gt;'all_1961-1990'!$H$1,0,IF(UrbanPopRate!V93&gt;=$J$1,0,1)),0)</f>
        <v>0</v>
      </c>
      <c r="AA146">
        <f>IF($D146=1,IF(GDP_per_cap!W93&gt;'all_1961-1990'!$H$1,0,IF(UrbanPopRate!W93&gt;=$J$1,0,1)),0)</f>
        <v>0</v>
      </c>
      <c r="AB146">
        <f>IF($D146=1,IF(GDP_per_cap!X93&gt;'all_1961-1990'!$H$1,0,IF(UrbanPopRate!X93&gt;=$J$1,0,1)),0)</f>
        <v>0</v>
      </c>
      <c r="AC146">
        <f>IF($D146=1,IF(GDP_per_cap!Y93&gt;'all_1961-1990'!$H$1,0,IF(UrbanPopRate!Y93&gt;=$J$1,0,1)),0)</f>
        <v>0</v>
      </c>
      <c r="AD146">
        <f>IF($D146=1,IF(GDP_per_cap!Z93&gt;'all_1961-1990'!$H$1,0,IF(UrbanPopRate!Z93&gt;=$J$1,0,1)),0)</f>
        <v>0</v>
      </c>
      <c r="AE146">
        <f>IF($D146=1,IF(GDP_per_cap!AA93&gt;'all_1961-1990'!$H$1,0,IF(UrbanPopRate!AA93&gt;=$J$1,0,1)),0)</f>
        <v>0</v>
      </c>
      <c r="AF146">
        <f>IF($D146=1,IF(GDP_per_cap!AB93&gt;'all_1961-1990'!$H$1,0,IF(UrbanPopRate!AB93&gt;=$J$1,0,1)),0)</f>
        <v>0</v>
      </c>
      <c r="AG146">
        <f>IF($D146=1,IF(GDP_per_cap!AC93&gt;'all_1961-1990'!$H$1,0,IF(UrbanPopRate!AC93&gt;=$J$1,0,1)),0)</f>
        <v>0</v>
      </c>
      <c r="AH146">
        <f>IF($D146=1,IF(GDP_per_cap!AD93&gt;'all_1961-1990'!$H$1,0,IF(UrbanPopRate!AD93&gt;=$J$1,0,1)),0)</f>
        <v>0</v>
      </c>
      <c r="AI146">
        <f>IF($D146=1,IF(GDP_per_cap!AE93&gt;'all_1961-1990'!$H$1,0,IF(UrbanPopRate!AE93&gt;=$J$1,0,1)),0)</f>
        <v>0</v>
      </c>
      <c r="AJ146">
        <f>IF($D146=1,IF(GDP_per_cap!AF93&gt;'all_1961-1990'!$H$1,0,IF(UrbanPopRate!AF93&gt;=$J$1,0,1)),0)</f>
        <v>0</v>
      </c>
      <c r="AK146">
        <f>IF($D146=1,IF(GDP_per_cap!AG93&gt;'all_1961-1990'!$H$1,0,IF(UrbanPopRate!AG93&gt;=$J$1,0,1)),0)</f>
        <v>0</v>
      </c>
      <c r="AL146">
        <f>IF($D146=1,IF(GDP_per_cap!AH93&gt;'all_1961-1990'!$H$1,0,IF(UrbanPopRate!AH93&gt;=$J$1,0,1)),0)</f>
        <v>0</v>
      </c>
      <c r="AM146">
        <f>IF($D146=1,IF(GDP_per_cap!AI93&gt;'all_1961-1990'!$H$1,0,IF(UrbanPopRate!AI93&gt;=$J$1,0,1)),0)</f>
        <v>0</v>
      </c>
      <c r="AN146">
        <f>IF($D146=1,IF(GDP_per_cap!AJ93&gt;'all_1961-1990'!$H$1,0,IF(UrbanPopRate!AJ93&gt;=$J$1,0,1)),0)</f>
        <v>0</v>
      </c>
      <c r="AO146">
        <f>IF($D146=1,IF(GDP_per_cap!AK93&gt;'all_1961-1990'!$H$1,0,IF(UrbanPopRate!AK93&gt;=$J$1,0,1)),0)</f>
        <v>0</v>
      </c>
      <c r="AP146">
        <f>IF($D146=1,IF(GDP_per_cap!AL93&gt;'all_1961-1990'!$H$1,0,IF(UrbanPopRate!AL93&gt;=$J$1,0,1)),0)</f>
        <v>0</v>
      </c>
      <c r="AQ146">
        <f>IF($D146=1,IF(GDP_per_cap!AM93&gt;'all_1961-1990'!$H$1,0,IF(UrbanPopRate!AM93&gt;=$J$1,0,1)),0)</f>
        <v>0</v>
      </c>
      <c r="AR146">
        <f>IF($D146=1,IF(GDP_per_cap!AN93&gt;'all_1961-1990'!$H$1,0,IF(UrbanPopRate!AN93&gt;=$J$1,0,1)),0)</f>
        <v>0</v>
      </c>
      <c r="AS146">
        <f>IF($D146=1,IF(GDP_per_cap!AO93&gt;'all_1961-1990'!$H$1,0,IF(UrbanPopRate!AO93&gt;=$J$1,0,1)),0)</f>
        <v>0</v>
      </c>
      <c r="AT146">
        <f>IF($D146=1,IF(GDP_per_cap!AP93&gt;'all_1961-1990'!$H$1,0,IF(UrbanPopRate!AP93&gt;=$J$1,0,1)),0)</f>
        <v>0</v>
      </c>
      <c r="AU146">
        <f>IF($D146=1,IF(GDP_per_cap!AQ93&gt;'all_1961-1990'!$H$1,0,IF(UrbanPopRate!AQ93&gt;=$J$1,0,1)),0)</f>
        <v>0</v>
      </c>
      <c r="AV146">
        <f>IF($D146=1,IF(GDP_per_cap!AR93&gt;'all_1961-1990'!$H$1,0,IF(UrbanPopRate!AR93&gt;=$J$1,0,1)),0)</f>
        <v>0</v>
      </c>
      <c r="AW146">
        <f>IF($D146=1,IF(GDP_per_cap!AS93&gt;'all_1961-1990'!$H$1,0,IF(UrbanPopRate!AS93&gt;=$J$1,0,1)),0)</f>
        <v>0</v>
      </c>
      <c r="AX146">
        <f>IF($D146=1,IF(GDP_per_cap!AT93&gt;'all_1961-1990'!$H$1,0,IF(UrbanPopRate!AT93&gt;=$J$1,0,1)),0)</f>
        <v>0</v>
      </c>
      <c r="AY146">
        <f>IF($D146=1,IF(GDP_per_cap!AU93&gt;'all_1961-1990'!$H$1,0,IF(UrbanPopRate!AU93&gt;=$J$1,0,1)),0)</f>
        <v>0</v>
      </c>
      <c r="AZ146">
        <f>IF($D146=1,IF(GDP_per_cap!AV93&gt;'all_1961-1990'!$H$1,0,IF(UrbanPopRate!AV93&gt;=$J$1,0,1)),0)</f>
        <v>0</v>
      </c>
      <c r="BA146">
        <f>IF($D146=1,IF(GDP_per_cap!AW93&gt;'all_1961-1990'!$H$1,0,IF(UrbanPopRate!AW93&gt;=$J$1,0,1)),0)</f>
        <v>0</v>
      </c>
      <c r="BB146">
        <f>IF($D146=1,IF(GDP_per_cap!AX93&gt;'all_1961-1990'!$H$1,0,IF(UrbanPopRate!AX93&gt;=$J$1,0,1)),0)</f>
        <v>0</v>
      </c>
      <c r="BC146">
        <f>IF($D146=1,IF(GDP_per_cap!AY93&gt;'all_1961-1990'!$H$1,0,IF(UrbanPopRate!AY93&gt;=$J$1,0,1)),0)</f>
        <v>0</v>
      </c>
      <c r="BD146">
        <f>IF($D146=1,IF(GDP_per_cap!AZ93&gt;'all_1961-1990'!$H$1,0,IF(UrbanPopRate!AZ93&gt;=$J$1,0,1)),0)</f>
        <v>0</v>
      </c>
      <c r="BE146">
        <f>IF($D146=1,IF(GDP_per_cap!BA93&gt;'all_1961-1990'!$H$1,0,IF(UrbanPopRate!BA93&gt;=$J$1,0,1)),0)</f>
        <v>0</v>
      </c>
      <c r="BF146">
        <f>IF($D146=1,IF(GDP_per_cap!BB93&gt;'all_1961-1990'!$H$1,0,IF(UrbanPopRate!BB93&gt;=$J$1,0,1)),0)</f>
        <v>0</v>
      </c>
    </row>
    <row r="147" spans="1:58">
      <c r="A147" s="12">
        <v>165</v>
      </c>
      <c r="B147" s="12" t="s">
        <v>50</v>
      </c>
      <c r="C147" s="13"/>
      <c r="D147" s="13">
        <v>1</v>
      </c>
      <c r="E147" s="13">
        <v>40.179700000000004</v>
      </c>
      <c r="F147" s="13"/>
      <c r="G147">
        <f>IF($D147=1,IF(GDP_per_cap!C106&gt;'all_1961-1990'!$H$1,0,IF(UrbanPopRate!C106&gt;=$J$1,0,1)),0)</f>
        <v>1</v>
      </c>
      <c r="H147">
        <f>IF($D147=1,IF(GDP_per_cap!D106&gt;'all_1961-1990'!$H$1,0,IF(UrbanPopRate!D106&gt;=$J$1,0,1)),0)</f>
        <v>1</v>
      </c>
      <c r="I147">
        <f>IF($D147=1,IF(GDP_per_cap!E106&gt;'all_1961-1990'!$H$1,0,IF(UrbanPopRate!E106&gt;=$J$1,0,1)),0)</f>
        <v>1</v>
      </c>
      <c r="J147">
        <f>IF($D147=1,IF(GDP_per_cap!F106&gt;'all_1961-1990'!$H$1,0,IF(UrbanPopRate!F106&gt;=$J$1,0,1)),0)</f>
        <v>1</v>
      </c>
      <c r="K147">
        <f>IF($D147=1,IF(GDP_per_cap!G106&gt;'all_1961-1990'!$H$1,0,IF(UrbanPopRate!G106&gt;=$J$1,0,1)),0)</f>
        <v>1</v>
      </c>
      <c r="L147">
        <f>IF($D147=1,IF(GDP_per_cap!H106&gt;'all_1961-1990'!$H$1,0,IF(UrbanPopRate!H106&gt;=$J$1,0,1)),0)</f>
        <v>1</v>
      </c>
      <c r="M147">
        <f>IF($D147=1,IF(GDP_per_cap!I106&gt;'all_1961-1990'!$H$1,0,IF(UrbanPopRate!I106&gt;=$J$1,0,1)),0)</f>
        <v>0</v>
      </c>
      <c r="N147">
        <f>IF($D147=1,IF(GDP_per_cap!J106&gt;'all_1961-1990'!$H$1,0,IF(UrbanPopRate!J106&gt;=$J$1,0,1)),0)</f>
        <v>0</v>
      </c>
      <c r="O147">
        <f>IF($D147=1,IF(GDP_per_cap!K106&gt;'all_1961-1990'!$H$1,0,IF(UrbanPopRate!K106&gt;=$J$1,0,1)),0)</f>
        <v>0</v>
      </c>
      <c r="P147">
        <f>IF($D147=1,IF(GDP_per_cap!L106&gt;'all_1961-1990'!$H$1,0,IF(UrbanPopRate!L106&gt;=$J$1,0,1)),0)</f>
        <v>0</v>
      </c>
      <c r="Q147">
        <f>IF($D147=1,IF(GDP_per_cap!M106&gt;'all_1961-1990'!$H$1,0,IF(UrbanPopRate!M106&gt;=$J$1,0,1)),0)</f>
        <v>0</v>
      </c>
      <c r="R147">
        <f>IF($D147=1,IF(GDP_per_cap!N106&gt;'all_1961-1990'!$H$1,0,IF(UrbanPopRate!N106&gt;=$J$1,0,1)),0)</f>
        <v>0</v>
      </c>
      <c r="S147">
        <f>IF($D147=1,IF(GDP_per_cap!O106&gt;'all_1961-1990'!$H$1,0,IF(UrbanPopRate!O106&gt;=$J$1,0,1)),0)</f>
        <v>0</v>
      </c>
      <c r="T147">
        <f>IF($D147=1,IF(GDP_per_cap!P106&gt;'all_1961-1990'!$H$1,0,IF(UrbanPopRate!P106&gt;=$J$1,0,1)),0)</f>
        <v>0</v>
      </c>
      <c r="U147">
        <f>IF($D147=1,IF(GDP_per_cap!Q106&gt;'all_1961-1990'!$H$1,0,IF(UrbanPopRate!Q106&gt;=$J$1,0,1)),0)</f>
        <v>0</v>
      </c>
      <c r="V147">
        <f>IF($D147=1,IF(GDP_per_cap!R106&gt;'all_1961-1990'!$H$1,0,IF(UrbanPopRate!R106&gt;=$J$1,0,1)),0)</f>
        <v>0</v>
      </c>
      <c r="W147">
        <f>IF($D147=1,IF(GDP_per_cap!S106&gt;'all_1961-1990'!$H$1,0,IF(UrbanPopRate!S106&gt;=$J$1,0,1)),0)</f>
        <v>0</v>
      </c>
      <c r="X147">
        <f>IF($D147=1,IF(GDP_per_cap!T106&gt;'all_1961-1990'!$H$1,0,IF(UrbanPopRate!T106&gt;=$J$1,0,1)),0)</f>
        <v>0</v>
      </c>
      <c r="Y147">
        <f>IF($D147=1,IF(GDP_per_cap!U106&gt;'all_1961-1990'!$H$1,0,IF(UrbanPopRate!U106&gt;=$J$1,0,1)),0)</f>
        <v>0</v>
      </c>
      <c r="Z147">
        <f>IF($D147=1,IF(GDP_per_cap!V106&gt;'all_1961-1990'!$H$1,0,IF(UrbanPopRate!V106&gt;=$J$1,0,1)),0)</f>
        <v>0</v>
      </c>
      <c r="AA147">
        <f>IF($D147=1,IF(GDP_per_cap!W106&gt;'all_1961-1990'!$H$1,0,IF(UrbanPopRate!W106&gt;=$J$1,0,1)),0)</f>
        <v>0</v>
      </c>
      <c r="AB147">
        <f>IF($D147=1,IF(GDP_per_cap!X106&gt;'all_1961-1990'!$H$1,0,IF(UrbanPopRate!X106&gt;=$J$1,0,1)),0)</f>
        <v>0</v>
      </c>
      <c r="AC147">
        <f>IF($D147=1,IF(GDP_per_cap!Y106&gt;'all_1961-1990'!$H$1,0,IF(UrbanPopRate!Y106&gt;=$J$1,0,1)),0)</f>
        <v>0</v>
      </c>
      <c r="AD147">
        <f>IF($D147=1,IF(GDP_per_cap!Z106&gt;'all_1961-1990'!$H$1,0,IF(UrbanPopRate!Z106&gt;=$J$1,0,1)),0)</f>
        <v>0</v>
      </c>
      <c r="AE147">
        <f>IF($D147=1,IF(GDP_per_cap!AA106&gt;'all_1961-1990'!$H$1,0,IF(UrbanPopRate!AA106&gt;=$J$1,0,1)),0)</f>
        <v>0</v>
      </c>
      <c r="AF147">
        <f>IF($D147=1,IF(GDP_per_cap!AB106&gt;'all_1961-1990'!$H$1,0,IF(UrbanPopRate!AB106&gt;=$J$1,0,1)),0)</f>
        <v>0</v>
      </c>
      <c r="AG147">
        <f>IF($D147=1,IF(GDP_per_cap!AC106&gt;'all_1961-1990'!$H$1,0,IF(UrbanPopRate!AC106&gt;=$J$1,0,1)),0)</f>
        <v>0</v>
      </c>
      <c r="AH147">
        <f>IF($D147=1,IF(GDP_per_cap!AD106&gt;'all_1961-1990'!$H$1,0,IF(UrbanPopRate!AD106&gt;=$J$1,0,1)),0)</f>
        <v>0</v>
      </c>
      <c r="AI147">
        <f>IF($D147=1,IF(GDP_per_cap!AE106&gt;'all_1961-1990'!$H$1,0,IF(UrbanPopRate!AE106&gt;=$J$1,0,1)),0)</f>
        <v>0</v>
      </c>
      <c r="AJ147">
        <f>IF($D147=1,IF(GDP_per_cap!AF106&gt;'all_1961-1990'!$H$1,0,IF(UrbanPopRate!AF106&gt;=$J$1,0,1)),0)</f>
        <v>0</v>
      </c>
      <c r="AK147">
        <f>IF($D147=1,IF(GDP_per_cap!AG106&gt;'all_1961-1990'!$H$1,0,IF(UrbanPopRate!AG106&gt;=$J$1,0,1)),0)</f>
        <v>0</v>
      </c>
      <c r="AL147">
        <f>IF($D147=1,IF(GDP_per_cap!AH106&gt;'all_1961-1990'!$H$1,0,IF(UrbanPopRate!AH106&gt;=$J$1,0,1)),0)</f>
        <v>0</v>
      </c>
      <c r="AM147">
        <f>IF($D147=1,IF(GDP_per_cap!AI106&gt;'all_1961-1990'!$H$1,0,IF(UrbanPopRate!AI106&gt;=$J$1,0,1)),0)</f>
        <v>0</v>
      </c>
      <c r="AN147">
        <f>IF($D147=1,IF(GDP_per_cap!AJ106&gt;'all_1961-1990'!$H$1,0,IF(UrbanPopRate!AJ106&gt;=$J$1,0,1)),0)</f>
        <v>0</v>
      </c>
      <c r="AO147">
        <f>IF($D147=1,IF(GDP_per_cap!AK106&gt;'all_1961-1990'!$H$1,0,IF(UrbanPopRate!AK106&gt;=$J$1,0,1)),0)</f>
        <v>0</v>
      </c>
      <c r="AP147">
        <f>IF($D147=1,IF(GDP_per_cap!AL106&gt;'all_1961-1990'!$H$1,0,IF(UrbanPopRate!AL106&gt;=$J$1,0,1)),0)</f>
        <v>0</v>
      </c>
      <c r="AQ147">
        <f>IF($D147=1,IF(GDP_per_cap!AM106&gt;'all_1961-1990'!$H$1,0,IF(UrbanPopRate!AM106&gt;=$J$1,0,1)),0)</f>
        <v>0</v>
      </c>
      <c r="AR147">
        <f>IF($D147=1,IF(GDP_per_cap!AN106&gt;'all_1961-1990'!$H$1,0,IF(UrbanPopRate!AN106&gt;=$J$1,0,1)),0)</f>
        <v>0</v>
      </c>
      <c r="AS147">
        <f>IF($D147=1,IF(GDP_per_cap!AO106&gt;'all_1961-1990'!$H$1,0,IF(UrbanPopRate!AO106&gt;=$J$1,0,1)),0)</f>
        <v>0</v>
      </c>
      <c r="AT147">
        <f>IF($D147=1,IF(GDP_per_cap!AP106&gt;'all_1961-1990'!$H$1,0,IF(UrbanPopRate!AP106&gt;=$J$1,0,1)),0)</f>
        <v>0</v>
      </c>
      <c r="AU147">
        <f>IF($D147=1,IF(GDP_per_cap!AQ106&gt;'all_1961-1990'!$H$1,0,IF(UrbanPopRate!AQ106&gt;=$J$1,0,1)),0)</f>
        <v>0</v>
      </c>
      <c r="AV147">
        <f>IF($D147=1,IF(GDP_per_cap!AR106&gt;'all_1961-1990'!$H$1,0,IF(UrbanPopRate!AR106&gt;=$J$1,0,1)),0)</f>
        <v>0</v>
      </c>
      <c r="AW147">
        <f>IF($D147=1,IF(GDP_per_cap!AS106&gt;'all_1961-1990'!$H$1,0,IF(UrbanPopRate!AS106&gt;=$J$1,0,1)),0)</f>
        <v>0</v>
      </c>
      <c r="AX147">
        <f>IF($D147=1,IF(GDP_per_cap!AT106&gt;'all_1961-1990'!$H$1,0,IF(UrbanPopRate!AT106&gt;=$J$1,0,1)),0)</f>
        <v>0</v>
      </c>
      <c r="AY147">
        <f>IF($D147=1,IF(GDP_per_cap!AU106&gt;'all_1961-1990'!$H$1,0,IF(UrbanPopRate!AU106&gt;=$J$1,0,1)),0)</f>
        <v>0</v>
      </c>
      <c r="AZ147">
        <f>IF($D147=1,IF(GDP_per_cap!AV106&gt;'all_1961-1990'!$H$1,0,IF(UrbanPopRate!AV106&gt;=$J$1,0,1)),0)</f>
        <v>0</v>
      </c>
      <c r="BA147">
        <f>IF($D147=1,IF(GDP_per_cap!AW106&gt;'all_1961-1990'!$H$1,0,IF(UrbanPopRate!AW106&gt;=$J$1,0,1)),0)</f>
        <v>0</v>
      </c>
      <c r="BB147">
        <f>IF($D147=1,IF(GDP_per_cap!AX106&gt;'all_1961-1990'!$H$1,0,IF(UrbanPopRate!AX106&gt;=$J$1,0,1)),0)</f>
        <v>0</v>
      </c>
      <c r="BC147">
        <f>IF($D147=1,IF(GDP_per_cap!AY106&gt;'all_1961-1990'!$H$1,0,IF(UrbanPopRate!AY106&gt;=$J$1,0,1)),0)</f>
        <v>0</v>
      </c>
      <c r="BD147">
        <f>IF($D147=1,IF(GDP_per_cap!AZ106&gt;'all_1961-1990'!$H$1,0,IF(UrbanPopRate!AZ106&gt;=$J$1,0,1)),0)</f>
        <v>0</v>
      </c>
      <c r="BE147">
        <f>IF($D147=1,IF(GDP_per_cap!BA106&gt;'all_1961-1990'!$H$1,0,IF(UrbanPopRate!BA106&gt;=$J$1,0,1)),0)</f>
        <v>0</v>
      </c>
      <c r="BF147">
        <f>IF($D147=1,IF(GDP_per_cap!BB106&gt;'all_1961-1990'!$H$1,0,IF(UrbanPopRate!BB106&gt;=$J$1,0,1)),0)</f>
        <v>0</v>
      </c>
    </row>
    <row r="148" spans="1:58">
      <c r="A148" s="12">
        <v>168</v>
      </c>
      <c r="B148" s="12" t="s">
        <v>48</v>
      </c>
      <c r="C148" s="13"/>
      <c r="D148" s="13">
        <v>1</v>
      </c>
      <c r="E148" s="13"/>
      <c r="F148" s="13"/>
      <c r="G148">
        <f>IF($D148=1,IF(GDP_per_cap!C108&gt;'all_1961-1990'!$H$1,0,IF(UrbanPopRate!C108&gt;=$J$1,0,1)),0)</f>
        <v>1</v>
      </c>
      <c r="H148">
        <f>IF($D148=1,IF(GDP_per_cap!D108&gt;'all_1961-1990'!$H$1,0,IF(UrbanPopRate!D108&gt;=$J$1,0,1)),0)</f>
        <v>1</v>
      </c>
      <c r="I148">
        <f>IF($D148=1,IF(GDP_per_cap!E108&gt;'all_1961-1990'!$H$1,0,IF(UrbanPopRate!E108&gt;=$J$1,0,1)),0)</f>
        <v>1</v>
      </c>
      <c r="J148">
        <f>IF($D148=1,IF(GDP_per_cap!F108&gt;'all_1961-1990'!$H$1,0,IF(UrbanPopRate!F108&gt;=$J$1,0,1)),0)</f>
        <v>1</v>
      </c>
      <c r="K148">
        <f>IF($D148=1,IF(GDP_per_cap!G108&gt;'all_1961-1990'!$H$1,0,IF(UrbanPopRate!G108&gt;=$J$1,0,1)),0)</f>
        <v>1</v>
      </c>
      <c r="L148">
        <f>IF($D148=1,IF(GDP_per_cap!H108&gt;'all_1961-1990'!$H$1,0,IF(UrbanPopRate!H108&gt;=$J$1,0,1)),0)</f>
        <v>1</v>
      </c>
      <c r="M148">
        <f>IF($D148=1,IF(GDP_per_cap!I108&gt;'all_1961-1990'!$H$1,0,IF(UrbanPopRate!I108&gt;=$J$1,0,1)),0)</f>
        <v>1</v>
      </c>
      <c r="N148">
        <f>IF($D148=1,IF(GDP_per_cap!J108&gt;'all_1961-1990'!$H$1,0,IF(UrbanPopRate!J108&gt;=$J$1,0,1)),0)</f>
        <v>1</v>
      </c>
      <c r="O148">
        <f>IF($D148=1,IF(GDP_per_cap!K108&gt;'all_1961-1990'!$H$1,0,IF(UrbanPopRate!K108&gt;=$J$1,0,1)),0)</f>
        <v>1</v>
      </c>
      <c r="P148">
        <f>IF($D148=1,IF(GDP_per_cap!L108&gt;'all_1961-1990'!$H$1,0,IF(UrbanPopRate!L108&gt;=$J$1,0,1)),0)</f>
        <v>1</v>
      </c>
      <c r="Q148">
        <f>IF($D148=1,IF(GDP_per_cap!M108&gt;'all_1961-1990'!$H$1,0,IF(UrbanPopRate!M108&gt;=$J$1,0,1)),0)</f>
        <v>0</v>
      </c>
      <c r="R148">
        <f>IF($D148=1,IF(GDP_per_cap!N108&gt;'all_1961-1990'!$H$1,0,IF(UrbanPopRate!N108&gt;=$J$1,0,1)),0)</f>
        <v>1</v>
      </c>
      <c r="S148">
        <f>IF($D148=1,IF(GDP_per_cap!O108&gt;'all_1961-1990'!$H$1,0,IF(UrbanPopRate!O108&gt;=$J$1,0,1)),0)</f>
        <v>1</v>
      </c>
      <c r="T148">
        <f>IF($D148=1,IF(GDP_per_cap!P108&gt;'all_1961-1990'!$H$1,0,IF(UrbanPopRate!P108&gt;=$J$1,0,1)),0)</f>
        <v>1</v>
      </c>
      <c r="U148">
        <f>IF($D148=1,IF(GDP_per_cap!Q108&gt;'all_1961-1990'!$H$1,0,IF(UrbanPopRate!Q108&gt;=$J$1,0,1)),0)</f>
        <v>1</v>
      </c>
      <c r="V148">
        <f>IF($D148=1,IF(GDP_per_cap!R108&gt;'all_1961-1990'!$H$1,0,IF(UrbanPopRate!R108&gt;=$J$1,0,1)),0)</f>
        <v>1</v>
      </c>
      <c r="W148">
        <f>IF($D148=1,IF(GDP_per_cap!S108&gt;'all_1961-1990'!$H$1,0,IF(UrbanPopRate!S108&gt;=$J$1,0,1)),0)</f>
        <v>1</v>
      </c>
      <c r="X148">
        <f>IF($D148=1,IF(GDP_per_cap!T108&gt;'all_1961-1990'!$H$1,0,IF(UrbanPopRate!T108&gt;=$J$1,0,1)),0)</f>
        <v>1</v>
      </c>
      <c r="Y148">
        <f>IF($D148=1,IF(GDP_per_cap!U108&gt;'all_1961-1990'!$H$1,0,IF(UrbanPopRate!U108&gt;=$J$1,0,1)),0)</f>
        <v>1</v>
      </c>
      <c r="Z148">
        <f>IF($D148=1,IF(GDP_per_cap!V108&gt;'all_1961-1990'!$H$1,0,IF(UrbanPopRate!V108&gt;=$J$1,0,1)),0)</f>
        <v>1</v>
      </c>
      <c r="AA148">
        <f>IF($D148=1,IF(GDP_per_cap!W108&gt;'all_1961-1990'!$H$1,0,IF(UrbanPopRate!W108&gt;=$J$1,0,1)),0)</f>
        <v>1</v>
      </c>
      <c r="AB148">
        <f>IF($D148=1,IF(GDP_per_cap!X108&gt;'all_1961-1990'!$H$1,0,IF(UrbanPopRate!X108&gt;=$J$1,0,1)),0)</f>
        <v>1</v>
      </c>
      <c r="AC148">
        <f>IF($D148=1,IF(GDP_per_cap!Y108&gt;'all_1961-1990'!$H$1,0,IF(UrbanPopRate!Y108&gt;=$J$1,0,1)),0)</f>
        <v>1</v>
      </c>
      <c r="AD148">
        <f>IF($D148=1,IF(GDP_per_cap!Z108&gt;'all_1961-1990'!$H$1,0,IF(UrbanPopRate!Z108&gt;=$J$1,0,1)),0)</f>
        <v>1</v>
      </c>
      <c r="AE148">
        <f>IF($D148=1,IF(GDP_per_cap!AA108&gt;'all_1961-1990'!$H$1,0,IF(UrbanPopRate!AA108&gt;=$J$1,0,1)),0)</f>
        <v>1</v>
      </c>
      <c r="AF148">
        <f>IF($D148=1,IF(GDP_per_cap!AB108&gt;'all_1961-1990'!$H$1,0,IF(UrbanPopRate!AB108&gt;=$J$1,0,1)),0)</f>
        <v>1</v>
      </c>
      <c r="AG148">
        <f>IF($D148=1,IF(GDP_per_cap!AC108&gt;'all_1961-1990'!$H$1,0,IF(UrbanPopRate!AC108&gt;=$J$1,0,1)),0)</f>
        <v>1</v>
      </c>
      <c r="AH148">
        <f>IF($D148=1,IF(GDP_per_cap!AD108&gt;'all_1961-1990'!$H$1,0,IF(UrbanPopRate!AD108&gt;=$J$1,0,1)),0)</f>
        <v>1</v>
      </c>
      <c r="AI148">
        <f>IF($D148=1,IF(GDP_per_cap!AE108&gt;'all_1961-1990'!$H$1,0,IF(UrbanPopRate!AE108&gt;=$J$1,0,1)),0)</f>
        <v>1</v>
      </c>
      <c r="AJ148">
        <f>IF($D148=1,IF(GDP_per_cap!AF108&gt;'all_1961-1990'!$H$1,0,IF(UrbanPopRate!AF108&gt;=$J$1,0,1)),0)</f>
        <v>1</v>
      </c>
      <c r="AK148">
        <f>IF($D148=1,IF(GDP_per_cap!AG108&gt;'all_1961-1990'!$H$1,0,IF(UrbanPopRate!AG108&gt;=$J$1,0,1)),0)</f>
        <v>1</v>
      </c>
      <c r="AL148">
        <f>IF($D148=1,IF(GDP_per_cap!AH108&gt;'all_1961-1990'!$H$1,0,IF(UrbanPopRate!AH108&gt;=$J$1,0,1)),0)</f>
        <v>1</v>
      </c>
      <c r="AM148">
        <f>IF($D148=1,IF(GDP_per_cap!AI108&gt;'all_1961-1990'!$H$1,0,IF(UrbanPopRate!AI108&gt;=$J$1,0,1)),0)</f>
        <v>1</v>
      </c>
      <c r="AN148">
        <f>IF($D148=1,IF(GDP_per_cap!AJ108&gt;'all_1961-1990'!$H$1,0,IF(UrbanPopRate!AJ108&gt;=$J$1,0,1)),0)</f>
        <v>1</v>
      </c>
      <c r="AO148">
        <f>IF($D148=1,IF(GDP_per_cap!AK108&gt;'all_1961-1990'!$H$1,0,IF(UrbanPopRate!AK108&gt;=$J$1,0,1)),0)</f>
        <v>1</v>
      </c>
      <c r="AP148">
        <f>IF($D148=1,IF(GDP_per_cap!AL108&gt;'all_1961-1990'!$H$1,0,IF(UrbanPopRate!AL108&gt;=$J$1,0,1)),0)</f>
        <v>1</v>
      </c>
      <c r="AQ148">
        <f>IF($D148=1,IF(GDP_per_cap!AM108&gt;'all_1961-1990'!$H$1,0,IF(UrbanPopRate!AM108&gt;=$J$1,0,1)),0)</f>
        <v>1</v>
      </c>
      <c r="AR148">
        <f>IF($D148=1,IF(GDP_per_cap!AN108&gt;'all_1961-1990'!$H$1,0,IF(UrbanPopRate!AN108&gt;=$J$1,0,1)),0)</f>
        <v>1</v>
      </c>
      <c r="AS148">
        <f>IF($D148=1,IF(GDP_per_cap!AO108&gt;'all_1961-1990'!$H$1,0,IF(UrbanPopRate!AO108&gt;=$J$1,0,1)),0)</f>
        <v>1</v>
      </c>
      <c r="AT148">
        <f>IF($D148=1,IF(GDP_per_cap!AP108&gt;'all_1961-1990'!$H$1,0,IF(UrbanPopRate!AP108&gt;=$J$1,0,1)),0)</f>
        <v>1</v>
      </c>
      <c r="AU148">
        <f>IF($D148=1,IF(GDP_per_cap!AQ108&gt;'all_1961-1990'!$H$1,0,IF(UrbanPopRate!AQ108&gt;=$J$1,0,1)),0)</f>
        <v>1</v>
      </c>
      <c r="AV148">
        <f>IF($D148=1,IF(GDP_per_cap!AR108&gt;'all_1961-1990'!$H$1,0,IF(UrbanPopRate!AR108&gt;=$J$1,0,1)),0)</f>
        <v>1</v>
      </c>
      <c r="AW148">
        <f>IF($D148=1,IF(GDP_per_cap!AS108&gt;'all_1961-1990'!$H$1,0,IF(UrbanPopRate!AS108&gt;=$J$1,0,1)),0)</f>
        <v>1</v>
      </c>
      <c r="AX148">
        <f>IF($D148=1,IF(GDP_per_cap!AT108&gt;'all_1961-1990'!$H$1,0,IF(UrbanPopRate!AT108&gt;=$J$1,0,1)),0)</f>
        <v>1</v>
      </c>
      <c r="AY148">
        <f>IF($D148=1,IF(GDP_per_cap!AU108&gt;'all_1961-1990'!$H$1,0,IF(UrbanPopRate!AU108&gt;=$J$1,0,1)),0)</f>
        <v>1</v>
      </c>
      <c r="AZ148">
        <f>IF($D148=1,IF(GDP_per_cap!AV108&gt;'all_1961-1990'!$H$1,0,IF(UrbanPopRate!AV108&gt;=$J$1,0,1)),0)</f>
        <v>1</v>
      </c>
      <c r="BA148">
        <f>IF($D148=1,IF(GDP_per_cap!AW108&gt;'all_1961-1990'!$H$1,0,IF(UrbanPopRate!AW108&gt;=$J$1,0,1)),0)</f>
        <v>1</v>
      </c>
      <c r="BB148">
        <f>IF($D148=1,IF(GDP_per_cap!AX108&gt;'all_1961-1990'!$H$1,0,IF(UrbanPopRate!AX108&gt;=$J$1,0,1)),0)</f>
        <v>1</v>
      </c>
      <c r="BC148">
        <f>IF($D148=1,IF(GDP_per_cap!AY108&gt;'all_1961-1990'!$H$1,0,IF(UrbanPopRate!AY108&gt;=$J$1,0,1)),0)</f>
        <v>1</v>
      </c>
      <c r="BD148">
        <f>IF($D148=1,IF(GDP_per_cap!AZ108&gt;'all_1961-1990'!$H$1,0,IF(UrbanPopRate!AZ108&gt;=$J$1,0,1)),0)</f>
        <v>1</v>
      </c>
      <c r="BE148">
        <f>IF($D148=1,IF(GDP_per_cap!BA108&gt;'all_1961-1990'!$H$1,0,IF(UrbanPopRate!BA108&gt;=$J$1,0,1)),0)</f>
        <v>1</v>
      </c>
      <c r="BF148">
        <f>IF($D148=1,IF(GDP_per_cap!BB108&gt;'all_1961-1990'!$H$1,0,IF(UrbanPopRate!BB108&gt;=$J$1,0,1)),0)</f>
        <v>1</v>
      </c>
    </row>
    <row r="149" spans="1:58">
      <c r="A149" s="12">
        <v>178</v>
      </c>
      <c r="B149" s="12" t="s">
        <v>39</v>
      </c>
      <c r="C149" s="13"/>
      <c r="D149" s="13">
        <v>1</v>
      </c>
      <c r="E149" s="13">
        <v>88.959233333333316</v>
      </c>
      <c r="F149" s="13"/>
      <c r="G149">
        <f>IF($D149=1,IF(GDP_per_cap!C117&gt;'all_1961-1990'!$H$1,0,IF(UrbanPopRate!C117&gt;=$J$1,0,1)),0)</f>
        <v>0</v>
      </c>
      <c r="H149">
        <f>IF($D149=1,IF(GDP_per_cap!D117&gt;'all_1961-1990'!$H$1,0,IF(UrbanPopRate!D117&gt;=$J$1,0,1)),0)</f>
        <v>0</v>
      </c>
      <c r="I149">
        <f>IF($D149=1,IF(GDP_per_cap!E117&gt;'all_1961-1990'!$H$1,0,IF(UrbanPopRate!E117&gt;=$J$1,0,1)),0)</f>
        <v>0</v>
      </c>
      <c r="J149">
        <f>IF($D149=1,IF(GDP_per_cap!F117&gt;'all_1961-1990'!$H$1,0,IF(UrbanPopRate!F117&gt;=$J$1,0,1)),0)</f>
        <v>0</v>
      </c>
      <c r="K149">
        <f>IF($D149=1,IF(GDP_per_cap!G117&gt;'all_1961-1990'!$H$1,0,IF(UrbanPopRate!G117&gt;=$J$1,0,1)),0)</f>
        <v>0</v>
      </c>
      <c r="L149">
        <f>IF($D149=1,IF(GDP_per_cap!H117&gt;'all_1961-1990'!$H$1,0,IF(UrbanPopRate!H117&gt;=$J$1,0,1)),0)</f>
        <v>0</v>
      </c>
      <c r="M149">
        <f>IF($D149=1,IF(GDP_per_cap!I117&gt;'all_1961-1990'!$H$1,0,IF(UrbanPopRate!I117&gt;=$J$1,0,1)),0)</f>
        <v>0</v>
      </c>
      <c r="N149">
        <f>IF($D149=1,IF(GDP_per_cap!J117&gt;'all_1961-1990'!$H$1,0,IF(UrbanPopRate!J117&gt;=$J$1,0,1)),0)</f>
        <v>0</v>
      </c>
      <c r="O149">
        <f>IF($D149=1,IF(GDP_per_cap!K117&gt;'all_1961-1990'!$H$1,0,IF(UrbanPopRate!K117&gt;=$J$1,0,1)),0)</f>
        <v>0</v>
      </c>
      <c r="P149">
        <f>IF($D149=1,IF(GDP_per_cap!L117&gt;'all_1961-1990'!$H$1,0,IF(UrbanPopRate!L117&gt;=$J$1,0,1)),0)</f>
        <v>0</v>
      </c>
      <c r="Q149">
        <f>IF($D149=1,IF(GDP_per_cap!M117&gt;'all_1961-1990'!$H$1,0,IF(UrbanPopRate!M117&gt;=$J$1,0,1)),0)</f>
        <v>0</v>
      </c>
      <c r="R149">
        <f>IF($D149=1,IF(GDP_per_cap!N117&gt;'all_1961-1990'!$H$1,0,IF(UrbanPopRate!N117&gt;=$J$1,0,1)),0)</f>
        <v>0</v>
      </c>
      <c r="S149">
        <f>IF($D149=1,IF(GDP_per_cap!O117&gt;'all_1961-1990'!$H$1,0,IF(UrbanPopRate!O117&gt;=$J$1,0,1)),0)</f>
        <v>0</v>
      </c>
      <c r="T149">
        <f>IF($D149=1,IF(GDP_per_cap!P117&gt;'all_1961-1990'!$H$1,0,IF(UrbanPopRate!P117&gt;=$J$1,0,1)),0)</f>
        <v>0</v>
      </c>
      <c r="U149">
        <f>IF($D149=1,IF(GDP_per_cap!Q117&gt;'all_1961-1990'!$H$1,0,IF(UrbanPopRate!Q117&gt;=$J$1,0,1)),0)</f>
        <v>0</v>
      </c>
      <c r="V149">
        <f>IF($D149=1,IF(GDP_per_cap!R117&gt;'all_1961-1990'!$H$1,0,IF(UrbanPopRate!R117&gt;=$J$1,0,1)),0)</f>
        <v>0</v>
      </c>
      <c r="W149">
        <f>IF($D149=1,IF(GDP_per_cap!S117&gt;'all_1961-1990'!$H$1,0,IF(UrbanPopRate!S117&gt;=$J$1,0,1)),0)</f>
        <v>0</v>
      </c>
      <c r="X149">
        <f>IF($D149=1,IF(GDP_per_cap!T117&gt;'all_1961-1990'!$H$1,0,IF(UrbanPopRate!T117&gt;=$J$1,0,1)),0)</f>
        <v>0</v>
      </c>
      <c r="Y149">
        <f>IF($D149=1,IF(GDP_per_cap!U117&gt;'all_1961-1990'!$H$1,0,IF(UrbanPopRate!U117&gt;=$J$1,0,1)),0)</f>
        <v>0</v>
      </c>
      <c r="Z149">
        <f>IF($D149=1,IF(GDP_per_cap!V117&gt;'all_1961-1990'!$H$1,0,IF(UrbanPopRate!V117&gt;=$J$1,0,1)),0)</f>
        <v>0</v>
      </c>
      <c r="AA149">
        <f>IF($D149=1,IF(GDP_per_cap!W117&gt;'all_1961-1990'!$H$1,0,IF(UrbanPopRate!W117&gt;=$J$1,0,1)),0)</f>
        <v>0</v>
      </c>
      <c r="AB149">
        <f>IF($D149=1,IF(GDP_per_cap!X117&gt;'all_1961-1990'!$H$1,0,IF(UrbanPopRate!X117&gt;=$J$1,0,1)),0)</f>
        <v>0</v>
      </c>
      <c r="AC149">
        <f>IF($D149=1,IF(GDP_per_cap!Y117&gt;'all_1961-1990'!$H$1,0,IF(UrbanPopRate!Y117&gt;=$J$1,0,1)),0)</f>
        <v>0</v>
      </c>
      <c r="AD149">
        <f>IF($D149=1,IF(GDP_per_cap!Z117&gt;'all_1961-1990'!$H$1,0,IF(UrbanPopRate!Z117&gt;=$J$1,0,1)),0)</f>
        <v>0</v>
      </c>
      <c r="AE149">
        <f>IF($D149=1,IF(GDP_per_cap!AA117&gt;'all_1961-1990'!$H$1,0,IF(UrbanPopRate!AA117&gt;=$J$1,0,1)),0)</f>
        <v>0</v>
      </c>
      <c r="AF149">
        <f>IF($D149=1,IF(GDP_per_cap!AB117&gt;'all_1961-1990'!$H$1,0,IF(UrbanPopRate!AB117&gt;=$J$1,0,1)),0)</f>
        <v>0</v>
      </c>
      <c r="AG149">
        <f>IF($D149=1,IF(GDP_per_cap!AC117&gt;'all_1961-1990'!$H$1,0,IF(UrbanPopRate!AC117&gt;=$J$1,0,1)),0)</f>
        <v>0</v>
      </c>
      <c r="AH149">
        <f>IF($D149=1,IF(GDP_per_cap!AD117&gt;'all_1961-1990'!$H$1,0,IF(UrbanPopRate!AD117&gt;=$J$1,0,1)),0)</f>
        <v>0</v>
      </c>
      <c r="AI149">
        <f>IF($D149=1,IF(GDP_per_cap!AE117&gt;'all_1961-1990'!$H$1,0,IF(UrbanPopRate!AE117&gt;=$J$1,0,1)),0)</f>
        <v>0</v>
      </c>
      <c r="AJ149">
        <f>IF($D149=1,IF(GDP_per_cap!AF117&gt;'all_1961-1990'!$H$1,0,IF(UrbanPopRate!AF117&gt;=$J$1,0,1)),0)</f>
        <v>0</v>
      </c>
      <c r="AK149">
        <f>IF($D149=1,IF(GDP_per_cap!AG117&gt;'all_1961-1990'!$H$1,0,IF(UrbanPopRate!AG117&gt;=$J$1,0,1)),0)</f>
        <v>0</v>
      </c>
      <c r="AL149">
        <f>IF($D149=1,IF(GDP_per_cap!AH117&gt;'all_1961-1990'!$H$1,0,IF(UrbanPopRate!AH117&gt;=$J$1,0,1)),0)</f>
        <v>0</v>
      </c>
      <c r="AM149">
        <f>IF($D149=1,IF(GDP_per_cap!AI117&gt;'all_1961-1990'!$H$1,0,IF(UrbanPopRate!AI117&gt;=$J$1,0,1)),0)</f>
        <v>0</v>
      </c>
      <c r="AN149">
        <f>IF($D149=1,IF(GDP_per_cap!AJ117&gt;'all_1961-1990'!$H$1,0,IF(UrbanPopRate!AJ117&gt;=$J$1,0,1)),0)</f>
        <v>0</v>
      </c>
      <c r="AO149">
        <f>IF($D149=1,IF(GDP_per_cap!AK117&gt;'all_1961-1990'!$H$1,0,IF(UrbanPopRate!AK117&gt;=$J$1,0,1)),0)</f>
        <v>0</v>
      </c>
      <c r="AP149">
        <f>IF($D149=1,IF(GDP_per_cap!AL117&gt;'all_1961-1990'!$H$1,0,IF(UrbanPopRate!AL117&gt;=$J$1,0,1)),0)</f>
        <v>0</v>
      </c>
      <c r="AQ149">
        <f>IF($D149=1,IF(GDP_per_cap!AM117&gt;'all_1961-1990'!$H$1,0,IF(UrbanPopRate!AM117&gt;=$J$1,0,1)),0)</f>
        <v>0</v>
      </c>
      <c r="AR149">
        <f>IF($D149=1,IF(GDP_per_cap!AN117&gt;'all_1961-1990'!$H$1,0,IF(UrbanPopRate!AN117&gt;=$J$1,0,1)),0)</f>
        <v>0</v>
      </c>
      <c r="AS149">
        <f>IF($D149=1,IF(GDP_per_cap!AO117&gt;'all_1961-1990'!$H$1,0,IF(UrbanPopRate!AO117&gt;=$J$1,0,1)),0)</f>
        <v>0</v>
      </c>
      <c r="AT149">
        <f>IF($D149=1,IF(GDP_per_cap!AP117&gt;'all_1961-1990'!$H$1,0,IF(UrbanPopRate!AP117&gt;=$J$1,0,1)),0)</f>
        <v>0</v>
      </c>
      <c r="AU149">
        <f>IF($D149=1,IF(GDP_per_cap!AQ117&gt;'all_1961-1990'!$H$1,0,IF(UrbanPopRate!AQ117&gt;=$J$1,0,1)),0)</f>
        <v>0</v>
      </c>
      <c r="AV149">
        <f>IF($D149=1,IF(GDP_per_cap!AR117&gt;'all_1961-1990'!$H$1,0,IF(UrbanPopRate!AR117&gt;=$J$1,0,1)),0)</f>
        <v>0</v>
      </c>
      <c r="AW149">
        <f>IF($D149=1,IF(GDP_per_cap!AS117&gt;'all_1961-1990'!$H$1,0,IF(UrbanPopRate!AS117&gt;=$J$1,0,1)),0)</f>
        <v>0</v>
      </c>
      <c r="AX149">
        <f>IF($D149=1,IF(GDP_per_cap!AT117&gt;'all_1961-1990'!$H$1,0,IF(UrbanPopRate!AT117&gt;=$J$1,0,1)),0)</f>
        <v>0</v>
      </c>
      <c r="AY149">
        <f>IF($D149=1,IF(GDP_per_cap!AU117&gt;'all_1961-1990'!$H$1,0,IF(UrbanPopRate!AU117&gt;=$J$1,0,1)),0)</f>
        <v>0</v>
      </c>
      <c r="AZ149">
        <f>IF($D149=1,IF(GDP_per_cap!AV117&gt;'all_1961-1990'!$H$1,0,IF(UrbanPopRate!AV117&gt;=$J$1,0,1)),0)</f>
        <v>0</v>
      </c>
      <c r="BA149">
        <f>IF($D149=1,IF(GDP_per_cap!AW117&gt;'all_1961-1990'!$H$1,0,IF(UrbanPopRate!AW117&gt;=$J$1,0,1)),0)</f>
        <v>0</v>
      </c>
      <c r="BB149">
        <f>IF($D149=1,IF(GDP_per_cap!AX117&gt;'all_1961-1990'!$H$1,0,IF(UrbanPopRate!AX117&gt;=$J$1,0,1)),0)</f>
        <v>0</v>
      </c>
      <c r="BC149">
        <f>IF($D149=1,IF(GDP_per_cap!AY117&gt;'all_1961-1990'!$H$1,0,IF(UrbanPopRate!AY117&gt;=$J$1,0,1)),0)</f>
        <v>0</v>
      </c>
      <c r="BD149">
        <f>IF($D149=1,IF(GDP_per_cap!AZ117&gt;'all_1961-1990'!$H$1,0,IF(UrbanPopRate!AZ117&gt;=$J$1,0,1)),0)</f>
        <v>0</v>
      </c>
      <c r="BE149">
        <f>IF($D149=1,IF(GDP_per_cap!BA117&gt;'all_1961-1990'!$H$1,0,IF(UrbanPopRate!BA117&gt;=$J$1,0,1)),0)</f>
        <v>0</v>
      </c>
      <c r="BF149">
        <f>IF($D149=1,IF(GDP_per_cap!BB117&gt;'all_1961-1990'!$H$1,0,IF(UrbanPopRate!BB117&gt;=$J$1,0,1)),0)</f>
        <v>0</v>
      </c>
    </row>
    <row r="150" spans="1:58">
      <c r="A150" s="12">
        <v>196</v>
      </c>
      <c r="B150" s="12" t="s">
        <v>32</v>
      </c>
      <c r="C150" s="13"/>
      <c r="D150" s="13">
        <v>1</v>
      </c>
      <c r="E150" s="13">
        <v>100</v>
      </c>
      <c r="F150" s="13"/>
      <c r="G150">
        <f>IF($D150=1,IF(GDP_per_cap!C124&gt;'all_1961-1990'!$H$1,0,IF(UrbanPopRate!C124&gt;=$J$1,0,1)),0)</f>
        <v>0</v>
      </c>
      <c r="H150">
        <f>IF($D150=1,IF(GDP_per_cap!D124&gt;'all_1961-1990'!$H$1,0,IF(UrbanPopRate!D124&gt;=$J$1,0,1)),0)</f>
        <v>0</v>
      </c>
      <c r="I150">
        <f>IF($D150=1,IF(GDP_per_cap!E124&gt;'all_1961-1990'!$H$1,0,IF(UrbanPopRate!E124&gt;=$J$1,0,1)),0)</f>
        <v>0</v>
      </c>
      <c r="J150">
        <f>IF($D150=1,IF(GDP_per_cap!F124&gt;'all_1961-1990'!$H$1,0,IF(UrbanPopRate!F124&gt;=$J$1,0,1)),0)</f>
        <v>0</v>
      </c>
      <c r="K150">
        <f>IF($D150=1,IF(GDP_per_cap!G124&gt;'all_1961-1990'!$H$1,0,IF(UrbanPopRate!G124&gt;=$J$1,0,1)),0)</f>
        <v>0</v>
      </c>
      <c r="L150">
        <f>IF($D150=1,IF(GDP_per_cap!H124&gt;'all_1961-1990'!$H$1,0,IF(UrbanPopRate!H124&gt;=$J$1,0,1)),0)</f>
        <v>0</v>
      </c>
      <c r="M150">
        <f>IF($D150=1,IF(GDP_per_cap!I124&gt;'all_1961-1990'!$H$1,0,IF(UrbanPopRate!I124&gt;=$J$1,0,1)),0)</f>
        <v>0</v>
      </c>
      <c r="N150">
        <f>IF($D150=1,IF(GDP_per_cap!J124&gt;'all_1961-1990'!$H$1,0,IF(UrbanPopRate!J124&gt;=$J$1,0,1)),0)</f>
        <v>0</v>
      </c>
      <c r="O150">
        <f>IF($D150=1,IF(GDP_per_cap!K124&gt;'all_1961-1990'!$H$1,0,IF(UrbanPopRate!K124&gt;=$J$1,0,1)),0)</f>
        <v>0</v>
      </c>
      <c r="P150">
        <f>IF($D150=1,IF(GDP_per_cap!L124&gt;'all_1961-1990'!$H$1,0,IF(UrbanPopRate!L124&gt;=$J$1,0,1)),0)</f>
        <v>0</v>
      </c>
      <c r="Q150">
        <f>IF($D150=1,IF(GDP_per_cap!M124&gt;'all_1961-1990'!$H$1,0,IF(UrbanPopRate!M124&gt;=$J$1,0,1)),0)</f>
        <v>0</v>
      </c>
      <c r="R150">
        <f>IF($D150=1,IF(GDP_per_cap!N124&gt;'all_1961-1990'!$H$1,0,IF(UrbanPopRate!N124&gt;=$J$1,0,1)),0)</f>
        <v>0</v>
      </c>
      <c r="S150">
        <f>IF($D150=1,IF(GDP_per_cap!O124&gt;'all_1961-1990'!$H$1,0,IF(UrbanPopRate!O124&gt;=$J$1,0,1)),0)</f>
        <v>0</v>
      </c>
      <c r="T150">
        <f>IF($D150=1,IF(GDP_per_cap!P124&gt;'all_1961-1990'!$H$1,0,IF(UrbanPopRate!P124&gt;=$J$1,0,1)),0)</f>
        <v>0</v>
      </c>
      <c r="U150">
        <f>IF($D150=1,IF(GDP_per_cap!Q124&gt;'all_1961-1990'!$H$1,0,IF(UrbanPopRate!Q124&gt;=$J$1,0,1)),0)</f>
        <v>0</v>
      </c>
      <c r="V150">
        <f>IF($D150=1,IF(GDP_per_cap!R124&gt;'all_1961-1990'!$H$1,0,IF(UrbanPopRate!R124&gt;=$J$1,0,1)),0)</f>
        <v>0</v>
      </c>
      <c r="W150">
        <f>IF($D150=1,IF(GDP_per_cap!S124&gt;'all_1961-1990'!$H$1,0,IF(UrbanPopRate!S124&gt;=$J$1,0,1)),0)</f>
        <v>0</v>
      </c>
      <c r="X150">
        <f>IF($D150=1,IF(GDP_per_cap!T124&gt;'all_1961-1990'!$H$1,0,IF(UrbanPopRate!T124&gt;=$J$1,0,1)),0)</f>
        <v>0</v>
      </c>
      <c r="Y150">
        <f>IF($D150=1,IF(GDP_per_cap!U124&gt;'all_1961-1990'!$H$1,0,IF(UrbanPopRate!U124&gt;=$J$1,0,1)),0)</f>
        <v>0</v>
      </c>
      <c r="Z150">
        <f>IF($D150=1,IF(GDP_per_cap!V124&gt;'all_1961-1990'!$H$1,0,IF(UrbanPopRate!V124&gt;=$J$1,0,1)),0)</f>
        <v>0</v>
      </c>
      <c r="AA150">
        <f>IF($D150=1,IF(GDP_per_cap!W124&gt;'all_1961-1990'!$H$1,0,IF(UrbanPopRate!W124&gt;=$J$1,0,1)),0)</f>
        <v>0</v>
      </c>
      <c r="AB150">
        <f>IF($D150=1,IF(GDP_per_cap!X124&gt;'all_1961-1990'!$H$1,0,IF(UrbanPopRate!X124&gt;=$J$1,0,1)),0)</f>
        <v>0</v>
      </c>
      <c r="AC150">
        <f>IF($D150=1,IF(GDP_per_cap!Y124&gt;'all_1961-1990'!$H$1,0,IF(UrbanPopRate!Y124&gt;=$J$1,0,1)),0)</f>
        <v>0</v>
      </c>
      <c r="AD150">
        <f>IF($D150=1,IF(GDP_per_cap!Z124&gt;'all_1961-1990'!$H$1,0,IF(UrbanPopRate!Z124&gt;=$J$1,0,1)),0)</f>
        <v>0</v>
      </c>
      <c r="AE150">
        <f>IF($D150=1,IF(GDP_per_cap!AA124&gt;'all_1961-1990'!$H$1,0,IF(UrbanPopRate!AA124&gt;=$J$1,0,1)),0)</f>
        <v>0</v>
      </c>
      <c r="AF150">
        <f>IF($D150=1,IF(GDP_per_cap!AB124&gt;'all_1961-1990'!$H$1,0,IF(UrbanPopRate!AB124&gt;=$J$1,0,1)),0)</f>
        <v>0</v>
      </c>
      <c r="AG150">
        <f>IF($D150=1,IF(GDP_per_cap!AC124&gt;'all_1961-1990'!$H$1,0,IF(UrbanPopRate!AC124&gt;=$J$1,0,1)),0)</f>
        <v>0</v>
      </c>
      <c r="AH150">
        <f>IF($D150=1,IF(GDP_per_cap!AD124&gt;'all_1961-1990'!$H$1,0,IF(UrbanPopRate!AD124&gt;=$J$1,0,1)),0)</f>
        <v>0</v>
      </c>
      <c r="AI150">
        <f>IF($D150=1,IF(GDP_per_cap!AE124&gt;'all_1961-1990'!$H$1,0,IF(UrbanPopRate!AE124&gt;=$J$1,0,1)),0)</f>
        <v>0</v>
      </c>
      <c r="AJ150">
        <f>IF($D150=1,IF(GDP_per_cap!AF124&gt;'all_1961-1990'!$H$1,0,IF(UrbanPopRate!AF124&gt;=$J$1,0,1)),0)</f>
        <v>0</v>
      </c>
      <c r="AK150">
        <f>IF($D150=1,IF(GDP_per_cap!AG124&gt;'all_1961-1990'!$H$1,0,IF(UrbanPopRate!AG124&gt;=$J$1,0,1)),0)</f>
        <v>0</v>
      </c>
      <c r="AL150">
        <f>IF($D150=1,IF(GDP_per_cap!AH124&gt;'all_1961-1990'!$H$1,0,IF(UrbanPopRate!AH124&gt;=$J$1,0,1)),0)</f>
        <v>0</v>
      </c>
      <c r="AM150">
        <f>IF($D150=1,IF(GDP_per_cap!AI124&gt;'all_1961-1990'!$H$1,0,IF(UrbanPopRate!AI124&gt;=$J$1,0,1)),0)</f>
        <v>0</v>
      </c>
      <c r="AN150">
        <f>IF($D150=1,IF(GDP_per_cap!AJ124&gt;'all_1961-1990'!$H$1,0,IF(UrbanPopRate!AJ124&gt;=$J$1,0,1)),0)</f>
        <v>0</v>
      </c>
      <c r="AO150">
        <f>IF($D150=1,IF(GDP_per_cap!AK124&gt;'all_1961-1990'!$H$1,0,IF(UrbanPopRate!AK124&gt;=$J$1,0,1)),0)</f>
        <v>0</v>
      </c>
      <c r="AP150">
        <f>IF($D150=1,IF(GDP_per_cap!AL124&gt;'all_1961-1990'!$H$1,0,IF(UrbanPopRate!AL124&gt;=$J$1,0,1)),0)</f>
        <v>0</v>
      </c>
      <c r="AQ150">
        <f>IF($D150=1,IF(GDP_per_cap!AM124&gt;'all_1961-1990'!$H$1,0,IF(UrbanPopRate!AM124&gt;=$J$1,0,1)),0)</f>
        <v>0</v>
      </c>
      <c r="AR150">
        <f>IF($D150=1,IF(GDP_per_cap!AN124&gt;'all_1961-1990'!$H$1,0,IF(UrbanPopRate!AN124&gt;=$J$1,0,1)),0)</f>
        <v>0</v>
      </c>
      <c r="AS150">
        <f>IF($D150=1,IF(GDP_per_cap!AO124&gt;'all_1961-1990'!$H$1,0,IF(UrbanPopRate!AO124&gt;=$J$1,0,1)),0)</f>
        <v>0</v>
      </c>
      <c r="AT150">
        <f>IF($D150=1,IF(GDP_per_cap!AP124&gt;'all_1961-1990'!$H$1,0,IF(UrbanPopRate!AP124&gt;=$J$1,0,1)),0)</f>
        <v>0</v>
      </c>
      <c r="AU150">
        <f>IF($D150=1,IF(GDP_per_cap!AQ124&gt;'all_1961-1990'!$H$1,0,IF(UrbanPopRate!AQ124&gt;=$J$1,0,1)),0)</f>
        <v>0</v>
      </c>
      <c r="AV150">
        <f>IF($D150=1,IF(GDP_per_cap!AR124&gt;'all_1961-1990'!$H$1,0,IF(UrbanPopRate!AR124&gt;=$J$1,0,1)),0)</f>
        <v>0</v>
      </c>
      <c r="AW150">
        <f>IF($D150=1,IF(GDP_per_cap!AS124&gt;'all_1961-1990'!$H$1,0,IF(UrbanPopRate!AS124&gt;=$J$1,0,1)),0)</f>
        <v>0</v>
      </c>
      <c r="AX150">
        <f>IF($D150=1,IF(GDP_per_cap!AT124&gt;'all_1961-1990'!$H$1,0,IF(UrbanPopRate!AT124&gt;=$J$1,0,1)),0)</f>
        <v>0</v>
      </c>
      <c r="AY150">
        <f>IF($D150=1,IF(GDP_per_cap!AU124&gt;'all_1961-1990'!$H$1,0,IF(UrbanPopRate!AU124&gt;=$J$1,0,1)),0)</f>
        <v>0</v>
      </c>
      <c r="AZ150">
        <f>IF($D150=1,IF(GDP_per_cap!AV124&gt;'all_1961-1990'!$H$1,0,IF(UrbanPopRate!AV124&gt;=$J$1,0,1)),0)</f>
        <v>0</v>
      </c>
      <c r="BA150">
        <f>IF($D150=1,IF(GDP_per_cap!AW124&gt;'all_1961-1990'!$H$1,0,IF(UrbanPopRate!AW124&gt;=$J$1,0,1)),0)</f>
        <v>0</v>
      </c>
      <c r="BB150">
        <f>IF($D150=1,IF(GDP_per_cap!AX124&gt;'all_1961-1990'!$H$1,0,IF(UrbanPopRate!AX124&gt;=$J$1,0,1)),0)</f>
        <v>0</v>
      </c>
      <c r="BC150">
        <f>IF($D150=1,IF(GDP_per_cap!AY124&gt;'all_1961-1990'!$H$1,0,IF(UrbanPopRate!AY124&gt;=$J$1,0,1)),0)</f>
        <v>0</v>
      </c>
      <c r="BD150">
        <f>IF($D150=1,IF(GDP_per_cap!AZ124&gt;'all_1961-1990'!$H$1,0,IF(UrbanPopRate!AZ124&gt;=$J$1,0,1)),0)</f>
        <v>0</v>
      </c>
      <c r="BE150">
        <f>IF($D150=1,IF(GDP_per_cap!BA124&gt;'all_1961-1990'!$H$1,0,IF(UrbanPopRate!BA124&gt;=$J$1,0,1)),0)</f>
        <v>0</v>
      </c>
      <c r="BF150">
        <f>IF($D150=1,IF(GDP_per_cap!BB124&gt;'all_1961-1990'!$H$1,0,IF(UrbanPopRate!BB124&gt;=$J$1,0,1)),0)</f>
        <v>0</v>
      </c>
    </row>
    <row r="151" spans="1:58">
      <c r="A151" s="12">
        <v>197</v>
      </c>
      <c r="B151" s="12" t="s">
        <v>31</v>
      </c>
      <c r="C151" s="13"/>
      <c r="D151" s="13">
        <v>1</v>
      </c>
      <c r="E151" s="13">
        <v>46.24186666666666</v>
      </c>
      <c r="F151" s="13"/>
      <c r="G151">
        <f>IF($D151=1,IF(GDP_per_cap!C125&gt;'all_1961-1990'!$H$1,0,IF(UrbanPopRate!C125&gt;=$J$1,0,1)),0)</f>
        <v>0</v>
      </c>
      <c r="H151">
        <f>IF($D151=1,IF(GDP_per_cap!D125&gt;'all_1961-1990'!$H$1,0,IF(UrbanPopRate!D125&gt;=$J$1,0,1)),0)</f>
        <v>0</v>
      </c>
      <c r="I151">
        <f>IF($D151=1,IF(GDP_per_cap!E125&gt;'all_1961-1990'!$H$1,0,IF(UrbanPopRate!E125&gt;=$J$1,0,1)),0)</f>
        <v>0</v>
      </c>
      <c r="J151">
        <f>IF($D151=1,IF(GDP_per_cap!F125&gt;'all_1961-1990'!$H$1,0,IF(UrbanPopRate!F125&gt;=$J$1,0,1)),0)</f>
        <v>0</v>
      </c>
      <c r="K151">
        <f>IF($D151=1,IF(GDP_per_cap!G125&gt;'all_1961-1990'!$H$1,0,IF(UrbanPopRate!G125&gt;=$J$1,0,1)),0)</f>
        <v>0</v>
      </c>
      <c r="L151">
        <f>IF($D151=1,IF(GDP_per_cap!H125&gt;'all_1961-1990'!$H$1,0,IF(UrbanPopRate!H125&gt;=$J$1,0,1)),0)</f>
        <v>0</v>
      </c>
      <c r="M151">
        <f>IF($D151=1,IF(GDP_per_cap!I125&gt;'all_1961-1990'!$H$1,0,IF(UrbanPopRate!I125&gt;=$J$1,0,1)),0)</f>
        <v>0</v>
      </c>
      <c r="N151">
        <f>IF($D151=1,IF(GDP_per_cap!J125&gt;'all_1961-1990'!$H$1,0,IF(UrbanPopRate!J125&gt;=$J$1,0,1)),0)</f>
        <v>0</v>
      </c>
      <c r="O151">
        <f>IF($D151=1,IF(GDP_per_cap!K125&gt;'all_1961-1990'!$H$1,0,IF(UrbanPopRate!K125&gt;=$J$1,0,1)),0)</f>
        <v>0</v>
      </c>
      <c r="P151">
        <f>IF($D151=1,IF(GDP_per_cap!L125&gt;'all_1961-1990'!$H$1,0,IF(UrbanPopRate!L125&gt;=$J$1,0,1)),0)</f>
        <v>0</v>
      </c>
      <c r="Q151">
        <f>IF($D151=1,IF(GDP_per_cap!M125&gt;'all_1961-1990'!$H$1,0,IF(UrbanPopRate!M125&gt;=$J$1,0,1)),0)</f>
        <v>0</v>
      </c>
      <c r="R151">
        <f>IF($D151=1,IF(GDP_per_cap!N125&gt;'all_1961-1990'!$H$1,0,IF(UrbanPopRate!N125&gt;=$J$1,0,1)),0)</f>
        <v>0</v>
      </c>
      <c r="S151">
        <f>IF($D151=1,IF(GDP_per_cap!O125&gt;'all_1961-1990'!$H$1,0,IF(UrbanPopRate!O125&gt;=$J$1,0,1)),0)</f>
        <v>0</v>
      </c>
      <c r="T151">
        <f>IF($D151=1,IF(GDP_per_cap!P125&gt;'all_1961-1990'!$H$1,0,IF(UrbanPopRate!P125&gt;=$J$1,0,1)),0)</f>
        <v>0</v>
      </c>
      <c r="U151">
        <f>IF($D151=1,IF(GDP_per_cap!Q125&gt;'all_1961-1990'!$H$1,0,IF(UrbanPopRate!Q125&gt;=$J$1,0,1)),0)</f>
        <v>0</v>
      </c>
      <c r="V151">
        <f>IF($D151=1,IF(GDP_per_cap!R125&gt;'all_1961-1990'!$H$1,0,IF(UrbanPopRate!R125&gt;=$J$1,0,1)),0)</f>
        <v>0</v>
      </c>
      <c r="W151">
        <f>IF($D151=1,IF(GDP_per_cap!S125&gt;'all_1961-1990'!$H$1,0,IF(UrbanPopRate!S125&gt;=$J$1,0,1)),0)</f>
        <v>0</v>
      </c>
      <c r="X151">
        <f>IF($D151=1,IF(GDP_per_cap!T125&gt;'all_1961-1990'!$H$1,0,IF(UrbanPopRate!T125&gt;=$J$1,0,1)),0)</f>
        <v>0</v>
      </c>
      <c r="Y151">
        <f>IF($D151=1,IF(GDP_per_cap!U125&gt;'all_1961-1990'!$H$1,0,IF(UrbanPopRate!U125&gt;=$J$1,0,1)),0)</f>
        <v>0</v>
      </c>
      <c r="Z151">
        <f>IF($D151=1,IF(GDP_per_cap!V125&gt;'all_1961-1990'!$H$1,0,IF(UrbanPopRate!V125&gt;=$J$1,0,1)),0)</f>
        <v>0</v>
      </c>
      <c r="AA151">
        <f>IF($D151=1,IF(GDP_per_cap!W125&gt;'all_1961-1990'!$H$1,0,IF(UrbanPopRate!W125&gt;=$J$1,0,1)),0)</f>
        <v>0</v>
      </c>
      <c r="AB151">
        <f>IF($D151=1,IF(GDP_per_cap!X125&gt;'all_1961-1990'!$H$1,0,IF(UrbanPopRate!X125&gt;=$J$1,0,1)),0)</f>
        <v>0</v>
      </c>
      <c r="AC151">
        <f>IF($D151=1,IF(GDP_per_cap!Y125&gt;'all_1961-1990'!$H$1,0,IF(UrbanPopRate!Y125&gt;=$J$1,0,1)),0)</f>
        <v>0</v>
      </c>
      <c r="AD151">
        <f>IF($D151=1,IF(GDP_per_cap!Z125&gt;'all_1961-1990'!$H$1,0,IF(UrbanPopRate!Z125&gt;=$J$1,0,1)),0)</f>
        <v>0</v>
      </c>
      <c r="AE151">
        <f>IF($D151=1,IF(GDP_per_cap!AA125&gt;'all_1961-1990'!$H$1,0,IF(UrbanPopRate!AA125&gt;=$J$1,0,1)),0)</f>
        <v>0</v>
      </c>
      <c r="AF151">
        <f>IF($D151=1,IF(GDP_per_cap!AB125&gt;'all_1961-1990'!$H$1,0,IF(UrbanPopRate!AB125&gt;=$J$1,0,1)),0)</f>
        <v>0</v>
      </c>
      <c r="AG151">
        <f>IF($D151=1,IF(GDP_per_cap!AC125&gt;'all_1961-1990'!$H$1,0,IF(UrbanPopRate!AC125&gt;=$J$1,0,1)),0)</f>
        <v>0</v>
      </c>
      <c r="AH151">
        <f>IF($D151=1,IF(GDP_per_cap!AD125&gt;'all_1961-1990'!$H$1,0,IF(UrbanPopRate!AD125&gt;=$J$1,0,1)),0)</f>
        <v>0</v>
      </c>
      <c r="AI151">
        <f>IF($D151=1,IF(GDP_per_cap!AE125&gt;'all_1961-1990'!$H$1,0,IF(UrbanPopRate!AE125&gt;=$J$1,0,1)),0)</f>
        <v>0</v>
      </c>
      <c r="AJ151">
        <f>IF($D151=1,IF(GDP_per_cap!AF125&gt;'all_1961-1990'!$H$1,0,IF(UrbanPopRate!AF125&gt;=$J$1,0,1)),0)</f>
        <v>0</v>
      </c>
      <c r="AK151">
        <f>IF($D151=1,IF(GDP_per_cap!AG125&gt;'all_1961-1990'!$H$1,0,IF(UrbanPopRate!AG125&gt;=$J$1,0,1)),0)</f>
        <v>0</v>
      </c>
      <c r="AL151">
        <f>IF($D151=1,IF(GDP_per_cap!AH125&gt;'all_1961-1990'!$H$1,0,IF(UrbanPopRate!AH125&gt;=$J$1,0,1)),0)</f>
        <v>0</v>
      </c>
      <c r="AM151">
        <f>IF($D151=1,IF(GDP_per_cap!AI125&gt;'all_1961-1990'!$H$1,0,IF(UrbanPopRate!AI125&gt;=$J$1,0,1)),0)</f>
        <v>0</v>
      </c>
      <c r="AN151">
        <f>IF($D151=1,IF(GDP_per_cap!AJ125&gt;'all_1961-1990'!$H$1,0,IF(UrbanPopRate!AJ125&gt;=$J$1,0,1)),0)</f>
        <v>0</v>
      </c>
      <c r="AO151">
        <f>IF($D151=1,IF(GDP_per_cap!AK125&gt;'all_1961-1990'!$H$1,0,IF(UrbanPopRate!AK125&gt;=$J$1,0,1)),0)</f>
        <v>0</v>
      </c>
      <c r="AP151">
        <f>IF($D151=1,IF(GDP_per_cap!AL125&gt;'all_1961-1990'!$H$1,0,IF(UrbanPopRate!AL125&gt;=$J$1,0,1)),0)</f>
        <v>0</v>
      </c>
      <c r="AQ151">
        <f>IF($D151=1,IF(GDP_per_cap!AM125&gt;'all_1961-1990'!$H$1,0,IF(UrbanPopRate!AM125&gt;=$J$1,0,1)),0)</f>
        <v>0</v>
      </c>
      <c r="AR151">
        <f>IF($D151=1,IF(GDP_per_cap!AN125&gt;'all_1961-1990'!$H$1,0,IF(UrbanPopRate!AN125&gt;=$J$1,0,1)),0)</f>
        <v>0</v>
      </c>
      <c r="AS151">
        <f>IF($D151=1,IF(GDP_per_cap!AO125&gt;'all_1961-1990'!$H$1,0,IF(UrbanPopRate!AO125&gt;=$J$1,0,1)),0)</f>
        <v>0</v>
      </c>
      <c r="AT151">
        <f>IF($D151=1,IF(GDP_per_cap!AP125&gt;'all_1961-1990'!$H$1,0,IF(UrbanPopRate!AP125&gt;=$J$1,0,1)),0)</f>
        <v>0</v>
      </c>
      <c r="AU151">
        <f>IF($D151=1,IF(GDP_per_cap!AQ125&gt;'all_1961-1990'!$H$1,0,IF(UrbanPopRate!AQ125&gt;=$J$1,0,1)),0)</f>
        <v>0</v>
      </c>
      <c r="AV151">
        <f>IF($D151=1,IF(GDP_per_cap!AR125&gt;'all_1961-1990'!$H$1,0,IF(UrbanPopRate!AR125&gt;=$J$1,0,1)),0)</f>
        <v>0</v>
      </c>
      <c r="AW151">
        <f>IF($D151=1,IF(GDP_per_cap!AS125&gt;'all_1961-1990'!$H$1,0,IF(UrbanPopRate!AS125&gt;=$J$1,0,1)),0)</f>
        <v>0</v>
      </c>
      <c r="AX151">
        <f>IF($D151=1,IF(GDP_per_cap!AT125&gt;'all_1961-1990'!$H$1,0,IF(UrbanPopRate!AT125&gt;=$J$1,0,1)),0)</f>
        <v>0</v>
      </c>
      <c r="AY151">
        <f>IF($D151=1,IF(GDP_per_cap!AU125&gt;'all_1961-1990'!$H$1,0,IF(UrbanPopRate!AU125&gt;=$J$1,0,1)),0)</f>
        <v>0</v>
      </c>
      <c r="AZ151">
        <f>IF($D151=1,IF(GDP_per_cap!AV125&gt;'all_1961-1990'!$H$1,0,IF(UrbanPopRate!AV125&gt;=$J$1,0,1)),0)</f>
        <v>0</v>
      </c>
      <c r="BA151">
        <f>IF($D151=1,IF(GDP_per_cap!AW125&gt;'all_1961-1990'!$H$1,0,IF(UrbanPopRate!AW125&gt;=$J$1,0,1)),0)</f>
        <v>0</v>
      </c>
      <c r="BB151">
        <f>IF($D151=1,IF(GDP_per_cap!AX125&gt;'all_1961-1990'!$H$1,0,IF(UrbanPopRate!AX125&gt;=$J$1,0,1)),0)</f>
        <v>0</v>
      </c>
      <c r="BC151">
        <f>IF($D151=1,IF(GDP_per_cap!AY125&gt;'all_1961-1990'!$H$1,0,IF(UrbanPopRate!AY125&gt;=$J$1,0,1)),0)</f>
        <v>0</v>
      </c>
      <c r="BD151">
        <f>IF($D151=1,IF(GDP_per_cap!AZ125&gt;'all_1961-1990'!$H$1,0,IF(UrbanPopRate!AZ125&gt;=$J$1,0,1)),0)</f>
        <v>0</v>
      </c>
      <c r="BE151">
        <f>IF($D151=1,IF(GDP_per_cap!BA125&gt;'all_1961-1990'!$H$1,0,IF(UrbanPopRate!BA125&gt;=$J$1,0,1)),0)</f>
        <v>0</v>
      </c>
      <c r="BF151">
        <f>IF($D151=1,IF(GDP_per_cap!BB125&gt;'all_1961-1990'!$H$1,0,IF(UrbanPopRate!BB125&gt;=$J$1,0,1)),0)</f>
        <v>0</v>
      </c>
    </row>
    <row r="152" spans="1:58">
      <c r="A152" s="12">
        <v>198</v>
      </c>
      <c r="B152" s="12" t="s">
        <v>30</v>
      </c>
      <c r="C152" s="13"/>
      <c r="D152" s="13">
        <v>1</v>
      </c>
      <c r="E152" s="13">
        <v>41.834933333333339</v>
      </c>
      <c r="F152" s="13"/>
      <c r="G152">
        <f>IF($D152=1,IF(GDP_per_cap!C126&gt;'all_1961-1990'!$H$1,0,IF(UrbanPopRate!C126&gt;=$J$1,0,1)),0)</f>
        <v>0</v>
      </c>
      <c r="H152">
        <f>IF($D152=1,IF(GDP_per_cap!D126&gt;'all_1961-1990'!$H$1,0,IF(UrbanPopRate!D126&gt;=$J$1,0,1)),0)</f>
        <v>0</v>
      </c>
      <c r="I152">
        <f>IF($D152=1,IF(GDP_per_cap!E126&gt;'all_1961-1990'!$H$1,0,IF(UrbanPopRate!E126&gt;=$J$1,0,1)),0)</f>
        <v>0</v>
      </c>
      <c r="J152">
        <f>IF($D152=1,IF(GDP_per_cap!F126&gt;'all_1961-1990'!$H$1,0,IF(UrbanPopRate!F126&gt;=$J$1,0,1)),0)</f>
        <v>0</v>
      </c>
      <c r="K152">
        <f>IF($D152=1,IF(GDP_per_cap!G126&gt;'all_1961-1990'!$H$1,0,IF(UrbanPopRate!G126&gt;=$J$1,0,1)),0)</f>
        <v>0</v>
      </c>
      <c r="L152">
        <f>IF($D152=1,IF(GDP_per_cap!H126&gt;'all_1961-1990'!$H$1,0,IF(UrbanPopRate!H126&gt;=$J$1,0,1)),0)</f>
        <v>0</v>
      </c>
      <c r="M152">
        <f>IF($D152=1,IF(GDP_per_cap!I126&gt;'all_1961-1990'!$H$1,0,IF(UrbanPopRate!I126&gt;=$J$1,0,1)),0)</f>
        <v>0</v>
      </c>
      <c r="N152">
        <f>IF($D152=1,IF(GDP_per_cap!J126&gt;'all_1961-1990'!$H$1,0,IF(UrbanPopRate!J126&gt;=$J$1,0,1)),0)</f>
        <v>0</v>
      </c>
      <c r="O152">
        <f>IF($D152=1,IF(GDP_per_cap!K126&gt;'all_1961-1990'!$H$1,0,IF(UrbanPopRate!K126&gt;=$J$1,0,1)),0)</f>
        <v>0</v>
      </c>
      <c r="P152">
        <f>IF($D152=1,IF(GDP_per_cap!L126&gt;'all_1961-1990'!$H$1,0,IF(UrbanPopRate!L126&gt;=$J$1,0,1)),0)</f>
        <v>0</v>
      </c>
      <c r="Q152">
        <f>IF($D152=1,IF(GDP_per_cap!M126&gt;'all_1961-1990'!$H$1,0,IF(UrbanPopRate!M126&gt;=$J$1,0,1)),0)</f>
        <v>0</v>
      </c>
      <c r="R152">
        <f>IF($D152=1,IF(GDP_per_cap!N126&gt;'all_1961-1990'!$H$1,0,IF(UrbanPopRate!N126&gt;=$J$1,0,1)),0)</f>
        <v>0</v>
      </c>
      <c r="S152">
        <f>IF($D152=1,IF(GDP_per_cap!O126&gt;'all_1961-1990'!$H$1,0,IF(UrbanPopRate!O126&gt;=$J$1,0,1)),0)</f>
        <v>0</v>
      </c>
      <c r="T152">
        <f>IF($D152=1,IF(GDP_per_cap!P126&gt;'all_1961-1990'!$H$1,0,IF(UrbanPopRate!P126&gt;=$J$1,0,1)),0)</f>
        <v>0</v>
      </c>
      <c r="U152">
        <f>IF($D152=1,IF(GDP_per_cap!Q126&gt;'all_1961-1990'!$H$1,0,IF(UrbanPopRate!Q126&gt;=$J$1,0,1)),0)</f>
        <v>0</v>
      </c>
      <c r="V152">
        <f>IF($D152=1,IF(GDP_per_cap!R126&gt;'all_1961-1990'!$H$1,0,IF(UrbanPopRate!R126&gt;=$J$1,0,1)),0)</f>
        <v>0</v>
      </c>
      <c r="W152">
        <f>IF($D152=1,IF(GDP_per_cap!S126&gt;'all_1961-1990'!$H$1,0,IF(UrbanPopRate!S126&gt;=$J$1,0,1)),0)</f>
        <v>0</v>
      </c>
      <c r="X152">
        <f>IF($D152=1,IF(GDP_per_cap!T126&gt;'all_1961-1990'!$H$1,0,IF(UrbanPopRate!T126&gt;=$J$1,0,1)),0)</f>
        <v>0</v>
      </c>
      <c r="Y152">
        <f>IF($D152=1,IF(GDP_per_cap!U126&gt;'all_1961-1990'!$H$1,0,IF(UrbanPopRate!U126&gt;=$J$1,0,1)),0)</f>
        <v>0</v>
      </c>
      <c r="Z152">
        <f>IF($D152=1,IF(GDP_per_cap!V126&gt;'all_1961-1990'!$H$1,0,IF(UrbanPopRate!V126&gt;=$J$1,0,1)),0)</f>
        <v>0</v>
      </c>
      <c r="AA152">
        <f>IF($D152=1,IF(GDP_per_cap!W126&gt;'all_1961-1990'!$H$1,0,IF(UrbanPopRate!W126&gt;=$J$1,0,1)),0)</f>
        <v>0</v>
      </c>
      <c r="AB152">
        <f>IF($D152=1,IF(GDP_per_cap!X126&gt;'all_1961-1990'!$H$1,0,IF(UrbanPopRate!X126&gt;=$J$1,0,1)),0)</f>
        <v>0</v>
      </c>
      <c r="AC152">
        <f>IF($D152=1,IF(GDP_per_cap!Y126&gt;'all_1961-1990'!$H$1,0,IF(UrbanPopRate!Y126&gt;=$J$1,0,1)),0)</f>
        <v>0</v>
      </c>
      <c r="AD152">
        <f>IF($D152=1,IF(GDP_per_cap!Z126&gt;'all_1961-1990'!$H$1,0,IF(UrbanPopRate!Z126&gt;=$J$1,0,1)),0)</f>
        <v>0</v>
      </c>
      <c r="AE152">
        <f>IF($D152=1,IF(GDP_per_cap!AA126&gt;'all_1961-1990'!$H$1,0,IF(UrbanPopRate!AA126&gt;=$J$1,0,1)),0)</f>
        <v>0</v>
      </c>
      <c r="AF152">
        <f>IF($D152=1,IF(GDP_per_cap!AB126&gt;'all_1961-1990'!$H$1,0,IF(UrbanPopRate!AB126&gt;=$J$1,0,1)),0)</f>
        <v>0</v>
      </c>
      <c r="AG152">
        <f>IF($D152=1,IF(GDP_per_cap!AC126&gt;'all_1961-1990'!$H$1,0,IF(UrbanPopRate!AC126&gt;=$J$1,0,1)),0)</f>
        <v>0</v>
      </c>
      <c r="AH152">
        <f>IF($D152=1,IF(GDP_per_cap!AD126&gt;'all_1961-1990'!$H$1,0,IF(UrbanPopRate!AD126&gt;=$J$1,0,1)),0)</f>
        <v>0</v>
      </c>
      <c r="AI152">
        <f>IF($D152=1,IF(GDP_per_cap!AE126&gt;'all_1961-1990'!$H$1,0,IF(UrbanPopRate!AE126&gt;=$J$1,0,1)),0)</f>
        <v>0</v>
      </c>
      <c r="AJ152">
        <f>IF($D152=1,IF(GDP_per_cap!AF126&gt;'all_1961-1990'!$H$1,0,IF(UrbanPopRate!AF126&gt;=$J$1,0,1)),0)</f>
        <v>0</v>
      </c>
      <c r="AK152">
        <f>IF($D152=1,IF(GDP_per_cap!AG126&gt;'all_1961-1990'!$H$1,0,IF(UrbanPopRate!AG126&gt;=$J$1,0,1)),0)</f>
        <v>0</v>
      </c>
      <c r="AL152">
        <f>IF($D152=1,IF(GDP_per_cap!AH126&gt;'all_1961-1990'!$H$1,0,IF(UrbanPopRate!AH126&gt;=$J$1,0,1)),0)</f>
        <v>0</v>
      </c>
      <c r="AM152">
        <f>IF($D152=1,IF(GDP_per_cap!AI126&gt;'all_1961-1990'!$H$1,0,IF(UrbanPopRate!AI126&gt;=$J$1,0,1)),0)</f>
        <v>0</v>
      </c>
      <c r="AN152">
        <f>IF($D152=1,IF(GDP_per_cap!AJ126&gt;'all_1961-1990'!$H$1,0,IF(UrbanPopRate!AJ126&gt;=$J$1,0,1)),0)</f>
        <v>0</v>
      </c>
      <c r="AO152">
        <f>IF($D152=1,IF(GDP_per_cap!AK126&gt;'all_1961-1990'!$H$1,0,IF(UrbanPopRate!AK126&gt;=$J$1,0,1)),0)</f>
        <v>0</v>
      </c>
      <c r="AP152">
        <f>IF($D152=1,IF(GDP_per_cap!AL126&gt;'all_1961-1990'!$H$1,0,IF(UrbanPopRate!AL126&gt;=$J$1,0,1)),0)</f>
        <v>0</v>
      </c>
      <c r="AQ152">
        <f>IF($D152=1,IF(GDP_per_cap!AM126&gt;'all_1961-1990'!$H$1,0,IF(UrbanPopRate!AM126&gt;=$J$1,0,1)),0)</f>
        <v>0</v>
      </c>
      <c r="AR152">
        <f>IF($D152=1,IF(GDP_per_cap!AN126&gt;'all_1961-1990'!$H$1,0,IF(UrbanPopRate!AN126&gt;=$J$1,0,1)),0)</f>
        <v>0</v>
      </c>
      <c r="AS152">
        <f>IF($D152=1,IF(GDP_per_cap!AO126&gt;'all_1961-1990'!$H$1,0,IF(UrbanPopRate!AO126&gt;=$J$1,0,1)),0)</f>
        <v>0</v>
      </c>
      <c r="AT152">
        <f>IF($D152=1,IF(GDP_per_cap!AP126&gt;'all_1961-1990'!$H$1,0,IF(UrbanPopRate!AP126&gt;=$J$1,0,1)),0)</f>
        <v>0</v>
      </c>
      <c r="AU152">
        <f>IF($D152=1,IF(GDP_per_cap!AQ126&gt;'all_1961-1990'!$H$1,0,IF(UrbanPopRate!AQ126&gt;=$J$1,0,1)),0)</f>
        <v>0</v>
      </c>
      <c r="AV152">
        <f>IF($D152=1,IF(GDP_per_cap!AR126&gt;'all_1961-1990'!$H$1,0,IF(UrbanPopRate!AR126&gt;=$J$1,0,1)),0)</f>
        <v>0</v>
      </c>
      <c r="AW152">
        <f>IF($D152=1,IF(GDP_per_cap!AS126&gt;'all_1961-1990'!$H$1,0,IF(UrbanPopRate!AS126&gt;=$J$1,0,1)),0)</f>
        <v>0</v>
      </c>
      <c r="AX152">
        <f>IF($D152=1,IF(GDP_per_cap!AT126&gt;'all_1961-1990'!$H$1,0,IF(UrbanPopRate!AT126&gt;=$J$1,0,1)),0)</f>
        <v>0</v>
      </c>
      <c r="AY152">
        <f>IF($D152=1,IF(GDP_per_cap!AU126&gt;'all_1961-1990'!$H$1,0,IF(UrbanPopRate!AU126&gt;=$J$1,0,1)),0)</f>
        <v>0</v>
      </c>
      <c r="AZ152">
        <f>IF($D152=1,IF(GDP_per_cap!AV126&gt;'all_1961-1990'!$H$1,0,IF(UrbanPopRate!AV126&gt;=$J$1,0,1)),0)</f>
        <v>0</v>
      </c>
      <c r="BA152">
        <f>IF($D152=1,IF(GDP_per_cap!AW126&gt;'all_1961-1990'!$H$1,0,IF(UrbanPopRate!AW126&gt;=$J$1,0,1)),0)</f>
        <v>0</v>
      </c>
      <c r="BB152">
        <f>IF($D152=1,IF(GDP_per_cap!AX126&gt;'all_1961-1990'!$H$1,0,IF(UrbanPopRate!AX126&gt;=$J$1,0,1)),0)</f>
        <v>0</v>
      </c>
      <c r="BC152">
        <f>IF($D152=1,IF(GDP_per_cap!AY126&gt;'all_1961-1990'!$H$1,0,IF(UrbanPopRate!AY126&gt;=$J$1,0,1)),0)</f>
        <v>0</v>
      </c>
      <c r="BD152">
        <f>IF($D152=1,IF(GDP_per_cap!AZ126&gt;'all_1961-1990'!$H$1,0,IF(UrbanPopRate!AZ126&gt;=$J$1,0,1)),0)</f>
        <v>0</v>
      </c>
      <c r="BE152">
        <f>IF($D152=1,IF(GDP_per_cap!BA126&gt;'all_1961-1990'!$H$1,0,IF(UrbanPopRate!BA126&gt;=$J$1,0,1)),0)</f>
        <v>0</v>
      </c>
      <c r="BF152">
        <f>IF($D152=1,IF(GDP_per_cap!BB126&gt;'all_1961-1990'!$H$1,0,IF(UrbanPopRate!BB126&gt;=$J$1,0,1)),0)</f>
        <v>0</v>
      </c>
    </row>
    <row r="153" spans="1:58">
      <c r="A153" s="12">
        <v>213</v>
      </c>
      <c r="B153" s="12" t="s">
        <v>20</v>
      </c>
      <c r="C153" s="13"/>
      <c r="D153" s="13">
        <v>1</v>
      </c>
      <c r="E153" s="13">
        <v>34.55833333333333</v>
      </c>
      <c r="F153" s="13"/>
      <c r="G153">
        <f>IF($D153=1,IF(GDP_per_cap!C136&gt;'all_1961-1990'!$H$1,0,IF(UrbanPopRate!C136&gt;=$J$1,0,1)),0)</f>
        <v>0</v>
      </c>
      <c r="H153">
        <f>IF($D153=1,IF(GDP_per_cap!D136&gt;'all_1961-1990'!$H$1,0,IF(UrbanPopRate!D136&gt;=$J$1,0,1)),0)</f>
        <v>0</v>
      </c>
      <c r="I153">
        <f>IF($D153=1,IF(GDP_per_cap!E136&gt;'all_1961-1990'!$H$1,0,IF(UrbanPopRate!E136&gt;=$J$1,0,1)),0)</f>
        <v>0</v>
      </c>
      <c r="J153">
        <f>IF($D153=1,IF(GDP_per_cap!F136&gt;'all_1961-1990'!$H$1,0,IF(UrbanPopRate!F136&gt;=$J$1,0,1)),0)</f>
        <v>0</v>
      </c>
      <c r="K153">
        <f>IF($D153=1,IF(GDP_per_cap!G136&gt;'all_1961-1990'!$H$1,0,IF(UrbanPopRate!G136&gt;=$J$1,0,1)),0)</f>
        <v>0</v>
      </c>
      <c r="L153">
        <f>IF($D153=1,IF(GDP_per_cap!H136&gt;'all_1961-1990'!$H$1,0,IF(UrbanPopRate!H136&gt;=$J$1,0,1)),0)</f>
        <v>0</v>
      </c>
      <c r="M153">
        <f>IF($D153=1,IF(GDP_per_cap!I136&gt;'all_1961-1990'!$H$1,0,IF(UrbanPopRate!I136&gt;=$J$1,0,1)),0)</f>
        <v>0</v>
      </c>
      <c r="N153">
        <f>IF($D153=1,IF(GDP_per_cap!J136&gt;'all_1961-1990'!$H$1,0,IF(UrbanPopRate!J136&gt;=$J$1,0,1)),0)</f>
        <v>0</v>
      </c>
      <c r="O153">
        <f>IF($D153=1,IF(GDP_per_cap!K136&gt;'all_1961-1990'!$H$1,0,IF(UrbanPopRate!K136&gt;=$J$1,0,1)),0)</f>
        <v>0</v>
      </c>
      <c r="P153">
        <f>IF($D153=1,IF(GDP_per_cap!L136&gt;'all_1961-1990'!$H$1,0,IF(UrbanPopRate!L136&gt;=$J$1,0,1)),0)</f>
        <v>0</v>
      </c>
      <c r="Q153">
        <f>IF($D153=1,IF(GDP_per_cap!M136&gt;'all_1961-1990'!$H$1,0,IF(UrbanPopRate!M136&gt;=$J$1,0,1)),0)</f>
        <v>0</v>
      </c>
      <c r="R153">
        <f>IF($D153=1,IF(GDP_per_cap!N136&gt;'all_1961-1990'!$H$1,0,IF(UrbanPopRate!N136&gt;=$J$1,0,1)),0)</f>
        <v>0</v>
      </c>
      <c r="S153">
        <f>IF($D153=1,IF(GDP_per_cap!O136&gt;'all_1961-1990'!$H$1,0,IF(UrbanPopRate!O136&gt;=$J$1,0,1)),0)</f>
        <v>0</v>
      </c>
      <c r="T153">
        <f>IF($D153=1,IF(GDP_per_cap!P136&gt;'all_1961-1990'!$H$1,0,IF(UrbanPopRate!P136&gt;=$J$1,0,1)),0)</f>
        <v>0</v>
      </c>
      <c r="U153">
        <f>IF($D153=1,IF(GDP_per_cap!Q136&gt;'all_1961-1990'!$H$1,0,IF(UrbanPopRate!Q136&gt;=$J$1,0,1)),0)</f>
        <v>0</v>
      </c>
      <c r="V153">
        <f>IF($D153=1,IF(GDP_per_cap!R136&gt;'all_1961-1990'!$H$1,0,IF(UrbanPopRate!R136&gt;=$J$1,0,1)),0)</f>
        <v>0</v>
      </c>
      <c r="W153">
        <f>IF($D153=1,IF(GDP_per_cap!S136&gt;'all_1961-1990'!$H$1,0,IF(UrbanPopRate!S136&gt;=$J$1,0,1)),0)</f>
        <v>0</v>
      </c>
      <c r="X153">
        <f>IF($D153=1,IF(GDP_per_cap!T136&gt;'all_1961-1990'!$H$1,0,IF(UrbanPopRate!T136&gt;=$J$1,0,1)),0)</f>
        <v>0</v>
      </c>
      <c r="Y153">
        <f>IF($D153=1,IF(GDP_per_cap!U136&gt;'all_1961-1990'!$H$1,0,IF(UrbanPopRate!U136&gt;=$J$1,0,1)),0)</f>
        <v>0</v>
      </c>
      <c r="Z153">
        <f>IF($D153=1,IF(GDP_per_cap!V136&gt;'all_1961-1990'!$H$1,0,IF(UrbanPopRate!V136&gt;=$J$1,0,1)),0)</f>
        <v>0</v>
      </c>
      <c r="AA153">
        <f>IF($D153=1,IF(GDP_per_cap!W136&gt;'all_1961-1990'!$H$1,0,IF(UrbanPopRate!W136&gt;=$J$1,0,1)),0)</f>
        <v>0</v>
      </c>
      <c r="AB153">
        <f>IF($D153=1,IF(GDP_per_cap!X136&gt;'all_1961-1990'!$H$1,0,IF(UrbanPopRate!X136&gt;=$J$1,0,1)),0)</f>
        <v>0</v>
      </c>
      <c r="AC153">
        <f>IF($D153=1,IF(GDP_per_cap!Y136&gt;'all_1961-1990'!$H$1,0,IF(UrbanPopRate!Y136&gt;=$J$1,0,1)),0)</f>
        <v>0</v>
      </c>
      <c r="AD153">
        <f>IF($D153=1,IF(GDP_per_cap!Z136&gt;'all_1961-1990'!$H$1,0,IF(UrbanPopRate!Z136&gt;=$J$1,0,1)),0)</f>
        <v>0</v>
      </c>
      <c r="AE153">
        <f>IF($D153=1,IF(GDP_per_cap!AA136&gt;'all_1961-1990'!$H$1,0,IF(UrbanPopRate!AA136&gt;=$J$1,0,1)),0)</f>
        <v>0</v>
      </c>
      <c r="AF153">
        <f>IF($D153=1,IF(GDP_per_cap!AB136&gt;'all_1961-1990'!$H$1,0,IF(UrbanPopRate!AB136&gt;=$J$1,0,1)),0)</f>
        <v>0</v>
      </c>
      <c r="AG153">
        <f>IF($D153=1,IF(GDP_per_cap!AC136&gt;'all_1961-1990'!$H$1,0,IF(UrbanPopRate!AC136&gt;=$J$1,0,1)),0)</f>
        <v>0</v>
      </c>
      <c r="AH153">
        <f>IF($D153=1,IF(GDP_per_cap!AD136&gt;'all_1961-1990'!$H$1,0,IF(UrbanPopRate!AD136&gt;=$J$1,0,1)),0)</f>
        <v>0</v>
      </c>
      <c r="AI153">
        <f>IF($D153=1,IF(GDP_per_cap!AE136&gt;'all_1961-1990'!$H$1,0,IF(UrbanPopRate!AE136&gt;=$J$1,0,1)),0)</f>
        <v>0</v>
      </c>
      <c r="AJ153">
        <f>IF($D153=1,IF(GDP_per_cap!AF136&gt;'all_1961-1990'!$H$1,0,IF(UrbanPopRate!AF136&gt;=$J$1,0,1)),0)</f>
        <v>0</v>
      </c>
      <c r="AK153">
        <f>IF($D153=1,IF(GDP_per_cap!AG136&gt;'all_1961-1990'!$H$1,0,IF(UrbanPopRate!AG136&gt;=$J$1,0,1)),0)</f>
        <v>0</v>
      </c>
      <c r="AL153">
        <f>IF($D153=1,IF(GDP_per_cap!AH136&gt;'all_1961-1990'!$H$1,0,IF(UrbanPopRate!AH136&gt;=$J$1,0,1)),0)</f>
        <v>0</v>
      </c>
      <c r="AM153">
        <f>IF($D153=1,IF(GDP_per_cap!AI136&gt;'all_1961-1990'!$H$1,0,IF(UrbanPopRate!AI136&gt;=$J$1,0,1)),0)</f>
        <v>0</v>
      </c>
      <c r="AN153">
        <f>IF($D153=1,IF(GDP_per_cap!AJ136&gt;'all_1961-1990'!$H$1,0,IF(UrbanPopRate!AJ136&gt;=$J$1,0,1)),0)</f>
        <v>0</v>
      </c>
      <c r="AO153">
        <f>IF($D153=1,IF(GDP_per_cap!AK136&gt;'all_1961-1990'!$H$1,0,IF(UrbanPopRate!AK136&gt;=$J$1,0,1)),0)</f>
        <v>0</v>
      </c>
      <c r="AP153">
        <f>IF($D153=1,IF(GDP_per_cap!AL136&gt;'all_1961-1990'!$H$1,0,IF(UrbanPopRate!AL136&gt;=$J$1,0,1)),0)</f>
        <v>0</v>
      </c>
      <c r="AQ153">
        <f>IF($D153=1,IF(GDP_per_cap!AM136&gt;'all_1961-1990'!$H$1,0,IF(UrbanPopRate!AM136&gt;=$J$1,0,1)),0)</f>
        <v>0</v>
      </c>
      <c r="AR153">
        <f>IF($D153=1,IF(GDP_per_cap!AN136&gt;'all_1961-1990'!$H$1,0,IF(UrbanPopRate!AN136&gt;=$J$1,0,1)),0)</f>
        <v>0</v>
      </c>
      <c r="AS153">
        <f>IF($D153=1,IF(GDP_per_cap!AO136&gt;'all_1961-1990'!$H$1,0,IF(UrbanPopRate!AO136&gt;=$J$1,0,1)),0)</f>
        <v>0</v>
      </c>
      <c r="AT153">
        <f>IF($D153=1,IF(GDP_per_cap!AP136&gt;'all_1961-1990'!$H$1,0,IF(UrbanPopRate!AP136&gt;=$J$1,0,1)),0)</f>
        <v>0</v>
      </c>
      <c r="AU153">
        <f>IF($D153=1,IF(GDP_per_cap!AQ136&gt;'all_1961-1990'!$H$1,0,IF(UrbanPopRate!AQ136&gt;=$J$1,0,1)),0)</f>
        <v>0</v>
      </c>
      <c r="AV153">
        <f>IF($D153=1,IF(GDP_per_cap!AR136&gt;'all_1961-1990'!$H$1,0,IF(UrbanPopRate!AR136&gt;=$J$1,0,1)),0)</f>
        <v>0</v>
      </c>
      <c r="AW153">
        <f>IF($D153=1,IF(GDP_per_cap!AS136&gt;'all_1961-1990'!$H$1,0,IF(UrbanPopRate!AS136&gt;=$J$1,0,1)),0)</f>
        <v>0</v>
      </c>
      <c r="AX153">
        <f>IF($D153=1,IF(GDP_per_cap!AT136&gt;'all_1961-1990'!$H$1,0,IF(UrbanPopRate!AT136&gt;=$J$1,0,1)),0)</f>
        <v>0</v>
      </c>
      <c r="AY153">
        <f>IF($D153=1,IF(GDP_per_cap!AU136&gt;'all_1961-1990'!$H$1,0,IF(UrbanPopRate!AU136&gt;=$J$1,0,1)),0)</f>
        <v>0</v>
      </c>
      <c r="AZ153">
        <f>IF($D153=1,IF(GDP_per_cap!AV136&gt;'all_1961-1990'!$H$1,0,IF(UrbanPopRate!AV136&gt;=$J$1,0,1)),0)</f>
        <v>0</v>
      </c>
      <c r="BA153">
        <f>IF($D153=1,IF(GDP_per_cap!AW136&gt;'all_1961-1990'!$H$1,0,IF(UrbanPopRate!AW136&gt;=$J$1,0,1)),0)</f>
        <v>0</v>
      </c>
      <c r="BB153">
        <f>IF($D153=1,IF(GDP_per_cap!AX136&gt;'all_1961-1990'!$H$1,0,IF(UrbanPopRate!AX136&gt;=$J$1,0,1)),0)</f>
        <v>0</v>
      </c>
      <c r="BC153">
        <f>IF($D153=1,IF(GDP_per_cap!AY136&gt;'all_1961-1990'!$H$1,0,IF(UrbanPopRate!AY136&gt;=$J$1,0,1)),0)</f>
        <v>0</v>
      </c>
      <c r="BD153">
        <f>IF($D153=1,IF(GDP_per_cap!AZ136&gt;'all_1961-1990'!$H$1,0,IF(UrbanPopRate!AZ136&gt;=$J$1,0,1)),0)</f>
        <v>0</v>
      </c>
      <c r="BE153">
        <f>IF($D153=1,IF(GDP_per_cap!BA136&gt;'all_1961-1990'!$H$1,0,IF(UrbanPopRate!BA136&gt;=$J$1,0,1)),0)</f>
        <v>0</v>
      </c>
      <c r="BF153">
        <f>IF($D153=1,IF(GDP_per_cap!BB136&gt;'all_1961-1990'!$H$1,0,IF(UrbanPopRate!BB136&gt;=$J$1,0,1)),0)</f>
        <v>0</v>
      </c>
    </row>
    <row r="154" spans="1:58">
      <c r="A154" s="12">
        <v>216</v>
      </c>
      <c r="B154" s="12" t="s">
        <v>17</v>
      </c>
      <c r="C154" s="13"/>
      <c r="D154" s="13">
        <v>1</v>
      </c>
      <c r="E154" s="13">
        <v>15.06993333333333</v>
      </c>
      <c r="F154" s="13"/>
      <c r="G154">
        <f>IF($D154=1,IF(GDP_per_cap!C139&gt;'all_1961-1990'!$H$1,0,IF(UrbanPopRate!C139&gt;=$J$1,0,1)),0)</f>
        <v>1</v>
      </c>
      <c r="H154">
        <f>IF($D154=1,IF(GDP_per_cap!D139&gt;'all_1961-1990'!$H$1,0,IF(UrbanPopRate!D139&gt;=$J$1,0,1)),0)</f>
        <v>1</v>
      </c>
      <c r="I154">
        <f>IF($D154=1,IF(GDP_per_cap!E139&gt;'all_1961-1990'!$H$1,0,IF(UrbanPopRate!E139&gt;=$J$1,0,1)),0)</f>
        <v>1</v>
      </c>
      <c r="J154">
        <f>IF($D154=1,IF(GDP_per_cap!F139&gt;'all_1961-1990'!$H$1,0,IF(UrbanPopRate!F139&gt;=$J$1,0,1)),0)</f>
        <v>1</v>
      </c>
      <c r="K154">
        <f>IF($D154=1,IF(GDP_per_cap!G139&gt;'all_1961-1990'!$H$1,0,IF(UrbanPopRate!G139&gt;=$J$1,0,1)),0)</f>
        <v>1</v>
      </c>
      <c r="L154">
        <f>IF($D154=1,IF(GDP_per_cap!H139&gt;'all_1961-1990'!$H$1,0,IF(UrbanPopRate!H139&gt;=$J$1,0,1)),0)</f>
        <v>1</v>
      </c>
      <c r="M154">
        <f>IF($D154=1,IF(GDP_per_cap!I139&gt;'all_1961-1990'!$H$1,0,IF(UrbanPopRate!I139&gt;=$J$1,0,1)),0)</f>
        <v>1</v>
      </c>
      <c r="N154">
        <f>IF($D154=1,IF(GDP_per_cap!J139&gt;'all_1961-1990'!$H$1,0,IF(UrbanPopRate!J139&gt;=$J$1,0,1)),0)</f>
        <v>1</v>
      </c>
      <c r="O154">
        <f>IF($D154=1,IF(GDP_per_cap!K139&gt;'all_1961-1990'!$H$1,0,IF(UrbanPopRate!K139&gt;=$J$1,0,1)),0)</f>
        <v>1</v>
      </c>
      <c r="P154">
        <f>IF($D154=1,IF(GDP_per_cap!L139&gt;'all_1961-1990'!$H$1,0,IF(UrbanPopRate!L139&gt;=$J$1,0,1)),0)</f>
        <v>1</v>
      </c>
      <c r="Q154">
        <f>IF($D154=1,IF(GDP_per_cap!M139&gt;'all_1961-1990'!$H$1,0,IF(UrbanPopRate!M139&gt;=$J$1,0,1)),0)</f>
        <v>1</v>
      </c>
      <c r="R154">
        <f>IF($D154=1,IF(GDP_per_cap!N139&gt;'all_1961-1990'!$H$1,0,IF(UrbanPopRate!N139&gt;=$J$1,0,1)),0)</f>
        <v>1</v>
      </c>
      <c r="S154">
        <f>IF($D154=1,IF(GDP_per_cap!O139&gt;'all_1961-1990'!$H$1,0,IF(UrbanPopRate!O139&gt;=$J$1,0,1)),0)</f>
        <v>1</v>
      </c>
      <c r="T154">
        <f>IF($D154=1,IF(GDP_per_cap!P139&gt;'all_1961-1990'!$H$1,0,IF(UrbanPopRate!P139&gt;=$J$1,0,1)),0)</f>
        <v>1</v>
      </c>
      <c r="U154">
        <f>IF($D154=1,IF(GDP_per_cap!Q139&gt;'all_1961-1990'!$H$1,0,IF(UrbanPopRate!Q139&gt;=$J$1,0,1)),0)</f>
        <v>1</v>
      </c>
      <c r="V154">
        <f>IF($D154=1,IF(GDP_per_cap!R139&gt;'all_1961-1990'!$H$1,0,IF(UrbanPopRate!R139&gt;=$J$1,0,1)),0)</f>
        <v>1</v>
      </c>
      <c r="W154">
        <f>IF($D154=1,IF(GDP_per_cap!S139&gt;'all_1961-1990'!$H$1,0,IF(UrbanPopRate!S139&gt;=$J$1,0,1)),0)</f>
        <v>1</v>
      </c>
      <c r="X154">
        <f>IF($D154=1,IF(GDP_per_cap!T139&gt;'all_1961-1990'!$H$1,0,IF(UrbanPopRate!T139&gt;=$J$1,0,1)),0)</f>
        <v>1</v>
      </c>
      <c r="Y154">
        <f>IF($D154=1,IF(GDP_per_cap!U139&gt;'all_1961-1990'!$H$1,0,IF(UrbanPopRate!U139&gt;=$J$1,0,1)),0)</f>
        <v>1</v>
      </c>
      <c r="Z154">
        <f>IF($D154=1,IF(GDP_per_cap!V139&gt;'all_1961-1990'!$H$1,0,IF(UrbanPopRate!V139&gt;=$J$1,0,1)),0)</f>
        <v>1</v>
      </c>
      <c r="AA154">
        <f>IF($D154=1,IF(GDP_per_cap!W139&gt;'all_1961-1990'!$H$1,0,IF(UrbanPopRate!W139&gt;=$J$1,0,1)),0)</f>
        <v>1</v>
      </c>
      <c r="AB154">
        <f>IF($D154=1,IF(GDP_per_cap!X139&gt;'all_1961-1990'!$H$1,0,IF(UrbanPopRate!X139&gt;=$J$1,0,1)),0)</f>
        <v>1</v>
      </c>
      <c r="AC154">
        <f>IF($D154=1,IF(GDP_per_cap!Y139&gt;'all_1961-1990'!$H$1,0,IF(UrbanPopRate!Y139&gt;=$J$1,0,1)),0)</f>
        <v>1</v>
      </c>
      <c r="AD154">
        <f>IF($D154=1,IF(GDP_per_cap!Z139&gt;'all_1961-1990'!$H$1,0,IF(UrbanPopRate!Z139&gt;=$J$1,0,1)),0)</f>
        <v>1</v>
      </c>
      <c r="AE154">
        <f>IF($D154=1,IF(GDP_per_cap!AA139&gt;'all_1961-1990'!$H$1,0,IF(UrbanPopRate!AA139&gt;=$J$1,0,1)),0)</f>
        <v>1</v>
      </c>
      <c r="AF154">
        <f>IF($D154=1,IF(GDP_per_cap!AB139&gt;'all_1961-1990'!$H$1,0,IF(UrbanPopRate!AB139&gt;=$J$1,0,1)),0)</f>
        <v>1</v>
      </c>
      <c r="AG154">
        <f>IF($D154=1,IF(GDP_per_cap!AC139&gt;'all_1961-1990'!$H$1,0,IF(UrbanPopRate!AC139&gt;=$J$1,0,1)),0)</f>
        <v>1</v>
      </c>
      <c r="AH154">
        <f>IF($D154=1,IF(GDP_per_cap!AD139&gt;'all_1961-1990'!$H$1,0,IF(UrbanPopRate!AD139&gt;=$J$1,0,1)),0)</f>
        <v>1</v>
      </c>
      <c r="AI154">
        <f>IF($D154=1,IF(GDP_per_cap!AE139&gt;'all_1961-1990'!$H$1,0,IF(UrbanPopRate!AE139&gt;=$J$1,0,1)),0)</f>
        <v>1</v>
      </c>
      <c r="AJ154">
        <f>IF($D154=1,IF(GDP_per_cap!AF139&gt;'all_1961-1990'!$H$1,0,IF(UrbanPopRate!AF139&gt;=$J$1,0,1)),0)</f>
        <v>1</v>
      </c>
      <c r="AK154">
        <f>IF($D154=1,IF(GDP_per_cap!AG139&gt;'all_1961-1990'!$H$1,0,IF(UrbanPopRate!AG139&gt;=$J$1,0,1)),0)</f>
        <v>1</v>
      </c>
      <c r="AL154">
        <f>IF($D154=1,IF(GDP_per_cap!AH139&gt;'all_1961-1990'!$H$1,0,IF(UrbanPopRate!AH139&gt;=$J$1,0,1)),0)</f>
        <v>1</v>
      </c>
      <c r="AM154">
        <f>IF($D154=1,IF(GDP_per_cap!AI139&gt;'all_1961-1990'!$H$1,0,IF(UrbanPopRate!AI139&gt;=$J$1,0,1)),0)</f>
        <v>1</v>
      </c>
      <c r="AN154">
        <f>IF($D154=1,IF(GDP_per_cap!AJ139&gt;'all_1961-1990'!$H$1,0,IF(UrbanPopRate!AJ139&gt;=$J$1,0,1)),0)</f>
        <v>1</v>
      </c>
      <c r="AO154">
        <f>IF($D154=1,IF(GDP_per_cap!AK139&gt;'all_1961-1990'!$H$1,0,IF(UrbanPopRate!AK139&gt;=$J$1,0,1)),0)</f>
        <v>1</v>
      </c>
      <c r="AP154">
        <f>IF($D154=1,IF(GDP_per_cap!AL139&gt;'all_1961-1990'!$H$1,0,IF(UrbanPopRate!AL139&gt;=$J$1,0,1)),0)</f>
        <v>1</v>
      </c>
      <c r="AQ154">
        <f>IF($D154=1,IF(GDP_per_cap!AM139&gt;'all_1961-1990'!$H$1,0,IF(UrbanPopRate!AM139&gt;=$J$1,0,1)),0)</f>
        <v>1</v>
      </c>
      <c r="AR154">
        <f>IF($D154=1,IF(GDP_per_cap!AN139&gt;'all_1961-1990'!$H$1,0,IF(UrbanPopRate!AN139&gt;=$J$1,0,1)),0)</f>
        <v>1</v>
      </c>
      <c r="AS154">
        <f>IF($D154=1,IF(GDP_per_cap!AO139&gt;'all_1961-1990'!$H$1,0,IF(UrbanPopRate!AO139&gt;=$J$1,0,1)),0)</f>
        <v>1</v>
      </c>
      <c r="AT154">
        <f>IF($D154=1,IF(GDP_per_cap!AP139&gt;'all_1961-1990'!$H$1,0,IF(UrbanPopRate!AP139&gt;=$J$1,0,1)),0)</f>
        <v>1</v>
      </c>
      <c r="AU154">
        <f>IF($D154=1,IF(GDP_per_cap!AQ139&gt;'all_1961-1990'!$H$1,0,IF(UrbanPopRate!AQ139&gt;=$J$1,0,1)),0)</f>
        <v>1</v>
      </c>
      <c r="AV154">
        <f>IF($D154=1,IF(GDP_per_cap!AR139&gt;'all_1961-1990'!$H$1,0,IF(UrbanPopRate!AR139&gt;=$J$1,0,1)),0)</f>
        <v>1</v>
      </c>
      <c r="AW154">
        <f>IF($D154=1,IF(GDP_per_cap!AS139&gt;'all_1961-1990'!$H$1,0,IF(UrbanPopRate!AS139&gt;=$J$1,0,1)),0)</f>
        <v>0</v>
      </c>
      <c r="AX154">
        <f>IF($D154=1,IF(GDP_per_cap!AT139&gt;'all_1961-1990'!$H$1,0,IF(UrbanPopRate!AT139&gt;=$J$1,0,1)),0)</f>
        <v>0</v>
      </c>
      <c r="AY154">
        <f>IF($D154=1,IF(GDP_per_cap!AU139&gt;'all_1961-1990'!$H$1,0,IF(UrbanPopRate!AU139&gt;=$J$1,0,1)),0)</f>
        <v>0</v>
      </c>
      <c r="AZ154">
        <f>IF($D154=1,IF(GDP_per_cap!AV139&gt;'all_1961-1990'!$H$1,0,IF(UrbanPopRate!AV139&gt;=$J$1,0,1)),0)</f>
        <v>0</v>
      </c>
      <c r="BA154">
        <f>IF($D154=1,IF(GDP_per_cap!AW139&gt;'all_1961-1990'!$H$1,0,IF(UrbanPopRate!AW139&gt;=$J$1,0,1)),0)</f>
        <v>0</v>
      </c>
      <c r="BB154">
        <f>IF($D154=1,IF(GDP_per_cap!AX139&gt;'all_1961-1990'!$H$1,0,IF(UrbanPopRate!AX139&gt;=$J$1,0,1)),0)</f>
        <v>0</v>
      </c>
      <c r="BC154">
        <f>IF($D154=1,IF(GDP_per_cap!AY139&gt;'all_1961-1990'!$H$1,0,IF(UrbanPopRate!AY139&gt;=$J$1,0,1)),0)</f>
        <v>0</v>
      </c>
      <c r="BD154">
        <f>IF($D154=1,IF(GDP_per_cap!AZ139&gt;'all_1961-1990'!$H$1,0,IF(UrbanPopRate!AZ139&gt;=$J$1,0,1)),0)</f>
        <v>0</v>
      </c>
      <c r="BE154">
        <f>IF($D154=1,IF(GDP_per_cap!BA139&gt;'all_1961-1990'!$H$1,0,IF(UrbanPopRate!BA139&gt;=$J$1,0,1)),0)</f>
        <v>0</v>
      </c>
      <c r="BF154">
        <f>IF($D154=1,IF(GDP_per_cap!BB139&gt;'all_1961-1990'!$H$1,0,IF(UrbanPopRate!BB139&gt;=$J$1,0,1)),0)</f>
        <v>0</v>
      </c>
    </row>
    <row r="155" spans="1:58">
      <c r="A155" s="12">
        <v>223</v>
      </c>
      <c r="B155" s="12" t="s">
        <v>12</v>
      </c>
      <c r="C155" s="13"/>
      <c r="D155" s="13">
        <v>1</v>
      </c>
      <c r="E155" s="13">
        <v>46.856633333333342</v>
      </c>
      <c r="F155" s="13"/>
      <c r="G155">
        <f>IF($D155=1,IF(GDP_per_cap!C144&gt;'all_1961-1990'!$H$1,0,IF(UrbanPopRate!C144&gt;=$J$1,0,1)),0)</f>
        <v>0</v>
      </c>
      <c r="H155">
        <f>IF($D155=1,IF(GDP_per_cap!D144&gt;'all_1961-1990'!$H$1,0,IF(UrbanPopRate!D144&gt;=$J$1,0,1)),0)</f>
        <v>0</v>
      </c>
      <c r="I155">
        <f>IF($D155=1,IF(GDP_per_cap!E144&gt;'all_1961-1990'!$H$1,0,IF(UrbanPopRate!E144&gt;=$J$1,0,1)),0)</f>
        <v>0</v>
      </c>
      <c r="J155">
        <f>IF($D155=1,IF(GDP_per_cap!F144&gt;'all_1961-1990'!$H$1,0,IF(UrbanPopRate!F144&gt;=$J$1,0,1)),0)</f>
        <v>0</v>
      </c>
      <c r="K155">
        <f>IF($D155=1,IF(GDP_per_cap!G144&gt;'all_1961-1990'!$H$1,0,IF(UrbanPopRate!G144&gt;=$J$1,0,1)),0)</f>
        <v>0</v>
      </c>
      <c r="L155">
        <f>IF($D155=1,IF(GDP_per_cap!H144&gt;'all_1961-1990'!$H$1,0,IF(UrbanPopRate!H144&gt;=$J$1,0,1)),0)</f>
        <v>0</v>
      </c>
      <c r="M155">
        <f>IF($D155=1,IF(GDP_per_cap!I144&gt;'all_1961-1990'!$H$1,0,IF(UrbanPopRate!I144&gt;=$J$1,0,1)),0)</f>
        <v>0</v>
      </c>
      <c r="N155">
        <f>IF($D155=1,IF(GDP_per_cap!J144&gt;'all_1961-1990'!$H$1,0,IF(UrbanPopRate!J144&gt;=$J$1,0,1)),0)</f>
        <v>0</v>
      </c>
      <c r="O155">
        <f>IF($D155=1,IF(GDP_per_cap!K144&gt;'all_1961-1990'!$H$1,0,IF(UrbanPopRate!K144&gt;=$J$1,0,1)),0)</f>
        <v>0</v>
      </c>
      <c r="P155">
        <f>IF($D155=1,IF(GDP_per_cap!L144&gt;'all_1961-1990'!$H$1,0,IF(UrbanPopRate!L144&gt;=$J$1,0,1)),0)</f>
        <v>0</v>
      </c>
      <c r="Q155">
        <f>IF($D155=1,IF(GDP_per_cap!M144&gt;'all_1961-1990'!$H$1,0,IF(UrbanPopRate!M144&gt;=$J$1,0,1)),0)</f>
        <v>0</v>
      </c>
      <c r="R155">
        <f>IF($D155=1,IF(GDP_per_cap!N144&gt;'all_1961-1990'!$H$1,0,IF(UrbanPopRate!N144&gt;=$J$1,0,1)),0)</f>
        <v>0</v>
      </c>
      <c r="S155">
        <f>IF($D155=1,IF(GDP_per_cap!O144&gt;'all_1961-1990'!$H$1,0,IF(UrbanPopRate!O144&gt;=$J$1,0,1)),0)</f>
        <v>0</v>
      </c>
      <c r="T155">
        <f>IF($D155=1,IF(GDP_per_cap!P144&gt;'all_1961-1990'!$H$1,0,IF(UrbanPopRate!P144&gt;=$J$1,0,1)),0)</f>
        <v>0</v>
      </c>
      <c r="U155">
        <f>IF($D155=1,IF(GDP_per_cap!Q144&gt;'all_1961-1990'!$H$1,0,IF(UrbanPopRate!Q144&gt;=$J$1,0,1)),0)</f>
        <v>0</v>
      </c>
      <c r="V155">
        <f>IF($D155=1,IF(GDP_per_cap!R144&gt;'all_1961-1990'!$H$1,0,IF(UrbanPopRate!R144&gt;=$J$1,0,1)),0)</f>
        <v>0</v>
      </c>
      <c r="W155">
        <f>IF($D155=1,IF(GDP_per_cap!S144&gt;'all_1961-1990'!$H$1,0,IF(UrbanPopRate!S144&gt;=$J$1,0,1)),0)</f>
        <v>0</v>
      </c>
      <c r="X155">
        <f>IF($D155=1,IF(GDP_per_cap!T144&gt;'all_1961-1990'!$H$1,0,IF(UrbanPopRate!T144&gt;=$J$1,0,1)),0)</f>
        <v>0</v>
      </c>
      <c r="Y155">
        <f>IF($D155=1,IF(GDP_per_cap!U144&gt;'all_1961-1990'!$H$1,0,IF(UrbanPopRate!U144&gt;=$J$1,0,1)),0)</f>
        <v>0</v>
      </c>
      <c r="Z155">
        <f>IF($D155=1,IF(GDP_per_cap!V144&gt;'all_1961-1990'!$H$1,0,IF(UrbanPopRate!V144&gt;=$J$1,0,1)),0)</f>
        <v>0</v>
      </c>
      <c r="AA155">
        <f>IF($D155=1,IF(GDP_per_cap!W144&gt;'all_1961-1990'!$H$1,0,IF(UrbanPopRate!W144&gt;=$J$1,0,1)),0)</f>
        <v>0</v>
      </c>
      <c r="AB155">
        <f>IF($D155=1,IF(GDP_per_cap!X144&gt;'all_1961-1990'!$H$1,0,IF(UrbanPopRate!X144&gt;=$J$1,0,1)),0)</f>
        <v>0</v>
      </c>
      <c r="AC155">
        <f>IF($D155=1,IF(GDP_per_cap!Y144&gt;'all_1961-1990'!$H$1,0,IF(UrbanPopRate!Y144&gt;=$J$1,0,1)),0)</f>
        <v>0</v>
      </c>
      <c r="AD155">
        <f>IF($D155=1,IF(GDP_per_cap!Z144&gt;'all_1961-1990'!$H$1,0,IF(UrbanPopRate!Z144&gt;=$J$1,0,1)),0)</f>
        <v>0</v>
      </c>
      <c r="AE155">
        <f>IF($D155=1,IF(GDP_per_cap!AA144&gt;'all_1961-1990'!$H$1,0,IF(UrbanPopRate!AA144&gt;=$J$1,0,1)),0)</f>
        <v>0</v>
      </c>
      <c r="AF155">
        <f>IF($D155=1,IF(GDP_per_cap!AB144&gt;'all_1961-1990'!$H$1,0,IF(UrbanPopRate!AB144&gt;=$J$1,0,1)),0)</f>
        <v>0</v>
      </c>
      <c r="AG155">
        <f>IF($D155=1,IF(GDP_per_cap!AC144&gt;'all_1961-1990'!$H$1,0,IF(UrbanPopRate!AC144&gt;=$J$1,0,1)),0)</f>
        <v>0</v>
      </c>
      <c r="AH155">
        <f>IF($D155=1,IF(GDP_per_cap!AD144&gt;'all_1961-1990'!$H$1,0,IF(UrbanPopRate!AD144&gt;=$J$1,0,1)),0)</f>
        <v>0</v>
      </c>
      <c r="AI155">
        <f>IF($D155=1,IF(GDP_per_cap!AE144&gt;'all_1961-1990'!$H$1,0,IF(UrbanPopRate!AE144&gt;=$J$1,0,1)),0)</f>
        <v>0</v>
      </c>
      <c r="AJ155">
        <f>IF($D155=1,IF(GDP_per_cap!AF144&gt;'all_1961-1990'!$H$1,0,IF(UrbanPopRate!AF144&gt;=$J$1,0,1)),0)</f>
        <v>0</v>
      </c>
      <c r="AK155">
        <f>IF($D155=1,IF(GDP_per_cap!AG144&gt;'all_1961-1990'!$H$1,0,IF(UrbanPopRate!AG144&gt;=$J$1,0,1)),0)</f>
        <v>0</v>
      </c>
      <c r="AL155">
        <f>IF($D155=1,IF(GDP_per_cap!AH144&gt;'all_1961-1990'!$H$1,0,IF(UrbanPopRate!AH144&gt;=$J$1,0,1)),0)</f>
        <v>0</v>
      </c>
      <c r="AM155">
        <f>IF($D155=1,IF(GDP_per_cap!AI144&gt;'all_1961-1990'!$H$1,0,IF(UrbanPopRate!AI144&gt;=$J$1,0,1)),0)</f>
        <v>0</v>
      </c>
      <c r="AN155">
        <f>IF($D155=1,IF(GDP_per_cap!AJ144&gt;'all_1961-1990'!$H$1,0,IF(UrbanPopRate!AJ144&gt;=$J$1,0,1)),0)</f>
        <v>0</v>
      </c>
      <c r="AO155">
        <f>IF($D155=1,IF(GDP_per_cap!AK144&gt;'all_1961-1990'!$H$1,0,IF(UrbanPopRate!AK144&gt;=$J$1,0,1)),0)</f>
        <v>0</v>
      </c>
      <c r="AP155">
        <f>IF($D155=1,IF(GDP_per_cap!AL144&gt;'all_1961-1990'!$H$1,0,IF(UrbanPopRate!AL144&gt;=$J$1,0,1)),0)</f>
        <v>0</v>
      </c>
      <c r="AQ155">
        <f>IF($D155=1,IF(GDP_per_cap!AM144&gt;'all_1961-1990'!$H$1,0,IF(UrbanPopRate!AM144&gt;=$J$1,0,1)),0)</f>
        <v>0</v>
      </c>
      <c r="AR155">
        <f>IF($D155=1,IF(GDP_per_cap!AN144&gt;'all_1961-1990'!$H$1,0,IF(UrbanPopRate!AN144&gt;=$J$1,0,1)),0)</f>
        <v>0</v>
      </c>
      <c r="AS155">
        <f>IF($D155=1,IF(GDP_per_cap!AO144&gt;'all_1961-1990'!$H$1,0,IF(UrbanPopRate!AO144&gt;=$J$1,0,1)),0)</f>
        <v>0</v>
      </c>
      <c r="AT155">
        <f>IF($D155=1,IF(GDP_per_cap!AP144&gt;'all_1961-1990'!$H$1,0,IF(UrbanPopRate!AP144&gt;=$J$1,0,1)),0)</f>
        <v>0</v>
      </c>
      <c r="AU155">
        <f>IF($D155=1,IF(GDP_per_cap!AQ144&gt;'all_1961-1990'!$H$1,0,IF(UrbanPopRate!AQ144&gt;=$J$1,0,1)),0)</f>
        <v>0</v>
      </c>
      <c r="AV155">
        <f>IF($D155=1,IF(GDP_per_cap!AR144&gt;'all_1961-1990'!$H$1,0,IF(UrbanPopRate!AR144&gt;=$J$1,0,1)),0)</f>
        <v>0</v>
      </c>
      <c r="AW155">
        <f>IF($D155=1,IF(GDP_per_cap!AS144&gt;'all_1961-1990'!$H$1,0,IF(UrbanPopRate!AS144&gt;=$J$1,0,1)),0)</f>
        <v>0</v>
      </c>
      <c r="AX155">
        <f>IF($D155=1,IF(GDP_per_cap!AT144&gt;'all_1961-1990'!$H$1,0,IF(UrbanPopRate!AT144&gt;=$J$1,0,1)),0)</f>
        <v>0</v>
      </c>
      <c r="AY155">
        <f>IF($D155=1,IF(GDP_per_cap!AU144&gt;'all_1961-1990'!$H$1,0,IF(UrbanPopRate!AU144&gt;=$J$1,0,1)),0)</f>
        <v>0</v>
      </c>
      <c r="AZ155">
        <f>IF($D155=1,IF(GDP_per_cap!AV144&gt;'all_1961-1990'!$H$1,0,IF(UrbanPopRate!AV144&gt;=$J$1,0,1)),0)</f>
        <v>0</v>
      </c>
      <c r="BA155">
        <f>IF($D155=1,IF(GDP_per_cap!AW144&gt;'all_1961-1990'!$H$1,0,IF(UrbanPopRate!AW144&gt;=$J$1,0,1)),0)</f>
        <v>0</v>
      </c>
      <c r="BB155">
        <f>IF($D155=1,IF(GDP_per_cap!AX144&gt;'all_1961-1990'!$H$1,0,IF(UrbanPopRate!AX144&gt;=$J$1,0,1)),0)</f>
        <v>0</v>
      </c>
      <c r="BC155">
        <f>IF($D155=1,IF(GDP_per_cap!AY144&gt;'all_1961-1990'!$H$1,0,IF(UrbanPopRate!AY144&gt;=$J$1,0,1)),0)</f>
        <v>0</v>
      </c>
      <c r="BD155">
        <f>IF($D155=1,IF(GDP_per_cap!AZ144&gt;'all_1961-1990'!$H$1,0,IF(UrbanPopRate!AZ144&gt;=$J$1,0,1)),0)</f>
        <v>0</v>
      </c>
      <c r="BE155">
        <f>IF($D155=1,IF(GDP_per_cap!BA144&gt;'all_1961-1990'!$H$1,0,IF(UrbanPopRate!BA144&gt;=$J$1,0,1)),0)</f>
        <v>0</v>
      </c>
      <c r="BF155">
        <f>IF($D155=1,IF(GDP_per_cap!BB144&gt;'all_1961-1990'!$H$1,0,IF(UrbanPopRate!BB144&gt;=$J$1,0,1)),0)</f>
        <v>0</v>
      </c>
    </row>
    <row r="156" spans="1:58">
      <c r="A156" s="12">
        <v>227</v>
      </c>
      <c r="B156" s="12" t="s">
        <v>10</v>
      </c>
      <c r="C156" s="13"/>
      <c r="D156" s="13">
        <v>1</v>
      </c>
      <c r="E156" s="13">
        <v>58.169000000000004</v>
      </c>
      <c r="F156" s="13"/>
      <c r="G156">
        <f>IF($D156=1,IF(GDP_per_cap!C146&gt;'all_1961-1990'!$H$1,0,IF(UrbanPopRate!C146&gt;=$J$1,0,1)),0)</f>
        <v>0</v>
      </c>
      <c r="H156">
        <f>IF($D156=1,IF(GDP_per_cap!D146&gt;'all_1961-1990'!$H$1,0,IF(UrbanPopRate!D146&gt;=$J$1,0,1)),0)</f>
        <v>0</v>
      </c>
      <c r="I156">
        <f>IF($D156=1,IF(GDP_per_cap!E146&gt;'all_1961-1990'!$H$1,0,IF(UrbanPopRate!E146&gt;=$J$1,0,1)),0)</f>
        <v>0</v>
      </c>
      <c r="J156">
        <f>IF($D156=1,IF(GDP_per_cap!F146&gt;'all_1961-1990'!$H$1,0,IF(UrbanPopRate!F146&gt;=$J$1,0,1)),0)</f>
        <v>0</v>
      </c>
      <c r="K156">
        <f>IF($D156=1,IF(GDP_per_cap!G146&gt;'all_1961-1990'!$H$1,0,IF(UrbanPopRate!G146&gt;=$J$1,0,1)),0)</f>
        <v>0</v>
      </c>
      <c r="L156">
        <f>IF($D156=1,IF(GDP_per_cap!H146&gt;'all_1961-1990'!$H$1,0,IF(UrbanPopRate!H146&gt;=$J$1,0,1)),0)</f>
        <v>0</v>
      </c>
      <c r="M156">
        <f>IF($D156=1,IF(GDP_per_cap!I146&gt;'all_1961-1990'!$H$1,0,IF(UrbanPopRate!I146&gt;=$J$1,0,1)),0)</f>
        <v>0</v>
      </c>
      <c r="N156">
        <f>IF($D156=1,IF(GDP_per_cap!J146&gt;'all_1961-1990'!$H$1,0,IF(UrbanPopRate!J146&gt;=$J$1,0,1)),0)</f>
        <v>0</v>
      </c>
      <c r="O156">
        <f>IF($D156=1,IF(GDP_per_cap!K146&gt;'all_1961-1990'!$H$1,0,IF(UrbanPopRate!K146&gt;=$J$1,0,1)),0)</f>
        <v>0</v>
      </c>
      <c r="P156">
        <f>IF($D156=1,IF(GDP_per_cap!L146&gt;'all_1961-1990'!$H$1,0,IF(UrbanPopRate!L146&gt;=$J$1,0,1)),0)</f>
        <v>0</v>
      </c>
      <c r="Q156">
        <f>IF($D156=1,IF(GDP_per_cap!M146&gt;'all_1961-1990'!$H$1,0,IF(UrbanPopRate!M146&gt;=$J$1,0,1)),0)</f>
        <v>0</v>
      </c>
      <c r="R156">
        <f>IF($D156=1,IF(GDP_per_cap!N146&gt;'all_1961-1990'!$H$1,0,IF(UrbanPopRate!N146&gt;=$J$1,0,1)),0)</f>
        <v>0</v>
      </c>
      <c r="S156">
        <f>IF($D156=1,IF(GDP_per_cap!O146&gt;'all_1961-1990'!$H$1,0,IF(UrbanPopRate!O146&gt;=$J$1,0,1)),0)</f>
        <v>0</v>
      </c>
      <c r="T156">
        <f>IF($D156=1,IF(GDP_per_cap!P146&gt;'all_1961-1990'!$H$1,0,IF(UrbanPopRate!P146&gt;=$J$1,0,1)),0)</f>
        <v>0</v>
      </c>
      <c r="U156">
        <f>IF($D156=1,IF(GDP_per_cap!Q146&gt;'all_1961-1990'!$H$1,0,IF(UrbanPopRate!Q146&gt;=$J$1,0,1)),0)</f>
        <v>0</v>
      </c>
      <c r="V156">
        <f>IF($D156=1,IF(GDP_per_cap!R146&gt;'all_1961-1990'!$H$1,0,IF(UrbanPopRate!R146&gt;=$J$1,0,1)),0)</f>
        <v>0</v>
      </c>
      <c r="W156">
        <f>IF($D156=1,IF(GDP_per_cap!S146&gt;'all_1961-1990'!$H$1,0,IF(UrbanPopRate!S146&gt;=$J$1,0,1)),0)</f>
        <v>0</v>
      </c>
      <c r="X156">
        <f>IF($D156=1,IF(GDP_per_cap!T146&gt;'all_1961-1990'!$H$1,0,IF(UrbanPopRate!T146&gt;=$J$1,0,1)),0)</f>
        <v>0</v>
      </c>
      <c r="Y156">
        <f>IF($D156=1,IF(GDP_per_cap!U146&gt;'all_1961-1990'!$H$1,0,IF(UrbanPopRate!U146&gt;=$J$1,0,1)),0)</f>
        <v>0</v>
      </c>
      <c r="Z156">
        <f>IF($D156=1,IF(GDP_per_cap!V146&gt;'all_1961-1990'!$H$1,0,IF(UrbanPopRate!V146&gt;=$J$1,0,1)),0)</f>
        <v>0</v>
      </c>
      <c r="AA156">
        <f>IF($D156=1,IF(GDP_per_cap!W146&gt;'all_1961-1990'!$H$1,0,IF(UrbanPopRate!W146&gt;=$J$1,0,1)),0)</f>
        <v>0</v>
      </c>
      <c r="AB156">
        <f>IF($D156=1,IF(GDP_per_cap!X146&gt;'all_1961-1990'!$H$1,0,IF(UrbanPopRate!X146&gt;=$J$1,0,1)),0)</f>
        <v>0</v>
      </c>
      <c r="AC156">
        <f>IF($D156=1,IF(GDP_per_cap!Y146&gt;'all_1961-1990'!$H$1,0,IF(UrbanPopRate!Y146&gt;=$J$1,0,1)),0)</f>
        <v>0</v>
      </c>
      <c r="AD156">
        <f>IF($D156=1,IF(GDP_per_cap!Z146&gt;'all_1961-1990'!$H$1,0,IF(UrbanPopRate!Z146&gt;=$J$1,0,1)),0)</f>
        <v>0</v>
      </c>
      <c r="AE156">
        <f>IF($D156=1,IF(GDP_per_cap!AA146&gt;'all_1961-1990'!$H$1,0,IF(UrbanPopRate!AA146&gt;=$J$1,0,1)),0)</f>
        <v>0</v>
      </c>
      <c r="AF156">
        <f>IF($D156=1,IF(GDP_per_cap!AB146&gt;'all_1961-1990'!$H$1,0,IF(UrbanPopRate!AB146&gt;=$J$1,0,1)),0)</f>
        <v>0</v>
      </c>
      <c r="AG156">
        <f>IF($D156=1,IF(GDP_per_cap!AC146&gt;'all_1961-1990'!$H$1,0,IF(UrbanPopRate!AC146&gt;=$J$1,0,1)),0)</f>
        <v>0</v>
      </c>
      <c r="AH156">
        <f>IF($D156=1,IF(GDP_per_cap!AD146&gt;'all_1961-1990'!$H$1,0,IF(UrbanPopRate!AD146&gt;=$J$1,0,1)),0)</f>
        <v>0</v>
      </c>
      <c r="AI156">
        <f>IF($D156=1,IF(GDP_per_cap!AE146&gt;'all_1961-1990'!$H$1,0,IF(UrbanPopRate!AE146&gt;=$J$1,0,1)),0)</f>
        <v>0</v>
      </c>
      <c r="AJ156">
        <f>IF($D156=1,IF(GDP_per_cap!AF146&gt;'all_1961-1990'!$H$1,0,IF(UrbanPopRate!AF146&gt;=$J$1,0,1)),0)</f>
        <v>0</v>
      </c>
      <c r="AK156">
        <f>IF($D156=1,IF(GDP_per_cap!AG146&gt;'all_1961-1990'!$H$1,0,IF(UrbanPopRate!AG146&gt;=$J$1,0,1)),0)</f>
        <v>0</v>
      </c>
      <c r="AL156">
        <f>IF($D156=1,IF(GDP_per_cap!AH146&gt;'all_1961-1990'!$H$1,0,IF(UrbanPopRate!AH146&gt;=$J$1,0,1)),0)</f>
        <v>0</v>
      </c>
      <c r="AM156">
        <f>IF($D156=1,IF(GDP_per_cap!AI146&gt;'all_1961-1990'!$H$1,0,IF(UrbanPopRate!AI146&gt;=$J$1,0,1)),0)</f>
        <v>0</v>
      </c>
      <c r="AN156">
        <f>IF($D156=1,IF(GDP_per_cap!AJ146&gt;'all_1961-1990'!$H$1,0,IF(UrbanPopRate!AJ146&gt;=$J$1,0,1)),0)</f>
        <v>0</v>
      </c>
      <c r="AO156">
        <f>IF($D156=1,IF(GDP_per_cap!AK146&gt;'all_1961-1990'!$H$1,0,IF(UrbanPopRate!AK146&gt;=$J$1,0,1)),0)</f>
        <v>0</v>
      </c>
      <c r="AP156">
        <f>IF($D156=1,IF(GDP_per_cap!AL146&gt;'all_1961-1990'!$H$1,0,IF(UrbanPopRate!AL146&gt;=$J$1,0,1)),0)</f>
        <v>0</v>
      </c>
      <c r="AQ156">
        <f>IF($D156=1,IF(GDP_per_cap!AM146&gt;'all_1961-1990'!$H$1,0,IF(UrbanPopRate!AM146&gt;=$J$1,0,1)),0)</f>
        <v>0</v>
      </c>
      <c r="AR156">
        <f>IF($D156=1,IF(GDP_per_cap!AN146&gt;'all_1961-1990'!$H$1,0,IF(UrbanPopRate!AN146&gt;=$J$1,0,1)),0)</f>
        <v>0</v>
      </c>
      <c r="AS156">
        <f>IF($D156=1,IF(GDP_per_cap!AO146&gt;'all_1961-1990'!$H$1,0,IF(UrbanPopRate!AO146&gt;=$J$1,0,1)),0)</f>
        <v>0</v>
      </c>
      <c r="AT156">
        <f>IF($D156=1,IF(GDP_per_cap!AP146&gt;'all_1961-1990'!$H$1,0,IF(UrbanPopRate!AP146&gt;=$J$1,0,1)),0)</f>
        <v>0</v>
      </c>
      <c r="AU156">
        <f>IF($D156=1,IF(GDP_per_cap!AQ146&gt;'all_1961-1990'!$H$1,0,IF(UrbanPopRate!AQ146&gt;=$J$1,0,1)),0)</f>
        <v>0</v>
      </c>
      <c r="AV156">
        <f>IF($D156=1,IF(GDP_per_cap!AR146&gt;'all_1961-1990'!$H$1,0,IF(UrbanPopRate!AR146&gt;=$J$1,0,1)),0)</f>
        <v>0</v>
      </c>
      <c r="AW156">
        <f>IF($D156=1,IF(GDP_per_cap!AS146&gt;'all_1961-1990'!$H$1,0,IF(UrbanPopRate!AS146&gt;=$J$1,0,1)),0)</f>
        <v>0</v>
      </c>
      <c r="AX156">
        <f>IF($D156=1,IF(GDP_per_cap!AT146&gt;'all_1961-1990'!$H$1,0,IF(UrbanPopRate!AT146&gt;=$J$1,0,1)),0)</f>
        <v>0</v>
      </c>
      <c r="AY156">
        <f>IF($D156=1,IF(GDP_per_cap!AU146&gt;'all_1961-1990'!$H$1,0,IF(UrbanPopRate!AU146&gt;=$J$1,0,1)),0)</f>
        <v>0</v>
      </c>
      <c r="AZ156">
        <f>IF($D156=1,IF(GDP_per_cap!AV146&gt;'all_1961-1990'!$H$1,0,IF(UrbanPopRate!AV146&gt;=$J$1,0,1)),0)</f>
        <v>0</v>
      </c>
      <c r="BA156">
        <f>IF($D156=1,IF(GDP_per_cap!AW146&gt;'all_1961-1990'!$H$1,0,IF(UrbanPopRate!AW146&gt;=$J$1,0,1)),0)</f>
        <v>0</v>
      </c>
      <c r="BB156">
        <f>IF($D156=1,IF(GDP_per_cap!AX146&gt;'all_1961-1990'!$H$1,0,IF(UrbanPopRate!AX146&gt;=$J$1,0,1)),0)</f>
        <v>0</v>
      </c>
      <c r="BC156">
        <f>IF($D156=1,IF(GDP_per_cap!AY146&gt;'all_1961-1990'!$H$1,0,IF(UrbanPopRate!AY146&gt;=$J$1,0,1)),0)</f>
        <v>0</v>
      </c>
      <c r="BD156">
        <f>IF($D156=1,IF(GDP_per_cap!AZ146&gt;'all_1961-1990'!$H$1,0,IF(UrbanPopRate!AZ146&gt;=$J$1,0,1)),0)</f>
        <v>0</v>
      </c>
      <c r="BE156">
        <f>IF($D156=1,IF(GDP_per_cap!BA146&gt;'all_1961-1990'!$H$1,0,IF(UrbanPopRate!BA146&gt;=$J$1,0,1)),0)</f>
        <v>0</v>
      </c>
      <c r="BF156">
        <f>IF($D156=1,IF(GDP_per_cap!BB146&gt;'all_1961-1990'!$H$1,0,IF(UrbanPopRate!BB146&gt;=$J$1,0,1)),0)</f>
        <v>0</v>
      </c>
    </row>
    <row r="157" spans="1:58">
      <c r="A157" s="12">
        <v>233</v>
      </c>
      <c r="B157" s="12" t="s">
        <v>5</v>
      </c>
      <c r="C157" s="13"/>
      <c r="D157" s="13">
        <v>1</v>
      </c>
      <c r="E157" s="13">
        <v>38.381400000000006</v>
      </c>
      <c r="F157" s="13"/>
      <c r="G157">
        <f>IF($D157=1,IF(GDP_per_cap!C151&gt;'all_1961-1990'!$H$1,0,IF(UrbanPopRate!C151&gt;=$J$1,0,1)),0)</f>
        <v>0</v>
      </c>
      <c r="H157">
        <f>IF($D157=1,IF(GDP_per_cap!D151&gt;'all_1961-1990'!$H$1,0,IF(UrbanPopRate!D151&gt;=$J$1,0,1)),0)</f>
        <v>0</v>
      </c>
      <c r="I157">
        <f>IF($D157=1,IF(GDP_per_cap!E151&gt;'all_1961-1990'!$H$1,0,IF(UrbanPopRate!E151&gt;=$J$1,0,1)),0)</f>
        <v>0</v>
      </c>
      <c r="J157">
        <f>IF($D157=1,IF(GDP_per_cap!F151&gt;'all_1961-1990'!$H$1,0,IF(UrbanPopRate!F151&gt;=$J$1,0,1)),0)</f>
        <v>0</v>
      </c>
      <c r="K157">
        <f>IF($D157=1,IF(GDP_per_cap!G151&gt;'all_1961-1990'!$H$1,0,IF(UrbanPopRate!G151&gt;=$J$1,0,1)),0)</f>
        <v>0</v>
      </c>
      <c r="L157">
        <f>IF($D157=1,IF(GDP_per_cap!H151&gt;'all_1961-1990'!$H$1,0,IF(UrbanPopRate!H151&gt;=$J$1,0,1)),0)</f>
        <v>0</v>
      </c>
      <c r="M157">
        <f>IF($D157=1,IF(GDP_per_cap!I151&gt;'all_1961-1990'!$H$1,0,IF(UrbanPopRate!I151&gt;=$J$1,0,1)),0)</f>
        <v>0</v>
      </c>
      <c r="N157">
        <f>IF($D157=1,IF(GDP_per_cap!J151&gt;'all_1961-1990'!$H$1,0,IF(UrbanPopRate!J151&gt;=$J$1,0,1)),0)</f>
        <v>0</v>
      </c>
      <c r="O157">
        <f>IF($D157=1,IF(GDP_per_cap!K151&gt;'all_1961-1990'!$H$1,0,IF(UrbanPopRate!K151&gt;=$J$1,0,1)),0)</f>
        <v>0</v>
      </c>
      <c r="P157">
        <f>IF($D157=1,IF(GDP_per_cap!L151&gt;'all_1961-1990'!$H$1,0,IF(UrbanPopRate!L151&gt;=$J$1,0,1)),0)</f>
        <v>0</v>
      </c>
      <c r="Q157">
        <f>IF($D157=1,IF(GDP_per_cap!M151&gt;'all_1961-1990'!$H$1,0,IF(UrbanPopRate!M151&gt;=$J$1,0,1)),0)</f>
        <v>0</v>
      </c>
      <c r="R157">
        <f>IF($D157=1,IF(GDP_per_cap!N151&gt;'all_1961-1990'!$H$1,0,IF(UrbanPopRate!N151&gt;=$J$1,0,1)),0)</f>
        <v>0</v>
      </c>
      <c r="S157">
        <f>IF($D157=1,IF(GDP_per_cap!O151&gt;'all_1961-1990'!$H$1,0,IF(UrbanPopRate!O151&gt;=$J$1,0,1)),0)</f>
        <v>0</v>
      </c>
      <c r="T157">
        <f>IF($D157=1,IF(GDP_per_cap!P151&gt;'all_1961-1990'!$H$1,0,IF(UrbanPopRate!P151&gt;=$J$1,0,1)),0)</f>
        <v>0</v>
      </c>
      <c r="U157">
        <f>IF($D157=1,IF(GDP_per_cap!Q151&gt;'all_1961-1990'!$H$1,0,IF(UrbanPopRate!Q151&gt;=$J$1,0,1)),0)</f>
        <v>0</v>
      </c>
      <c r="V157">
        <f>IF($D157=1,IF(GDP_per_cap!R151&gt;'all_1961-1990'!$H$1,0,IF(UrbanPopRate!R151&gt;=$J$1,0,1)),0)</f>
        <v>0</v>
      </c>
      <c r="W157">
        <f>IF($D157=1,IF(GDP_per_cap!S151&gt;'all_1961-1990'!$H$1,0,IF(UrbanPopRate!S151&gt;=$J$1,0,1)),0)</f>
        <v>0</v>
      </c>
      <c r="X157">
        <f>IF($D157=1,IF(GDP_per_cap!T151&gt;'all_1961-1990'!$H$1,0,IF(UrbanPopRate!T151&gt;=$J$1,0,1)),0)</f>
        <v>0</v>
      </c>
      <c r="Y157">
        <f>IF($D157=1,IF(GDP_per_cap!U151&gt;'all_1961-1990'!$H$1,0,IF(UrbanPopRate!U151&gt;=$J$1,0,1)),0)</f>
        <v>0</v>
      </c>
      <c r="Z157">
        <f>IF($D157=1,IF(GDP_per_cap!V151&gt;'all_1961-1990'!$H$1,0,IF(UrbanPopRate!V151&gt;=$J$1,0,1)),0)</f>
        <v>0</v>
      </c>
      <c r="AA157">
        <f>IF($D157=1,IF(GDP_per_cap!W151&gt;'all_1961-1990'!$H$1,0,IF(UrbanPopRate!W151&gt;=$J$1,0,1)),0)</f>
        <v>0</v>
      </c>
      <c r="AB157">
        <f>IF($D157=1,IF(GDP_per_cap!X151&gt;'all_1961-1990'!$H$1,0,IF(UrbanPopRate!X151&gt;=$J$1,0,1)),0)</f>
        <v>0</v>
      </c>
      <c r="AC157">
        <f>IF($D157=1,IF(GDP_per_cap!Y151&gt;'all_1961-1990'!$H$1,0,IF(UrbanPopRate!Y151&gt;=$J$1,0,1)),0)</f>
        <v>0</v>
      </c>
      <c r="AD157">
        <f>IF($D157=1,IF(GDP_per_cap!Z151&gt;'all_1961-1990'!$H$1,0,IF(UrbanPopRate!Z151&gt;=$J$1,0,1)),0)</f>
        <v>0</v>
      </c>
      <c r="AE157">
        <f>IF($D157=1,IF(GDP_per_cap!AA151&gt;'all_1961-1990'!$H$1,0,IF(UrbanPopRate!AA151&gt;=$J$1,0,1)),0)</f>
        <v>0</v>
      </c>
      <c r="AF157">
        <f>IF($D157=1,IF(GDP_per_cap!AB151&gt;'all_1961-1990'!$H$1,0,IF(UrbanPopRate!AB151&gt;=$J$1,0,1)),0)</f>
        <v>0</v>
      </c>
      <c r="AG157">
        <f>IF($D157=1,IF(GDP_per_cap!AC151&gt;'all_1961-1990'!$H$1,0,IF(UrbanPopRate!AC151&gt;=$J$1,0,1)),0)</f>
        <v>0</v>
      </c>
      <c r="AH157">
        <f>IF($D157=1,IF(GDP_per_cap!AD151&gt;'all_1961-1990'!$H$1,0,IF(UrbanPopRate!AD151&gt;=$J$1,0,1)),0)</f>
        <v>0</v>
      </c>
      <c r="AI157">
        <f>IF($D157=1,IF(GDP_per_cap!AE151&gt;'all_1961-1990'!$H$1,0,IF(UrbanPopRate!AE151&gt;=$J$1,0,1)),0)</f>
        <v>0</v>
      </c>
      <c r="AJ157">
        <f>IF($D157=1,IF(GDP_per_cap!AF151&gt;'all_1961-1990'!$H$1,0,IF(UrbanPopRate!AF151&gt;=$J$1,0,1)),0)</f>
        <v>0</v>
      </c>
      <c r="AK157">
        <f>IF($D157=1,IF(GDP_per_cap!AG151&gt;'all_1961-1990'!$H$1,0,IF(UrbanPopRate!AG151&gt;=$J$1,0,1)),0)</f>
        <v>0</v>
      </c>
      <c r="AL157">
        <f>IF($D157=1,IF(GDP_per_cap!AH151&gt;'all_1961-1990'!$H$1,0,IF(UrbanPopRate!AH151&gt;=$J$1,0,1)),0)</f>
        <v>0</v>
      </c>
      <c r="AM157">
        <f>IF($D157=1,IF(GDP_per_cap!AI151&gt;'all_1961-1990'!$H$1,0,IF(UrbanPopRate!AI151&gt;=$J$1,0,1)),0)</f>
        <v>0</v>
      </c>
      <c r="AN157">
        <f>IF($D157=1,IF(GDP_per_cap!AJ151&gt;'all_1961-1990'!$H$1,0,IF(UrbanPopRate!AJ151&gt;=$J$1,0,1)),0)</f>
        <v>0</v>
      </c>
      <c r="AO157">
        <f>IF($D157=1,IF(GDP_per_cap!AK151&gt;'all_1961-1990'!$H$1,0,IF(UrbanPopRate!AK151&gt;=$J$1,0,1)),0)</f>
        <v>0</v>
      </c>
      <c r="AP157">
        <f>IF($D157=1,IF(GDP_per_cap!AL151&gt;'all_1961-1990'!$H$1,0,IF(UrbanPopRate!AL151&gt;=$J$1,0,1)),0)</f>
        <v>0</v>
      </c>
      <c r="AQ157">
        <f>IF($D157=1,IF(GDP_per_cap!AM151&gt;'all_1961-1990'!$H$1,0,IF(UrbanPopRate!AM151&gt;=$J$1,0,1)),0)</f>
        <v>0</v>
      </c>
      <c r="AR157">
        <f>IF($D157=1,IF(GDP_per_cap!AN151&gt;'all_1961-1990'!$H$1,0,IF(UrbanPopRate!AN151&gt;=$J$1,0,1)),0)</f>
        <v>0</v>
      </c>
      <c r="AS157">
        <f>IF($D157=1,IF(GDP_per_cap!AO151&gt;'all_1961-1990'!$H$1,0,IF(UrbanPopRate!AO151&gt;=$J$1,0,1)),0)</f>
        <v>0</v>
      </c>
      <c r="AT157">
        <f>IF($D157=1,IF(GDP_per_cap!AP151&gt;'all_1961-1990'!$H$1,0,IF(UrbanPopRate!AP151&gt;=$J$1,0,1)),0)</f>
        <v>0</v>
      </c>
      <c r="AU157">
        <f>IF($D157=1,IF(GDP_per_cap!AQ151&gt;'all_1961-1990'!$H$1,0,IF(UrbanPopRate!AQ151&gt;=$J$1,0,1)),0)</f>
        <v>0</v>
      </c>
      <c r="AV157">
        <f>IF($D157=1,IF(GDP_per_cap!AR151&gt;'all_1961-1990'!$H$1,0,IF(UrbanPopRate!AR151&gt;=$J$1,0,1)),0)</f>
        <v>0</v>
      </c>
      <c r="AW157">
        <f>IF($D157=1,IF(GDP_per_cap!AS151&gt;'all_1961-1990'!$H$1,0,IF(UrbanPopRate!AS151&gt;=$J$1,0,1)),0)</f>
        <v>0</v>
      </c>
      <c r="AX157">
        <f>IF($D157=1,IF(GDP_per_cap!AT151&gt;'all_1961-1990'!$H$1,0,IF(UrbanPopRate!AT151&gt;=$J$1,0,1)),0)</f>
        <v>0</v>
      </c>
      <c r="AY157">
        <f>IF($D157=1,IF(GDP_per_cap!AU151&gt;'all_1961-1990'!$H$1,0,IF(UrbanPopRate!AU151&gt;=$J$1,0,1)),0)</f>
        <v>0</v>
      </c>
      <c r="AZ157">
        <f>IF($D157=1,IF(GDP_per_cap!AV151&gt;'all_1961-1990'!$H$1,0,IF(UrbanPopRate!AV151&gt;=$J$1,0,1)),0)</f>
        <v>0</v>
      </c>
      <c r="BA157">
        <f>IF($D157=1,IF(GDP_per_cap!AW151&gt;'all_1961-1990'!$H$1,0,IF(UrbanPopRate!AW151&gt;=$J$1,0,1)),0)</f>
        <v>0</v>
      </c>
      <c r="BB157">
        <f>IF($D157=1,IF(GDP_per_cap!AX151&gt;'all_1961-1990'!$H$1,0,IF(UrbanPopRate!AX151&gt;=$J$1,0,1)),0)</f>
        <v>0</v>
      </c>
      <c r="BC157">
        <f>IF($D157=1,IF(GDP_per_cap!AY151&gt;'all_1961-1990'!$H$1,0,IF(UrbanPopRate!AY151&gt;=$J$1,0,1)),0)</f>
        <v>0</v>
      </c>
      <c r="BD157">
        <f>IF($D157=1,IF(GDP_per_cap!AZ151&gt;'all_1961-1990'!$H$1,0,IF(UrbanPopRate!AZ151&gt;=$J$1,0,1)),0)</f>
        <v>0</v>
      </c>
      <c r="BE157">
        <f>IF($D157=1,IF(GDP_per_cap!BA151&gt;'all_1961-1990'!$H$1,0,IF(UrbanPopRate!BA151&gt;=$J$1,0,1)),0)</f>
        <v>0</v>
      </c>
      <c r="BF157">
        <f>IF($D157=1,IF(GDP_per_cap!BB151&gt;'all_1961-1990'!$H$1,0,IF(UrbanPopRate!BB151&gt;=$J$1,0,1)),0)</f>
        <v>0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39997558519241921"/>
  </sheetPr>
  <dimension ref="A1:D156"/>
  <sheetViews>
    <sheetView tabSelected="1" workbookViewId="0">
      <selection activeCell="K11" sqref="K11"/>
    </sheetView>
  </sheetViews>
  <sheetFormatPr baseColWidth="10" defaultColWidth="8.83203125" defaultRowHeight="14"/>
  <cols>
    <col min="1" max="2" width="9.1640625" style="1"/>
    <col min="3" max="4" width="9.1640625" style="2"/>
  </cols>
  <sheetData>
    <row r="1" spans="1:4">
      <c r="A1" s="1" t="s">
        <v>183</v>
      </c>
      <c r="B1" s="1" t="s">
        <v>184</v>
      </c>
      <c r="C1" s="2" t="s">
        <v>157</v>
      </c>
      <c r="D1" s="2" t="s">
        <v>161</v>
      </c>
    </row>
    <row r="2" spans="1:4">
      <c r="A2" s="3">
        <v>1</v>
      </c>
      <c r="B2" s="3" t="s">
        <v>154</v>
      </c>
      <c r="C2" s="2">
        <v>2</v>
      </c>
      <c r="D2" s="2">
        <v>0</v>
      </c>
    </row>
    <row r="3" spans="1:4">
      <c r="A3" s="3">
        <v>3</v>
      </c>
      <c r="B3" s="3" t="s">
        <v>153</v>
      </c>
      <c r="C3" s="2">
        <v>2</v>
      </c>
      <c r="D3" s="2">
        <v>0</v>
      </c>
    </row>
    <row r="4" spans="1:4">
      <c r="A4" s="3">
        <v>4</v>
      </c>
      <c r="B4" s="1" t="s">
        <v>185</v>
      </c>
      <c r="C4" s="2">
        <v>2</v>
      </c>
      <c r="D4" s="2">
        <v>0</v>
      </c>
    </row>
    <row r="5" spans="1:4">
      <c r="A5" s="3">
        <v>7</v>
      </c>
      <c r="B5" s="3" t="s">
        <v>151</v>
      </c>
      <c r="C5" s="2">
        <v>2</v>
      </c>
      <c r="D5" s="2">
        <v>0</v>
      </c>
    </row>
    <row r="6" spans="1:4">
      <c r="A6" s="3">
        <v>11</v>
      </c>
      <c r="B6" s="3" t="s">
        <v>150</v>
      </c>
      <c r="C6" s="2">
        <v>2</v>
      </c>
      <c r="D6" s="2">
        <v>0</v>
      </c>
    </row>
    <row r="7" spans="1:4">
      <c r="A7" s="12">
        <v>12</v>
      </c>
      <c r="B7" s="12" t="s">
        <v>149</v>
      </c>
      <c r="C7" s="13"/>
      <c r="D7" s="13">
        <v>1</v>
      </c>
    </row>
    <row r="8" spans="1:4">
      <c r="A8" s="3">
        <v>14</v>
      </c>
      <c r="B8" s="3" t="s">
        <v>148</v>
      </c>
      <c r="C8" s="2">
        <v>3</v>
      </c>
      <c r="D8" s="2">
        <v>1</v>
      </c>
    </row>
    <row r="9" spans="1:4">
      <c r="A9" s="3">
        <v>15</v>
      </c>
      <c r="B9" s="3" t="s">
        <v>147</v>
      </c>
      <c r="C9" s="2">
        <v>1</v>
      </c>
      <c r="D9" s="2">
        <v>0</v>
      </c>
    </row>
    <row r="10" spans="1:4">
      <c r="A10" s="12">
        <v>16</v>
      </c>
      <c r="B10" s="12" t="s">
        <v>146</v>
      </c>
      <c r="C10" s="13"/>
      <c r="D10" s="13">
        <v>1</v>
      </c>
    </row>
    <row r="11" spans="1:4">
      <c r="A11" s="12">
        <v>18</v>
      </c>
      <c r="B11" s="12" t="s">
        <v>145</v>
      </c>
      <c r="C11" s="13"/>
      <c r="D11" s="13">
        <v>1</v>
      </c>
    </row>
    <row r="12" spans="1:4">
      <c r="A12" s="3">
        <v>19</v>
      </c>
      <c r="B12" s="3" t="s">
        <v>144</v>
      </c>
      <c r="C12" s="2">
        <v>2</v>
      </c>
      <c r="D12" s="2">
        <v>0</v>
      </c>
    </row>
    <row r="13" spans="1:4">
      <c r="A13" s="12">
        <v>21</v>
      </c>
      <c r="B13" s="12" t="s">
        <v>143</v>
      </c>
      <c r="C13" s="13"/>
      <c r="D13" s="13">
        <v>1</v>
      </c>
    </row>
    <row r="14" spans="1:4">
      <c r="A14" s="3">
        <v>22</v>
      </c>
      <c r="B14" s="3" t="s">
        <v>142</v>
      </c>
      <c r="C14" s="2">
        <v>3</v>
      </c>
      <c r="D14" s="2">
        <v>1</v>
      </c>
    </row>
    <row r="15" spans="1:4">
      <c r="A15" s="3">
        <v>24</v>
      </c>
      <c r="B15" s="3" t="s">
        <v>141</v>
      </c>
      <c r="C15" s="2">
        <v>4</v>
      </c>
      <c r="D15" s="2">
        <v>1</v>
      </c>
    </row>
    <row r="16" spans="1:4">
      <c r="A16" s="3">
        <v>27</v>
      </c>
      <c r="B16" s="3" t="s">
        <v>140</v>
      </c>
      <c r="C16" s="2">
        <v>2</v>
      </c>
      <c r="D16" s="2">
        <v>0</v>
      </c>
    </row>
    <row r="17" spans="1:4">
      <c r="A17" s="12">
        <v>28</v>
      </c>
      <c r="B17" s="12" t="s">
        <v>139</v>
      </c>
      <c r="C17" s="13"/>
      <c r="D17" s="13">
        <v>1</v>
      </c>
    </row>
    <row r="18" spans="1:4">
      <c r="A18" s="3">
        <v>29</v>
      </c>
      <c r="B18" s="3" t="s">
        <v>138</v>
      </c>
      <c r="C18" s="2">
        <v>4</v>
      </c>
      <c r="D18" s="2">
        <v>1</v>
      </c>
    </row>
    <row r="19" spans="1:4">
      <c r="A19" s="3">
        <v>31</v>
      </c>
      <c r="B19" s="3" t="s">
        <v>137</v>
      </c>
      <c r="C19" s="2">
        <v>2</v>
      </c>
      <c r="D19" s="2">
        <v>0</v>
      </c>
    </row>
    <row r="20" spans="1:4">
      <c r="A20" s="3">
        <v>34</v>
      </c>
      <c r="B20" s="3" t="s">
        <v>136</v>
      </c>
      <c r="C20" s="2">
        <v>2</v>
      </c>
      <c r="D20" s="2">
        <v>0</v>
      </c>
    </row>
    <row r="21" spans="1:4">
      <c r="A21" s="3">
        <v>35</v>
      </c>
      <c r="B21" s="3" t="s">
        <v>135</v>
      </c>
      <c r="C21" s="2">
        <v>4</v>
      </c>
      <c r="D21" s="2">
        <v>1</v>
      </c>
    </row>
    <row r="22" spans="1:4">
      <c r="A22" s="3">
        <v>36</v>
      </c>
      <c r="B22" s="3" t="s">
        <v>134</v>
      </c>
      <c r="C22" s="2">
        <v>2</v>
      </c>
      <c r="D22" s="2">
        <v>0</v>
      </c>
    </row>
    <row r="23" spans="1:4">
      <c r="A23" s="3">
        <v>37</v>
      </c>
      <c r="B23" s="3" t="s">
        <v>133</v>
      </c>
      <c r="C23" s="2">
        <v>2</v>
      </c>
      <c r="D23" s="2">
        <v>0</v>
      </c>
    </row>
    <row r="24" spans="1:4">
      <c r="A24" s="3">
        <v>38</v>
      </c>
      <c r="B24" s="3" t="s">
        <v>132</v>
      </c>
      <c r="C24" s="2">
        <v>2</v>
      </c>
      <c r="D24" s="2">
        <v>0</v>
      </c>
    </row>
    <row r="25" spans="1:4">
      <c r="A25" s="3">
        <v>39</v>
      </c>
      <c r="B25" s="3" t="s">
        <v>131</v>
      </c>
      <c r="C25" s="2">
        <v>3</v>
      </c>
      <c r="D25" s="2">
        <v>1</v>
      </c>
    </row>
    <row r="26" spans="1:4">
      <c r="A26" s="3">
        <v>42</v>
      </c>
      <c r="B26" s="3" t="s">
        <v>130</v>
      </c>
      <c r="C26" s="2">
        <v>2</v>
      </c>
      <c r="D26" s="2">
        <v>0</v>
      </c>
    </row>
    <row r="27" spans="1:4">
      <c r="A27" s="3">
        <v>43</v>
      </c>
      <c r="B27" s="3" t="s">
        <v>129</v>
      </c>
      <c r="C27" s="2">
        <v>4</v>
      </c>
      <c r="D27" s="2">
        <v>1</v>
      </c>
    </row>
    <row r="28" spans="1:4">
      <c r="A28" s="3">
        <v>44</v>
      </c>
      <c r="B28" s="3" t="s">
        <v>128</v>
      </c>
      <c r="C28" s="2">
        <v>2</v>
      </c>
      <c r="D28" s="2">
        <v>0</v>
      </c>
    </row>
    <row r="29" spans="1:4">
      <c r="A29" s="3">
        <v>45</v>
      </c>
      <c r="B29" s="3" t="s">
        <v>127</v>
      </c>
      <c r="C29" s="2">
        <v>2</v>
      </c>
      <c r="D29" s="2">
        <v>0</v>
      </c>
    </row>
    <row r="30" spans="1:4">
      <c r="A30" s="3">
        <v>48</v>
      </c>
      <c r="B30" s="3" t="s">
        <v>126</v>
      </c>
      <c r="C30" s="2">
        <v>2</v>
      </c>
      <c r="D30" s="2">
        <v>0</v>
      </c>
    </row>
    <row r="31" spans="1:4">
      <c r="A31" s="3">
        <v>50</v>
      </c>
      <c r="B31" s="3" t="s">
        <v>125</v>
      </c>
      <c r="C31" s="2">
        <v>4</v>
      </c>
      <c r="D31" s="2">
        <v>1</v>
      </c>
    </row>
    <row r="32" spans="1:4">
      <c r="A32" s="12">
        <v>51</v>
      </c>
      <c r="B32" s="12" t="s">
        <v>124</v>
      </c>
      <c r="C32" s="13"/>
      <c r="D32" s="13">
        <v>1</v>
      </c>
    </row>
    <row r="33" spans="1:4">
      <c r="A33" s="3">
        <v>53</v>
      </c>
      <c r="B33" s="3" t="s">
        <v>123</v>
      </c>
      <c r="C33" s="2">
        <v>2</v>
      </c>
      <c r="D33" s="2">
        <v>0</v>
      </c>
    </row>
    <row r="34" spans="1:4">
      <c r="A34" s="12">
        <v>54</v>
      </c>
      <c r="B34" s="12" t="s">
        <v>122</v>
      </c>
      <c r="C34" s="13"/>
      <c r="D34" s="13">
        <v>1</v>
      </c>
    </row>
    <row r="35" spans="1:4">
      <c r="A35" s="12">
        <v>55</v>
      </c>
      <c r="B35" s="12" t="s">
        <v>121</v>
      </c>
      <c r="C35" s="13"/>
      <c r="D35" s="13">
        <v>1</v>
      </c>
    </row>
    <row r="36" spans="1:4">
      <c r="A36" s="3">
        <v>56</v>
      </c>
      <c r="B36" s="3" t="s">
        <v>120</v>
      </c>
      <c r="C36" s="2">
        <v>2</v>
      </c>
      <c r="D36" s="2">
        <v>0</v>
      </c>
    </row>
    <row r="37" spans="1:4">
      <c r="A37" s="12">
        <v>57</v>
      </c>
      <c r="B37" s="12" t="s">
        <v>119</v>
      </c>
      <c r="C37" s="13"/>
      <c r="D37" s="13">
        <v>1</v>
      </c>
    </row>
    <row r="38" spans="1:4">
      <c r="A38" s="3">
        <v>58</v>
      </c>
      <c r="B38" s="3" t="s">
        <v>118</v>
      </c>
      <c r="C38" s="2">
        <v>1</v>
      </c>
      <c r="D38" s="2">
        <v>0</v>
      </c>
    </row>
    <row r="39" spans="1:4">
      <c r="A39" s="3">
        <v>59</v>
      </c>
      <c r="B39" s="3" t="s">
        <v>117</v>
      </c>
      <c r="C39" s="2">
        <v>3</v>
      </c>
      <c r="D39" s="2">
        <v>1</v>
      </c>
    </row>
    <row r="40" spans="1:4">
      <c r="A40" s="3">
        <v>62</v>
      </c>
      <c r="B40" s="3" t="s">
        <v>116</v>
      </c>
      <c r="C40" s="2">
        <v>2</v>
      </c>
      <c r="D40" s="2">
        <v>0</v>
      </c>
    </row>
    <row r="41" spans="1:4">
      <c r="A41" s="3">
        <v>63</v>
      </c>
      <c r="B41" s="3" t="s">
        <v>115</v>
      </c>
      <c r="C41" s="2">
        <v>2</v>
      </c>
      <c r="D41" s="2">
        <v>0</v>
      </c>
    </row>
    <row r="42" spans="1:4">
      <c r="A42" s="3">
        <v>64</v>
      </c>
      <c r="B42" s="3" t="s">
        <v>114</v>
      </c>
      <c r="C42" s="2">
        <v>2</v>
      </c>
      <c r="D42" s="2">
        <v>0</v>
      </c>
    </row>
    <row r="43" spans="1:4">
      <c r="A43" s="3">
        <v>65</v>
      </c>
      <c r="B43" s="3" t="s">
        <v>113</v>
      </c>
      <c r="C43" s="2">
        <v>4</v>
      </c>
      <c r="D43" s="2">
        <v>1</v>
      </c>
    </row>
    <row r="44" spans="1:4">
      <c r="A44" s="12">
        <v>67</v>
      </c>
      <c r="B44" s="12" t="s">
        <v>112</v>
      </c>
      <c r="C44" s="13"/>
      <c r="D44" s="13">
        <v>1</v>
      </c>
    </row>
    <row r="45" spans="1:4">
      <c r="A45" s="12">
        <v>68</v>
      </c>
      <c r="B45" s="12" t="s">
        <v>111</v>
      </c>
      <c r="C45" s="13"/>
      <c r="D45" s="13">
        <v>1</v>
      </c>
    </row>
    <row r="46" spans="1:4">
      <c r="A46" s="3">
        <v>69</v>
      </c>
      <c r="B46" s="3" t="s">
        <v>110</v>
      </c>
      <c r="C46" s="2">
        <v>2</v>
      </c>
      <c r="D46" s="2">
        <v>0</v>
      </c>
    </row>
    <row r="47" spans="1:4">
      <c r="A47" s="3">
        <v>73</v>
      </c>
      <c r="B47" s="3" t="s">
        <v>109</v>
      </c>
      <c r="C47" s="2">
        <v>1</v>
      </c>
      <c r="D47" s="2">
        <v>0</v>
      </c>
    </row>
    <row r="48" spans="1:4">
      <c r="A48" s="3">
        <v>74</v>
      </c>
      <c r="B48" s="3" t="s">
        <v>108</v>
      </c>
      <c r="C48" s="2">
        <v>1</v>
      </c>
      <c r="D48" s="2">
        <v>0</v>
      </c>
    </row>
    <row r="49" spans="1:4">
      <c r="A49" s="3">
        <v>78</v>
      </c>
      <c r="B49" s="3" t="s">
        <v>107</v>
      </c>
      <c r="C49" s="2">
        <v>1</v>
      </c>
      <c r="D49" s="2">
        <v>0</v>
      </c>
    </row>
    <row r="50" spans="1:4">
      <c r="A50" s="3">
        <v>79</v>
      </c>
      <c r="B50" s="3" t="s">
        <v>106</v>
      </c>
      <c r="C50" s="2">
        <v>2</v>
      </c>
      <c r="D50" s="2">
        <v>0</v>
      </c>
    </row>
    <row r="51" spans="1:4">
      <c r="A51" s="12">
        <v>80</v>
      </c>
      <c r="B51" s="12" t="s">
        <v>105</v>
      </c>
      <c r="C51" s="13"/>
      <c r="D51" s="13">
        <v>1</v>
      </c>
    </row>
    <row r="52" spans="1:4">
      <c r="A52" s="3">
        <v>81</v>
      </c>
      <c r="B52" s="3" t="s">
        <v>104</v>
      </c>
      <c r="C52" s="2">
        <v>1</v>
      </c>
      <c r="D52" s="2">
        <v>0</v>
      </c>
    </row>
    <row r="53" spans="1:4">
      <c r="A53" s="3">
        <v>82</v>
      </c>
      <c r="B53" s="3" t="s">
        <v>103</v>
      </c>
      <c r="C53" s="2">
        <v>4</v>
      </c>
      <c r="D53" s="2">
        <v>1</v>
      </c>
    </row>
    <row r="54" spans="1:4">
      <c r="A54" s="3">
        <v>84</v>
      </c>
      <c r="B54" s="3" t="s">
        <v>102</v>
      </c>
      <c r="C54" s="2">
        <v>1</v>
      </c>
      <c r="D54" s="2">
        <v>0</v>
      </c>
    </row>
    <row r="55" spans="1:4">
      <c r="A55" s="3">
        <v>89</v>
      </c>
      <c r="B55" s="3" t="s">
        <v>101</v>
      </c>
      <c r="C55" s="2">
        <v>2</v>
      </c>
      <c r="D55" s="2">
        <v>0</v>
      </c>
    </row>
    <row r="56" spans="1:4">
      <c r="A56" s="3">
        <v>91</v>
      </c>
      <c r="B56" s="3" t="s">
        <v>100</v>
      </c>
      <c r="C56" s="2">
        <v>4</v>
      </c>
      <c r="D56" s="2">
        <v>1</v>
      </c>
    </row>
    <row r="57" spans="1:4">
      <c r="A57" s="3">
        <v>92</v>
      </c>
      <c r="B57" s="3" t="s">
        <v>99</v>
      </c>
      <c r="C57" s="2">
        <v>2</v>
      </c>
      <c r="D57" s="2">
        <v>0</v>
      </c>
    </row>
    <row r="58" spans="1:4">
      <c r="A58" s="3">
        <v>94</v>
      </c>
      <c r="B58" s="3" t="s">
        <v>98</v>
      </c>
      <c r="C58" s="2">
        <v>2</v>
      </c>
      <c r="D58" s="2">
        <v>0</v>
      </c>
    </row>
    <row r="59" spans="1:4">
      <c r="A59" s="3">
        <v>97</v>
      </c>
      <c r="B59" s="3" t="s">
        <v>97</v>
      </c>
      <c r="C59" s="2">
        <v>2</v>
      </c>
      <c r="D59" s="2">
        <v>0</v>
      </c>
    </row>
    <row r="60" spans="1:4">
      <c r="A60" s="12">
        <v>98</v>
      </c>
      <c r="B60" s="12" t="s">
        <v>96</v>
      </c>
      <c r="C60" s="13"/>
      <c r="D60" s="13">
        <v>1</v>
      </c>
    </row>
    <row r="61" spans="1:4">
      <c r="A61" s="3">
        <v>99</v>
      </c>
      <c r="B61" s="3" t="s">
        <v>95</v>
      </c>
      <c r="C61" s="2">
        <v>3</v>
      </c>
      <c r="D61" s="2">
        <v>1</v>
      </c>
    </row>
    <row r="62" spans="1:4">
      <c r="A62" s="3">
        <v>101</v>
      </c>
      <c r="B62" s="3" t="s">
        <v>94</v>
      </c>
      <c r="C62" s="2">
        <v>4</v>
      </c>
      <c r="D62" s="2">
        <v>1</v>
      </c>
    </row>
    <row r="63" spans="1:4">
      <c r="A63" s="3">
        <v>102</v>
      </c>
      <c r="B63" s="3" t="s">
        <v>93</v>
      </c>
      <c r="C63" s="2">
        <v>4</v>
      </c>
      <c r="D63" s="2">
        <v>1</v>
      </c>
    </row>
    <row r="64" spans="1:4">
      <c r="A64" s="3">
        <v>103</v>
      </c>
      <c r="B64" s="3" t="s">
        <v>92</v>
      </c>
      <c r="C64" s="2">
        <v>2</v>
      </c>
      <c r="D64" s="2">
        <v>0</v>
      </c>
    </row>
    <row r="65" spans="1:4">
      <c r="A65" s="3">
        <v>104</v>
      </c>
      <c r="B65" s="3" t="s">
        <v>91</v>
      </c>
      <c r="C65" s="2">
        <v>2</v>
      </c>
      <c r="D65" s="2">
        <v>0</v>
      </c>
    </row>
    <row r="66" spans="1:4">
      <c r="A66" s="3">
        <v>105</v>
      </c>
      <c r="B66" s="3" t="s">
        <v>90</v>
      </c>
      <c r="C66" s="2">
        <v>1</v>
      </c>
      <c r="D66" s="2">
        <v>0</v>
      </c>
    </row>
    <row r="67" spans="1:4">
      <c r="A67" s="3">
        <v>107</v>
      </c>
      <c r="B67" s="3" t="s">
        <v>89</v>
      </c>
      <c r="C67" s="2">
        <v>1</v>
      </c>
      <c r="D67" s="2">
        <v>0</v>
      </c>
    </row>
    <row r="68" spans="1:4">
      <c r="A68" s="3">
        <v>108</v>
      </c>
      <c r="B68" s="3" t="s">
        <v>88</v>
      </c>
      <c r="C68" s="2">
        <v>3</v>
      </c>
      <c r="D68" s="2">
        <v>1</v>
      </c>
    </row>
    <row r="69" spans="1:4">
      <c r="A69" s="3">
        <v>109</v>
      </c>
      <c r="B69" s="3" t="s">
        <v>87</v>
      </c>
      <c r="C69" s="2">
        <v>4</v>
      </c>
      <c r="D69" s="2">
        <v>1</v>
      </c>
    </row>
    <row r="70" spans="1:4">
      <c r="A70" s="3">
        <v>110</v>
      </c>
      <c r="B70" s="3" t="s">
        <v>86</v>
      </c>
      <c r="C70" s="2">
        <v>1</v>
      </c>
      <c r="D70" s="2">
        <v>0</v>
      </c>
    </row>
    <row r="71" spans="1:4">
      <c r="A71" s="3">
        <v>112</v>
      </c>
      <c r="B71" s="3" t="s">
        <v>85</v>
      </c>
      <c r="C71" s="2">
        <v>4</v>
      </c>
      <c r="D71" s="2">
        <v>1</v>
      </c>
    </row>
    <row r="72" spans="1:4">
      <c r="A72" s="12">
        <v>113</v>
      </c>
      <c r="B72" s="12" t="s">
        <v>84</v>
      </c>
      <c r="C72" s="13"/>
      <c r="D72" s="13">
        <v>1</v>
      </c>
    </row>
    <row r="73" spans="1:4">
      <c r="A73" s="3">
        <v>114</v>
      </c>
      <c r="B73" s="3" t="s">
        <v>83</v>
      </c>
      <c r="C73" s="2">
        <v>4</v>
      </c>
      <c r="D73" s="2">
        <v>1</v>
      </c>
    </row>
    <row r="74" spans="1:4">
      <c r="A74" s="3">
        <v>116</v>
      </c>
      <c r="B74" s="3" t="s">
        <v>82</v>
      </c>
      <c r="C74" s="2">
        <v>2</v>
      </c>
      <c r="D74" s="2">
        <v>0</v>
      </c>
    </row>
    <row r="75" spans="1:4">
      <c r="A75" s="3">
        <v>117</v>
      </c>
      <c r="B75" s="3" t="s">
        <v>81</v>
      </c>
      <c r="C75" s="2">
        <v>2</v>
      </c>
      <c r="D75" s="2">
        <v>0</v>
      </c>
    </row>
    <row r="76" spans="1:4">
      <c r="A76" s="3">
        <v>118</v>
      </c>
      <c r="B76" s="3" t="s">
        <v>80</v>
      </c>
      <c r="C76" s="2">
        <v>1</v>
      </c>
      <c r="D76" s="2">
        <v>0</v>
      </c>
    </row>
    <row r="77" spans="1:4">
      <c r="A77" s="12">
        <v>119</v>
      </c>
      <c r="B77" s="12" t="s">
        <v>79</v>
      </c>
      <c r="C77" s="13"/>
      <c r="D77" s="13">
        <v>1</v>
      </c>
    </row>
    <row r="78" spans="1:4">
      <c r="A78" s="12">
        <v>120</v>
      </c>
      <c r="B78" s="12" t="s">
        <v>78</v>
      </c>
      <c r="C78" s="13"/>
      <c r="D78" s="13">
        <v>1</v>
      </c>
    </row>
    <row r="79" spans="1:4">
      <c r="A79" s="12">
        <v>121</v>
      </c>
      <c r="B79" s="12" t="s">
        <v>77</v>
      </c>
      <c r="C79" s="13"/>
      <c r="D79" s="13">
        <v>1</v>
      </c>
    </row>
    <row r="80" spans="1:4">
      <c r="A80" s="3">
        <v>122</v>
      </c>
      <c r="B80" s="3" t="s">
        <v>76</v>
      </c>
      <c r="C80" s="2">
        <v>2</v>
      </c>
      <c r="D80" s="2">
        <v>0</v>
      </c>
    </row>
    <row r="81" spans="1:4">
      <c r="A81" s="3">
        <v>123</v>
      </c>
      <c r="B81" s="3" t="s">
        <v>75</v>
      </c>
      <c r="C81" s="2">
        <v>2</v>
      </c>
      <c r="D81" s="2">
        <v>0</v>
      </c>
    </row>
    <row r="82" spans="1:4">
      <c r="A82" s="3">
        <v>124</v>
      </c>
      <c r="B82" s="3" t="s">
        <v>74</v>
      </c>
      <c r="C82" s="2">
        <v>2</v>
      </c>
      <c r="D82" s="2">
        <v>0</v>
      </c>
    </row>
    <row r="83" spans="1:4">
      <c r="A83" s="3">
        <v>125</v>
      </c>
      <c r="B83" s="3" t="s">
        <v>73</v>
      </c>
      <c r="C83" s="2">
        <v>1</v>
      </c>
      <c r="D83" s="2">
        <v>0</v>
      </c>
    </row>
    <row r="84" spans="1:4">
      <c r="A84" s="12">
        <v>127</v>
      </c>
      <c r="B84" s="12" t="s">
        <v>72</v>
      </c>
      <c r="C84" s="13"/>
      <c r="D84" s="13">
        <v>1</v>
      </c>
    </row>
    <row r="85" spans="1:4">
      <c r="A85" s="12">
        <v>130</v>
      </c>
      <c r="B85" s="12" t="s">
        <v>71</v>
      </c>
      <c r="C85" s="13"/>
      <c r="D85" s="13">
        <v>1</v>
      </c>
    </row>
    <row r="86" spans="1:4">
      <c r="A86" s="3">
        <v>131</v>
      </c>
      <c r="B86" s="3" t="s">
        <v>70</v>
      </c>
      <c r="C86" s="2">
        <v>2</v>
      </c>
      <c r="D86" s="2">
        <v>0</v>
      </c>
    </row>
    <row r="87" spans="1:4">
      <c r="A87" s="3">
        <v>132</v>
      </c>
      <c r="B87" s="3" t="s">
        <v>69</v>
      </c>
      <c r="C87" s="2">
        <v>4</v>
      </c>
      <c r="D87" s="2">
        <v>1</v>
      </c>
    </row>
    <row r="88" spans="1:4">
      <c r="A88" s="3">
        <v>133</v>
      </c>
      <c r="B88" s="3" t="s">
        <v>68</v>
      </c>
      <c r="C88" s="2">
        <v>2</v>
      </c>
      <c r="D88" s="2">
        <v>0</v>
      </c>
    </row>
    <row r="89" spans="1:4">
      <c r="A89" s="3">
        <v>135</v>
      </c>
      <c r="B89" s="3" t="s">
        <v>67</v>
      </c>
      <c r="C89" s="2">
        <v>4</v>
      </c>
      <c r="D89" s="2">
        <v>1</v>
      </c>
    </row>
    <row r="90" spans="1:4">
      <c r="A90" s="3">
        <v>139</v>
      </c>
      <c r="B90" s="3" t="s">
        <v>66</v>
      </c>
      <c r="C90" s="2">
        <v>4</v>
      </c>
      <c r="D90" s="2">
        <v>1</v>
      </c>
    </row>
    <row r="91" spans="1:4">
      <c r="A91" s="12">
        <v>140</v>
      </c>
      <c r="B91" s="12" t="s">
        <v>65</v>
      </c>
      <c r="C91" s="13"/>
      <c r="D91" s="13">
        <v>1</v>
      </c>
    </row>
    <row r="92" spans="1:4">
      <c r="A92" s="3">
        <v>142</v>
      </c>
      <c r="B92" s="3" t="s">
        <v>64</v>
      </c>
      <c r="C92" s="2">
        <v>1</v>
      </c>
      <c r="D92" s="2">
        <v>0</v>
      </c>
    </row>
    <row r="93" spans="1:4">
      <c r="A93" s="12">
        <v>144</v>
      </c>
      <c r="B93" s="12" t="s">
        <v>63</v>
      </c>
      <c r="C93" s="13"/>
      <c r="D93" s="13">
        <v>1</v>
      </c>
    </row>
    <row r="94" spans="1:4">
      <c r="A94" s="3">
        <v>146</v>
      </c>
      <c r="B94" s="3" t="s">
        <v>62</v>
      </c>
      <c r="C94" s="2">
        <v>4</v>
      </c>
      <c r="D94" s="2">
        <v>1</v>
      </c>
    </row>
    <row r="95" spans="1:4">
      <c r="A95" s="3">
        <v>148</v>
      </c>
      <c r="B95" s="3" t="s">
        <v>61</v>
      </c>
      <c r="C95" s="2">
        <v>4</v>
      </c>
      <c r="D95" s="2">
        <v>1</v>
      </c>
    </row>
    <row r="96" spans="1:4">
      <c r="A96" s="3">
        <v>149</v>
      </c>
      <c r="B96" s="3" t="s">
        <v>60</v>
      </c>
      <c r="C96" s="2">
        <v>2</v>
      </c>
      <c r="D96" s="2">
        <v>0</v>
      </c>
    </row>
    <row r="97" spans="1:4">
      <c r="A97" s="3">
        <v>150</v>
      </c>
      <c r="B97" s="3" t="s">
        <v>59</v>
      </c>
      <c r="C97" s="2">
        <v>2</v>
      </c>
      <c r="D97" s="2">
        <v>0</v>
      </c>
    </row>
    <row r="98" spans="1:4">
      <c r="A98" s="3">
        <v>151</v>
      </c>
      <c r="B98" s="3" t="s">
        <v>58</v>
      </c>
      <c r="C98" s="2">
        <v>2</v>
      </c>
      <c r="D98" s="2">
        <v>0</v>
      </c>
    </row>
    <row r="99" spans="1:4">
      <c r="A99" s="3">
        <v>153</v>
      </c>
      <c r="B99" s="3" t="s">
        <v>57</v>
      </c>
      <c r="C99" s="2">
        <v>2</v>
      </c>
      <c r="D99" s="2">
        <v>0</v>
      </c>
    </row>
    <row r="100" spans="1:4">
      <c r="A100" s="3">
        <v>154</v>
      </c>
      <c r="B100" s="3" t="s">
        <v>56</v>
      </c>
      <c r="C100" s="2">
        <v>3</v>
      </c>
      <c r="D100" s="2">
        <v>1</v>
      </c>
    </row>
    <row r="101" spans="1:4">
      <c r="A101" s="3">
        <v>157</v>
      </c>
      <c r="B101" s="3" t="s">
        <v>55</v>
      </c>
      <c r="C101" s="2">
        <v>1</v>
      </c>
      <c r="D101" s="2">
        <v>0</v>
      </c>
    </row>
    <row r="102" spans="1:4">
      <c r="A102" s="3">
        <v>158</v>
      </c>
      <c r="B102" s="3" t="s">
        <v>54</v>
      </c>
      <c r="C102" s="2">
        <v>2</v>
      </c>
      <c r="D102" s="2">
        <v>0</v>
      </c>
    </row>
    <row r="103" spans="1:4">
      <c r="A103" s="3">
        <v>159</v>
      </c>
      <c r="B103" s="3" t="s">
        <v>53</v>
      </c>
      <c r="C103" s="2">
        <v>4</v>
      </c>
      <c r="D103" s="2">
        <v>1</v>
      </c>
    </row>
    <row r="104" spans="1:4">
      <c r="A104" s="3">
        <v>160</v>
      </c>
      <c r="B104" s="3" t="s">
        <v>52</v>
      </c>
      <c r="C104" s="2">
        <v>2</v>
      </c>
      <c r="D104" s="2">
        <v>0</v>
      </c>
    </row>
    <row r="105" spans="1:4">
      <c r="A105" s="3">
        <v>164</v>
      </c>
      <c r="B105" s="3" t="s">
        <v>51</v>
      </c>
      <c r="C105" s="2">
        <v>1</v>
      </c>
      <c r="D105" s="2">
        <v>0</v>
      </c>
    </row>
    <row r="106" spans="1:4">
      <c r="A106" s="12">
        <v>165</v>
      </c>
      <c r="B106" s="12" t="s">
        <v>50</v>
      </c>
      <c r="C106" s="13"/>
      <c r="D106" s="13">
        <v>1</v>
      </c>
    </row>
    <row r="107" spans="1:4">
      <c r="A107" s="3">
        <v>166</v>
      </c>
      <c r="B107" s="3" t="s">
        <v>49</v>
      </c>
      <c r="C107" s="2">
        <v>2</v>
      </c>
      <c r="D107" s="2">
        <v>0</v>
      </c>
    </row>
    <row r="108" spans="1:4">
      <c r="A108" s="12">
        <v>168</v>
      </c>
      <c r="B108" s="12" t="s">
        <v>48</v>
      </c>
      <c r="C108" s="13"/>
      <c r="D108" s="13">
        <v>1</v>
      </c>
    </row>
    <row r="109" spans="1:4">
      <c r="A109" s="3">
        <v>169</v>
      </c>
      <c r="B109" s="3" t="s">
        <v>47</v>
      </c>
      <c r="C109" s="2">
        <v>2</v>
      </c>
      <c r="D109" s="2">
        <v>0</v>
      </c>
    </row>
    <row r="110" spans="1:4">
      <c r="A110" s="3">
        <v>170</v>
      </c>
      <c r="B110" s="3" t="s">
        <v>46</v>
      </c>
      <c r="C110" s="2">
        <v>2</v>
      </c>
      <c r="D110" s="2">
        <v>0</v>
      </c>
    </row>
    <row r="111" spans="1:4">
      <c r="A111" s="3">
        <v>171</v>
      </c>
      <c r="B111" s="3" t="s">
        <v>45</v>
      </c>
      <c r="C111" s="2">
        <v>2</v>
      </c>
      <c r="D111" s="2">
        <v>0</v>
      </c>
    </row>
    <row r="112" spans="1:4">
      <c r="A112" s="3">
        <v>172</v>
      </c>
      <c r="B112" s="3" t="s">
        <v>44</v>
      </c>
      <c r="C112" s="2">
        <v>2</v>
      </c>
      <c r="D112" s="2">
        <v>0</v>
      </c>
    </row>
    <row r="113" spans="1:4">
      <c r="A113" s="3">
        <v>173</v>
      </c>
      <c r="B113" s="3" t="s">
        <v>43</v>
      </c>
      <c r="C113" s="2">
        <v>2</v>
      </c>
      <c r="D113" s="2">
        <v>0</v>
      </c>
    </row>
    <row r="114" spans="1:4">
      <c r="A114" s="3">
        <v>175</v>
      </c>
      <c r="B114" s="3" t="s">
        <v>42</v>
      </c>
      <c r="C114" s="2">
        <v>2</v>
      </c>
      <c r="D114" s="2">
        <v>0</v>
      </c>
    </row>
    <row r="115" spans="1:4">
      <c r="A115" s="3">
        <v>176</v>
      </c>
      <c r="B115" s="3" t="s">
        <v>41</v>
      </c>
      <c r="C115" s="2">
        <v>1</v>
      </c>
      <c r="D115" s="2">
        <v>0</v>
      </c>
    </row>
    <row r="116" spans="1:4">
      <c r="A116" s="3">
        <v>177</v>
      </c>
      <c r="B116" s="3" t="s">
        <v>40</v>
      </c>
      <c r="C116" s="2">
        <v>3</v>
      </c>
      <c r="D116" s="2">
        <v>1</v>
      </c>
    </row>
    <row r="117" spans="1:4">
      <c r="A117" s="12">
        <v>178</v>
      </c>
      <c r="B117" s="12" t="s">
        <v>39</v>
      </c>
      <c r="C117" s="13"/>
      <c r="D117" s="13">
        <v>1</v>
      </c>
    </row>
    <row r="118" spans="1:4">
      <c r="A118" s="3">
        <v>180</v>
      </c>
      <c r="B118" s="3" t="s">
        <v>38</v>
      </c>
      <c r="C118" s="2">
        <v>2</v>
      </c>
      <c r="D118" s="2">
        <v>0</v>
      </c>
    </row>
    <row r="119" spans="1:4">
      <c r="A119" s="3">
        <v>181</v>
      </c>
      <c r="B119" s="3" t="s">
        <v>37</v>
      </c>
      <c r="C119" s="2">
        <v>3</v>
      </c>
      <c r="D119" s="2">
        <v>1</v>
      </c>
    </row>
    <row r="120" spans="1:4">
      <c r="A120" s="3">
        <v>182</v>
      </c>
      <c r="B120" s="3" t="s">
        <v>36</v>
      </c>
      <c r="C120" s="2">
        <v>2</v>
      </c>
      <c r="D120" s="2">
        <v>0</v>
      </c>
    </row>
    <row r="121" spans="1:4">
      <c r="A121" s="3">
        <v>191</v>
      </c>
      <c r="B121" s="3" t="s">
        <v>35</v>
      </c>
      <c r="C121" s="2">
        <v>1</v>
      </c>
      <c r="D121" s="2">
        <v>0</v>
      </c>
    </row>
    <row r="122" spans="1:4">
      <c r="A122" s="3">
        <v>192</v>
      </c>
      <c r="B122" s="3" t="s">
        <v>34</v>
      </c>
      <c r="C122" s="2">
        <v>4</v>
      </c>
      <c r="D122" s="2">
        <v>1</v>
      </c>
    </row>
    <row r="123" spans="1:4">
      <c r="A123" s="3">
        <v>195</v>
      </c>
      <c r="B123" s="3" t="s">
        <v>33</v>
      </c>
      <c r="C123" s="2">
        <v>4</v>
      </c>
      <c r="D123" s="2">
        <v>1</v>
      </c>
    </row>
    <row r="124" spans="1:4">
      <c r="A124" s="12">
        <v>196</v>
      </c>
      <c r="B124" s="12" t="s">
        <v>32</v>
      </c>
      <c r="C124" s="13"/>
      <c r="D124" s="13">
        <v>1</v>
      </c>
    </row>
    <row r="125" spans="1:4">
      <c r="A125" s="12">
        <v>197</v>
      </c>
      <c r="B125" s="12" t="s">
        <v>31</v>
      </c>
      <c r="C125" s="13"/>
      <c r="D125" s="13">
        <v>1</v>
      </c>
    </row>
    <row r="126" spans="1:4">
      <c r="A126" s="12">
        <v>198</v>
      </c>
      <c r="B126" s="12" t="s">
        <v>30</v>
      </c>
      <c r="C126" s="13"/>
      <c r="D126" s="13">
        <v>1</v>
      </c>
    </row>
    <row r="127" spans="1:4">
      <c r="A127" s="3">
        <v>200</v>
      </c>
      <c r="B127" s="3" t="s">
        <v>29</v>
      </c>
      <c r="C127" s="2">
        <v>4</v>
      </c>
      <c r="D127" s="2">
        <v>1</v>
      </c>
    </row>
    <row r="128" spans="1:4">
      <c r="A128" s="3">
        <v>201</v>
      </c>
      <c r="B128" s="3" t="s">
        <v>28</v>
      </c>
      <c r="C128" s="2">
        <v>2</v>
      </c>
      <c r="D128" s="2">
        <v>0</v>
      </c>
    </row>
    <row r="129" spans="1:4">
      <c r="A129" s="3">
        <v>203</v>
      </c>
      <c r="B129" s="3" t="s">
        <v>27</v>
      </c>
      <c r="C129" s="2">
        <v>1</v>
      </c>
      <c r="D129" s="2">
        <v>0</v>
      </c>
    </row>
    <row r="130" spans="1:4">
      <c r="A130" s="3">
        <v>204</v>
      </c>
      <c r="B130" s="3" t="s">
        <v>26</v>
      </c>
      <c r="C130" s="2">
        <v>2</v>
      </c>
      <c r="D130" s="2">
        <v>0</v>
      </c>
    </row>
    <row r="131" spans="1:4">
      <c r="A131" s="3">
        <v>205</v>
      </c>
      <c r="B131" s="3" t="s">
        <v>25</v>
      </c>
      <c r="C131" s="2">
        <v>4</v>
      </c>
      <c r="D131" s="2">
        <v>1</v>
      </c>
    </row>
    <row r="132" spans="1:4">
      <c r="A132" s="3">
        <v>208</v>
      </c>
      <c r="B132" s="3" t="s">
        <v>24</v>
      </c>
      <c r="C132" s="2">
        <v>4</v>
      </c>
      <c r="D132" s="2">
        <v>1</v>
      </c>
    </row>
    <row r="133" spans="1:4">
      <c r="A133" s="3">
        <v>209</v>
      </c>
      <c r="B133" s="3" t="s">
        <v>23</v>
      </c>
      <c r="C133" s="2">
        <v>1</v>
      </c>
      <c r="D133" s="2">
        <v>0</v>
      </c>
    </row>
    <row r="134" spans="1:4">
      <c r="A134" s="3">
        <v>210</v>
      </c>
      <c r="B134" s="3" t="s">
        <v>22</v>
      </c>
      <c r="C134" s="2">
        <v>1</v>
      </c>
      <c r="D134" s="2">
        <v>0</v>
      </c>
    </row>
    <row r="135" spans="1:4">
      <c r="A135" s="3">
        <v>211</v>
      </c>
      <c r="B135" s="3" t="s">
        <v>21</v>
      </c>
      <c r="C135" s="2">
        <v>4</v>
      </c>
      <c r="D135" s="2">
        <v>1</v>
      </c>
    </row>
    <row r="136" spans="1:4">
      <c r="A136" s="12">
        <v>213</v>
      </c>
      <c r="B136" s="12" t="s">
        <v>20</v>
      </c>
      <c r="C136" s="13"/>
      <c r="D136" s="13">
        <v>1</v>
      </c>
    </row>
    <row r="137" spans="1:4">
      <c r="A137" s="3">
        <v>214</v>
      </c>
      <c r="B137" s="3" t="s">
        <v>19</v>
      </c>
      <c r="C137" s="2">
        <v>2</v>
      </c>
      <c r="D137" s="2">
        <v>0</v>
      </c>
    </row>
    <row r="138" spans="1:4">
      <c r="A138" s="3">
        <v>215</v>
      </c>
      <c r="B138" s="3" t="s">
        <v>18</v>
      </c>
      <c r="C138" s="2">
        <v>2</v>
      </c>
      <c r="D138" s="2">
        <v>0</v>
      </c>
    </row>
    <row r="139" spans="1:4">
      <c r="A139" s="12">
        <v>216</v>
      </c>
      <c r="B139" s="12" t="s">
        <v>17</v>
      </c>
      <c r="C139" s="13"/>
      <c r="D139" s="13">
        <v>1</v>
      </c>
    </row>
    <row r="140" spans="1:4">
      <c r="A140" s="3">
        <v>217</v>
      </c>
      <c r="B140" s="3" t="s">
        <v>16</v>
      </c>
      <c r="C140" s="2">
        <v>4</v>
      </c>
      <c r="D140" s="2">
        <v>1</v>
      </c>
    </row>
    <row r="141" spans="1:4">
      <c r="A141" s="3">
        <v>220</v>
      </c>
      <c r="B141" s="3" t="s">
        <v>15</v>
      </c>
      <c r="C141" s="2">
        <v>1</v>
      </c>
      <c r="D141" s="2">
        <v>0</v>
      </c>
    </row>
    <row r="142" spans="1:4">
      <c r="A142" s="3">
        <v>221</v>
      </c>
      <c r="B142" s="3" t="s">
        <v>14</v>
      </c>
      <c r="C142" s="2">
        <v>2</v>
      </c>
      <c r="D142" s="2">
        <v>0</v>
      </c>
    </row>
    <row r="143" spans="1:4">
      <c r="A143" s="3">
        <v>222</v>
      </c>
      <c r="B143" s="3" t="s">
        <v>13</v>
      </c>
      <c r="C143" s="2">
        <v>4</v>
      </c>
      <c r="D143" s="2">
        <v>1</v>
      </c>
    </row>
    <row r="144" spans="1:4">
      <c r="A144" s="12">
        <v>223</v>
      </c>
      <c r="B144" s="12" t="s">
        <v>12</v>
      </c>
      <c r="C144" s="13"/>
      <c r="D144" s="13">
        <v>1</v>
      </c>
    </row>
    <row r="145" spans="1:4">
      <c r="A145" s="3">
        <v>226</v>
      </c>
      <c r="B145" s="3" t="s">
        <v>11</v>
      </c>
      <c r="C145" s="2">
        <v>4</v>
      </c>
      <c r="D145" s="2">
        <v>1</v>
      </c>
    </row>
    <row r="146" spans="1:4">
      <c r="A146" s="12">
        <v>227</v>
      </c>
      <c r="B146" s="12" t="s">
        <v>10</v>
      </c>
      <c r="C146" s="13"/>
      <c r="D146" s="13">
        <v>1</v>
      </c>
    </row>
    <row r="147" spans="1:4">
      <c r="A147" s="3">
        <v>228</v>
      </c>
      <c r="B147" s="3" t="s">
        <v>9</v>
      </c>
      <c r="C147" s="2">
        <v>1</v>
      </c>
      <c r="D147" s="2">
        <v>0</v>
      </c>
    </row>
    <row r="148" spans="1:4">
      <c r="A148" s="3">
        <v>229</v>
      </c>
      <c r="B148" s="3" t="s">
        <v>8</v>
      </c>
      <c r="C148" s="2">
        <v>3</v>
      </c>
      <c r="D148" s="2">
        <v>1</v>
      </c>
    </row>
    <row r="149" spans="1:4">
      <c r="A149" s="3">
        <v>230</v>
      </c>
      <c r="B149" s="3" t="s">
        <v>7</v>
      </c>
      <c r="C149" s="2">
        <v>3</v>
      </c>
      <c r="D149" s="2">
        <v>1</v>
      </c>
    </row>
    <row r="150" spans="1:4">
      <c r="A150" s="3">
        <v>232</v>
      </c>
      <c r="B150" s="3" t="s">
        <v>6</v>
      </c>
      <c r="C150" s="2">
        <v>2</v>
      </c>
      <c r="D150" s="2">
        <v>0</v>
      </c>
    </row>
    <row r="151" spans="1:4">
      <c r="A151" s="12">
        <v>233</v>
      </c>
      <c r="B151" s="12" t="s">
        <v>5</v>
      </c>
      <c r="C151" s="13"/>
      <c r="D151" s="13">
        <v>1</v>
      </c>
    </row>
    <row r="152" spans="1:4">
      <c r="A152" s="3">
        <v>235</v>
      </c>
      <c r="B152" s="3" t="s">
        <v>4</v>
      </c>
      <c r="C152" s="2">
        <v>3</v>
      </c>
      <c r="D152" s="2">
        <v>1</v>
      </c>
    </row>
    <row r="153" spans="1:4">
      <c r="A153" s="3">
        <v>236</v>
      </c>
      <c r="B153" s="3" t="s">
        <v>3</v>
      </c>
      <c r="C153" s="2">
        <v>2</v>
      </c>
      <c r="D153" s="2">
        <v>0</v>
      </c>
    </row>
    <row r="154" spans="1:4">
      <c r="A154" s="3">
        <v>241</v>
      </c>
      <c r="B154" s="3" t="s">
        <v>2</v>
      </c>
      <c r="C154" s="2">
        <v>2</v>
      </c>
      <c r="D154" s="2">
        <v>0</v>
      </c>
    </row>
    <row r="155" spans="1:4">
      <c r="A155" s="3">
        <v>242</v>
      </c>
      <c r="B155" s="3" t="s">
        <v>1</v>
      </c>
      <c r="C155" s="2">
        <v>4</v>
      </c>
      <c r="D155" s="2">
        <v>1</v>
      </c>
    </row>
    <row r="156" spans="1:4">
      <c r="A156" s="3">
        <v>243</v>
      </c>
      <c r="B156" s="3" t="s">
        <v>0</v>
      </c>
      <c r="C156" s="2">
        <v>4</v>
      </c>
      <c r="D156" s="2">
        <v>1</v>
      </c>
    </row>
  </sheetData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theme="8" tint="0.39997558519241921"/>
  </sheetPr>
  <dimension ref="A1:BB156"/>
  <sheetViews>
    <sheetView workbookViewId="0">
      <selection activeCell="M29" sqref="M29"/>
    </sheetView>
  </sheetViews>
  <sheetFormatPr baseColWidth="10" defaultColWidth="9.1640625" defaultRowHeight="14"/>
  <cols>
    <col min="1" max="16384" width="9.1640625" style="40"/>
  </cols>
  <sheetData>
    <row r="1" spans="1:54">
      <c r="A1" s="40" t="s">
        <v>186</v>
      </c>
      <c r="B1" s="40" t="s">
        <v>187</v>
      </c>
      <c r="C1" s="40">
        <v>1961</v>
      </c>
      <c r="D1" s="40">
        <v>1962</v>
      </c>
      <c r="E1" s="40">
        <v>1963</v>
      </c>
      <c r="F1" s="40">
        <v>1964</v>
      </c>
      <c r="G1" s="40">
        <v>1965</v>
      </c>
      <c r="H1" s="40">
        <v>1966</v>
      </c>
      <c r="I1" s="40">
        <v>1967</v>
      </c>
      <c r="J1" s="40">
        <v>1968</v>
      </c>
      <c r="K1" s="40">
        <v>1969</v>
      </c>
      <c r="L1" s="40">
        <v>1970</v>
      </c>
      <c r="M1" s="40">
        <v>1971</v>
      </c>
      <c r="N1" s="40">
        <v>1972</v>
      </c>
      <c r="O1" s="40">
        <v>1973</v>
      </c>
      <c r="P1" s="40">
        <v>1974</v>
      </c>
      <c r="Q1" s="40">
        <v>1975</v>
      </c>
      <c r="R1" s="40">
        <v>1976</v>
      </c>
      <c r="S1" s="40">
        <v>1977</v>
      </c>
      <c r="T1" s="40">
        <v>1978</v>
      </c>
      <c r="U1" s="40">
        <v>1979</v>
      </c>
      <c r="V1" s="40">
        <v>1980</v>
      </c>
      <c r="W1" s="40">
        <v>1981</v>
      </c>
      <c r="X1" s="40">
        <v>1982</v>
      </c>
      <c r="Y1" s="40">
        <v>1983</v>
      </c>
      <c r="Z1" s="40">
        <v>1984</v>
      </c>
      <c r="AA1" s="40">
        <v>1985</v>
      </c>
      <c r="AB1" s="40">
        <v>1986</v>
      </c>
      <c r="AC1" s="40">
        <v>1987</v>
      </c>
      <c r="AD1" s="40">
        <v>1988</v>
      </c>
      <c r="AE1" s="40">
        <v>1989</v>
      </c>
      <c r="AF1" s="40">
        <v>1990</v>
      </c>
      <c r="AG1" s="40">
        <v>1991</v>
      </c>
      <c r="AH1" s="40">
        <v>1992</v>
      </c>
      <c r="AI1" s="40">
        <v>1993</v>
      </c>
      <c r="AJ1" s="40">
        <v>1994</v>
      </c>
      <c r="AK1" s="40">
        <v>1995</v>
      </c>
      <c r="AL1" s="40">
        <v>1996</v>
      </c>
      <c r="AM1" s="40">
        <v>1997</v>
      </c>
      <c r="AN1" s="40">
        <v>1998</v>
      </c>
      <c r="AO1" s="40">
        <v>1999</v>
      </c>
      <c r="AP1" s="40">
        <v>2000</v>
      </c>
      <c r="AQ1" s="40">
        <v>2001</v>
      </c>
      <c r="AR1" s="40">
        <v>2002</v>
      </c>
      <c r="AS1" s="40">
        <v>2003</v>
      </c>
      <c r="AT1" s="40">
        <v>2004</v>
      </c>
      <c r="AU1" s="40">
        <v>2005</v>
      </c>
      <c r="AV1" s="40">
        <v>2006</v>
      </c>
      <c r="AW1" s="40">
        <v>2007</v>
      </c>
      <c r="AX1" s="40">
        <v>2008</v>
      </c>
      <c r="AY1" s="40">
        <v>2009</v>
      </c>
      <c r="AZ1" s="40">
        <v>2010</v>
      </c>
      <c r="BA1" s="40">
        <v>2011</v>
      </c>
      <c r="BB1" s="40" t="s">
        <v>188</v>
      </c>
    </row>
    <row r="2" spans="1:54">
      <c r="A2" s="41">
        <v>1</v>
      </c>
      <c r="B2" s="41" t="s">
        <v>154</v>
      </c>
      <c r="C2" s="40">
        <v>61.304093058321683</v>
      </c>
      <c r="D2" s="40">
        <v>59.798693323222004</v>
      </c>
      <c r="E2" s="40">
        <v>80.423002065907284</v>
      </c>
      <c r="F2" s="40">
        <v>83.794811814262431</v>
      </c>
      <c r="G2" s="40">
        <v>103.08910311169232</v>
      </c>
      <c r="H2" s="40">
        <v>140.13838324011627</v>
      </c>
      <c r="I2" s="40">
        <v>163.70078862687851</v>
      </c>
      <c r="J2" s="40">
        <v>131.22143592556179</v>
      </c>
      <c r="K2" s="40">
        <v>131.31362122477103</v>
      </c>
      <c r="L2" s="40">
        <v>158.76423092866636</v>
      </c>
      <c r="M2" s="40">
        <v>161.70951599794699</v>
      </c>
      <c r="N2" s="40">
        <v>137.02368756277053</v>
      </c>
      <c r="O2" s="40">
        <v>144.85059983749991</v>
      </c>
      <c r="P2" s="40">
        <v>175.62552393327383</v>
      </c>
      <c r="Q2" s="40">
        <v>188.5521200933625</v>
      </c>
      <c r="R2" s="40">
        <v>199.54661363238256</v>
      </c>
      <c r="S2" s="40">
        <v>226.57888540581402</v>
      </c>
      <c r="T2" s="40">
        <v>250.00764099759175</v>
      </c>
      <c r="U2" s="40">
        <v>278.93977829449693</v>
      </c>
      <c r="V2" s="40">
        <v>276.29775135459005</v>
      </c>
      <c r="W2" s="40">
        <v>268.34655964893761</v>
      </c>
      <c r="AQ2" s="40">
        <v>115.31250950490605</v>
      </c>
      <c r="AR2" s="40">
        <v>185.95929012835091</v>
      </c>
      <c r="AS2" s="40">
        <v>198.28779913809549</v>
      </c>
      <c r="AT2" s="40">
        <v>220.05628780874252</v>
      </c>
      <c r="AU2" s="40">
        <v>252.40789247684927</v>
      </c>
      <c r="AV2" s="40">
        <v>275.35094090477367</v>
      </c>
      <c r="AW2" s="40">
        <v>373.59141621851455</v>
      </c>
      <c r="AX2" s="40">
        <v>376.97766986885364</v>
      </c>
      <c r="AY2" s="40">
        <v>450.65923904499414</v>
      </c>
      <c r="AZ2" s="40">
        <v>561.19761748479527</v>
      </c>
      <c r="BA2" s="40">
        <v>619.59212040219222</v>
      </c>
      <c r="BB2" s="40">
        <v>220.32561322059794</v>
      </c>
    </row>
    <row r="3" spans="1:54">
      <c r="A3" s="41">
        <v>3</v>
      </c>
      <c r="B3" s="41" t="s">
        <v>153</v>
      </c>
      <c r="Z3" s="40">
        <v>641.13098590500385</v>
      </c>
      <c r="AA3" s="40">
        <v>638.54102615930128</v>
      </c>
      <c r="AB3" s="40">
        <v>687.41155863355709</v>
      </c>
      <c r="AC3" s="40">
        <v>663.26831824701867</v>
      </c>
      <c r="AD3" s="40">
        <v>637.20726979763424</v>
      </c>
      <c r="AE3" s="40">
        <v>685.91220323768482</v>
      </c>
      <c r="AF3" s="40">
        <v>609.71769848808287</v>
      </c>
      <c r="AG3" s="40">
        <v>329.26147804531644</v>
      </c>
      <c r="AH3" s="40">
        <v>205.82587755518276</v>
      </c>
      <c r="AI3" s="40">
        <v>359.37091412273787</v>
      </c>
      <c r="AJ3" s="40">
        <v>586.71917847402801</v>
      </c>
      <c r="AK3" s="40">
        <v>722.03736813208559</v>
      </c>
      <c r="AL3" s="40">
        <v>901.87939891035717</v>
      </c>
      <c r="AM3" s="40">
        <v>659.26590408853247</v>
      </c>
      <c r="AN3" s="40">
        <v>820.2620792705801</v>
      </c>
      <c r="AO3" s="40">
        <v>1035.1005196929577</v>
      </c>
      <c r="AP3" s="40">
        <v>1115.4939161021757</v>
      </c>
      <c r="AQ3" s="40">
        <v>1244.9530350917871</v>
      </c>
      <c r="AR3" s="40">
        <v>1363.3346331979558</v>
      </c>
      <c r="AS3" s="40">
        <v>1744.87598158281</v>
      </c>
      <c r="AT3" s="40">
        <v>2320.8923302974272</v>
      </c>
      <c r="AU3" s="40">
        <v>2620.8207239639478</v>
      </c>
      <c r="AV3" s="40">
        <v>2872.2606250682852</v>
      </c>
      <c r="AW3" s="40">
        <v>3380.8941920555208</v>
      </c>
      <c r="AX3" s="40">
        <v>4108.414123929575</v>
      </c>
      <c r="AY3" s="40">
        <v>3845.7217196242746</v>
      </c>
      <c r="AZ3" s="40">
        <v>3764.326347991479</v>
      </c>
      <c r="BA3" s="40">
        <v>4109.0820117301428</v>
      </c>
      <c r="BB3" s="40">
        <v>1524.0707649784088</v>
      </c>
    </row>
    <row r="4" spans="1:54">
      <c r="A4" s="41">
        <v>4</v>
      </c>
      <c r="B4" s="40" t="s">
        <v>185</v>
      </c>
      <c r="C4" s="40">
        <v>210.6081289783304</v>
      </c>
      <c r="D4" s="40">
        <v>168.9719716982475</v>
      </c>
      <c r="E4" s="40">
        <v>222.71929639626558</v>
      </c>
      <c r="F4" s="40">
        <v>233.8101099375846</v>
      </c>
      <c r="G4" s="40">
        <v>245.57699136175771</v>
      </c>
      <c r="H4" s="40">
        <v>231.64517663831859</v>
      </c>
      <c r="I4" s="40">
        <v>249.7574356176072</v>
      </c>
      <c r="J4" s="40">
        <v>277.39141860957665</v>
      </c>
      <c r="K4" s="40">
        <v>297.9845459336907</v>
      </c>
      <c r="L4" s="40">
        <v>331.05544621014258</v>
      </c>
      <c r="M4" s="40">
        <v>336.27970848927754</v>
      </c>
      <c r="N4" s="40">
        <v>435.90984798696218</v>
      </c>
      <c r="O4" s="40">
        <v>546.89559288684882</v>
      </c>
      <c r="P4" s="40">
        <v>806.71628578608784</v>
      </c>
      <c r="Q4" s="40">
        <v>924.22370186167416</v>
      </c>
      <c r="R4" s="40">
        <v>1024.0818196437215</v>
      </c>
      <c r="S4" s="40">
        <v>1177.6319548661691</v>
      </c>
      <c r="T4" s="40">
        <v>1438.2827164955047</v>
      </c>
      <c r="U4" s="40">
        <v>1760.3372414222674</v>
      </c>
      <c r="V4" s="40">
        <v>2174.3174699270644</v>
      </c>
      <c r="W4" s="40">
        <v>2205.9701022692084</v>
      </c>
      <c r="X4" s="40">
        <v>2176.9167956817623</v>
      </c>
      <c r="Y4" s="40">
        <v>2274.7746161473715</v>
      </c>
      <c r="Z4" s="40">
        <v>2424.2487318485287</v>
      </c>
      <c r="AA4" s="40">
        <v>2535.8585174111058</v>
      </c>
      <c r="AB4" s="40">
        <v>2705.9460303203732</v>
      </c>
      <c r="AC4" s="40">
        <v>2755.0137601406032</v>
      </c>
      <c r="AD4" s="40">
        <v>2372.5849919788652</v>
      </c>
      <c r="AE4" s="40">
        <v>2175.093522761887</v>
      </c>
      <c r="AF4" s="40">
        <v>2364.5498787594338</v>
      </c>
      <c r="AG4" s="40">
        <v>1699.8565105831208</v>
      </c>
      <c r="AH4" s="40">
        <v>1743.3460687711174</v>
      </c>
      <c r="AI4" s="40">
        <v>1773.8204830687876</v>
      </c>
      <c r="AJ4" s="40">
        <v>1479.600214997422</v>
      </c>
      <c r="AK4" s="40">
        <v>1424.6424842293748</v>
      </c>
      <c r="AL4" s="40">
        <v>1572.8319369824619</v>
      </c>
      <c r="AM4" s="40">
        <v>1587.64613767632</v>
      </c>
      <c r="AN4" s="40">
        <v>1563.5009734996231</v>
      </c>
      <c r="AO4" s="40">
        <v>1555.1910325398269</v>
      </c>
      <c r="AP4" s="40">
        <v>1727.3332508825058</v>
      </c>
      <c r="AQ4" s="40">
        <v>1716.3499396096063</v>
      </c>
      <c r="AR4" s="40">
        <v>1751.5451193866911</v>
      </c>
      <c r="AS4" s="40">
        <v>2060.9549161992645</v>
      </c>
      <c r="AT4" s="40">
        <v>2540.6613131646395</v>
      </c>
      <c r="AU4" s="40">
        <v>3013.4387214452659</v>
      </c>
      <c r="AV4" s="40">
        <v>3395.5021846806735</v>
      </c>
      <c r="AW4" s="40">
        <v>3869.3731641415006</v>
      </c>
      <c r="AX4" s="40">
        <v>4786.2131622022289</v>
      </c>
      <c r="AY4" s="40">
        <v>3796.2455935059511</v>
      </c>
      <c r="AZ4" s="40">
        <v>4364.9617089520762</v>
      </c>
      <c r="BA4" s="40">
        <v>5257.5007836947916</v>
      </c>
      <c r="BB4" s="40">
        <v>1760.1111668290098</v>
      </c>
    </row>
    <row r="5" spans="1:54">
      <c r="A5" s="41">
        <v>7</v>
      </c>
      <c r="B5" s="41" t="s">
        <v>151</v>
      </c>
      <c r="AA5" s="40">
        <v>750.72195699463975</v>
      </c>
      <c r="AB5" s="40">
        <v>681.90845980888719</v>
      </c>
      <c r="AC5" s="40">
        <v>772.21050779656525</v>
      </c>
      <c r="AD5" s="40">
        <v>813.96094095984051</v>
      </c>
      <c r="AE5" s="40">
        <v>923.58290117149988</v>
      </c>
      <c r="AF5" s="40">
        <v>992.87287099365756</v>
      </c>
      <c r="AG5" s="40">
        <v>1144.6596373566017</v>
      </c>
      <c r="AH5" s="40">
        <v>525.26778211046678</v>
      </c>
      <c r="AI5" s="40">
        <v>464.78434259479883</v>
      </c>
      <c r="AJ5" s="40">
        <v>345.68916015037433</v>
      </c>
      <c r="AK5" s="40">
        <v>416.32009581617541</v>
      </c>
      <c r="AL5" s="40">
        <v>604.43943540684745</v>
      </c>
      <c r="AM5" s="40">
        <v>597.93178135420271</v>
      </c>
      <c r="AN5" s="40">
        <v>490.58201485987354</v>
      </c>
      <c r="AO5" s="40">
        <v>455.41394581714968</v>
      </c>
      <c r="AP5" s="40">
        <v>655.62949462636379</v>
      </c>
      <c r="AQ5" s="40">
        <v>621.19593008850188</v>
      </c>
      <c r="AR5" s="40">
        <v>767.92260560699185</v>
      </c>
      <c r="AS5" s="40">
        <v>905.01266242592715</v>
      </c>
      <c r="AT5" s="40">
        <v>1237.753057163839</v>
      </c>
      <c r="AU5" s="40">
        <v>1706.5436158078687</v>
      </c>
      <c r="AV5" s="40">
        <v>2440.6317161064258</v>
      </c>
      <c r="AW5" s="40">
        <v>3412.7189979656414</v>
      </c>
      <c r="AX5" s="40">
        <v>4596.268430943147</v>
      </c>
      <c r="AY5" s="40">
        <v>3988.6835572765171</v>
      </c>
      <c r="AZ5" s="40">
        <v>4218.6491255737947</v>
      </c>
      <c r="BA5" s="40">
        <v>5159.2336660399651</v>
      </c>
      <c r="BB5" s="40">
        <v>1470.0218034376505</v>
      </c>
    </row>
    <row r="6" spans="1:54">
      <c r="A6" s="41">
        <v>11</v>
      </c>
      <c r="B6" s="41" t="s">
        <v>150</v>
      </c>
      <c r="D6" s="40">
        <v>1148.1696129805284</v>
      </c>
      <c r="E6" s="40">
        <v>844.72502400836879</v>
      </c>
      <c r="F6" s="40">
        <v>1165.7851638794198</v>
      </c>
      <c r="G6" s="40">
        <v>1271.4155663689874</v>
      </c>
      <c r="H6" s="40">
        <v>1265.7773446737917</v>
      </c>
      <c r="I6" s="40">
        <v>1057.3280680498488</v>
      </c>
      <c r="J6" s="40">
        <v>1136.125924533776</v>
      </c>
      <c r="K6" s="40">
        <v>1323.7079045358503</v>
      </c>
      <c r="L6" s="40">
        <v>1317.1869889512952</v>
      </c>
      <c r="M6" s="40">
        <v>1366.1180737277004</v>
      </c>
      <c r="N6" s="40">
        <v>1401.3248915395798</v>
      </c>
      <c r="O6" s="40">
        <v>2083.811882885409</v>
      </c>
      <c r="P6" s="40">
        <v>2824.4276659927214</v>
      </c>
      <c r="Q6" s="40">
        <v>2011.4214369841097</v>
      </c>
      <c r="R6" s="40">
        <v>1932.1031070755319</v>
      </c>
      <c r="S6" s="40">
        <v>2111.6213627216744</v>
      </c>
      <c r="T6" s="40">
        <v>2128.1160825658339</v>
      </c>
      <c r="U6" s="40">
        <v>2499.9566431263611</v>
      </c>
      <c r="V6" s="40">
        <v>2736.8973776956209</v>
      </c>
      <c r="W6" s="40">
        <v>2755.7444276657347</v>
      </c>
      <c r="X6" s="40">
        <v>2908.2509285387541</v>
      </c>
      <c r="Y6" s="40">
        <v>3532.4504728357392</v>
      </c>
      <c r="Z6" s="40">
        <v>2646.4066594618253</v>
      </c>
      <c r="AA6" s="40">
        <v>2914.1545111904879</v>
      </c>
      <c r="AB6" s="40">
        <v>3602.1791828324012</v>
      </c>
      <c r="AC6" s="40">
        <v>3554.8778031080328</v>
      </c>
      <c r="AD6" s="40">
        <v>3979.6371263971737</v>
      </c>
      <c r="AE6" s="40">
        <v>2382.2172357493387</v>
      </c>
      <c r="AF6" s="40">
        <v>4332.6563871079261</v>
      </c>
      <c r="AG6" s="40">
        <v>5736.0204650077821</v>
      </c>
      <c r="AH6" s="40">
        <v>6824.9970851877115</v>
      </c>
      <c r="AI6" s="40">
        <v>6971.1422454628846</v>
      </c>
      <c r="AJ6" s="40">
        <v>7483.8638633301807</v>
      </c>
      <c r="AK6" s="40">
        <v>7407.6452075791667</v>
      </c>
      <c r="AL6" s="40">
        <v>7717.4798598119842</v>
      </c>
      <c r="AM6" s="40">
        <v>8205.4529604258005</v>
      </c>
      <c r="AN6" s="40">
        <v>8278.972516308937</v>
      </c>
      <c r="AO6" s="40">
        <v>7764.6564967320701</v>
      </c>
      <c r="AP6" s="40">
        <v>7701.3585347797789</v>
      </c>
      <c r="AQ6" s="40">
        <v>7208.8146276908055</v>
      </c>
      <c r="AR6" s="40">
        <v>2711.8507698119702</v>
      </c>
      <c r="AS6" s="40">
        <v>3413.1090721223277</v>
      </c>
      <c r="AT6" s="40">
        <v>3997.2432875027475</v>
      </c>
      <c r="AU6" s="40">
        <v>4740.0670288583733</v>
      </c>
      <c r="AV6" s="40">
        <v>5490.435174369999</v>
      </c>
      <c r="AW6" s="40">
        <v>6630.0452875089022</v>
      </c>
      <c r="AX6" s="40">
        <v>8231.2259971418425</v>
      </c>
      <c r="AY6" s="40">
        <v>7674.3423974130465</v>
      </c>
      <c r="AZ6" s="40">
        <v>9132.958027222392</v>
      </c>
      <c r="BA6" s="40">
        <v>10951.581926495279</v>
      </c>
      <c r="BB6" s="40">
        <v>4170.1571537589562</v>
      </c>
    </row>
    <row r="7" spans="1:54">
      <c r="A7" s="41">
        <v>12</v>
      </c>
      <c r="B7" s="41" t="s">
        <v>149</v>
      </c>
      <c r="AF7" s="40">
        <v>636.68068999649915</v>
      </c>
      <c r="AG7" s="40">
        <v>589.00294822392743</v>
      </c>
      <c r="AH7" s="40">
        <v>368.91683679339349</v>
      </c>
      <c r="AI7" s="40">
        <v>356.50735144218936</v>
      </c>
      <c r="AJ7" s="40">
        <v>399.75120252226452</v>
      </c>
      <c r="AK7" s="40">
        <v>455.55027608615052</v>
      </c>
      <c r="AL7" s="40">
        <v>503.23196962021257</v>
      </c>
      <c r="AM7" s="40">
        <v>522.52207204018384</v>
      </c>
      <c r="AN7" s="40">
        <v>608.3366487308092</v>
      </c>
      <c r="AO7" s="40">
        <v>596.50599630404724</v>
      </c>
      <c r="AP7" s="40">
        <v>621.42482631894711</v>
      </c>
      <c r="AQ7" s="40">
        <v>692.3188255332534</v>
      </c>
      <c r="AR7" s="40">
        <v>779.89284168495988</v>
      </c>
      <c r="AS7" s="40">
        <v>924.58215482934452</v>
      </c>
      <c r="AT7" s="40">
        <v>1182.0973596488157</v>
      </c>
      <c r="AU7" s="40">
        <v>1625.3969042944348</v>
      </c>
      <c r="AV7" s="40">
        <v>2126.0895659070979</v>
      </c>
      <c r="AW7" s="40">
        <v>3079.1440862723985</v>
      </c>
      <c r="AX7" s="40">
        <v>3916.7304267512591</v>
      </c>
      <c r="AY7" s="40">
        <v>2913.6006100084091</v>
      </c>
      <c r="AZ7" s="40">
        <v>3124.7842960128969</v>
      </c>
      <c r="BA7" s="40">
        <v>3420.2657100317015</v>
      </c>
      <c r="BB7" s="40">
        <v>1338.3333454115088</v>
      </c>
    </row>
    <row r="8" spans="1:54">
      <c r="A8" s="41">
        <v>14</v>
      </c>
      <c r="B8" s="41" t="s">
        <v>148</v>
      </c>
      <c r="C8" s="40">
        <v>1874.3047677029256</v>
      </c>
      <c r="D8" s="40">
        <v>1850.0694539739732</v>
      </c>
      <c r="E8" s="40">
        <v>1962.9231312878717</v>
      </c>
      <c r="F8" s="40">
        <v>2127.2660294951133</v>
      </c>
      <c r="G8" s="40">
        <v>2277.0666755097968</v>
      </c>
      <c r="H8" s="40">
        <v>2338.6123196066847</v>
      </c>
      <c r="I8" s="40">
        <v>2574.386133677805</v>
      </c>
      <c r="J8" s="40">
        <v>2719.0567614849583</v>
      </c>
      <c r="K8" s="40">
        <v>2985.7622530114636</v>
      </c>
      <c r="L8" s="40">
        <v>3299.9327521844793</v>
      </c>
      <c r="M8" s="40">
        <v>3489.9522936835801</v>
      </c>
      <c r="N8" s="40">
        <v>3942.4577942733695</v>
      </c>
      <c r="O8" s="40">
        <v>4763.7241467803115</v>
      </c>
      <c r="P8" s="40">
        <v>6474.6687419057907</v>
      </c>
      <c r="Q8" s="40">
        <v>6992.1458102969327</v>
      </c>
      <c r="R8" s="40">
        <v>7477.1978880452943</v>
      </c>
      <c r="S8" s="40">
        <v>7763.696538902911</v>
      </c>
      <c r="T8" s="40">
        <v>8239.6406015024822</v>
      </c>
      <c r="U8" s="40">
        <v>9281.4450884252801</v>
      </c>
      <c r="V8" s="40">
        <v>10198.186419456291</v>
      </c>
      <c r="W8" s="40">
        <v>11849.143831688769</v>
      </c>
      <c r="X8" s="40">
        <v>12776.408975475648</v>
      </c>
      <c r="Y8" s="40">
        <v>11523.296520324706</v>
      </c>
      <c r="Z8" s="40">
        <v>12453.619516480518</v>
      </c>
      <c r="AA8" s="40">
        <v>11461.126636332183</v>
      </c>
      <c r="AB8" s="40">
        <v>11360.614993373178</v>
      </c>
      <c r="AC8" s="40">
        <v>11616.646351104595</v>
      </c>
      <c r="AD8" s="40">
        <v>14283.868561214274</v>
      </c>
      <c r="AE8" s="40">
        <v>17825.820604607143</v>
      </c>
      <c r="AF8" s="40">
        <v>18248.476807626943</v>
      </c>
      <c r="AG8" s="40">
        <v>18870.293220669846</v>
      </c>
      <c r="AH8" s="40">
        <v>18610.342454662947</v>
      </c>
      <c r="AI8" s="40">
        <v>17677.885615636194</v>
      </c>
      <c r="AJ8" s="40">
        <v>18113.282552744102</v>
      </c>
      <c r="AK8" s="40">
        <v>20395.926770428763</v>
      </c>
      <c r="AL8" s="40">
        <v>21948.588661475242</v>
      </c>
      <c r="AM8" s="40">
        <v>23540.064578612084</v>
      </c>
      <c r="AN8" s="40">
        <v>21364.205119961145</v>
      </c>
      <c r="AO8" s="40">
        <v>20578.826563340732</v>
      </c>
      <c r="AP8" s="40">
        <v>21708.037255559808</v>
      </c>
      <c r="AQ8" s="40">
        <v>19541.422028806945</v>
      </c>
      <c r="AR8" s="40">
        <v>20100.988100362443</v>
      </c>
      <c r="AS8" s="40">
        <v>23446.328432823058</v>
      </c>
      <c r="AT8" s="40">
        <v>30381.056536698619</v>
      </c>
      <c r="AU8" s="40">
        <v>33947.56415293397</v>
      </c>
      <c r="AV8" s="40">
        <v>35992.036328958675</v>
      </c>
      <c r="AW8" s="40">
        <v>40470.149037921365</v>
      </c>
      <c r="AX8" s="40">
        <v>49206.681139839777</v>
      </c>
      <c r="AY8" s="40">
        <v>42403.595888245487</v>
      </c>
      <c r="AZ8" s="40">
        <v>51586.08734915324</v>
      </c>
      <c r="BA8" s="40">
        <v>62002.843776709939</v>
      </c>
      <c r="BB8" s="40">
        <v>16429.759293430976</v>
      </c>
    </row>
    <row r="9" spans="1:54">
      <c r="A9" s="41">
        <v>15</v>
      </c>
      <c r="B9" s="41" t="s">
        <v>147</v>
      </c>
      <c r="C9" s="40">
        <v>1031.8150043290987</v>
      </c>
      <c r="D9" s="40">
        <v>1087.8342434189017</v>
      </c>
      <c r="E9" s="40">
        <v>1167.0005324458452</v>
      </c>
      <c r="F9" s="40">
        <v>1269.4125828925592</v>
      </c>
      <c r="G9" s="40">
        <v>1374.5321398607475</v>
      </c>
      <c r="H9" s="40">
        <v>1486.9686060056572</v>
      </c>
      <c r="I9" s="40">
        <v>1569.6671828996664</v>
      </c>
      <c r="J9" s="40">
        <v>1677.6735280427151</v>
      </c>
      <c r="K9" s="40">
        <v>1825.3861255212357</v>
      </c>
      <c r="L9" s="40">
        <v>2037.6166729899458</v>
      </c>
      <c r="M9" s="40">
        <v>2356.5155583260866</v>
      </c>
      <c r="N9" s="40">
        <v>2894.0063184686237</v>
      </c>
      <c r="O9" s="40">
        <v>3850.7480129441897</v>
      </c>
      <c r="P9" s="40">
        <v>4583.1794303375027</v>
      </c>
      <c r="Q9" s="40">
        <v>5231.3146819256763</v>
      </c>
      <c r="R9" s="40">
        <v>5620.0452007748609</v>
      </c>
      <c r="S9" s="40">
        <v>6740.6533038167945</v>
      </c>
      <c r="T9" s="40">
        <v>8121.1634874352785</v>
      </c>
      <c r="U9" s="40">
        <v>9693.1412419331082</v>
      </c>
      <c r="V9" s="40">
        <v>10757.869461226066</v>
      </c>
      <c r="W9" s="40">
        <v>9288.822169718218</v>
      </c>
      <c r="X9" s="40">
        <v>9313.662513024572</v>
      </c>
      <c r="Y9" s="40">
        <v>9439.4172566865182</v>
      </c>
      <c r="Z9" s="40">
        <v>8898.6881864331281</v>
      </c>
      <c r="AA9" s="40">
        <v>9077.8599079373944</v>
      </c>
      <c r="AB9" s="40">
        <v>12948.653308832667</v>
      </c>
      <c r="AC9" s="40">
        <v>16224.345353374314</v>
      </c>
      <c r="AD9" s="40">
        <v>17398.01095786169</v>
      </c>
      <c r="AE9" s="40">
        <v>17289.465022026208</v>
      </c>
      <c r="AF9" s="40">
        <v>21458.232721048371</v>
      </c>
      <c r="AG9" s="40">
        <v>22180.655347139433</v>
      </c>
      <c r="AH9" s="40">
        <v>24624.537839889046</v>
      </c>
      <c r="AI9" s="40">
        <v>23834.107000337426</v>
      </c>
      <c r="AJ9" s="40">
        <v>25383.198807844245</v>
      </c>
      <c r="AK9" s="40">
        <v>30014.272753581758</v>
      </c>
      <c r="AL9" s="40">
        <v>29485.608207579469</v>
      </c>
      <c r="AM9" s="40">
        <v>26082.45850780639</v>
      </c>
      <c r="AN9" s="40">
        <v>26743.791940751613</v>
      </c>
      <c r="AO9" s="40">
        <v>26563.209538909072</v>
      </c>
      <c r="AP9" s="40">
        <v>23974.183069069648</v>
      </c>
      <c r="AQ9" s="40">
        <v>23833.834243514419</v>
      </c>
      <c r="AR9" s="40">
        <v>25679.094397712059</v>
      </c>
      <c r="AS9" s="40">
        <v>31268.630697317702</v>
      </c>
      <c r="AT9" s="40">
        <v>35662.211822390957</v>
      </c>
      <c r="AU9" s="40">
        <v>37067.323828674336</v>
      </c>
      <c r="AV9" s="40">
        <v>39299.614295058382</v>
      </c>
      <c r="AW9" s="40">
        <v>45181.467594383546</v>
      </c>
      <c r="AX9" s="40">
        <v>49679.110704483966</v>
      </c>
      <c r="AY9" s="40">
        <v>45859.425553994522</v>
      </c>
      <c r="AZ9" s="40">
        <v>44916.360837375345</v>
      </c>
      <c r="BA9" s="40">
        <v>49581.464830800483</v>
      </c>
      <c r="BB9" s="40">
        <v>17502.514951591202</v>
      </c>
    </row>
    <row r="10" spans="1:54">
      <c r="A10" s="41">
        <v>16</v>
      </c>
      <c r="B10" s="41" t="s">
        <v>146</v>
      </c>
      <c r="AF10" s="40">
        <v>1237.3244916770022</v>
      </c>
      <c r="AG10" s="40">
        <v>1209.2374928495947</v>
      </c>
      <c r="AH10" s="40">
        <v>676.15151145251991</v>
      </c>
      <c r="AI10" s="40">
        <v>530.0903798067975</v>
      </c>
      <c r="AJ10" s="40">
        <v>436.19055858198976</v>
      </c>
      <c r="AK10" s="40">
        <v>397.19811611724703</v>
      </c>
      <c r="AL10" s="40">
        <v>409.21674521678216</v>
      </c>
      <c r="AM10" s="40">
        <v>505.56057322893105</v>
      </c>
      <c r="AN10" s="40">
        <v>561.91030173545471</v>
      </c>
      <c r="AO10" s="40">
        <v>573.89025617210007</v>
      </c>
      <c r="AP10" s="40">
        <v>655.09743260258597</v>
      </c>
      <c r="AQ10" s="40">
        <v>703.67125043994429</v>
      </c>
      <c r="AR10" s="40">
        <v>763.10121222036685</v>
      </c>
      <c r="AS10" s="40">
        <v>883.61400896796113</v>
      </c>
      <c r="AT10" s="40">
        <v>1045.0264152764187</v>
      </c>
      <c r="AU10" s="40">
        <v>1578.3673303066716</v>
      </c>
      <c r="AV10" s="40">
        <v>2472.9974757940518</v>
      </c>
      <c r="AW10" s="40">
        <v>3851.3256636754886</v>
      </c>
      <c r="AX10" s="40">
        <v>5574.6038021861259</v>
      </c>
      <c r="AY10" s="40">
        <v>4950.2947914237511</v>
      </c>
      <c r="AZ10" s="40">
        <v>5843.1697532975668</v>
      </c>
      <c r="BA10" s="40">
        <v>7189.8151514222845</v>
      </c>
      <c r="BB10" s="40">
        <v>1911.2661233841654</v>
      </c>
    </row>
    <row r="11" spans="1:54">
      <c r="A11" s="41">
        <v>18</v>
      </c>
      <c r="B11" s="41" t="s">
        <v>145</v>
      </c>
      <c r="V11" s="40">
        <v>8537.5973065046801</v>
      </c>
      <c r="W11" s="40">
        <v>9269.1462820822944</v>
      </c>
      <c r="X11" s="40">
        <v>9446.1583253916015</v>
      </c>
      <c r="Y11" s="40">
        <v>9421.4523274797866</v>
      </c>
      <c r="Z11" s="40">
        <v>9590.7774241818479</v>
      </c>
      <c r="AA11" s="40">
        <v>8706.8293789767486</v>
      </c>
      <c r="AB11" s="40">
        <v>7041.4233200500148</v>
      </c>
      <c r="AC11" s="40">
        <v>7554.5120166079359</v>
      </c>
      <c r="AD11" s="40">
        <v>7957.7900645420123</v>
      </c>
      <c r="AE11" s="40">
        <v>8029.9870873583741</v>
      </c>
      <c r="AF11" s="40">
        <v>8528.7600593505722</v>
      </c>
      <c r="AG11" s="40">
        <v>9057.7234687142773</v>
      </c>
      <c r="AH11" s="40">
        <v>9088.579443115852</v>
      </c>
      <c r="AI11" s="40">
        <v>9707.2228317181452</v>
      </c>
      <c r="AJ11" s="40">
        <v>10138.123991369775</v>
      </c>
      <c r="AK11" s="40">
        <v>10376.364776018761</v>
      </c>
      <c r="AL11" s="40">
        <v>10525.950032072185</v>
      </c>
      <c r="AM11" s="40">
        <v>10628.05925741807</v>
      </c>
      <c r="AN11" s="40">
        <v>10013.879479797981</v>
      </c>
      <c r="AO11" s="40">
        <v>10330.866154089721</v>
      </c>
      <c r="AP11" s="40">
        <v>11927.90437885708</v>
      </c>
      <c r="AQ11" s="40">
        <v>11347.328167305588</v>
      </c>
      <c r="AR11" s="40">
        <v>11591.410174386019</v>
      </c>
      <c r="AS11" s="40">
        <v>12625.4757847496</v>
      </c>
      <c r="AT11" s="40">
        <v>13693.60462329558</v>
      </c>
      <c r="AU11" s="40">
        <v>15303.783923870516</v>
      </c>
      <c r="AV11" s="40">
        <v>16672.723358627722</v>
      </c>
      <c r="AW11" s="40">
        <v>17894.167681760326</v>
      </c>
      <c r="AX11" s="40">
        <v>19625.579580591038</v>
      </c>
      <c r="AY11" s="40">
        <v>16213.336316029374</v>
      </c>
      <c r="AZ11" s="40">
        <v>20545.988272572929</v>
      </c>
      <c r="BA11" s="40">
        <v>22466.945180841285</v>
      </c>
      <c r="BB11" s="40">
        <v>11683.107827178992</v>
      </c>
    </row>
    <row r="12" spans="1:54">
      <c r="A12" s="41">
        <v>19</v>
      </c>
      <c r="B12" s="41" t="s">
        <v>144</v>
      </c>
      <c r="C12" s="40">
        <v>94.548556983410919</v>
      </c>
      <c r="D12" s="40">
        <v>96.967535859363622</v>
      </c>
      <c r="E12" s="40">
        <v>98.67434672319898</v>
      </c>
      <c r="F12" s="40">
        <v>97.040552822209918</v>
      </c>
      <c r="G12" s="40">
        <v>103.26213303395258</v>
      </c>
      <c r="H12" s="40">
        <v>109.09209872592481</v>
      </c>
      <c r="I12" s="40">
        <v>118.97623995647217</v>
      </c>
      <c r="J12" s="40">
        <v>118.96006291394664</v>
      </c>
      <c r="K12" s="40">
        <v>130.88707646977673</v>
      </c>
      <c r="L12" s="40">
        <v>135.61870216627858</v>
      </c>
      <c r="M12" s="40">
        <v>129.41178091095057</v>
      </c>
      <c r="N12" s="40">
        <v>91.491917087071215</v>
      </c>
      <c r="O12" s="40">
        <v>115.65461624581854</v>
      </c>
      <c r="P12" s="40">
        <v>175.77200782729253</v>
      </c>
      <c r="Q12" s="40">
        <v>268.39905185882805</v>
      </c>
      <c r="R12" s="40">
        <v>136.36093535405567</v>
      </c>
      <c r="S12" s="40">
        <v>126.94331833539674</v>
      </c>
      <c r="T12" s="40">
        <v>170.47919106604917</v>
      </c>
      <c r="U12" s="40">
        <v>194.23750033376911</v>
      </c>
      <c r="V12" s="40">
        <v>219.57560847563082</v>
      </c>
      <c r="W12" s="40">
        <v>233.1521943595273</v>
      </c>
      <c r="X12" s="40">
        <v>207.75188477375445</v>
      </c>
      <c r="Y12" s="40">
        <v>191.90003315313112</v>
      </c>
      <c r="Z12" s="40">
        <v>214.261827465659</v>
      </c>
      <c r="AA12" s="40">
        <v>229.2263542991395</v>
      </c>
      <c r="AB12" s="40">
        <v>218.48121393341836</v>
      </c>
      <c r="AC12" s="40">
        <v>239.06438714605744</v>
      </c>
      <c r="AD12" s="40">
        <v>251.03242731550125</v>
      </c>
      <c r="AE12" s="40">
        <v>256.01649206156583</v>
      </c>
      <c r="AF12" s="40">
        <v>280.56561628253195</v>
      </c>
      <c r="AG12" s="40">
        <v>281.59876493305882</v>
      </c>
      <c r="AH12" s="40">
        <v>282.02962488033853</v>
      </c>
      <c r="AI12" s="40">
        <v>288.66178678895824</v>
      </c>
      <c r="AJ12" s="40">
        <v>287.71242723626114</v>
      </c>
      <c r="AK12" s="40">
        <v>316.50858689355198</v>
      </c>
      <c r="AL12" s="40">
        <v>332.23625782164504</v>
      </c>
      <c r="AM12" s="40">
        <v>338.6985621486844</v>
      </c>
      <c r="AN12" s="40">
        <v>345.87593866541914</v>
      </c>
      <c r="AO12" s="40">
        <v>351.58259103838924</v>
      </c>
      <c r="AP12" s="40">
        <v>355.97343412050435</v>
      </c>
      <c r="AQ12" s="40">
        <v>348.75689288746952</v>
      </c>
      <c r="AR12" s="40">
        <v>347.21861230455909</v>
      </c>
      <c r="AS12" s="40">
        <v>372.98052036157952</v>
      </c>
      <c r="AT12" s="40">
        <v>400.47247492260215</v>
      </c>
      <c r="AU12" s="40">
        <v>421.12331137327493</v>
      </c>
      <c r="AV12" s="40">
        <v>427.29116697789198</v>
      </c>
      <c r="AW12" s="40">
        <v>467.13636135236396</v>
      </c>
      <c r="AX12" s="40">
        <v>537.63849712654041</v>
      </c>
      <c r="AY12" s="40">
        <v>597.71180291151472</v>
      </c>
      <c r="AZ12" s="40">
        <v>664.0642316845159</v>
      </c>
      <c r="BA12" s="40">
        <v>732.067746164185</v>
      </c>
      <c r="BB12" s="40">
        <v>265.70873052025473</v>
      </c>
    </row>
    <row r="13" spans="1:54">
      <c r="A13" s="41">
        <v>21</v>
      </c>
      <c r="B13" s="41" t="s">
        <v>143</v>
      </c>
      <c r="AF13" s="40">
        <v>1704.7403040647669</v>
      </c>
      <c r="AG13" s="40">
        <v>1747.4386712776127</v>
      </c>
      <c r="AH13" s="40">
        <v>1666.2275129415666</v>
      </c>
      <c r="AI13" s="40">
        <v>1590.0354090293793</v>
      </c>
      <c r="AJ13" s="40">
        <v>1460.0175436024865</v>
      </c>
      <c r="AK13" s="40">
        <v>1370.6727097518365</v>
      </c>
      <c r="AL13" s="40">
        <v>1452.4470018170805</v>
      </c>
      <c r="AM13" s="40">
        <v>1396.5021663727425</v>
      </c>
      <c r="AN13" s="40">
        <v>1511.770267981314</v>
      </c>
      <c r="AO13" s="40">
        <v>1209.614880779943</v>
      </c>
      <c r="AP13" s="40">
        <v>1273.0491239487046</v>
      </c>
      <c r="AQ13" s="40">
        <v>1244.4419967651986</v>
      </c>
      <c r="AR13" s="40">
        <v>1479.4653211321925</v>
      </c>
      <c r="AS13" s="40">
        <v>1819.4790277163047</v>
      </c>
      <c r="AT13" s="40">
        <v>2378.3748939119573</v>
      </c>
      <c r="AU13" s="40">
        <v>3126.3677777946232</v>
      </c>
      <c r="AV13" s="40">
        <v>3848.5962993272101</v>
      </c>
      <c r="AW13" s="40">
        <v>4735.953137638593</v>
      </c>
      <c r="AX13" s="40">
        <v>6377.3596920725668</v>
      </c>
      <c r="AY13" s="40">
        <v>5182.6304041438661</v>
      </c>
      <c r="AZ13" s="40">
        <v>5818.8548592158049</v>
      </c>
      <c r="BA13" s="40">
        <v>6784.7118384284322</v>
      </c>
      <c r="BB13" s="40">
        <v>2689.9432199870084</v>
      </c>
    </row>
    <row r="14" spans="1:54">
      <c r="A14" s="41">
        <v>22</v>
      </c>
      <c r="B14" s="41" t="s">
        <v>142</v>
      </c>
      <c r="C14" s="40">
        <v>1350.1976733312283</v>
      </c>
      <c r="D14" s="40">
        <v>1438.523233068398</v>
      </c>
      <c r="E14" s="40">
        <v>1535.0237290104324</v>
      </c>
      <c r="F14" s="40">
        <v>1701.8462755431949</v>
      </c>
      <c r="G14" s="40">
        <v>1835.5947655319421</v>
      </c>
      <c r="H14" s="40">
        <v>1957.6260804276205</v>
      </c>
      <c r="I14" s="40">
        <v>2086.636005446544</v>
      </c>
      <c r="J14" s="40">
        <v>2222.3615105191348</v>
      </c>
      <c r="K14" s="40">
        <v>2458.081820037733</v>
      </c>
      <c r="L14" s="40">
        <v>2732.2242251038701</v>
      </c>
      <c r="M14" s="40">
        <v>3045.4021631267337</v>
      </c>
      <c r="N14" s="40">
        <v>3784.9927682971911</v>
      </c>
      <c r="O14" s="40">
        <v>4841.3070636401326</v>
      </c>
      <c r="P14" s="40">
        <v>5664.0056568113196</v>
      </c>
      <c r="Q14" s="40">
        <v>6619.8073016047165</v>
      </c>
      <c r="R14" s="40">
        <v>7154.8840715801634</v>
      </c>
      <c r="S14" s="40">
        <v>8324.373083973036</v>
      </c>
      <c r="T14" s="40">
        <v>10164.519989532784</v>
      </c>
      <c r="U14" s="40">
        <v>11666.855567797196</v>
      </c>
      <c r="V14" s="40">
        <v>12707.420266707992</v>
      </c>
      <c r="W14" s="40">
        <v>10493.500363960498</v>
      </c>
      <c r="X14" s="40">
        <v>9230.1264807913085</v>
      </c>
      <c r="Y14" s="40">
        <v>8738.5567750814043</v>
      </c>
      <c r="Z14" s="40">
        <v>8354.325824349351</v>
      </c>
      <c r="AA14" s="40">
        <v>8644.3024733430448</v>
      </c>
      <c r="AB14" s="40">
        <v>12021.905412885704</v>
      </c>
      <c r="AC14" s="40">
        <v>14951.616750591311</v>
      </c>
      <c r="AD14" s="40">
        <v>16191.579347494009</v>
      </c>
      <c r="AE14" s="40">
        <v>16323.916634057006</v>
      </c>
      <c r="AF14" s="40">
        <v>20349.624872819833</v>
      </c>
      <c r="AG14" s="40">
        <v>20785.538883078665</v>
      </c>
      <c r="AH14" s="40">
        <v>23088.124645695603</v>
      </c>
      <c r="AI14" s="40">
        <v>22012.693118816645</v>
      </c>
      <c r="AJ14" s="40">
        <v>23913.885243075187</v>
      </c>
      <c r="AK14" s="40">
        <v>28067.969742505564</v>
      </c>
      <c r="AL14" s="40">
        <v>27154.336880505798</v>
      </c>
      <c r="AM14" s="40">
        <v>24532.026923492016</v>
      </c>
      <c r="AN14" s="40">
        <v>25051.339958264263</v>
      </c>
      <c r="AO14" s="40">
        <v>24886.865663797562</v>
      </c>
      <c r="AP14" s="40">
        <v>22697.012303303494</v>
      </c>
      <c r="AQ14" s="40">
        <v>22600.916149918627</v>
      </c>
      <c r="AR14" s="40">
        <v>24465.33350455861</v>
      </c>
      <c r="AS14" s="40">
        <v>30039.09223723536</v>
      </c>
      <c r="AT14" s="40">
        <v>34706.693901039267</v>
      </c>
      <c r="AU14" s="40">
        <v>36011.469401292525</v>
      </c>
      <c r="AV14" s="40">
        <v>37918.773203312274</v>
      </c>
      <c r="AW14" s="40">
        <v>43255.395283078251</v>
      </c>
      <c r="AX14" s="40">
        <v>47374.448125518633</v>
      </c>
      <c r="AY14" s="40">
        <v>43843.109804911859</v>
      </c>
      <c r="AZ14" s="40">
        <v>43000.150896451385</v>
      </c>
      <c r="BA14" s="40">
        <v>46512.889871452491</v>
      </c>
      <c r="BB14" s="40">
        <v>17068.807920152332</v>
      </c>
    </row>
    <row r="15" spans="1:54">
      <c r="A15" s="41">
        <v>24</v>
      </c>
      <c r="B15" s="41" t="s">
        <v>141</v>
      </c>
      <c r="C15" s="40">
        <v>95.566921995347187</v>
      </c>
      <c r="D15" s="40">
        <v>94.451874340215952</v>
      </c>
      <c r="E15" s="40">
        <v>99.840444695556826</v>
      </c>
      <c r="F15" s="40">
        <v>104.32375897948467</v>
      </c>
      <c r="G15" s="40">
        <v>110.1326111592854</v>
      </c>
      <c r="H15" s="40">
        <v>112.973547067691</v>
      </c>
      <c r="I15" s="40">
        <v>112.02764026538749</v>
      </c>
      <c r="J15" s="40">
        <v>117.0224628356669</v>
      </c>
      <c r="K15" s="40">
        <v>116.18850637399126</v>
      </c>
      <c r="L15" s="40">
        <v>114.73666350983156</v>
      </c>
      <c r="M15" s="40">
        <v>112.74551817339795</v>
      </c>
      <c r="N15" s="40">
        <v>135.00867184325216</v>
      </c>
      <c r="O15" s="40">
        <v>162.17494308483924</v>
      </c>
      <c r="P15" s="40">
        <v>174.17072552361466</v>
      </c>
      <c r="Q15" s="40">
        <v>207.4405897248034</v>
      </c>
      <c r="R15" s="40">
        <v>208.76044006794621</v>
      </c>
      <c r="S15" s="40">
        <v>218.52929062015332</v>
      </c>
      <c r="T15" s="40">
        <v>263.63107808553991</v>
      </c>
      <c r="U15" s="40">
        <v>327.82314995666474</v>
      </c>
      <c r="V15" s="40">
        <v>377.95663608778995</v>
      </c>
      <c r="W15" s="40">
        <v>337.79450677635919</v>
      </c>
      <c r="X15" s="40">
        <v>322.47880728420057</v>
      </c>
      <c r="Y15" s="40">
        <v>270.76709255716401</v>
      </c>
      <c r="Z15" s="40">
        <v>252.43565977764101</v>
      </c>
      <c r="AA15" s="40">
        <v>243.91150947511608</v>
      </c>
      <c r="AB15" s="40">
        <v>302.66557034989984</v>
      </c>
      <c r="AC15" s="40">
        <v>343.67916526921027</v>
      </c>
      <c r="AD15" s="40">
        <v>345.8092649755402</v>
      </c>
      <c r="AE15" s="40">
        <v>310.63272581306154</v>
      </c>
      <c r="AF15" s="40">
        <v>391.89344678801751</v>
      </c>
      <c r="AG15" s="40">
        <v>383.29536234267789</v>
      </c>
      <c r="AH15" s="40">
        <v>315.21828681677619</v>
      </c>
      <c r="AI15" s="40">
        <v>407.45018806145674</v>
      </c>
      <c r="AJ15" s="40">
        <v>276.15912106584653</v>
      </c>
      <c r="AK15" s="40">
        <v>362.47094944279843</v>
      </c>
      <c r="AL15" s="40">
        <v>382.28544063607444</v>
      </c>
      <c r="AM15" s="40">
        <v>356.57826048846471</v>
      </c>
      <c r="AN15" s="40">
        <v>375.02410651229968</v>
      </c>
      <c r="AO15" s="40">
        <v>369.24497480610415</v>
      </c>
      <c r="AP15" s="40">
        <v>339.47302569331862</v>
      </c>
      <c r="AQ15" s="40">
        <v>348.33454953199157</v>
      </c>
      <c r="AR15" s="40">
        <v>378.6587084341561</v>
      </c>
      <c r="AS15" s="40">
        <v>464.04614304679114</v>
      </c>
      <c r="AT15" s="40">
        <v>511.2929788674266</v>
      </c>
      <c r="AU15" s="40">
        <v>532.61099825434087</v>
      </c>
      <c r="AV15" s="40">
        <v>557.232446905139</v>
      </c>
      <c r="AW15" s="40">
        <v>632.36086959135093</v>
      </c>
      <c r="AX15" s="40">
        <v>739.25612762649155</v>
      </c>
      <c r="AY15" s="40">
        <v>712.61652698645707</v>
      </c>
      <c r="AZ15" s="40">
        <v>689.64833134415653</v>
      </c>
      <c r="BA15" s="40">
        <v>745.91547480232271</v>
      </c>
      <c r="BB15" s="40">
        <v>318.95580577868844</v>
      </c>
    </row>
    <row r="16" spans="1:54">
      <c r="A16" s="41">
        <v>27</v>
      </c>
      <c r="B16" s="41" t="s">
        <v>140</v>
      </c>
      <c r="C16" s="40">
        <v>178.66705573148121</v>
      </c>
      <c r="D16" s="40">
        <v>191.05305585597435</v>
      </c>
      <c r="E16" s="40">
        <v>201.16787030333884</v>
      </c>
      <c r="F16" s="40">
        <v>221.60765273880619</v>
      </c>
      <c r="G16" s="40">
        <v>242.29889306601669</v>
      </c>
      <c r="H16" s="40">
        <v>258.99013821307466</v>
      </c>
      <c r="I16" s="40">
        <v>275.98538222593368</v>
      </c>
      <c r="J16" s="40">
        <v>226.04236602246129</v>
      </c>
      <c r="K16" s="40">
        <v>234.29192516324787</v>
      </c>
      <c r="L16" s="40">
        <v>241.19324193685483</v>
      </c>
      <c r="M16" s="40">
        <v>253.49974809908849</v>
      </c>
      <c r="N16" s="40">
        <v>283.9378101251188</v>
      </c>
      <c r="O16" s="40">
        <v>278.18583439322629</v>
      </c>
      <c r="P16" s="40">
        <v>451.33575730447694</v>
      </c>
      <c r="Q16" s="40">
        <v>504.3222286367332</v>
      </c>
      <c r="R16" s="40">
        <v>559.36222341309178</v>
      </c>
      <c r="S16" s="40">
        <v>645.23290556044208</v>
      </c>
      <c r="T16" s="40">
        <v>733.79705935230152</v>
      </c>
      <c r="U16" s="40">
        <v>843.16107743479881</v>
      </c>
      <c r="V16" s="40">
        <v>845.14276624160755</v>
      </c>
      <c r="W16" s="40">
        <v>1071.763987652412</v>
      </c>
      <c r="X16" s="40">
        <v>993.91853427681565</v>
      </c>
      <c r="Y16" s="40">
        <v>940.99669752139255</v>
      </c>
      <c r="Z16" s="40">
        <v>1045.6523307692225</v>
      </c>
      <c r="AA16" s="40">
        <v>890.16615095212319</v>
      </c>
      <c r="AB16" s="40">
        <v>640.04805086853662</v>
      </c>
      <c r="AC16" s="40">
        <v>682.90539193730092</v>
      </c>
      <c r="AD16" s="40">
        <v>709.34843167936015</v>
      </c>
      <c r="AE16" s="40">
        <v>710.70249641145085</v>
      </c>
      <c r="AF16" s="40">
        <v>716.44830863416814</v>
      </c>
      <c r="AG16" s="40">
        <v>768.06989494632273</v>
      </c>
      <c r="AH16" s="40">
        <v>792.31104507241253</v>
      </c>
      <c r="AI16" s="40">
        <v>786.35733405545682</v>
      </c>
      <c r="AJ16" s="40">
        <v>801.36667653199072</v>
      </c>
      <c r="AK16" s="40">
        <v>879.48213194436141</v>
      </c>
      <c r="AL16" s="40">
        <v>947.48258607640093</v>
      </c>
      <c r="AM16" s="40">
        <v>993.38383635013827</v>
      </c>
      <c r="AN16" s="40">
        <v>1042.6105714250511</v>
      </c>
      <c r="AO16" s="40">
        <v>995.51254764186478</v>
      </c>
      <c r="AP16" s="40">
        <v>988.5332917367449</v>
      </c>
      <c r="AQ16" s="40">
        <v>939.14537357826975</v>
      </c>
      <c r="AR16" s="40">
        <v>893.94688099705593</v>
      </c>
      <c r="AS16" s="40">
        <v>896.37211949657683</v>
      </c>
      <c r="AT16" s="40">
        <v>954.92209110339525</v>
      </c>
      <c r="AU16" s="40">
        <v>1020.790310173923</v>
      </c>
      <c r="AV16" s="40">
        <v>1203.2541868687438</v>
      </c>
      <c r="AW16" s="40">
        <v>1355.8794402387036</v>
      </c>
      <c r="AX16" s="40">
        <v>1695.557332534823</v>
      </c>
      <c r="AY16" s="40">
        <v>1735.1433700624357</v>
      </c>
      <c r="AZ16" s="40">
        <v>1934.6752575573205</v>
      </c>
      <c r="BA16" s="40">
        <v>2319.6085230463755</v>
      </c>
      <c r="BB16" s="40">
        <v>784.62019948939644</v>
      </c>
    </row>
    <row r="17" spans="1:54">
      <c r="A17" s="41">
        <v>28</v>
      </c>
      <c r="B17" s="41" t="s">
        <v>139</v>
      </c>
      <c r="AJ17" s="40">
        <v>343.17084136794369</v>
      </c>
      <c r="AK17" s="40">
        <v>530.12641668778258</v>
      </c>
      <c r="AL17" s="40">
        <v>799.30725688332325</v>
      </c>
      <c r="AM17" s="40">
        <v>1038.4102416798175</v>
      </c>
      <c r="AN17" s="40">
        <v>1130.706391820919</v>
      </c>
      <c r="AO17" s="40">
        <v>1248.8605403723957</v>
      </c>
      <c r="AP17" s="40">
        <v>1435.9576858009696</v>
      </c>
      <c r="AQ17" s="40">
        <v>1481.9457148651991</v>
      </c>
      <c r="AR17" s="40">
        <v>1706.5019539099239</v>
      </c>
      <c r="AS17" s="40">
        <v>2148.4843457987672</v>
      </c>
      <c r="AT17" s="40">
        <v>2578.7380873091897</v>
      </c>
      <c r="AU17" s="40">
        <v>2821.7877499398933</v>
      </c>
      <c r="AV17" s="40">
        <v>3199.8968360013077</v>
      </c>
      <c r="AW17" s="40">
        <v>3949.8420812490672</v>
      </c>
      <c r="AX17" s="40">
        <v>4802.4667441159409</v>
      </c>
      <c r="AY17" s="40">
        <v>4433.1461787084127</v>
      </c>
      <c r="AZ17" s="40">
        <v>4361.8771375268871</v>
      </c>
      <c r="BA17" s="40">
        <v>4751.4824485874105</v>
      </c>
      <c r="BB17" s="40">
        <v>2375.7060362569523</v>
      </c>
    </row>
    <row r="18" spans="1:54">
      <c r="A18" s="41">
        <v>29</v>
      </c>
      <c r="B18" s="41" t="s">
        <v>138</v>
      </c>
      <c r="C18" s="40">
        <v>61.302287939250689</v>
      </c>
      <c r="D18" s="40">
        <v>64.791158113117206</v>
      </c>
      <c r="E18" s="40">
        <v>67.480702850373206</v>
      </c>
      <c r="F18" s="40">
        <v>71.785987085505141</v>
      </c>
      <c r="G18" s="40">
        <v>76.839005432107527</v>
      </c>
      <c r="H18" s="40">
        <v>83.943689838764399</v>
      </c>
      <c r="I18" s="40">
        <v>92.877052568545338</v>
      </c>
      <c r="J18" s="40">
        <v>101.78989604760172</v>
      </c>
      <c r="K18" s="40">
        <v>115.2214617964307</v>
      </c>
      <c r="L18" s="40">
        <v>138.84395613723422</v>
      </c>
      <c r="M18" s="40">
        <v>177.29784559042361</v>
      </c>
      <c r="N18" s="40">
        <v>223.27950896655864</v>
      </c>
      <c r="O18" s="40">
        <v>318.83100185216608</v>
      </c>
      <c r="P18" s="40">
        <v>385.85236586900254</v>
      </c>
      <c r="Q18" s="40">
        <v>431.65547574419202</v>
      </c>
      <c r="R18" s="40">
        <v>435.2463696046571</v>
      </c>
      <c r="S18" s="40">
        <v>508.1426136732432</v>
      </c>
      <c r="T18" s="40">
        <v>638.71118602559034</v>
      </c>
      <c r="U18" s="40">
        <v>853.31455236227191</v>
      </c>
      <c r="V18" s="40">
        <v>1063.5123265158986</v>
      </c>
      <c r="W18" s="40">
        <v>1038.1779827274834</v>
      </c>
      <c r="X18" s="40">
        <v>947.43717253376599</v>
      </c>
      <c r="Y18" s="40">
        <v>1057.5298324252801</v>
      </c>
      <c r="Z18" s="40">
        <v>1082.547929275971</v>
      </c>
      <c r="AA18" s="40">
        <v>941.01798087890324</v>
      </c>
      <c r="AB18" s="40">
        <v>1137.9903542653246</v>
      </c>
      <c r="AC18" s="40">
        <v>1555.6679417697678</v>
      </c>
      <c r="AD18" s="40">
        <v>2029.2902978546974</v>
      </c>
      <c r="AE18" s="40">
        <v>2295.4671344509811</v>
      </c>
      <c r="AF18" s="40">
        <v>2739.0734844596041</v>
      </c>
      <c r="AG18" s="40">
        <v>2767.8774104487238</v>
      </c>
      <c r="AH18" s="40">
        <v>2830.2121579121972</v>
      </c>
      <c r="AI18" s="40">
        <v>2763.675074776319</v>
      </c>
      <c r="AJ18" s="40">
        <v>2809.3646048332639</v>
      </c>
      <c r="AK18" s="40">
        <v>3014.535032376697</v>
      </c>
      <c r="AL18" s="40">
        <v>2961.0578373388707</v>
      </c>
      <c r="AM18" s="40">
        <v>3125.4831273817126</v>
      </c>
      <c r="AN18" s="40">
        <v>3067.5159332077274</v>
      </c>
      <c r="AO18" s="40">
        <v>3400.9980323004647</v>
      </c>
      <c r="AP18" s="40">
        <v>3208.7700409464942</v>
      </c>
      <c r="AQ18" s="40">
        <v>3383.3717272117301</v>
      </c>
      <c r="AR18" s="40">
        <v>3367.373157628399</v>
      </c>
      <c r="AS18" s="40">
        <v>4412.7550098232032</v>
      </c>
      <c r="AT18" s="40">
        <v>5417.8449029283938</v>
      </c>
      <c r="AU18" s="40">
        <v>5467.2743458642844</v>
      </c>
      <c r="AV18" s="40">
        <v>5341.4064223582991</v>
      </c>
      <c r="AW18" s="40">
        <v>5711.7526369228735</v>
      </c>
      <c r="AX18" s="40">
        <v>5746.9677756609717</v>
      </c>
      <c r="AY18" s="40">
        <v>5178.4382174977372</v>
      </c>
      <c r="AZ18" s="40">
        <v>6980.3649288379638</v>
      </c>
      <c r="BA18" s="40">
        <v>7697.3957029177336</v>
      </c>
      <c r="BB18" s="40">
        <v>2144.8892673299761</v>
      </c>
    </row>
    <row r="19" spans="1:54">
      <c r="A19" s="41">
        <v>31</v>
      </c>
      <c r="B19" s="41" t="s">
        <v>137</v>
      </c>
      <c r="C19" s="40">
        <v>203.19047502828988</v>
      </c>
      <c r="D19" s="40">
        <v>257.82330135030634</v>
      </c>
      <c r="E19" s="40">
        <v>289.05832751425362</v>
      </c>
      <c r="F19" s="40">
        <v>258.62794447423471</v>
      </c>
      <c r="G19" s="40">
        <v>258.23889607875634</v>
      </c>
      <c r="H19" s="40">
        <v>312.06332324466536</v>
      </c>
      <c r="I19" s="40">
        <v>343.52638626857055</v>
      </c>
      <c r="J19" s="40">
        <v>370.72458333070057</v>
      </c>
      <c r="K19" s="40">
        <v>399.73250071732872</v>
      </c>
      <c r="L19" s="40">
        <v>440.63544708087471</v>
      </c>
      <c r="M19" s="40">
        <v>499.90368289024514</v>
      </c>
      <c r="N19" s="40">
        <v>580.67113622150441</v>
      </c>
      <c r="O19" s="40">
        <v>767.99478292177116</v>
      </c>
      <c r="P19" s="40">
        <v>994.72600677134778</v>
      </c>
      <c r="Q19" s="40">
        <v>1143.132218270523</v>
      </c>
      <c r="R19" s="40">
        <v>1377.8572335953099</v>
      </c>
      <c r="S19" s="40">
        <v>1552.7813322342688</v>
      </c>
      <c r="T19" s="40">
        <v>1728.6432615258923</v>
      </c>
      <c r="U19" s="40">
        <v>1891.7059084714476</v>
      </c>
      <c r="V19" s="40">
        <v>1930.5384705788381</v>
      </c>
      <c r="W19" s="40">
        <v>2115.0743765898173</v>
      </c>
      <c r="X19" s="40">
        <v>2208.8325932214598</v>
      </c>
      <c r="Y19" s="40">
        <v>1558.4185235743187</v>
      </c>
      <c r="Z19" s="40">
        <v>1567.3156065380565</v>
      </c>
      <c r="AA19" s="40">
        <v>1636.6011617822801</v>
      </c>
      <c r="AB19" s="40">
        <v>1928.7201744601643</v>
      </c>
      <c r="AC19" s="40">
        <v>2074.4095157004099</v>
      </c>
      <c r="AD19" s="40">
        <v>2287.2370014750536</v>
      </c>
      <c r="AE19" s="40">
        <v>2893.6578079624728</v>
      </c>
      <c r="AF19" s="40">
        <v>3086.9154907637767</v>
      </c>
      <c r="AG19" s="40">
        <v>2677.1499078007346</v>
      </c>
      <c r="AH19" s="40">
        <v>2526.3366238813587</v>
      </c>
      <c r="AI19" s="40">
        <v>2791.5186752349582</v>
      </c>
      <c r="AJ19" s="40">
        <v>3426.1018235555057</v>
      </c>
      <c r="AK19" s="40">
        <v>4749.8142074654597</v>
      </c>
      <c r="AL19" s="40">
        <v>5107.7939197046262</v>
      </c>
      <c r="AM19" s="40">
        <v>5219.0981442673974</v>
      </c>
      <c r="AN19" s="40">
        <v>4979.1448462642402</v>
      </c>
      <c r="AO19" s="40">
        <v>3411.8658959802988</v>
      </c>
      <c r="AP19" s="40">
        <v>3694.4626683280476</v>
      </c>
      <c r="AQ19" s="40">
        <v>3128.1448460540787</v>
      </c>
      <c r="AR19" s="40">
        <v>2810.6953468641968</v>
      </c>
      <c r="AS19" s="40">
        <v>3039.6716269426256</v>
      </c>
      <c r="AT19" s="40">
        <v>3607.191571355509</v>
      </c>
      <c r="AU19" s="40">
        <v>4739.3054367480545</v>
      </c>
      <c r="AV19" s="40">
        <v>5787.9755740091387</v>
      </c>
      <c r="AW19" s="40">
        <v>7194.0789437842604</v>
      </c>
      <c r="AX19" s="40">
        <v>8622.7086750396593</v>
      </c>
      <c r="AY19" s="40">
        <v>8373.3397424906871</v>
      </c>
      <c r="AZ19" s="40">
        <v>10978.09355377202</v>
      </c>
      <c r="BA19" s="40">
        <v>12575.979407918752</v>
      </c>
      <c r="BB19" s="40">
        <v>2870.5731158450699</v>
      </c>
    </row>
    <row r="20" spans="1:54">
      <c r="A20" s="41">
        <v>34</v>
      </c>
      <c r="B20" s="41" t="s">
        <v>136</v>
      </c>
      <c r="V20" s="40">
        <v>2261.4172835572163</v>
      </c>
      <c r="W20" s="40">
        <v>2255.7612579737602</v>
      </c>
      <c r="X20" s="40">
        <v>2220.8231834457861</v>
      </c>
      <c r="Y20" s="40">
        <v>1897.0785639470369</v>
      </c>
      <c r="Z20" s="40">
        <v>1943.0626103063532</v>
      </c>
      <c r="AA20" s="40">
        <v>1959.938778271774</v>
      </c>
      <c r="AB20" s="40">
        <v>2261.7577129915994</v>
      </c>
      <c r="AC20" s="40">
        <v>3168.8651246672584</v>
      </c>
      <c r="AD20" s="40">
        <v>2561.1087047554565</v>
      </c>
      <c r="AE20" s="40">
        <v>2449.800833440715</v>
      </c>
      <c r="AF20" s="40">
        <v>2377.3357862653088</v>
      </c>
      <c r="AG20" s="40">
        <v>1267.7344144150445</v>
      </c>
      <c r="AH20" s="40">
        <v>1214.4849325443147</v>
      </c>
      <c r="AI20" s="40">
        <v>1278.5173915087973</v>
      </c>
      <c r="AJ20" s="40">
        <v>1149.3779925494064</v>
      </c>
      <c r="AK20" s="40">
        <v>1554.7217229287744</v>
      </c>
      <c r="AL20" s="40">
        <v>1063.075660989892</v>
      </c>
      <c r="AM20" s="40">
        <v>1209.5027441158754</v>
      </c>
      <c r="AN20" s="40">
        <v>1581.8245741277567</v>
      </c>
      <c r="AO20" s="40">
        <v>1611.1290038690756</v>
      </c>
      <c r="AP20" s="40">
        <v>1579.3482395579799</v>
      </c>
      <c r="AQ20" s="40">
        <v>1729.1911568611197</v>
      </c>
      <c r="AR20" s="40">
        <v>2030.7885234221446</v>
      </c>
      <c r="AS20" s="40">
        <v>2641.7877231345201</v>
      </c>
      <c r="AT20" s="40">
        <v>3249.2873963734874</v>
      </c>
      <c r="AU20" s="40">
        <v>3733.263160996979</v>
      </c>
      <c r="AV20" s="40">
        <v>4313.4306364363938</v>
      </c>
      <c r="AW20" s="40">
        <v>5498.0357289370177</v>
      </c>
      <c r="AX20" s="40">
        <v>6798.1381888494725</v>
      </c>
      <c r="AY20" s="40">
        <v>6403.1476861133069</v>
      </c>
      <c r="AZ20" s="40">
        <v>6334.6782693085897</v>
      </c>
      <c r="BA20" s="40">
        <v>7286.6418699187243</v>
      </c>
      <c r="BB20" s="40">
        <v>2777.6580267681543</v>
      </c>
    </row>
    <row r="21" spans="1:54">
      <c r="A21" s="41">
        <v>35</v>
      </c>
      <c r="B21" s="41" t="s">
        <v>135</v>
      </c>
      <c r="C21" s="40">
        <v>71.558208899200309</v>
      </c>
      <c r="D21" s="40">
        <v>76.52061097221204</v>
      </c>
      <c r="E21" s="40">
        <v>78.372102489611621</v>
      </c>
      <c r="F21" s="40">
        <v>80.472707605582656</v>
      </c>
      <c r="G21" s="40">
        <v>81.725119870837247</v>
      </c>
      <c r="H21" s="40">
        <v>82.545624624061006</v>
      </c>
      <c r="I21" s="40">
        <v>84.363136190860018</v>
      </c>
      <c r="J21" s="40">
        <v>84.733032829224669</v>
      </c>
      <c r="K21" s="40">
        <v>86.520217668260869</v>
      </c>
      <c r="L21" s="40">
        <v>81.499931205428965</v>
      </c>
      <c r="M21" s="40">
        <v>84.287827108580686</v>
      </c>
      <c r="N21" s="40">
        <v>99.326787336965396</v>
      </c>
      <c r="O21" s="40">
        <v>113.78046517172928</v>
      </c>
      <c r="P21" s="40">
        <v>124.35893374497464</v>
      </c>
      <c r="Q21" s="40">
        <v>152.72814540030001</v>
      </c>
      <c r="R21" s="40">
        <v>155.64893657206599</v>
      </c>
      <c r="S21" s="40">
        <v>176.78325009121968</v>
      </c>
      <c r="T21" s="40">
        <v>225.94155761992724</v>
      </c>
      <c r="U21" s="40">
        <v>262.07583723900052</v>
      </c>
      <c r="V21" s="40">
        <v>282.68578543927168</v>
      </c>
      <c r="W21" s="40">
        <v>254.23080430094174</v>
      </c>
      <c r="X21" s="40">
        <v>245.09462889005087</v>
      </c>
      <c r="Y21" s="40">
        <v>217.99467085691163</v>
      </c>
      <c r="Z21" s="40">
        <v>193.8431596311865</v>
      </c>
      <c r="AA21" s="40">
        <v>200.89426450118253</v>
      </c>
      <c r="AB21" s="40">
        <v>256.76244566612644</v>
      </c>
      <c r="AC21" s="40">
        <v>291.13179611838376</v>
      </c>
      <c r="AD21" s="40">
        <v>313.06183385253615</v>
      </c>
      <c r="AE21" s="40">
        <v>304.85327265245456</v>
      </c>
      <c r="AF21" s="40">
        <v>351.97924911080821</v>
      </c>
      <c r="AG21" s="40">
        <v>346.41043197445555</v>
      </c>
      <c r="AH21" s="40">
        <v>240.96339951129616</v>
      </c>
      <c r="AI21" s="40">
        <v>244.12715017408485</v>
      </c>
      <c r="AJ21" s="40">
        <v>193.0702423733874</v>
      </c>
      <c r="AK21" s="40">
        <v>235.83223181485508</v>
      </c>
      <c r="AL21" s="40">
        <v>249.364679053716</v>
      </c>
      <c r="AM21" s="40">
        <v>229.50522565318875</v>
      </c>
      <c r="AN21" s="40">
        <v>255.73890503758253</v>
      </c>
      <c r="AO21" s="40">
        <v>267.21158220883893</v>
      </c>
      <c r="AP21" s="40">
        <v>224.92864708940937</v>
      </c>
      <c r="AQ21" s="40">
        <v>235.46179888649303</v>
      </c>
      <c r="AR21" s="40">
        <v>260.69357973720048</v>
      </c>
      <c r="AS21" s="40">
        <v>332.22707561903343</v>
      </c>
      <c r="AT21" s="40">
        <v>371.21798682253535</v>
      </c>
      <c r="AU21" s="40">
        <v>406.99880432834124</v>
      </c>
      <c r="AV21" s="40">
        <v>422.8448174644011</v>
      </c>
      <c r="AW21" s="40">
        <v>474.58997812084351</v>
      </c>
      <c r="AX21" s="40">
        <v>569.63929342579672</v>
      </c>
      <c r="AY21" s="40">
        <v>553.04237426136388</v>
      </c>
      <c r="AZ21" s="40">
        <v>592.60746992056966</v>
      </c>
      <c r="BA21" s="40">
        <v>649.92522998644301</v>
      </c>
      <c r="BB21" s="40">
        <v>244.55245582595558</v>
      </c>
    </row>
    <row r="22" spans="1:54">
      <c r="A22" s="41">
        <v>36</v>
      </c>
      <c r="B22" s="41" t="s">
        <v>134</v>
      </c>
      <c r="C22" s="40">
        <v>71.469433550147428</v>
      </c>
      <c r="D22" s="40">
        <v>73.760327792959771</v>
      </c>
      <c r="E22" s="40">
        <v>78.87416091955582</v>
      </c>
      <c r="F22" s="40">
        <v>86.571623804722307</v>
      </c>
      <c r="G22" s="40">
        <v>51.637936756451197</v>
      </c>
      <c r="H22" s="40">
        <v>52.457488517654426</v>
      </c>
      <c r="I22" s="40">
        <v>55.112906875976314</v>
      </c>
      <c r="J22" s="40">
        <v>55.225385590454934</v>
      </c>
      <c r="K22" s="40">
        <v>56.059113852201818</v>
      </c>
      <c r="L22" s="40">
        <v>70.212507207190342</v>
      </c>
      <c r="M22" s="40">
        <v>72.084271383334865</v>
      </c>
      <c r="N22" s="40">
        <v>69.574644466499905</v>
      </c>
      <c r="O22" s="40">
        <v>84.941134973177284</v>
      </c>
      <c r="P22" s="40">
        <v>95.275273952548858</v>
      </c>
      <c r="Q22" s="40">
        <v>114.49216673814722</v>
      </c>
      <c r="R22" s="40">
        <v>119.74667878605007</v>
      </c>
      <c r="S22" s="40">
        <v>143.1306096512011</v>
      </c>
      <c r="T22" s="40">
        <v>155.75823300566995</v>
      </c>
      <c r="U22" s="40">
        <v>194.70680555230697</v>
      </c>
      <c r="V22" s="40">
        <v>222.88093958341511</v>
      </c>
      <c r="W22" s="40">
        <v>228.55979278872366</v>
      </c>
      <c r="X22" s="40">
        <v>232.42352230036025</v>
      </c>
      <c r="Y22" s="40">
        <v>241.35085095108647</v>
      </c>
      <c r="Z22" s="40">
        <v>213.44344814793712</v>
      </c>
      <c r="AA22" s="40">
        <v>240.87598449850691</v>
      </c>
      <c r="AB22" s="40">
        <v>243.47906454029263</v>
      </c>
      <c r="AC22" s="40">
        <v>221.56479586767105</v>
      </c>
      <c r="AD22" s="40">
        <v>204.96827290086117</v>
      </c>
      <c r="AE22" s="40">
        <v>204.41454099506208</v>
      </c>
      <c r="AF22" s="40">
        <v>201.94914378512939</v>
      </c>
      <c r="AG22" s="40">
        <v>203.03380243221798</v>
      </c>
      <c r="AH22" s="40">
        <v>184.10619899947676</v>
      </c>
      <c r="AI22" s="40">
        <v>156.34225339212395</v>
      </c>
      <c r="AJ22" s="40">
        <v>151.33551057527578</v>
      </c>
      <c r="AK22" s="40">
        <v>161.10157790190684</v>
      </c>
      <c r="AL22" s="40">
        <v>138.06280744262884</v>
      </c>
      <c r="AM22" s="40">
        <v>152.74120697186842</v>
      </c>
      <c r="AN22" s="40">
        <v>138.6191490630481</v>
      </c>
      <c r="AO22" s="40">
        <v>123.45966674969041</v>
      </c>
      <c r="AP22" s="40">
        <v>130.42384846232511</v>
      </c>
      <c r="AQ22" s="40">
        <v>128.19805827646701</v>
      </c>
      <c r="AR22" s="40">
        <v>117.28140127652694</v>
      </c>
      <c r="AS22" s="40">
        <v>108.01455102640723</v>
      </c>
      <c r="AT22" s="40">
        <v>121.85930358258223</v>
      </c>
      <c r="AU22" s="40">
        <v>143.78352946676992</v>
      </c>
      <c r="AV22" s="40">
        <v>158.30502320189231</v>
      </c>
      <c r="AW22" s="40">
        <v>162.82750935888694</v>
      </c>
      <c r="AX22" s="40">
        <v>186.87174886956464</v>
      </c>
      <c r="AY22" s="40">
        <v>194.89666613015365</v>
      </c>
      <c r="AZ22" s="40">
        <v>219.52979945079323</v>
      </c>
      <c r="BA22" s="40">
        <v>246.91432710688042</v>
      </c>
      <c r="BB22" s="40">
        <v>146.75899998966247</v>
      </c>
    </row>
    <row r="23" spans="1:54">
      <c r="A23" s="41">
        <v>37</v>
      </c>
      <c r="B23" s="41" t="s">
        <v>133</v>
      </c>
      <c r="C23" s="40">
        <v>109.51862520732789</v>
      </c>
      <c r="D23" s="40">
        <v>109.55664374126734</v>
      </c>
      <c r="E23" s="40">
        <v>117.91563019291182</v>
      </c>
      <c r="F23" s="40">
        <v>123.73081695553861</v>
      </c>
      <c r="G23" s="40">
        <v>134.34981638379659</v>
      </c>
      <c r="H23" s="40">
        <v>138.80419061996849</v>
      </c>
      <c r="I23" s="40">
        <v>143.85239115650984</v>
      </c>
      <c r="J23" s="40">
        <v>156.8712499989486</v>
      </c>
      <c r="K23" s="40">
        <v>141.85489777795897</v>
      </c>
      <c r="L23" s="40">
        <v>102.31362366815398</v>
      </c>
      <c r="M23" s="40">
        <v>135.2976209351483</v>
      </c>
      <c r="N23" s="40">
        <v>68.92819844913754</v>
      </c>
      <c r="O23" s="40">
        <v>93.92768289719848</v>
      </c>
      <c r="P23" s="40">
        <v>77.761262944095535</v>
      </c>
      <c r="AI23" s="40">
        <v>251.42661661958982</v>
      </c>
      <c r="AJ23" s="40">
        <v>267.62833119031563</v>
      </c>
      <c r="AK23" s="40">
        <v>319.54149457959295</v>
      </c>
      <c r="AL23" s="40">
        <v>316.18598134076262</v>
      </c>
      <c r="AM23" s="40">
        <v>302.16093562648382</v>
      </c>
      <c r="AN23" s="40">
        <v>267.03781309505581</v>
      </c>
      <c r="AO23" s="40">
        <v>294.07233657629621</v>
      </c>
      <c r="AP23" s="40">
        <v>298.9503625029252</v>
      </c>
      <c r="AQ23" s="40">
        <v>319.0848624206381</v>
      </c>
      <c r="AR23" s="40">
        <v>337.0772586662676</v>
      </c>
      <c r="AS23" s="40">
        <v>360.14489045874245</v>
      </c>
      <c r="AT23" s="40">
        <v>405.93783283458237</v>
      </c>
      <c r="AU23" s="40">
        <v>471.16250293596465</v>
      </c>
      <c r="AV23" s="40">
        <v>536.65773065659789</v>
      </c>
      <c r="AW23" s="40">
        <v>628.42685168430125</v>
      </c>
      <c r="AX23" s="40">
        <v>742.5713352689836</v>
      </c>
      <c r="AY23" s="40">
        <v>735.41926346791445</v>
      </c>
      <c r="AZ23" s="40">
        <v>782.61888859226622</v>
      </c>
      <c r="BA23" s="40">
        <v>878.38301779227368</v>
      </c>
      <c r="BB23" s="40">
        <v>308.15669567386408</v>
      </c>
    </row>
    <row r="24" spans="1:54">
      <c r="A24" s="41">
        <v>38</v>
      </c>
      <c r="B24" s="41" t="s">
        <v>132</v>
      </c>
      <c r="C24" s="40">
        <v>120.11987139182918</v>
      </c>
      <c r="D24" s="40">
        <v>125.02728590440687</v>
      </c>
      <c r="E24" s="40">
        <v>126.52688399166874</v>
      </c>
      <c r="F24" s="40">
        <v>133.73054532279178</v>
      </c>
      <c r="G24" s="40">
        <v>135.96939599524288</v>
      </c>
      <c r="H24" s="40">
        <v>139.17308041869094</v>
      </c>
      <c r="I24" s="40">
        <v>148.72109210147198</v>
      </c>
      <c r="J24" s="40">
        <v>163.5934919742989</v>
      </c>
      <c r="K24" s="40">
        <v>174.59617432582908</v>
      </c>
      <c r="L24" s="40">
        <v>171.32003877263119</v>
      </c>
      <c r="M24" s="40">
        <v>177.58213277123338</v>
      </c>
      <c r="N24" s="40">
        <v>200.57140714591347</v>
      </c>
      <c r="O24" s="40">
        <v>240.00517022907079</v>
      </c>
      <c r="P24" s="40">
        <v>299.54650503814815</v>
      </c>
      <c r="Q24" s="40">
        <v>355.64611136030078</v>
      </c>
      <c r="R24" s="40">
        <v>386.53089188667326</v>
      </c>
      <c r="S24" s="40">
        <v>411.14247483989317</v>
      </c>
      <c r="T24" s="40">
        <v>523.38878756532074</v>
      </c>
      <c r="U24" s="40">
        <v>670.0100814767726</v>
      </c>
      <c r="V24" s="40">
        <v>754.6648207231616</v>
      </c>
      <c r="W24" s="40">
        <v>829.93423387089661</v>
      </c>
      <c r="X24" s="40">
        <v>772.40725782324171</v>
      </c>
      <c r="Y24" s="40">
        <v>755.52042485967968</v>
      </c>
      <c r="Z24" s="40">
        <v>774.7025727480659</v>
      </c>
      <c r="AA24" s="40">
        <v>784.90960705557154</v>
      </c>
      <c r="AB24" s="40">
        <v>992.49634240436831</v>
      </c>
      <c r="AC24" s="40">
        <v>1115.211585062639</v>
      </c>
      <c r="AD24" s="40">
        <v>1098.7558423207124</v>
      </c>
      <c r="AE24" s="40">
        <v>950.76221002448654</v>
      </c>
      <c r="AF24" s="40">
        <v>923.88127833481792</v>
      </c>
      <c r="AG24" s="40">
        <v>1000.3241597835594</v>
      </c>
      <c r="AH24" s="40">
        <v>890.55731676102403</v>
      </c>
      <c r="AI24" s="40">
        <v>1027.5570208986526</v>
      </c>
      <c r="AJ24" s="40">
        <v>680.63059563226636</v>
      </c>
      <c r="AK24" s="40">
        <v>626.95574566117853</v>
      </c>
      <c r="AL24" s="40">
        <v>679.77738129406987</v>
      </c>
      <c r="AM24" s="40">
        <v>668.99621790014703</v>
      </c>
      <c r="AN24" s="40">
        <v>637.39082621155615</v>
      </c>
      <c r="AO24" s="40">
        <v>675.95015940244571</v>
      </c>
      <c r="AP24" s="40">
        <v>583.09485918194264</v>
      </c>
      <c r="AQ24" s="40">
        <v>589.16513908963725</v>
      </c>
      <c r="AR24" s="40">
        <v>648.29876073552248</v>
      </c>
      <c r="AS24" s="40">
        <v>790.89534322257964</v>
      </c>
      <c r="AT24" s="40">
        <v>892.52573905135466</v>
      </c>
      <c r="AU24" s="40">
        <v>914.55312008476847</v>
      </c>
      <c r="AV24" s="40">
        <v>964.60153548547999</v>
      </c>
      <c r="AW24" s="40">
        <v>1069.8568262262895</v>
      </c>
      <c r="AX24" s="40">
        <v>1211.3041863928561</v>
      </c>
      <c r="AY24" s="40">
        <v>1103.6751203439512</v>
      </c>
      <c r="AZ24" s="40">
        <v>1090.3825973684234</v>
      </c>
      <c r="BA24" s="40">
        <v>1196.8432679050786</v>
      </c>
      <c r="BB24" s="40">
        <v>635.28987287005111</v>
      </c>
    </row>
    <row r="25" spans="1:54">
      <c r="A25" s="41">
        <v>39</v>
      </c>
      <c r="B25" s="41" t="s">
        <v>131</v>
      </c>
      <c r="C25" s="40">
        <v>2231.2938237477952</v>
      </c>
      <c r="D25" s="40">
        <v>2255.2300441303619</v>
      </c>
      <c r="E25" s="40">
        <v>2354.8391219797491</v>
      </c>
      <c r="F25" s="40">
        <v>2529.5181790540951</v>
      </c>
      <c r="G25" s="40">
        <v>2739.5858492818866</v>
      </c>
      <c r="H25" s="40">
        <v>3010.7059075794709</v>
      </c>
      <c r="I25" s="40">
        <v>3173.0761935222481</v>
      </c>
      <c r="J25" s="40">
        <v>3411.0601543445669</v>
      </c>
      <c r="K25" s="40">
        <v>3703.9904052552929</v>
      </c>
      <c r="L25" s="40">
        <v>4047.268454855689</v>
      </c>
      <c r="M25" s="40">
        <v>4503.1807450072492</v>
      </c>
      <c r="N25" s="40">
        <v>5048.481943032647</v>
      </c>
      <c r="O25" s="40">
        <v>5764.2611070322946</v>
      </c>
      <c r="P25" s="40">
        <v>6915.8893428455031</v>
      </c>
      <c r="Q25" s="40">
        <v>7354.268357697556</v>
      </c>
      <c r="R25" s="40">
        <v>8624.6139722593052</v>
      </c>
      <c r="S25" s="40">
        <v>8731.6789166147646</v>
      </c>
      <c r="T25" s="40">
        <v>8931.2934546049182</v>
      </c>
      <c r="U25" s="40">
        <v>9831.0793706317236</v>
      </c>
      <c r="V25" s="40">
        <v>10933.731563817206</v>
      </c>
      <c r="W25" s="40">
        <v>12075.024595839359</v>
      </c>
      <c r="X25" s="40">
        <v>12217.373433792189</v>
      </c>
      <c r="Y25" s="40">
        <v>13113.168930802138</v>
      </c>
      <c r="Z25" s="40">
        <v>13506.371540392631</v>
      </c>
      <c r="AA25" s="40">
        <v>13711.515599356489</v>
      </c>
      <c r="AB25" s="40">
        <v>14076.752344065544</v>
      </c>
      <c r="AC25" s="40">
        <v>15876.842407251181</v>
      </c>
      <c r="AD25" s="40">
        <v>18522.658370996469</v>
      </c>
      <c r="AE25" s="40">
        <v>20289.766372530536</v>
      </c>
      <c r="AF25" s="40">
        <v>20968.041152760958</v>
      </c>
      <c r="AG25" s="40">
        <v>21234.375823398717</v>
      </c>
      <c r="AH25" s="40">
        <v>20320.473709300259</v>
      </c>
      <c r="AI25" s="40">
        <v>19549.017099790311</v>
      </c>
      <c r="AJ25" s="40">
        <v>19390.485373139574</v>
      </c>
      <c r="AK25" s="40">
        <v>20117.099607645738</v>
      </c>
      <c r="AL25" s="40">
        <v>20684.945784764368</v>
      </c>
      <c r="AM25" s="40">
        <v>21260.286809954701</v>
      </c>
      <c r="AN25" s="40">
        <v>20390.388448061494</v>
      </c>
      <c r="AO25" s="40">
        <v>21681.379305006896</v>
      </c>
      <c r="AP25" s="40">
        <v>23559.503689759153</v>
      </c>
      <c r="AQ25" s="40">
        <v>23017.368748982793</v>
      </c>
      <c r="AR25" s="40">
        <v>23425.22642651706</v>
      </c>
      <c r="AS25" s="40">
        <v>27335.308828525031</v>
      </c>
      <c r="AT25" s="40">
        <v>31011.911221188111</v>
      </c>
      <c r="AU25" s="40">
        <v>35087.89259332978</v>
      </c>
      <c r="AV25" s="40">
        <v>39249.998223997289</v>
      </c>
      <c r="AW25" s="40">
        <v>43248.500318074693</v>
      </c>
      <c r="AX25" s="40">
        <v>45101.557172494839</v>
      </c>
      <c r="AY25" s="40">
        <v>39659.056861606012</v>
      </c>
      <c r="AZ25" s="40">
        <v>46211.533860069801</v>
      </c>
      <c r="BA25" s="40">
        <v>51554.059208339204</v>
      </c>
      <c r="BB25" s="40">
        <v>17128.292760177013</v>
      </c>
    </row>
    <row r="26" spans="1:54">
      <c r="A26" s="41">
        <v>42</v>
      </c>
      <c r="B26" s="41" t="s">
        <v>130</v>
      </c>
      <c r="C26" s="40">
        <v>80.520696182642368</v>
      </c>
      <c r="D26" s="40">
        <v>79.968068831888104</v>
      </c>
      <c r="E26" s="40">
        <v>81.587829087495507</v>
      </c>
      <c r="F26" s="40">
        <v>87.85880661272067</v>
      </c>
      <c r="G26" s="40">
        <v>91.322207433295219</v>
      </c>
      <c r="H26" s="40">
        <v>93.845420617020906</v>
      </c>
      <c r="I26" s="40">
        <v>95.324402028575832</v>
      </c>
      <c r="J26" s="40">
        <v>109.25301189771743</v>
      </c>
      <c r="K26" s="40">
        <v>104.92381211188633</v>
      </c>
      <c r="L26" s="40">
        <v>103.40979665013012</v>
      </c>
      <c r="M26" s="40">
        <v>108.03128586236456</v>
      </c>
      <c r="N26" s="40">
        <v>121.17752617497806</v>
      </c>
      <c r="O26" s="40">
        <v>139.97824946999683</v>
      </c>
      <c r="P26" s="40">
        <v>142.41423395932821</v>
      </c>
      <c r="Q26" s="40">
        <v>187.69899744899894</v>
      </c>
      <c r="R26" s="40">
        <v>218.83395622145562</v>
      </c>
      <c r="S26" s="40">
        <v>240.59225287864081</v>
      </c>
      <c r="T26" s="40">
        <v>282.80792390974744</v>
      </c>
      <c r="U26" s="40">
        <v>316.51567139870866</v>
      </c>
      <c r="V26" s="40">
        <v>350.49120639740539</v>
      </c>
      <c r="W26" s="40">
        <v>296.91866183547245</v>
      </c>
      <c r="X26" s="40">
        <v>310.35909123680136</v>
      </c>
      <c r="Y26" s="40">
        <v>265.12590661626331</v>
      </c>
      <c r="Z26" s="40">
        <v>249.54485189473795</v>
      </c>
      <c r="AA26" s="40">
        <v>329.71920082065213</v>
      </c>
      <c r="AB26" s="40">
        <v>417.31502301799759</v>
      </c>
      <c r="AC26" s="40">
        <v>442.13407014880028</v>
      </c>
      <c r="AD26" s="40">
        <v>458.96541439996611</v>
      </c>
      <c r="AE26" s="40">
        <v>444.89449366168697</v>
      </c>
      <c r="AF26" s="40">
        <v>510.67510901806691</v>
      </c>
      <c r="AG26" s="40">
        <v>471.31303845668373</v>
      </c>
      <c r="AH26" s="40">
        <v>470.09058360063193</v>
      </c>
      <c r="AI26" s="40">
        <v>415.60977893576637</v>
      </c>
      <c r="AJ26" s="40">
        <v>266.50718937522237</v>
      </c>
      <c r="AK26" s="40">
        <v>342.49549494782894</v>
      </c>
      <c r="AL26" s="40">
        <v>319.39717687011051</v>
      </c>
      <c r="AM26" s="40">
        <v>292.30905111495917</v>
      </c>
      <c r="AN26" s="40">
        <v>299.36030017966374</v>
      </c>
      <c r="AO26" s="40">
        <v>294.52819852534572</v>
      </c>
      <c r="AP26" s="40">
        <v>251.32540894948193</v>
      </c>
      <c r="AQ26" s="40">
        <v>251.57118584353947</v>
      </c>
      <c r="AR26" s="40">
        <v>263.16935861976003</v>
      </c>
      <c r="AS26" s="40">
        <v>297.50888250733067</v>
      </c>
      <c r="AT26" s="40">
        <v>326.07961778549486</v>
      </c>
      <c r="AU26" s="40">
        <v>340.84392504753288</v>
      </c>
      <c r="AV26" s="40">
        <v>365.35032968934138</v>
      </c>
      <c r="AW26" s="40">
        <v>413.2848572096101</v>
      </c>
      <c r="AX26" s="40">
        <v>473.87684962772522</v>
      </c>
      <c r="AY26" s="40">
        <v>464.51428450373174</v>
      </c>
      <c r="AZ26" s="40">
        <v>456.27215815841589</v>
      </c>
      <c r="BA26" s="40">
        <v>488.22422351739039</v>
      </c>
      <c r="BB26" s="40">
        <v>280.89880531943152</v>
      </c>
    </row>
    <row r="27" spans="1:54">
      <c r="A27" s="41">
        <v>43</v>
      </c>
      <c r="B27" s="41" t="s">
        <v>129</v>
      </c>
      <c r="C27" s="40">
        <v>109.09153568896019</v>
      </c>
      <c r="D27" s="40">
        <v>114.54030207782452</v>
      </c>
      <c r="E27" s="40">
        <v>116.73258006369731</v>
      </c>
      <c r="F27" s="40">
        <v>120.77337248753574</v>
      </c>
      <c r="G27" s="40">
        <v>125.92456991938755</v>
      </c>
      <c r="H27" s="40">
        <v>128.29015573674036</v>
      </c>
      <c r="I27" s="40">
        <v>130.90704511183625</v>
      </c>
      <c r="J27" s="40">
        <v>129.67981008152239</v>
      </c>
      <c r="K27" s="40">
        <v>132.11907095924352</v>
      </c>
      <c r="L27" s="40">
        <v>128.74573251701307</v>
      </c>
      <c r="M27" s="40">
        <v>134.64326045068211</v>
      </c>
      <c r="N27" s="40">
        <v>153.40206816281668</v>
      </c>
      <c r="O27" s="40">
        <v>165.57832674849129</v>
      </c>
      <c r="P27" s="40">
        <v>163.11260608166015</v>
      </c>
      <c r="Q27" s="40">
        <v>211.45319879167096</v>
      </c>
      <c r="R27" s="40">
        <v>207.53175619565624</v>
      </c>
      <c r="S27" s="40">
        <v>219.83849309404965</v>
      </c>
      <c r="T27" s="40">
        <v>256.87871426503307</v>
      </c>
      <c r="U27" s="40">
        <v>227.14815682621889</v>
      </c>
      <c r="V27" s="40">
        <v>228.90711224170792</v>
      </c>
      <c r="W27" s="40">
        <v>190.18723601927539</v>
      </c>
      <c r="X27" s="40">
        <v>176.92377314898079</v>
      </c>
      <c r="Y27" s="40">
        <v>172.34809804830286</v>
      </c>
      <c r="Z27" s="40">
        <v>185.50329906500184</v>
      </c>
      <c r="AA27" s="40">
        <v>202.88854314642373</v>
      </c>
      <c r="AB27" s="40">
        <v>203.67763005601057</v>
      </c>
      <c r="AC27" s="40">
        <v>215.16742790017048</v>
      </c>
      <c r="AD27" s="40">
        <v>265.58982489288661</v>
      </c>
      <c r="AE27" s="40">
        <v>248.70391703682475</v>
      </c>
      <c r="AF27" s="40">
        <v>292.12533660609591</v>
      </c>
      <c r="AG27" s="40">
        <v>305.59548367553816</v>
      </c>
      <c r="AH27" s="40">
        <v>296.87131485060598</v>
      </c>
      <c r="AI27" s="40">
        <v>223.65598433162614</v>
      </c>
      <c r="AJ27" s="40">
        <v>174.64746918493279</v>
      </c>
      <c r="AK27" s="40">
        <v>207.14143097963282</v>
      </c>
      <c r="AL27" s="40">
        <v>222.73750778097607</v>
      </c>
      <c r="AM27" s="40">
        <v>206.97008673713088</v>
      </c>
      <c r="AN27" s="40">
        <v>225.88337044923588</v>
      </c>
      <c r="AO27" s="40">
        <v>191.76469720906707</v>
      </c>
      <c r="AP27" s="40">
        <v>166.85134525466518</v>
      </c>
      <c r="AQ27" s="40">
        <v>198.27911309493081</v>
      </c>
      <c r="AR27" s="40">
        <v>221.83373379232583</v>
      </c>
      <c r="AS27" s="40">
        <v>293.91017888154698</v>
      </c>
      <c r="AT27" s="40">
        <v>456.79443136754418</v>
      </c>
      <c r="AU27" s="40">
        <v>529.43261763283408</v>
      </c>
      <c r="AV27" s="40">
        <v>588.8879566035564</v>
      </c>
      <c r="AW27" s="40">
        <v>655.16142531045944</v>
      </c>
      <c r="AX27" s="40">
        <v>757.9602236026127</v>
      </c>
      <c r="AY27" s="40">
        <v>622.79027567199148</v>
      </c>
      <c r="AZ27" s="40">
        <v>728.67796489932903</v>
      </c>
      <c r="BA27" s="40">
        <v>875.94030646069825</v>
      </c>
      <c r="BB27" s="40">
        <v>264.90587982731296</v>
      </c>
    </row>
    <row r="28" spans="1:54">
      <c r="A28" s="41">
        <v>44</v>
      </c>
      <c r="B28" s="41" t="s">
        <v>128</v>
      </c>
      <c r="C28" s="40">
        <v>599.73614998735479</v>
      </c>
      <c r="D28" s="40">
        <v>683.76928576260855</v>
      </c>
      <c r="E28" s="40">
        <v>664.414699299375</v>
      </c>
      <c r="F28" s="40">
        <v>685.30748668202375</v>
      </c>
      <c r="G28" s="40">
        <v>699.53094540616553</v>
      </c>
      <c r="H28" s="40">
        <v>792.69586022264559</v>
      </c>
      <c r="I28" s="40">
        <v>765.09300963895714</v>
      </c>
      <c r="J28" s="40">
        <v>767.32417288899092</v>
      </c>
      <c r="K28" s="40">
        <v>870.12316903060628</v>
      </c>
      <c r="L28" s="40">
        <v>937.59096545014359</v>
      </c>
      <c r="M28" s="40">
        <v>1096.2771535125189</v>
      </c>
      <c r="N28" s="40">
        <v>1161.4329199005247</v>
      </c>
      <c r="O28" s="40">
        <v>1622.4555016793672</v>
      </c>
      <c r="P28" s="40">
        <v>1513.2601811381717</v>
      </c>
      <c r="Q28" s="40">
        <v>693.0920246900489</v>
      </c>
      <c r="R28" s="40">
        <v>931.6801614553832</v>
      </c>
      <c r="S28" s="40">
        <v>1245.055731868895</v>
      </c>
      <c r="T28" s="40">
        <v>1415.6045005811263</v>
      </c>
      <c r="U28" s="40">
        <v>1879.1810388898264</v>
      </c>
      <c r="V28" s="40">
        <v>2463.4883506865253</v>
      </c>
      <c r="W28" s="40">
        <v>2872.8543364069906</v>
      </c>
      <c r="X28" s="40">
        <v>2108.539119760645</v>
      </c>
      <c r="Y28" s="40">
        <v>1685.2186466643873</v>
      </c>
      <c r="Z28" s="40">
        <v>1612.5854194730598</v>
      </c>
      <c r="AA28" s="40">
        <v>1359.4518069802828</v>
      </c>
      <c r="AB28" s="40">
        <v>1437.1522922810643</v>
      </c>
      <c r="AC28" s="40">
        <v>1666.6613401266357</v>
      </c>
      <c r="AD28" s="40">
        <v>1931.5457489194523</v>
      </c>
      <c r="AE28" s="40">
        <v>2186.6549898885933</v>
      </c>
      <c r="AF28" s="40">
        <v>2388.3074541199144</v>
      </c>
      <c r="AG28" s="40">
        <v>2706.8132954091607</v>
      </c>
      <c r="AH28" s="40">
        <v>3244.2997883298481</v>
      </c>
      <c r="AI28" s="40">
        <v>3416.8721198741664</v>
      </c>
      <c r="AJ28" s="40">
        <v>3882.808211855689</v>
      </c>
      <c r="AK28" s="40">
        <v>4941.0452479904252</v>
      </c>
      <c r="AL28" s="40">
        <v>5167.5991706262876</v>
      </c>
      <c r="AM28" s="40">
        <v>5567.9421781927695</v>
      </c>
      <c r="AN28" s="40">
        <v>5266.1520185725894</v>
      </c>
      <c r="AO28" s="40">
        <v>4781.7047999111746</v>
      </c>
      <c r="AP28" s="40">
        <v>5133.077311162845</v>
      </c>
      <c r="AQ28" s="40">
        <v>4625.336377017723</v>
      </c>
      <c r="AR28" s="40">
        <v>4487.150018096535</v>
      </c>
      <c r="AS28" s="40">
        <v>4866.3322499657343</v>
      </c>
      <c r="AT28" s="40">
        <v>6223.9737675767756</v>
      </c>
      <c r="AU28" s="40">
        <v>7614.5220579751949</v>
      </c>
      <c r="AV28" s="40">
        <v>9371.4277428579571</v>
      </c>
      <c r="AW28" s="40">
        <v>10383.490887721755</v>
      </c>
      <c r="AX28" s="40">
        <v>10672.253491322366</v>
      </c>
      <c r="AY28" s="40">
        <v>10106.508478419699</v>
      </c>
      <c r="AZ28" s="40">
        <v>12670.673414549507</v>
      </c>
      <c r="BA28" s="40">
        <v>14501.247594218812</v>
      </c>
      <c r="BB28" s="40">
        <v>3536.614013432144</v>
      </c>
    </row>
    <row r="29" spans="1:54">
      <c r="A29" s="41">
        <v>45</v>
      </c>
      <c r="B29" s="41" t="s">
        <v>127</v>
      </c>
      <c r="C29" s="40">
        <v>75.872571162372154</v>
      </c>
      <c r="D29" s="40">
        <v>69.789873270080761</v>
      </c>
      <c r="E29" s="40">
        <v>73.688766030049408</v>
      </c>
      <c r="F29" s="40">
        <v>83.930435283925419</v>
      </c>
      <c r="G29" s="40">
        <v>97.470097979446876</v>
      </c>
      <c r="H29" s="40">
        <v>103.18117150981196</v>
      </c>
      <c r="I29" s="40">
        <v>95.496688245886702</v>
      </c>
      <c r="J29" s="40">
        <v>90.371330777075755</v>
      </c>
      <c r="K29" s="40">
        <v>98.889885299928949</v>
      </c>
      <c r="L29" s="40">
        <v>111.82272553494172</v>
      </c>
      <c r="M29" s="40">
        <v>117.18159060331627</v>
      </c>
      <c r="N29" s="40">
        <v>130.11126743139459</v>
      </c>
      <c r="O29" s="40">
        <v>155.07844198735833</v>
      </c>
      <c r="P29" s="40">
        <v>157.99937808014141</v>
      </c>
      <c r="Q29" s="40">
        <v>175.86575402946332</v>
      </c>
      <c r="R29" s="40">
        <v>162.92051487523443</v>
      </c>
      <c r="S29" s="40">
        <v>182.67856795792522</v>
      </c>
      <c r="T29" s="40">
        <v>154.97205972904609</v>
      </c>
      <c r="U29" s="40">
        <v>182.2847005647001</v>
      </c>
      <c r="V29" s="40">
        <v>193.02205126592571</v>
      </c>
      <c r="W29" s="40">
        <v>195.30540513269449</v>
      </c>
      <c r="X29" s="40">
        <v>201.4447468168311</v>
      </c>
      <c r="Y29" s="40">
        <v>223.25194504078573</v>
      </c>
      <c r="Z29" s="40">
        <v>248.28890819683801</v>
      </c>
      <c r="AA29" s="40">
        <v>291.77449069311609</v>
      </c>
      <c r="AB29" s="40">
        <v>279.18510666722312</v>
      </c>
      <c r="AC29" s="40">
        <v>249.41279109704749</v>
      </c>
      <c r="AD29" s="40">
        <v>280.96786147946216</v>
      </c>
      <c r="AE29" s="40">
        <v>307.48999260380685</v>
      </c>
      <c r="AF29" s="40">
        <v>314.43060046065852</v>
      </c>
      <c r="AG29" s="40">
        <v>329.74908865834618</v>
      </c>
      <c r="AH29" s="40">
        <v>362.8084140462102</v>
      </c>
      <c r="AI29" s="40">
        <v>373.8000228816054</v>
      </c>
      <c r="AJ29" s="40">
        <v>469.21319417598141</v>
      </c>
      <c r="AK29" s="40">
        <v>604.22806058522531</v>
      </c>
      <c r="AL29" s="40">
        <v>703.12079940228557</v>
      </c>
      <c r="AM29" s="40">
        <v>774.46716100980586</v>
      </c>
      <c r="AN29" s="40">
        <v>820.86307683264374</v>
      </c>
      <c r="AO29" s="40">
        <v>864.73031436008148</v>
      </c>
      <c r="AP29" s="40">
        <v>949.17806208299191</v>
      </c>
      <c r="AQ29" s="40">
        <v>1041.6377044135349</v>
      </c>
      <c r="AR29" s="40">
        <v>1135.4479496360555</v>
      </c>
      <c r="AS29" s="40">
        <v>1273.6407426071655</v>
      </c>
      <c r="AT29" s="40">
        <v>1490.3800560480456</v>
      </c>
      <c r="AU29" s="40">
        <v>1731.1252345789967</v>
      </c>
      <c r="AV29" s="40">
        <v>2069.3436306831873</v>
      </c>
      <c r="AW29" s="40">
        <v>2651.2601211724273</v>
      </c>
      <c r="AX29" s="40">
        <v>3413.588661428058</v>
      </c>
      <c r="AY29" s="40">
        <v>3749.272423670051</v>
      </c>
      <c r="AZ29" s="40">
        <v>4447.7562107007579</v>
      </c>
      <c r="BA29" s="40">
        <v>5441.7594119318364</v>
      </c>
      <c r="BB29" s="40">
        <v>780.42255021003507</v>
      </c>
    </row>
    <row r="30" spans="1:54">
      <c r="A30" s="41">
        <v>48</v>
      </c>
      <c r="B30" s="41" t="s">
        <v>126</v>
      </c>
      <c r="C30" s="40">
        <v>276.11833528431731</v>
      </c>
      <c r="D30" s="40">
        <v>292.50607767448605</v>
      </c>
      <c r="E30" s="40">
        <v>276.54138196912703</v>
      </c>
      <c r="F30" s="40">
        <v>332.48389976160269</v>
      </c>
      <c r="G30" s="40">
        <v>311.9873910244807</v>
      </c>
      <c r="H30" s="40">
        <v>285.35112577105656</v>
      </c>
      <c r="I30" s="40">
        <v>291.16702334544118</v>
      </c>
      <c r="J30" s="40">
        <v>292.4874382754258</v>
      </c>
      <c r="K30" s="40">
        <v>308.02390159563657</v>
      </c>
      <c r="L30" s="40">
        <v>337.24278873978369</v>
      </c>
      <c r="M30" s="40">
        <v>357.41781401649945</v>
      </c>
      <c r="N30" s="40">
        <v>387.04071132181429</v>
      </c>
      <c r="O30" s="40">
        <v>449.98407128605987</v>
      </c>
      <c r="P30" s="40">
        <v>527.44646982178745</v>
      </c>
      <c r="Q30" s="40">
        <v>545.86172621676292</v>
      </c>
      <c r="R30" s="40">
        <v>624.70983724417113</v>
      </c>
      <c r="S30" s="40">
        <v>774.66708368446689</v>
      </c>
      <c r="T30" s="40">
        <v>904.30352233498149</v>
      </c>
      <c r="U30" s="40">
        <v>1061.313488229717</v>
      </c>
      <c r="V30" s="40">
        <v>1240.0675434440432</v>
      </c>
      <c r="W30" s="40">
        <v>1320.8044265327133</v>
      </c>
      <c r="X30" s="40">
        <v>1383.1447684913362</v>
      </c>
      <c r="Y30" s="40">
        <v>1344.632561296143</v>
      </c>
      <c r="Z30" s="40">
        <v>1299.4456741149838</v>
      </c>
      <c r="AA30" s="40">
        <v>1160.1878716115104</v>
      </c>
      <c r="AB30" s="40">
        <v>1137.5199955442745</v>
      </c>
      <c r="AC30" s="40">
        <v>1159.7715882936982</v>
      </c>
      <c r="AD30" s="40">
        <v>1225.0465894065787</v>
      </c>
      <c r="AE30" s="40">
        <v>1210.7581867336685</v>
      </c>
      <c r="AF30" s="40">
        <v>1209.1835331028917</v>
      </c>
      <c r="AG30" s="40">
        <v>1214.4536927435299</v>
      </c>
      <c r="AH30" s="40">
        <v>1423.9292031669295</v>
      </c>
      <c r="AI30" s="40">
        <v>1582.5813512162047</v>
      </c>
      <c r="AJ30" s="40">
        <v>2274.8854045309145</v>
      </c>
      <c r="AK30" s="40">
        <v>2529.3252960396617</v>
      </c>
      <c r="AL30" s="40">
        <v>2609.2971323582706</v>
      </c>
      <c r="AM30" s="40">
        <v>2814.1342049941354</v>
      </c>
      <c r="AN30" s="40">
        <v>2552.4683741085914</v>
      </c>
      <c r="AO30" s="40">
        <v>2196.7146852778933</v>
      </c>
      <c r="AP30" s="40">
        <v>2503.54949201304</v>
      </c>
      <c r="AQ30" s="40">
        <v>2421.2726461017091</v>
      </c>
      <c r="AR30" s="40">
        <v>2376.0838030606833</v>
      </c>
      <c r="AS30" s="40">
        <v>2261.2836083266307</v>
      </c>
      <c r="AT30" s="40">
        <v>2752.9134538104654</v>
      </c>
      <c r="AU30" s="40">
        <v>3392.9244134252331</v>
      </c>
      <c r="AV30" s="40">
        <v>3712.785524943813</v>
      </c>
      <c r="AW30" s="40">
        <v>4661.2133828435781</v>
      </c>
      <c r="AX30" s="40">
        <v>5403.4557350868154</v>
      </c>
      <c r="AY30" s="40">
        <v>5104.9911864163896</v>
      </c>
      <c r="AZ30" s="40">
        <v>6179.7702122403443</v>
      </c>
      <c r="BA30" s="40">
        <v>7144.3287867914914</v>
      </c>
      <c r="BB30" s="40">
        <v>1753.7172238365836</v>
      </c>
    </row>
    <row r="31" spans="1:54">
      <c r="A31" s="41">
        <v>50</v>
      </c>
      <c r="B31" s="41" t="s">
        <v>125</v>
      </c>
      <c r="C31" s="40">
        <v>145.84794677299809</v>
      </c>
      <c r="D31" s="40">
        <v>155.97878961523264</v>
      </c>
      <c r="E31" s="40">
        <v>157.0802163783363</v>
      </c>
      <c r="F31" s="40">
        <v>164.83061890264253</v>
      </c>
      <c r="G31" s="40">
        <v>171.27317341304797</v>
      </c>
      <c r="H31" s="40">
        <v>185.32353377437573</v>
      </c>
      <c r="I31" s="40">
        <v>193.92252028197422</v>
      </c>
      <c r="J31" s="40">
        <v>199.49869382591081</v>
      </c>
      <c r="K31" s="40">
        <v>204.45792587484408</v>
      </c>
      <c r="L31" s="40">
        <v>205.94918684025049</v>
      </c>
      <c r="M31" s="40">
        <v>234.12576374873993</v>
      </c>
      <c r="N31" s="40">
        <v>289.49809728902443</v>
      </c>
      <c r="O31" s="40">
        <v>370.51243463996491</v>
      </c>
      <c r="P31" s="40">
        <v>388.17283511588039</v>
      </c>
      <c r="Q31" s="40">
        <v>493.66188173819205</v>
      </c>
      <c r="R31" s="40">
        <v>471.50656631944855</v>
      </c>
      <c r="S31" s="40">
        <v>464.52664366155437</v>
      </c>
      <c r="T31" s="40">
        <v>518.34300172651876</v>
      </c>
      <c r="U31" s="40">
        <v>686.99326729255642</v>
      </c>
      <c r="V31" s="40">
        <v>949.55770143294103</v>
      </c>
      <c r="W31" s="40">
        <v>1077.5917046886498</v>
      </c>
      <c r="X31" s="40">
        <v>1133.9498756644093</v>
      </c>
      <c r="Y31" s="40">
        <v>1068.742870050381</v>
      </c>
      <c r="Z31" s="40">
        <v>1085.7523816159101</v>
      </c>
      <c r="AA31" s="40">
        <v>1039.4237286481632</v>
      </c>
      <c r="AB31" s="40">
        <v>864.9159832756543</v>
      </c>
      <c r="AC31" s="40">
        <v>1045.3719358423127</v>
      </c>
      <c r="AD31" s="40">
        <v>979.52497175911947</v>
      </c>
      <c r="AE31" s="40">
        <v>1029.7803832420836</v>
      </c>
      <c r="AF31" s="40">
        <v>1174.3238426080143</v>
      </c>
      <c r="AG31" s="40">
        <v>1113.539532839927</v>
      </c>
      <c r="AH31" s="40">
        <v>1167.7683407114134</v>
      </c>
      <c r="AI31" s="40">
        <v>744.24151254768481</v>
      </c>
      <c r="AJ31" s="40">
        <v>668.23554606880339</v>
      </c>
      <c r="AK31" s="40">
        <v>777.76159745681582</v>
      </c>
      <c r="AL31" s="40">
        <v>908.17949911717642</v>
      </c>
      <c r="AM31" s="40">
        <v>806.96677600699934</v>
      </c>
      <c r="AN31" s="40">
        <v>658.30677647080518</v>
      </c>
      <c r="AO31" s="40">
        <v>773.18204627859507</v>
      </c>
      <c r="AP31" s="40">
        <v>1029.9745845216119</v>
      </c>
      <c r="AQ31" s="40">
        <v>871.67094334195485</v>
      </c>
      <c r="AR31" s="40">
        <v>919.68701436567972</v>
      </c>
      <c r="AS31" s="40">
        <v>1039.3797989602999</v>
      </c>
      <c r="AT31" s="40">
        <v>1347.8709070601055</v>
      </c>
      <c r="AU31" s="40">
        <v>1718.1008154528388</v>
      </c>
      <c r="AV31" s="40">
        <v>2120.0978455671448</v>
      </c>
      <c r="AW31" s="40">
        <v>2233.3082518771907</v>
      </c>
      <c r="AX31" s="40">
        <v>3059.2265346412228</v>
      </c>
      <c r="AY31" s="40">
        <v>2401.2981550662471</v>
      </c>
      <c r="AZ31" s="40">
        <v>2920.4067080001232</v>
      </c>
      <c r="BA31" s="40">
        <v>3414.0547095056831</v>
      </c>
      <c r="BB31" s="40">
        <v>938.11169356661696</v>
      </c>
    </row>
    <row r="32" spans="1:54">
      <c r="A32" s="41">
        <v>51</v>
      </c>
      <c r="B32" s="41" t="s">
        <v>124</v>
      </c>
      <c r="C32" s="40">
        <v>197.39117488698898</v>
      </c>
      <c r="D32" s="40">
        <v>235.63264187333235</v>
      </c>
      <c r="E32" s="40">
        <v>377.42790868198273</v>
      </c>
      <c r="F32" s="40">
        <v>170.46630940844318</v>
      </c>
      <c r="G32" s="40">
        <v>232.81143065914458</v>
      </c>
      <c r="H32" s="40">
        <v>253.7619343858041</v>
      </c>
      <c r="I32" s="40">
        <v>184.13475668485765</v>
      </c>
      <c r="J32" s="40">
        <v>206.72256836457188</v>
      </c>
      <c r="K32" s="40">
        <v>258.61902239778811</v>
      </c>
      <c r="L32" s="40">
        <v>243.76355931803437</v>
      </c>
      <c r="M32" s="40">
        <v>272.07606652456576</v>
      </c>
      <c r="N32" s="40">
        <v>292.29564448746339</v>
      </c>
      <c r="O32" s="40">
        <v>362.82854293987157</v>
      </c>
      <c r="P32" s="40">
        <v>430.6908307953189</v>
      </c>
      <c r="Q32" s="40">
        <v>447.00114523256218</v>
      </c>
      <c r="R32" s="40">
        <v>409.62005623073344</v>
      </c>
      <c r="S32" s="40">
        <v>509.30023820535126</v>
      </c>
      <c r="T32" s="40">
        <v>616.34827590309999</v>
      </c>
      <c r="U32" s="40">
        <v>587.44260985536152</v>
      </c>
      <c r="V32" s="40">
        <v>546.14353729730158</v>
      </c>
      <c r="W32" s="40">
        <v>463.32806670427379</v>
      </c>
      <c r="X32" s="40">
        <v>491.63706384636822</v>
      </c>
      <c r="Y32" s="40">
        <v>386.32908463967419</v>
      </c>
      <c r="Z32" s="40">
        <v>268.69975894004745</v>
      </c>
      <c r="AA32" s="40">
        <v>239.51641259740893</v>
      </c>
      <c r="AB32" s="40">
        <v>262.22483774174816</v>
      </c>
      <c r="AC32" s="40">
        <v>241.37972719203358</v>
      </c>
      <c r="AD32" s="40">
        <v>271.16059650889957</v>
      </c>
      <c r="AE32" s="40">
        <v>267.4895691047052</v>
      </c>
      <c r="AF32" s="40">
        <v>267.82028927416263</v>
      </c>
      <c r="AG32" s="40">
        <v>250.68157157997345</v>
      </c>
      <c r="AH32" s="40">
        <v>217.49285161144789</v>
      </c>
      <c r="AI32" s="40">
        <v>272.7593078633397</v>
      </c>
      <c r="AJ32" s="40">
        <v>142.96545517759955</v>
      </c>
      <c r="AK32" s="40">
        <v>134.32754628637272</v>
      </c>
      <c r="AL32" s="40">
        <v>133.83828317383697</v>
      </c>
      <c r="AM32" s="40">
        <v>138.1819880353157</v>
      </c>
      <c r="AN32" s="40">
        <v>138.24424342867329</v>
      </c>
      <c r="AO32" s="40">
        <v>102.66619801176789</v>
      </c>
      <c r="AP32" s="40">
        <v>91.701082599519296</v>
      </c>
      <c r="AQ32" s="40">
        <v>97.407193376024352</v>
      </c>
      <c r="AR32" s="40">
        <v>111.97108125625998</v>
      </c>
      <c r="AS32" s="40">
        <v>111.23935125330796</v>
      </c>
      <c r="AT32" s="40">
        <v>124.049697975257</v>
      </c>
      <c r="AU32" s="40">
        <v>133.10027070871635</v>
      </c>
      <c r="AV32" s="40">
        <v>158.72731821405858</v>
      </c>
      <c r="AW32" s="40">
        <v>175.10427020933102</v>
      </c>
      <c r="AX32" s="40">
        <v>198.4957712144095</v>
      </c>
      <c r="AY32" s="40">
        <v>185.23223762142786</v>
      </c>
      <c r="AZ32" s="40">
        <v>210.76917709346858</v>
      </c>
      <c r="BA32" s="40">
        <v>244.85005207043378</v>
      </c>
      <c r="BB32" s="40">
        <v>262.11507077338121</v>
      </c>
    </row>
    <row r="33" spans="1:54">
      <c r="A33" s="41">
        <v>53</v>
      </c>
      <c r="B33" s="41" t="s">
        <v>123</v>
      </c>
      <c r="C33" s="40">
        <v>354.91343458014506</v>
      </c>
      <c r="D33" s="40">
        <v>334.83701017692272</v>
      </c>
      <c r="E33" s="40">
        <v>345.43897772379722</v>
      </c>
      <c r="F33" s="40">
        <v>353.97241077323969</v>
      </c>
      <c r="G33" s="40">
        <v>374.57481957706131</v>
      </c>
      <c r="H33" s="40">
        <v>396.51187221820913</v>
      </c>
      <c r="I33" s="40">
        <v>416.03590339763957</v>
      </c>
      <c r="J33" s="40">
        <v>447.53099079804929</v>
      </c>
      <c r="K33" s="40">
        <v>480.62706954534116</v>
      </c>
      <c r="L33" s="40">
        <v>540.49004816301203</v>
      </c>
      <c r="M33" s="40">
        <v>576.92956746087145</v>
      </c>
      <c r="N33" s="40">
        <v>647.88817654027719</v>
      </c>
      <c r="O33" s="40">
        <v>781.73841524578154</v>
      </c>
      <c r="P33" s="40">
        <v>832.29112611926496</v>
      </c>
      <c r="Q33" s="40">
        <v>955.55112767278206</v>
      </c>
      <c r="R33" s="40">
        <v>1145.9019016931043</v>
      </c>
      <c r="S33" s="40">
        <v>1421.0732350303376</v>
      </c>
      <c r="T33" s="40">
        <v>1585.7453118471874</v>
      </c>
      <c r="U33" s="40">
        <v>1766.8061271130755</v>
      </c>
      <c r="V33" s="40">
        <v>2057.3120532226944</v>
      </c>
      <c r="W33" s="40">
        <v>1086.538145637913</v>
      </c>
      <c r="X33" s="40">
        <v>1049.6369808974298</v>
      </c>
      <c r="Y33" s="40">
        <v>1557.1257998915928</v>
      </c>
      <c r="Z33" s="40">
        <v>1749.6865476718656</v>
      </c>
      <c r="AA33" s="40">
        <v>1777.4401625212245</v>
      </c>
      <c r="AB33" s="40">
        <v>1975.5662282602923</v>
      </c>
      <c r="AC33" s="40">
        <v>2050.8580724758563</v>
      </c>
      <c r="AD33" s="40">
        <v>2073.5423318649732</v>
      </c>
      <c r="AE33" s="40">
        <v>2287.888571209025</v>
      </c>
      <c r="AF33" s="40">
        <v>2404.8512820647911</v>
      </c>
      <c r="AG33" s="40">
        <v>2269.5165176211817</v>
      </c>
      <c r="AH33" s="40">
        <v>2651.4397659889264</v>
      </c>
      <c r="AI33" s="40">
        <v>2909.8424827060485</v>
      </c>
      <c r="AJ33" s="40">
        <v>3111.0349768713963</v>
      </c>
      <c r="AK33" s="40">
        <v>3370.2395178299803</v>
      </c>
      <c r="AL33" s="40">
        <v>3320.5887256991841</v>
      </c>
      <c r="AM33" s="40">
        <v>3507.0819978632517</v>
      </c>
      <c r="AN33" s="40">
        <v>3759.8810747820576</v>
      </c>
      <c r="AO33" s="40">
        <v>4111.83258310976</v>
      </c>
      <c r="AP33" s="40">
        <v>4058.0445738417047</v>
      </c>
      <c r="AQ33" s="40">
        <v>4087.1189870901699</v>
      </c>
      <c r="AR33" s="40">
        <v>4114.5669390949033</v>
      </c>
      <c r="AS33" s="40">
        <v>4199.6947844838842</v>
      </c>
      <c r="AT33" s="40">
        <v>4379.3910642382225</v>
      </c>
      <c r="AU33" s="40">
        <v>4621.3641237613056</v>
      </c>
      <c r="AV33" s="40">
        <v>5128.920364145376</v>
      </c>
      <c r="AW33" s="40">
        <v>5897.4981630745369</v>
      </c>
      <c r="AX33" s="40">
        <v>6582.7363316034871</v>
      </c>
      <c r="AY33" s="40">
        <v>6396.1540839134959</v>
      </c>
      <c r="AZ33" s="40">
        <v>7783.4356055437356</v>
      </c>
      <c r="BA33" s="40">
        <v>8669.3204131421353</v>
      </c>
      <c r="BB33" s="40">
        <v>2524.6864074078144</v>
      </c>
    </row>
    <row r="34" spans="1:54">
      <c r="A34" s="41">
        <v>54</v>
      </c>
      <c r="B34" s="41" t="s">
        <v>122</v>
      </c>
      <c r="C34" s="40">
        <v>171.6359695420052</v>
      </c>
      <c r="D34" s="40">
        <v>172.51275420467712</v>
      </c>
      <c r="E34" s="40">
        <v>195.64904507089398</v>
      </c>
      <c r="F34" s="40">
        <v>227.4412949426561</v>
      </c>
      <c r="G34" s="40">
        <v>217.96874832822883</v>
      </c>
      <c r="H34" s="40">
        <v>232.74779850910082</v>
      </c>
      <c r="I34" s="40">
        <v>235.86725976077722</v>
      </c>
      <c r="J34" s="40">
        <v>267.24544157718645</v>
      </c>
      <c r="K34" s="40">
        <v>271.67643492307587</v>
      </c>
      <c r="L34" s="40">
        <v>277.66247123685758</v>
      </c>
      <c r="M34" s="40">
        <v>288.67451042591279</v>
      </c>
      <c r="N34" s="40">
        <v>321.76730809839569</v>
      </c>
      <c r="O34" s="40">
        <v>416.58407391541323</v>
      </c>
      <c r="P34" s="40">
        <v>486.71266067405145</v>
      </c>
      <c r="Q34" s="40">
        <v>589.40453669216845</v>
      </c>
      <c r="R34" s="40">
        <v>674.08057377436137</v>
      </c>
      <c r="S34" s="40">
        <v>865.69783266486434</v>
      </c>
      <c r="T34" s="40">
        <v>1043.8181924885766</v>
      </c>
      <c r="U34" s="40">
        <v>1155.6067308723957</v>
      </c>
      <c r="V34" s="40">
        <v>1231.0879276401183</v>
      </c>
      <c r="W34" s="40">
        <v>977.10543915234985</v>
      </c>
      <c r="X34" s="40">
        <v>840.35712444463979</v>
      </c>
      <c r="Y34" s="40">
        <v>728.53252520099477</v>
      </c>
      <c r="Z34" s="40">
        <v>700.16027682482763</v>
      </c>
      <c r="AA34" s="40">
        <v>686.90962594940254</v>
      </c>
      <c r="AB34" s="40">
        <v>868.61013223375846</v>
      </c>
      <c r="AC34" s="40">
        <v>923.04088441665783</v>
      </c>
      <c r="AD34" s="40">
        <v>906.22504991184644</v>
      </c>
      <c r="AE34" s="40">
        <v>833.17449261234185</v>
      </c>
      <c r="AF34" s="40">
        <v>891.05508824582182</v>
      </c>
      <c r="AG34" s="40">
        <v>837.39531292868207</v>
      </c>
      <c r="AH34" s="40">
        <v>861.16713692018482</v>
      </c>
      <c r="AI34" s="40">
        <v>825.82882188175563</v>
      </c>
      <c r="AJ34" s="40">
        <v>602.48138689442146</v>
      </c>
      <c r="AK34" s="40">
        <v>773.70848801284762</v>
      </c>
      <c r="AL34" s="40">
        <v>829.61384919400234</v>
      </c>
      <c r="AM34" s="40">
        <v>779.29114427849402</v>
      </c>
      <c r="AN34" s="40">
        <v>828.07599442942694</v>
      </c>
      <c r="AO34" s="40">
        <v>794.59944730238738</v>
      </c>
      <c r="AP34" s="40">
        <v>645.76568165011747</v>
      </c>
      <c r="AQ34" s="40">
        <v>642.21522128879212</v>
      </c>
      <c r="AR34" s="40">
        <v>688.85596524333289</v>
      </c>
      <c r="AS34" s="40">
        <v>812.39763515739912</v>
      </c>
      <c r="AT34" s="40">
        <v>902.98641658249369</v>
      </c>
      <c r="AU34" s="40">
        <v>940.7521438263409</v>
      </c>
      <c r="AV34" s="40">
        <v>983.29142359056277</v>
      </c>
      <c r="AW34" s="40">
        <v>1102.8824987195089</v>
      </c>
      <c r="AX34" s="40">
        <v>1282.2670814949906</v>
      </c>
      <c r="AY34" s="40">
        <v>1238.7081339739173</v>
      </c>
      <c r="AZ34" s="40">
        <v>1207.8451404201344</v>
      </c>
      <c r="BA34" s="40">
        <v>1241.5611109698029</v>
      </c>
      <c r="BB34" s="40">
        <v>716.09220076654799</v>
      </c>
    </row>
    <row r="35" spans="1:54">
      <c r="A35" s="41">
        <v>55</v>
      </c>
      <c r="B35" s="41" t="s">
        <v>121</v>
      </c>
      <c r="AF35" s="40">
        <v>5184.5529653652993</v>
      </c>
      <c r="AG35" s="40">
        <v>4025.822867018499</v>
      </c>
      <c r="AH35" s="40">
        <v>2299.6598838864152</v>
      </c>
      <c r="AI35" s="40">
        <v>2349.2500836024515</v>
      </c>
      <c r="AJ35" s="40">
        <v>3135.1369811442519</v>
      </c>
      <c r="AK35" s="40">
        <v>4721.6978794711058</v>
      </c>
      <c r="AL35" s="40">
        <v>5193.9042813159931</v>
      </c>
      <c r="AM35" s="40">
        <v>5140.3491294152218</v>
      </c>
      <c r="AN35" s="40">
        <v>5577.960590028496</v>
      </c>
      <c r="AO35" s="40">
        <v>5067.5584746690538</v>
      </c>
      <c r="AP35" s="40">
        <v>4861.6775099465985</v>
      </c>
      <c r="AQ35" s="40">
        <v>5191.9019848116413</v>
      </c>
      <c r="AR35" s="40">
        <v>5974.0757653686305</v>
      </c>
      <c r="AS35" s="40">
        <v>7689.9569959556875</v>
      </c>
      <c r="AT35" s="40">
        <v>9237.1162234058556</v>
      </c>
      <c r="AU35" s="40">
        <v>10090.366688639182</v>
      </c>
      <c r="AV35" s="40">
        <v>11228.621375108376</v>
      </c>
      <c r="AW35" s="40">
        <v>13376.009230886037</v>
      </c>
      <c r="AX35" s="40">
        <v>15695.821454541336</v>
      </c>
      <c r="AY35" s="40">
        <v>14053.782467143963</v>
      </c>
      <c r="AZ35" s="40">
        <v>13326.506278007912</v>
      </c>
      <c r="BA35" s="40">
        <v>14434.701720289962</v>
      </c>
      <c r="BB35" s="40">
        <v>7629.8377650009988</v>
      </c>
    </row>
    <row r="36" spans="1:54">
      <c r="A36" s="41">
        <v>56</v>
      </c>
      <c r="B36" s="41" t="s">
        <v>120</v>
      </c>
      <c r="L36" s="40">
        <v>653.23809169742378</v>
      </c>
      <c r="M36" s="40">
        <v>779.56230391602003</v>
      </c>
      <c r="N36" s="40">
        <v>901.3674036992162</v>
      </c>
      <c r="O36" s="40">
        <v>1088.4402699263342</v>
      </c>
      <c r="P36" s="40">
        <v>1224.4118714736983</v>
      </c>
      <c r="Q36" s="40">
        <v>1380.2617161105031</v>
      </c>
      <c r="R36" s="40">
        <v>1444.873402896168</v>
      </c>
      <c r="S36" s="40">
        <v>1474.6363672896925</v>
      </c>
      <c r="T36" s="40">
        <v>1837.7640349746862</v>
      </c>
      <c r="U36" s="40">
        <v>2003.2946842982833</v>
      </c>
      <c r="V36" s="40">
        <v>2024.6789741352857</v>
      </c>
      <c r="W36" s="40">
        <v>2038.2145874135601</v>
      </c>
      <c r="X36" s="40">
        <v>2109.9967248551275</v>
      </c>
      <c r="Y36" s="40">
        <v>2226.1186444732939</v>
      </c>
      <c r="Z36" s="40">
        <v>2397.0879661537524</v>
      </c>
      <c r="AA36" s="40">
        <v>2270.1244314613955</v>
      </c>
      <c r="AB36" s="40">
        <v>2378.92983068796</v>
      </c>
      <c r="AC36" s="40">
        <v>2451.274589452275</v>
      </c>
      <c r="AD36" s="40">
        <v>2641.2362143434598</v>
      </c>
      <c r="AE36" s="40">
        <v>2572.8734579403249</v>
      </c>
      <c r="AF36" s="40">
        <v>2702.185284217725</v>
      </c>
      <c r="AG36" s="40">
        <v>2275.9259013132555</v>
      </c>
      <c r="AH36" s="40">
        <v>2052.9914463768087</v>
      </c>
      <c r="AI36" s="40">
        <v>2066.9176582313712</v>
      </c>
      <c r="AJ36" s="40">
        <v>2615.0188118646611</v>
      </c>
      <c r="AK36" s="40">
        <v>2783.4432967119888</v>
      </c>
      <c r="AL36" s="40">
        <v>2278.2853424144309</v>
      </c>
      <c r="AM36" s="40">
        <v>2300.9458512774886</v>
      </c>
      <c r="AN36" s="40">
        <v>2326.1743557909917</v>
      </c>
      <c r="AO36" s="40">
        <v>2555.0687379634251</v>
      </c>
      <c r="AP36" s="40">
        <v>2744.1244787409628</v>
      </c>
      <c r="AQ36" s="40">
        <v>2835.0766612395996</v>
      </c>
      <c r="AR36" s="40">
        <v>2995.8995284123216</v>
      </c>
      <c r="AS36" s="40">
        <v>3192.4005190857561</v>
      </c>
      <c r="AT36" s="40">
        <v>3388.7669544571572</v>
      </c>
      <c r="AU36" s="40">
        <v>3776.4705486448111</v>
      </c>
      <c r="AV36" s="40">
        <v>4666.9881692932549</v>
      </c>
      <c r="AW36" s="40">
        <v>5185.3822716882469</v>
      </c>
      <c r="AX36" s="40">
        <v>5382.8159614318074</v>
      </c>
      <c r="BB36" s="40">
        <v>2410.8530088808848</v>
      </c>
    </row>
    <row r="37" spans="1:54">
      <c r="A37" s="41">
        <v>57</v>
      </c>
      <c r="B37" s="41" t="s">
        <v>119</v>
      </c>
      <c r="Q37" s="40">
        <v>753.99575119549979</v>
      </c>
      <c r="R37" s="40">
        <v>876.14792089465141</v>
      </c>
      <c r="S37" s="40">
        <v>1104.2002550496843</v>
      </c>
      <c r="T37" s="40">
        <v>1431.8928703988333</v>
      </c>
      <c r="U37" s="40">
        <v>1895.1093888564365</v>
      </c>
      <c r="V37" s="40">
        <v>3143.1171125111646</v>
      </c>
      <c r="W37" s="40">
        <v>3028.9873829667627</v>
      </c>
      <c r="X37" s="40">
        <v>3121.596115491388</v>
      </c>
      <c r="Y37" s="40">
        <v>3112.5846606386476</v>
      </c>
      <c r="Z37" s="40">
        <v>3265.2908417828735</v>
      </c>
      <c r="AA37" s="40">
        <v>3453.7957139411415</v>
      </c>
      <c r="AB37" s="40">
        <v>4338.8472571640159</v>
      </c>
      <c r="AC37" s="40">
        <v>5121.5320536761901</v>
      </c>
      <c r="AD37" s="40">
        <v>5809.8115236498716</v>
      </c>
      <c r="AE37" s="40">
        <v>6076.161082785442</v>
      </c>
      <c r="AF37" s="40">
        <v>7293.3081085965314</v>
      </c>
      <c r="AG37" s="40">
        <v>7368.0466498029837</v>
      </c>
      <c r="AH37" s="40">
        <v>8633.0658113935733</v>
      </c>
      <c r="AI37" s="40">
        <v>8048.5813572974839</v>
      </c>
      <c r="AJ37" s="40">
        <v>8870.0495566960017</v>
      </c>
      <c r="AK37" s="40">
        <v>10813.960371004305</v>
      </c>
      <c r="AL37" s="40">
        <v>10703.390592837641</v>
      </c>
      <c r="AM37" s="40">
        <v>9998.0062704973388</v>
      </c>
      <c r="AN37" s="40">
        <v>10520.988874991954</v>
      </c>
      <c r="AO37" s="40">
        <v>10563.282639305275</v>
      </c>
      <c r="AP37" s="40">
        <v>9874.9771347204587</v>
      </c>
      <c r="AQ37" s="40">
        <v>10067.078778012088</v>
      </c>
      <c r="AR37" s="40">
        <v>10774.174883136726</v>
      </c>
      <c r="AS37" s="40">
        <v>13344.338539458069</v>
      </c>
      <c r="AT37" s="40">
        <v>15570.64445541299</v>
      </c>
      <c r="AU37" s="40">
        <v>16461.390520862675</v>
      </c>
      <c r="AV37" s="40">
        <v>17586.110564211784</v>
      </c>
      <c r="AW37" s="40">
        <v>20545.497515161231</v>
      </c>
      <c r="AX37" s="40">
        <v>23509.215583882229</v>
      </c>
      <c r="AY37" s="40">
        <v>21587.809795870209</v>
      </c>
      <c r="AZ37" s="40">
        <v>20959.286690609901</v>
      </c>
      <c r="BA37" s="40">
        <v>22384.044548168127</v>
      </c>
      <c r="BB37" s="40">
        <v>9243.522139808978</v>
      </c>
    </row>
    <row r="38" spans="1:54">
      <c r="A38" s="41">
        <v>58</v>
      </c>
      <c r="B38" s="41" t="s">
        <v>118</v>
      </c>
      <c r="AF38" s="40">
        <v>3786.8610364918541</v>
      </c>
      <c r="AG38" s="40">
        <v>2782.9626722815092</v>
      </c>
      <c r="AH38" s="40">
        <v>3240.5332552908521</v>
      </c>
      <c r="AI38" s="40">
        <v>3800.9603509377398</v>
      </c>
      <c r="AJ38" s="40">
        <v>4448.8746566396303</v>
      </c>
      <c r="AK38" s="40">
        <v>5595.6157813075451</v>
      </c>
      <c r="AL38" s="40">
        <v>6291.1385051111129</v>
      </c>
      <c r="AM38" s="40">
        <v>5770.8876522073379</v>
      </c>
      <c r="AN38" s="40">
        <v>6203.7130583267262</v>
      </c>
      <c r="AO38" s="40">
        <v>6044.9811435772972</v>
      </c>
      <c r="AP38" s="40">
        <v>5724.8248612014613</v>
      </c>
      <c r="AQ38" s="40">
        <v>6288.8042500869606</v>
      </c>
      <c r="AR38" s="40">
        <v>7685.0888161377597</v>
      </c>
      <c r="AS38" s="40">
        <v>9335.6668209275522</v>
      </c>
      <c r="AT38" s="40">
        <v>11156.665467715975</v>
      </c>
      <c r="AU38" s="40">
        <v>12705.608251835476</v>
      </c>
      <c r="AV38" s="40">
        <v>14445.72526715254</v>
      </c>
      <c r="AW38" s="40">
        <v>17467.431998594217</v>
      </c>
      <c r="AX38" s="40">
        <v>21627.161582539462</v>
      </c>
      <c r="AY38" s="40">
        <v>18805.650639887765</v>
      </c>
      <c r="AZ38" s="40">
        <v>18866.855225859697</v>
      </c>
      <c r="BA38" s="40">
        <v>20580.177674977898</v>
      </c>
      <c r="BB38" s="40">
        <v>9666.1904076858355</v>
      </c>
    </row>
    <row r="39" spans="1:54">
      <c r="A39" s="41">
        <v>59</v>
      </c>
      <c r="B39" s="41" t="s">
        <v>117</v>
      </c>
      <c r="C39" s="40">
        <v>1503.5370134281618</v>
      </c>
      <c r="D39" s="40">
        <v>1681.0299129875996</v>
      </c>
      <c r="E39" s="40">
        <v>1775.370384687885</v>
      </c>
      <c r="F39" s="40">
        <v>2013.2430769326788</v>
      </c>
      <c r="G39" s="40">
        <v>2243.9315948353569</v>
      </c>
      <c r="H39" s="40">
        <v>2443.2597913502009</v>
      </c>
      <c r="I39" s="40">
        <v>2644.7866468916036</v>
      </c>
      <c r="J39" s="40">
        <v>2712.6124003393297</v>
      </c>
      <c r="K39" s="40">
        <v>3068.2367411441319</v>
      </c>
      <c r="L39" s="40">
        <v>3366.0684292882229</v>
      </c>
      <c r="M39" s="40">
        <v>3730.6218096564107</v>
      </c>
      <c r="N39" s="40">
        <v>4525.81746123014</v>
      </c>
      <c r="O39" s="40">
        <v>5966.277247824105</v>
      </c>
      <c r="P39" s="40">
        <v>6609.4361625228985</v>
      </c>
      <c r="Q39" s="40">
        <v>7824.9755505952598</v>
      </c>
      <c r="R39" s="40">
        <v>8610.2058880824916</v>
      </c>
      <c r="S39" s="40">
        <v>9601.1703147923927</v>
      </c>
      <c r="T39" s="40">
        <v>11617.035814283377</v>
      </c>
      <c r="U39" s="40">
        <v>13516.415027754934</v>
      </c>
      <c r="V39" s="40">
        <v>13607.065352096073</v>
      </c>
      <c r="W39" s="40">
        <v>11788.173380756516</v>
      </c>
      <c r="X39" s="40">
        <v>11516.090077987996</v>
      </c>
      <c r="Y39" s="40">
        <v>11576.334219998293</v>
      </c>
      <c r="Z39" s="40">
        <v>11290.864490245291</v>
      </c>
      <c r="AA39" s="40">
        <v>11968.616223755293</v>
      </c>
      <c r="AB39" s="40">
        <v>16866.496307559435</v>
      </c>
      <c r="AC39" s="40">
        <v>20941.260189424091</v>
      </c>
      <c r="AD39" s="40">
        <v>22074.359580533521</v>
      </c>
      <c r="AE39" s="40">
        <v>21443.038653469986</v>
      </c>
      <c r="AF39" s="40">
        <v>26422.829375167261</v>
      </c>
      <c r="AG39" s="40">
        <v>26520.386145044427</v>
      </c>
      <c r="AH39" s="40">
        <v>29043.655833115416</v>
      </c>
      <c r="AI39" s="40">
        <v>27102.854364389652</v>
      </c>
      <c r="AJ39" s="40">
        <v>29502.094525471977</v>
      </c>
      <c r="AK39" s="40">
        <v>34773.675441318192</v>
      </c>
      <c r="AL39" s="40">
        <v>35043.3647374391</v>
      </c>
      <c r="AM39" s="40">
        <v>32248.959491275349</v>
      </c>
      <c r="AN39" s="40">
        <v>32738.683280804904</v>
      </c>
      <c r="AO39" s="40">
        <v>32685.318946923686</v>
      </c>
      <c r="AP39" s="40">
        <v>29980.155472954604</v>
      </c>
      <c r="AQ39" s="40">
        <v>29946.381831210911</v>
      </c>
      <c r="AR39" s="40">
        <v>32344.319792028593</v>
      </c>
      <c r="AS39" s="40">
        <v>39443.268171985648</v>
      </c>
      <c r="AT39" s="40">
        <v>45282.068004999521</v>
      </c>
      <c r="AU39" s="40">
        <v>47546.59459413719</v>
      </c>
      <c r="AV39" s="40">
        <v>50462.233575607679</v>
      </c>
      <c r="AW39" s="40">
        <v>57021.173177950681</v>
      </c>
      <c r="AX39" s="40">
        <v>62596.488537966456</v>
      </c>
      <c r="AY39" s="40">
        <v>56226.580145794542</v>
      </c>
      <c r="AZ39" s="40">
        <v>56485.894435376424</v>
      </c>
      <c r="BA39" s="40">
        <v>59889.005096349021</v>
      </c>
      <c r="BB39" s="40">
        <v>21996.712053367937</v>
      </c>
    </row>
    <row r="40" spans="1:54">
      <c r="A40" s="41">
        <v>62</v>
      </c>
      <c r="B40" s="41" t="s">
        <v>116</v>
      </c>
      <c r="C40" s="40">
        <v>190.9947668439473</v>
      </c>
      <c r="D40" s="40">
        <v>232.77562502136107</v>
      </c>
      <c r="E40" s="40">
        <v>257.17112597669279</v>
      </c>
      <c r="F40" s="40">
        <v>271.4584466836593</v>
      </c>
      <c r="G40" s="40">
        <v>227.74690524743659</v>
      </c>
      <c r="H40" s="40">
        <v>244.61665173292707</v>
      </c>
      <c r="I40" s="40">
        <v>249.58370557033783</v>
      </c>
      <c r="J40" s="40">
        <v>252.65361964755863</v>
      </c>
      <c r="K40" s="40">
        <v>279.84817195800707</v>
      </c>
      <c r="L40" s="40">
        <v>328.34379233748098</v>
      </c>
      <c r="M40" s="40">
        <v>358.23439286644054</v>
      </c>
      <c r="N40" s="40">
        <v>415.72851816513793</v>
      </c>
      <c r="O40" s="40">
        <v>477.58873064092262</v>
      </c>
      <c r="P40" s="40">
        <v>580.5941524627226</v>
      </c>
      <c r="Q40" s="40">
        <v>696.36198052902841</v>
      </c>
      <c r="R40" s="40">
        <v>745.75399893932843</v>
      </c>
      <c r="S40" s="40">
        <v>844.99593721855956</v>
      </c>
      <c r="T40" s="40">
        <v>858.8134688948137</v>
      </c>
      <c r="U40" s="40">
        <v>966.13962990886262</v>
      </c>
      <c r="V40" s="40">
        <v>1138.2293957050765</v>
      </c>
      <c r="W40" s="40">
        <v>1218.8727545116071</v>
      </c>
      <c r="X40" s="40">
        <v>1305.4914166892745</v>
      </c>
      <c r="Y40" s="40">
        <v>1381.6466510052273</v>
      </c>
      <c r="Z40" s="40">
        <v>1618.7784421529266</v>
      </c>
      <c r="AA40" s="40">
        <v>773.27023801711698</v>
      </c>
      <c r="AB40" s="40">
        <v>918.35197826090689</v>
      </c>
      <c r="AC40" s="40">
        <v>855.68642547430125</v>
      </c>
      <c r="AD40" s="40">
        <v>772.84492691603577</v>
      </c>
      <c r="AE40" s="40">
        <v>941.90482685741438</v>
      </c>
      <c r="AF40" s="40">
        <v>976.33550406961467</v>
      </c>
      <c r="AG40" s="40">
        <v>1315.4582394974555</v>
      </c>
      <c r="AH40" s="40">
        <v>1495.6319464057447</v>
      </c>
      <c r="AI40" s="40">
        <v>1687.8352216826938</v>
      </c>
      <c r="AJ40" s="40">
        <v>1852.2427834408559</v>
      </c>
      <c r="AK40" s="40">
        <v>2050.4594935640248</v>
      </c>
      <c r="AL40" s="40">
        <v>2233.3752127071743</v>
      </c>
      <c r="AM40" s="40">
        <v>2373.0950639660036</v>
      </c>
      <c r="AN40" s="40">
        <v>2522.6273730735907</v>
      </c>
      <c r="AO40" s="40">
        <v>2545.6547985747425</v>
      </c>
      <c r="AP40" s="40">
        <v>2769.8823219872975</v>
      </c>
      <c r="AQ40" s="40">
        <v>2829.1924463911428</v>
      </c>
      <c r="AR40" s="40">
        <v>2973.6571454147816</v>
      </c>
      <c r="AS40" s="40">
        <v>2344.5339196874038</v>
      </c>
      <c r="AT40" s="40">
        <v>2393.6462997224639</v>
      </c>
      <c r="AU40" s="40">
        <v>3639.3788235908864</v>
      </c>
      <c r="AV40" s="40">
        <v>3787.453471743986</v>
      </c>
      <c r="AW40" s="40">
        <v>4287.8007009676785</v>
      </c>
      <c r="AX40" s="40">
        <v>4688.3552780488208</v>
      </c>
      <c r="AY40" s="40">
        <v>4725.7074436578832</v>
      </c>
      <c r="AZ40" s="40">
        <v>5156.7285201280974</v>
      </c>
      <c r="BA40" s="40">
        <v>5485.8847055373417</v>
      </c>
      <c r="BB40" s="40">
        <v>1638.0277919626433</v>
      </c>
    </row>
    <row r="41" spans="1:54">
      <c r="A41" s="41">
        <v>63</v>
      </c>
      <c r="B41" s="41" t="s">
        <v>115</v>
      </c>
      <c r="C41" s="40">
        <v>210.802120700643</v>
      </c>
      <c r="D41" s="40">
        <v>200.56205667263686</v>
      </c>
      <c r="E41" s="40">
        <v>211.08809973201036</v>
      </c>
      <c r="F41" s="40">
        <v>228.32383827221389</v>
      </c>
      <c r="G41" s="40">
        <v>457.92406622436744</v>
      </c>
      <c r="H41" s="40">
        <v>452.67587241431642</v>
      </c>
      <c r="I41" s="40">
        <v>462.19519375314729</v>
      </c>
      <c r="J41" s="40">
        <v>453.99911354800628</v>
      </c>
      <c r="K41" s="40">
        <v>531.60022190393227</v>
      </c>
      <c r="L41" s="40">
        <v>475.12303718434964</v>
      </c>
      <c r="M41" s="40">
        <v>444.31600295755987</v>
      </c>
      <c r="N41" s="40">
        <v>499.65822594912987</v>
      </c>
      <c r="O41" s="40">
        <v>593.50358723798354</v>
      </c>
      <c r="P41" s="40">
        <v>978.91280438460478</v>
      </c>
      <c r="Q41" s="40">
        <v>1115.8924404526776</v>
      </c>
      <c r="R41" s="40">
        <v>1277.1194262459169</v>
      </c>
      <c r="S41" s="40">
        <v>1507.8655278807748</v>
      </c>
      <c r="T41" s="40">
        <v>1587.7829986314264</v>
      </c>
      <c r="U41" s="40">
        <v>1839.045032084297</v>
      </c>
      <c r="V41" s="40">
        <v>2260.7836672568124</v>
      </c>
      <c r="W41" s="40">
        <v>2688.3063660909979</v>
      </c>
      <c r="X41" s="40">
        <v>2395.6019615724258</v>
      </c>
      <c r="Y41" s="40">
        <v>2011.1271590960118</v>
      </c>
      <c r="Z41" s="40">
        <v>1934.4592838896383</v>
      </c>
      <c r="AA41" s="40">
        <v>1913.5238593297865</v>
      </c>
      <c r="AB41" s="40">
        <v>1666.9372289918649</v>
      </c>
      <c r="AC41" s="40">
        <v>1480.8735239617522</v>
      </c>
      <c r="AD41" s="40">
        <v>1352.400132416348</v>
      </c>
      <c r="AE41" s="40">
        <v>1404.9779482850581</v>
      </c>
      <c r="AF41" s="40">
        <v>1505.3230706084476</v>
      </c>
      <c r="AG41" s="40">
        <v>1639.6864337497698</v>
      </c>
      <c r="AH41" s="40">
        <v>1707.2634133441436</v>
      </c>
      <c r="AI41" s="40">
        <v>1747.6702462083053</v>
      </c>
      <c r="AJ41" s="40">
        <v>2050.3181544398558</v>
      </c>
      <c r="AK41" s="40">
        <v>2159.1385412990303</v>
      </c>
      <c r="AL41" s="40">
        <v>2182.7068171155097</v>
      </c>
      <c r="AM41" s="40">
        <v>2386.7091892545454</v>
      </c>
      <c r="AN41" s="40">
        <v>2323.556239046944</v>
      </c>
      <c r="AO41" s="40">
        <v>1598.8341301862326</v>
      </c>
      <c r="AP41" s="40">
        <v>1462.3202101726695</v>
      </c>
      <c r="AQ41" s="40">
        <v>1914.4491661717211</v>
      </c>
      <c r="AR41" s="40">
        <v>2191.0096061861968</v>
      </c>
      <c r="AS41" s="40">
        <v>2442.2690361591126</v>
      </c>
      <c r="AT41" s="40">
        <v>2704.665154517772</v>
      </c>
      <c r="AU41" s="40">
        <v>3012.7524373543374</v>
      </c>
      <c r="AV41" s="40">
        <v>3337.4003628052137</v>
      </c>
      <c r="AW41" s="40">
        <v>3574.8778927303465</v>
      </c>
      <c r="AX41" s="40">
        <v>4255.8519947283712</v>
      </c>
      <c r="AY41" s="40">
        <v>4236.7775553209913</v>
      </c>
      <c r="AZ41" s="40">
        <v>4500.5915577233418</v>
      </c>
      <c r="BA41" s="40">
        <v>5035.2424930054349</v>
      </c>
      <c r="BB41" s="40">
        <v>1776.6038137107648</v>
      </c>
    </row>
    <row r="42" spans="1:54">
      <c r="A42" s="41">
        <v>64</v>
      </c>
      <c r="B42" s="41" t="s">
        <v>114</v>
      </c>
      <c r="C42" s="40">
        <v>150.56183552691525</v>
      </c>
      <c r="D42" s="40">
        <v>135.29017888311941</v>
      </c>
      <c r="E42" s="40">
        <v>136.81259371067392</v>
      </c>
      <c r="F42" s="40">
        <v>153.05424800497261</v>
      </c>
      <c r="G42" s="40">
        <v>159.32016469570667</v>
      </c>
      <c r="H42" s="40">
        <v>162.11282478532723</v>
      </c>
      <c r="I42" s="40">
        <v>165.069919424566</v>
      </c>
      <c r="J42" s="40">
        <v>176.25625660162737</v>
      </c>
      <c r="K42" s="40">
        <v>193.23103528218894</v>
      </c>
      <c r="L42" s="40">
        <v>211.3927522164648</v>
      </c>
      <c r="M42" s="40">
        <v>222.49022981198584</v>
      </c>
      <c r="N42" s="40">
        <v>230.96223228600323</v>
      </c>
      <c r="O42" s="40">
        <v>248.27746008101448</v>
      </c>
      <c r="P42" s="40">
        <v>228.03581890245232</v>
      </c>
      <c r="Q42" s="40">
        <v>283.40530398747632</v>
      </c>
      <c r="R42" s="40">
        <v>324.18496769080474</v>
      </c>
      <c r="S42" s="40">
        <v>347.70142921488861</v>
      </c>
      <c r="T42" s="40">
        <v>345.30036427719796</v>
      </c>
      <c r="U42" s="40">
        <v>412.95661080117139</v>
      </c>
      <c r="V42" s="40">
        <v>509.93756120249651</v>
      </c>
      <c r="W42" s="40">
        <v>509.41496887739618</v>
      </c>
      <c r="X42" s="40">
        <v>544.61825578084836</v>
      </c>
      <c r="Y42" s="40">
        <v>585.31901737035037</v>
      </c>
      <c r="Z42" s="40">
        <v>622.94394535576964</v>
      </c>
      <c r="AA42" s="40">
        <v>689.01562893237508</v>
      </c>
      <c r="AB42" s="40">
        <v>696.09573763416813</v>
      </c>
      <c r="AC42" s="40">
        <v>767.53224385826672</v>
      </c>
      <c r="AD42" s="40">
        <v>648.83994796740717</v>
      </c>
      <c r="AE42" s="40">
        <v>718.17450774508973</v>
      </c>
      <c r="AF42" s="40">
        <v>765.58408630061854</v>
      </c>
      <c r="AG42" s="40">
        <v>644.22562031014616</v>
      </c>
      <c r="AH42" s="40">
        <v>717.06309671237</v>
      </c>
      <c r="AI42" s="40">
        <v>785.37137595363049</v>
      </c>
      <c r="AJ42" s="40">
        <v>861.63668644819552</v>
      </c>
      <c r="AK42" s="40">
        <v>983.50206047099971</v>
      </c>
      <c r="AL42" s="40">
        <v>1088.6317999727924</v>
      </c>
      <c r="AM42" s="40">
        <v>1243.1687635149553</v>
      </c>
      <c r="AN42" s="40">
        <v>1323.7035901137963</v>
      </c>
      <c r="AO42" s="40">
        <v>1393.4531733619854</v>
      </c>
      <c r="AP42" s="40">
        <v>1509.5810200876842</v>
      </c>
      <c r="AQ42" s="40">
        <v>1452.7667025479982</v>
      </c>
      <c r="AR42" s="40">
        <v>1286.1922783087909</v>
      </c>
      <c r="AS42" s="40">
        <v>1194.3068172772128</v>
      </c>
      <c r="AT42" s="40">
        <v>1116.9251609265398</v>
      </c>
      <c r="AU42" s="40">
        <v>1249.4932601353134</v>
      </c>
      <c r="AV42" s="40">
        <v>1472.5705484319992</v>
      </c>
      <c r="AW42" s="40">
        <v>1757.760483996987</v>
      </c>
      <c r="AX42" s="40">
        <v>2156.7629688668121</v>
      </c>
      <c r="AY42" s="40">
        <v>2461.530856555979</v>
      </c>
      <c r="AZ42" s="40">
        <v>2803.5329626527396</v>
      </c>
      <c r="BA42" s="40">
        <v>2972.3667129023324</v>
      </c>
      <c r="BB42" s="40">
        <v>819.96937385801152</v>
      </c>
    </row>
    <row r="43" spans="1:54">
      <c r="A43" s="41">
        <v>65</v>
      </c>
      <c r="B43" s="41" t="s">
        <v>113</v>
      </c>
      <c r="C43" s="40">
        <v>222.55032514720034</v>
      </c>
      <c r="D43" s="40">
        <v>239.29512862519852</v>
      </c>
      <c r="E43" s="40">
        <v>244.90187677380413</v>
      </c>
      <c r="F43" s="40">
        <v>261.51029360609124</v>
      </c>
      <c r="AF43" s="40">
        <v>898.33549231204677</v>
      </c>
      <c r="AG43" s="40">
        <v>978.93268315950127</v>
      </c>
      <c r="AH43" s="40">
        <v>1080.4794664258434</v>
      </c>
      <c r="AI43" s="40">
        <v>1239.5192747079998</v>
      </c>
      <c r="AJ43" s="40">
        <v>1424.0789492786639</v>
      </c>
      <c r="AK43" s="40">
        <v>1652.8305396267249</v>
      </c>
      <c r="AL43" s="40">
        <v>1776.4744232389719</v>
      </c>
      <c r="AM43" s="40">
        <v>1901.6715068039048</v>
      </c>
      <c r="AN43" s="40">
        <v>2037.0452085860638</v>
      </c>
      <c r="AO43" s="40">
        <v>2102.3876977652681</v>
      </c>
      <c r="AP43" s="40">
        <v>2204.1620784339921</v>
      </c>
      <c r="AQ43" s="40">
        <v>2307.7784542388108</v>
      </c>
      <c r="AR43" s="40">
        <v>2381.1528969553492</v>
      </c>
      <c r="AS43" s="40">
        <v>2495.5691858812352</v>
      </c>
      <c r="AT43" s="40">
        <v>2611.1610719275436</v>
      </c>
      <c r="AU43" s="40">
        <v>2814.9350403406288</v>
      </c>
      <c r="AV43" s="40">
        <v>3042.7484281639945</v>
      </c>
      <c r="AW43" s="40">
        <v>3283.5305584626499</v>
      </c>
      <c r="AX43" s="40">
        <v>3483.7094198488371</v>
      </c>
      <c r="AY43" s="40">
        <v>3341.320200715325</v>
      </c>
      <c r="AZ43" s="40">
        <v>3444.4561484482233</v>
      </c>
      <c r="BA43" s="40">
        <v>3698.5461879511695</v>
      </c>
      <c r="BB43" s="40">
        <v>1968.041636054809</v>
      </c>
    </row>
    <row r="44" spans="1:54">
      <c r="A44" s="41">
        <v>67</v>
      </c>
      <c r="B44" s="41" t="s">
        <v>112</v>
      </c>
      <c r="AH44" s="40">
        <v>143.19129451816508</v>
      </c>
      <c r="AI44" s="40">
        <v>139.88897225185374</v>
      </c>
      <c r="AJ44" s="40">
        <v>157.96164442022811</v>
      </c>
      <c r="AK44" s="40">
        <v>169.61488045702052</v>
      </c>
      <c r="AL44" s="40">
        <v>199.67068401587815</v>
      </c>
      <c r="AM44" s="40">
        <v>192.81640785000485</v>
      </c>
      <c r="AN44" s="40">
        <v>203.23201153091986</v>
      </c>
      <c r="AO44" s="40">
        <v>181.51557937537882</v>
      </c>
      <c r="AP44" s="40">
        <v>179.31160493794971</v>
      </c>
      <c r="AQ44" s="40">
        <v>183.43252476328911</v>
      </c>
      <c r="AR44" s="40">
        <v>170.33946474266673</v>
      </c>
      <c r="AS44" s="40">
        <v>194.57602698670684</v>
      </c>
      <c r="AT44" s="40">
        <v>237.71273662860472</v>
      </c>
      <c r="AU44" s="40">
        <v>226.28985677138323</v>
      </c>
      <c r="AV44" s="40">
        <v>240.54681625089034</v>
      </c>
      <c r="AW44" s="40">
        <v>252.97762993549961</v>
      </c>
      <c r="AX44" s="40">
        <v>256.43756980817437</v>
      </c>
      <c r="AY44" s="40">
        <v>334.06488515129587</v>
      </c>
      <c r="AZ44" s="40">
        <v>368.74775819689802</v>
      </c>
      <c r="BA44" s="40">
        <v>439.54237142581241</v>
      </c>
      <c r="BB44" s="40">
        <v>223.59353600093104</v>
      </c>
    </row>
    <row r="45" spans="1:54">
      <c r="A45" s="41">
        <v>68</v>
      </c>
      <c r="B45" s="41" t="s">
        <v>111</v>
      </c>
      <c r="AK45" s="40">
        <v>2629.0195113754348</v>
      </c>
      <c r="AL45" s="40">
        <v>3339.8593713486193</v>
      </c>
      <c r="AM45" s="40">
        <v>3609.8261335478287</v>
      </c>
      <c r="AN45" s="40">
        <v>4035.564360641753</v>
      </c>
      <c r="AO45" s="40">
        <v>4150.033723757906</v>
      </c>
      <c r="AP45" s="40">
        <v>4143.9302686540905</v>
      </c>
      <c r="AQ45" s="40">
        <v>4572.9122700206417</v>
      </c>
      <c r="AR45" s="40">
        <v>5386.3902000055141</v>
      </c>
      <c r="AS45" s="40">
        <v>7270.2834363429465</v>
      </c>
      <c r="AT45" s="40">
        <v>8912.7939212436522</v>
      </c>
      <c r="AU45" s="40">
        <v>10330.28165880847</v>
      </c>
      <c r="AV45" s="40">
        <v>12503.094679790895</v>
      </c>
      <c r="AW45" s="40">
        <v>16392.724126172201</v>
      </c>
      <c r="AX45" s="40">
        <v>17738.482256309904</v>
      </c>
      <c r="AY45" s="40">
        <v>14263.986143572107</v>
      </c>
      <c r="AZ45" s="40">
        <v>14062.232891971071</v>
      </c>
      <c r="BA45" s="40">
        <v>16534.220538964284</v>
      </c>
      <c r="BB45" s="40">
        <v>8816.2138525016053</v>
      </c>
    </row>
    <row r="46" spans="1:54">
      <c r="A46" s="41">
        <v>69</v>
      </c>
      <c r="B46" s="41" t="s">
        <v>110</v>
      </c>
      <c r="W46" s="40">
        <v>201.39235285618264</v>
      </c>
      <c r="X46" s="40">
        <v>206.11710174997677</v>
      </c>
      <c r="Y46" s="40">
        <v>222.23977791077357</v>
      </c>
      <c r="Z46" s="40">
        <v>203.44440883575041</v>
      </c>
      <c r="AA46" s="40">
        <v>230.7357477435657</v>
      </c>
      <c r="AB46" s="40">
        <v>232.15022494758162</v>
      </c>
      <c r="AC46" s="40">
        <v>240.29008829911854</v>
      </c>
      <c r="AD46" s="40">
        <v>241.02243273462042</v>
      </c>
      <c r="AE46" s="40">
        <v>245.27169721546247</v>
      </c>
      <c r="AF46" s="40">
        <v>251.49633769481227</v>
      </c>
      <c r="AG46" s="40">
        <v>268.60481999708514</v>
      </c>
      <c r="AH46" s="40">
        <v>202.09662559301071</v>
      </c>
      <c r="AI46" s="40">
        <v>164.24114356130252</v>
      </c>
      <c r="AJ46" s="40">
        <v>124.55028984006057</v>
      </c>
      <c r="AK46" s="40">
        <v>133.37784565262541</v>
      </c>
      <c r="AL46" s="40">
        <v>144.22964451211635</v>
      </c>
      <c r="AM46" s="40">
        <v>146.75139689788517</v>
      </c>
      <c r="AN46" s="40">
        <v>129.41342202476415</v>
      </c>
      <c r="AO46" s="40">
        <v>121.99507364700685</v>
      </c>
      <c r="AP46" s="40">
        <v>123.88690666545753</v>
      </c>
      <c r="AQ46" s="40">
        <v>120.2025771278138</v>
      </c>
      <c r="AR46" s="40">
        <v>111.38262135607053</v>
      </c>
      <c r="AS46" s="40">
        <v>118.87836665009483</v>
      </c>
      <c r="AT46" s="40">
        <v>135.74312003028746</v>
      </c>
      <c r="AU46" s="40">
        <v>161.57347270199168</v>
      </c>
      <c r="AV46" s="40">
        <v>193.6923581943399</v>
      </c>
      <c r="AW46" s="40">
        <v>243.12006203236629</v>
      </c>
      <c r="AX46" s="40">
        <v>325.10502667313568</v>
      </c>
      <c r="AY46" s="40">
        <v>379.41661307423743</v>
      </c>
      <c r="AZ46" s="40">
        <v>341.07721845763342</v>
      </c>
      <c r="BA46" s="40">
        <v>354.7126249924022</v>
      </c>
      <c r="BB46" s="40">
        <v>203.81327095708167</v>
      </c>
    </row>
    <row r="47" spans="1:54">
      <c r="A47" s="41">
        <v>73</v>
      </c>
      <c r="B47" s="41" t="s">
        <v>109</v>
      </c>
      <c r="C47" s="40">
        <v>1327.427224365998</v>
      </c>
      <c r="D47" s="40">
        <v>1411.7023981804352</v>
      </c>
      <c r="E47" s="40">
        <v>1522.3192420995049</v>
      </c>
      <c r="F47" s="40">
        <v>1707.5039382470122</v>
      </c>
      <c r="G47" s="40">
        <v>1882.0868576484877</v>
      </c>
      <c r="H47" s="40">
        <v>2010.2134561972505</v>
      </c>
      <c r="I47" s="40">
        <v>2034.189049654778</v>
      </c>
      <c r="J47" s="40">
        <v>1907.0772721766712</v>
      </c>
      <c r="K47" s="40">
        <v>2178.0352504498242</v>
      </c>
      <c r="L47" s="40">
        <v>2436.341683519724</v>
      </c>
      <c r="M47" s="40">
        <v>2683.9091768347052</v>
      </c>
      <c r="N47" s="40">
        <v>3139.8805098810308</v>
      </c>
      <c r="O47" s="40">
        <v>4123.5765003831611</v>
      </c>
      <c r="P47" s="40">
        <v>5234.647834469677</v>
      </c>
      <c r="Q47" s="40">
        <v>6181.2000835159788</v>
      </c>
      <c r="R47" s="40">
        <v>6659.5922896285138</v>
      </c>
      <c r="S47" s="40">
        <v>6985.0922016231289</v>
      </c>
      <c r="T47" s="40">
        <v>7538.1503818857545</v>
      </c>
      <c r="U47" s="40">
        <v>9221.3351847536887</v>
      </c>
      <c r="V47" s="40">
        <v>11090.54554922456</v>
      </c>
      <c r="W47" s="40">
        <v>10789.899055959646</v>
      </c>
      <c r="X47" s="40">
        <v>10809.582580606124</v>
      </c>
      <c r="Y47" s="40">
        <v>10355.687514622135</v>
      </c>
      <c r="Z47" s="40">
        <v>10675.999063873216</v>
      </c>
      <c r="AA47" s="40">
        <v>11215.329217632921</v>
      </c>
      <c r="AB47" s="40">
        <v>14704.696613352431</v>
      </c>
      <c r="AC47" s="40">
        <v>18257.044572789295</v>
      </c>
      <c r="AD47" s="40">
        <v>21668.466559940698</v>
      </c>
      <c r="AE47" s="40">
        <v>23526.659712265398</v>
      </c>
      <c r="AF47" s="40">
        <v>27852.292127891833</v>
      </c>
      <c r="AG47" s="40">
        <v>24991.461678276482</v>
      </c>
      <c r="AH47" s="40">
        <v>21850.733556401061</v>
      </c>
      <c r="AI47" s="40">
        <v>17240.232917737652</v>
      </c>
      <c r="AJ47" s="40">
        <v>19776.736384124291</v>
      </c>
      <c r="AK47" s="40">
        <v>25609.138241365621</v>
      </c>
      <c r="AL47" s="40">
        <v>25037.853808294811</v>
      </c>
      <c r="AM47" s="40">
        <v>23928.211238456497</v>
      </c>
      <c r="AN47" s="40">
        <v>25179.599828403017</v>
      </c>
      <c r="AO47" s="40">
        <v>25229.595816975991</v>
      </c>
      <c r="AP47" s="40">
        <v>23529.538458378953</v>
      </c>
      <c r="AQ47" s="40">
        <v>24025.118232824847</v>
      </c>
      <c r="AR47" s="40">
        <v>25993.839966102722</v>
      </c>
      <c r="AS47" s="40">
        <v>31508.875225530486</v>
      </c>
      <c r="AT47" s="40">
        <v>36162.656014887798</v>
      </c>
      <c r="AU47" s="40">
        <v>37318.797317915691</v>
      </c>
      <c r="AV47" s="40">
        <v>39487.054058231093</v>
      </c>
      <c r="AW47" s="40">
        <v>46538.17127517792</v>
      </c>
      <c r="AX47" s="40">
        <v>51186.48516038579</v>
      </c>
      <c r="AY47" s="40">
        <v>44837.710874646305</v>
      </c>
      <c r="AZ47" s="40">
        <v>43863.966925318739</v>
      </c>
      <c r="BA47" s="40">
        <v>48842.962394375543</v>
      </c>
      <c r="BB47" s="40">
        <v>17711.161225048723</v>
      </c>
    </row>
    <row r="48" spans="1:54">
      <c r="A48" s="41">
        <v>74</v>
      </c>
      <c r="B48" s="41" t="s">
        <v>108</v>
      </c>
      <c r="C48" s="40">
        <v>1445.1519143683652</v>
      </c>
      <c r="D48" s="40">
        <v>1590.1964869859348</v>
      </c>
      <c r="E48" s="40">
        <v>1756.8040621662894</v>
      </c>
      <c r="F48" s="40">
        <v>1922.6975981687367</v>
      </c>
      <c r="G48" s="40">
        <v>2045.4421464815991</v>
      </c>
      <c r="H48" s="40">
        <v>2193.0613400146581</v>
      </c>
      <c r="I48" s="40">
        <v>2350.3440289198397</v>
      </c>
      <c r="J48" s="40">
        <v>2537.3134625226753</v>
      </c>
      <c r="K48" s="40">
        <v>2731.5404415197368</v>
      </c>
      <c r="L48" s="40">
        <v>2821.8303623413649</v>
      </c>
      <c r="M48" s="40">
        <v>3128.7384683145783</v>
      </c>
      <c r="N48" s="40">
        <v>3807.6386528951866</v>
      </c>
      <c r="O48" s="40">
        <v>4911.3579448597666</v>
      </c>
      <c r="P48" s="40">
        <v>5257.7238038991736</v>
      </c>
      <c r="Q48" s="40">
        <v>6581.1682128730845</v>
      </c>
      <c r="R48" s="40">
        <v>6760.2272655248389</v>
      </c>
      <c r="S48" s="40">
        <v>7429.3853002191472</v>
      </c>
      <c r="T48" s="40">
        <v>9129.9294295230229</v>
      </c>
      <c r="U48" s="40">
        <v>11003.862707951059</v>
      </c>
      <c r="V48" s="40">
        <v>12500.290783191183</v>
      </c>
      <c r="W48" s="40">
        <v>10903.853882063735</v>
      </c>
      <c r="X48" s="40">
        <v>10294.319514495415</v>
      </c>
      <c r="Y48" s="40">
        <v>9801.3415234760068</v>
      </c>
      <c r="Z48" s="40">
        <v>9235.0388636180705</v>
      </c>
      <c r="AA48" s="40">
        <v>9564.1674471896931</v>
      </c>
      <c r="AB48" s="40">
        <v>13271.24207070175</v>
      </c>
      <c r="AC48" s="40">
        <v>15968.195592847856</v>
      </c>
      <c r="AD48" s="40">
        <v>17319.951943052194</v>
      </c>
      <c r="AE48" s="40">
        <v>17328.284173448767</v>
      </c>
      <c r="AF48" s="40">
        <v>21300.820993066496</v>
      </c>
      <c r="AG48" s="40">
        <v>21268.24831847908</v>
      </c>
      <c r="AH48" s="40">
        <v>23330.266204895015</v>
      </c>
      <c r="AI48" s="40">
        <v>21944.035533103557</v>
      </c>
      <c r="AJ48" s="40">
        <v>23059.245647613421</v>
      </c>
      <c r="AK48" s="40">
        <v>26403.140683990372</v>
      </c>
      <c r="AL48" s="40">
        <v>26321.727392435983</v>
      </c>
      <c r="AM48" s="40">
        <v>23705.839361840295</v>
      </c>
      <c r="AN48" s="40">
        <v>24405.88950474844</v>
      </c>
      <c r="AO48" s="40">
        <v>24075.043429655329</v>
      </c>
      <c r="AP48" s="40">
        <v>21774.944729266364</v>
      </c>
      <c r="AQ48" s="40">
        <v>21812.191426178182</v>
      </c>
      <c r="AR48" s="40">
        <v>23494.408407533254</v>
      </c>
      <c r="AS48" s="40">
        <v>28794.071090730773</v>
      </c>
      <c r="AT48" s="40">
        <v>32784.83759245494</v>
      </c>
      <c r="AU48" s="40">
        <v>33818.96875022399</v>
      </c>
      <c r="AV48" s="40">
        <v>35457.046179952085</v>
      </c>
      <c r="AW48" s="40">
        <v>40341.914918780749</v>
      </c>
      <c r="AX48" s="40">
        <v>43991.699527808953</v>
      </c>
      <c r="AY48" s="40">
        <v>40487.89390446699</v>
      </c>
      <c r="AZ48" s="40">
        <v>39186.022443069494</v>
      </c>
      <c r="BA48" s="40">
        <v>42521.812946546081</v>
      </c>
      <c r="BB48" s="40">
        <v>16585.709184519092</v>
      </c>
    </row>
    <row r="49" spans="1:54">
      <c r="A49" s="41">
        <v>78</v>
      </c>
      <c r="B49" s="41" t="s">
        <v>107</v>
      </c>
      <c r="C49" s="40">
        <v>332.77203827365935</v>
      </c>
      <c r="D49" s="40">
        <v>358.88338938046945</v>
      </c>
      <c r="E49" s="40">
        <v>299.51846852060038</v>
      </c>
      <c r="F49" s="40">
        <v>412.20377651235287</v>
      </c>
      <c r="G49" s="40">
        <v>425.78277834993571</v>
      </c>
      <c r="H49" s="40">
        <v>453.68527429834103</v>
      </c>
      <c r="I49" s="40">
        <v>490.95039265968325</v>
      </c>
      <c r="J49" s="40">
        <v>521.10951464282743</v>
      </c>
      <c r="K49" s="40">
        <v>551.1124487847344</v>
      </c>
      <c r="L49" s="40">
        <v>549.59557251529986</v>
      </c>
      <c r="M49" s="40">
        <v>635.41227960178946</v>
      </c>
      <c r="N49" s="40">
        <v>703.45652334828389</v>
      </c>
      <c r="O49" s="40">
        <v>1159.4637274886718</v>
      </c>
      <c r="P49" s="40">
        <v>2430.6190033716975</v>
      </c>
      <c r="Q49" s="40">
        <v>3328.7249050519167</v>
      </c>
      <c r="R49" s="40">
        <v>4545.689314335089</v>
      </c>
      <c r="S49" s="40">
        <v>4150.7516288122752</v>
      </c>
      <c r="T49" s="40">
        <v>3450.3371947826108</v>
      </c>
      <c r="U49" s="40">
        <v>4273.4244870341045</v>
      </c>
      <c r="V49" s="40">
        <v>5891.134103262224</v>
      </c>
      <c r="W49" s="40">
        <v>5186.8716653323327</v>
      </c>
      <c r="X49" s="40">
        <v>4737.8510584833857</v>
      </c>
      <c r="Y49" s="40">
        <v>4328.2180847862764</v>
      </c>
      <c r="Z49" s="40">
        <v>4427.9092775822664</v>
      </c>
      <c r="AA49" s="40">
        <v>4043.357960561355</v>
      </c>
      <c r="AB49" s="40">
        <v>4010.6311801736888</v>
      </c>
      <c r="AC49" s="40">
        <v>3762.8469138686337</v>
      </c>
      <c r="AD49" s="40">
        <v>4277.5316040513035</v>
      </c>
      <c r="AE49" s="40">
        <v>4543.9572799902126</v>
      </c>
      <c r="AF49" s="40">
        <v>6287.3929477828178</v>
      </c>
      <c r="AG49" s="40">
        <v>5555.4787913199625</v>
      </c>
      <c r="AH49" s="40">
        <v>5598.9808331088616</v>
      </c>
      <c r="AI49" s="40">
        <v>4269.5204088869496</v>
      </c>
      <c r="AJ49" s="40">
        <v>3980.7473477841659</v>
      </c>
      <c r="AK49" s="40">
        <v>4589.4967213816008</v>
      </c>
      <c r="AL49" s="40">
        <v>5135.7899084018172</v>
      </c>
      <c r="AM49" s="40">
        <v>4683.2784525841298</v>
      </c>
      <c r="AN49" s="40">
        <v>3843.3958235942059</v>
      </c>
      <c r="AO49" s="40">
        <v>3899.0866388559384</v>
      </c>
      <c r="AP49" s="40">
        <v>4135.2540603347634</v>
      </c>
      <c r="AQ49" s="40">
        <v>3754.3639241720375</v>
      </c>
      <c r="AR49" s="40">
        <v>3836.796680936282</v>
      </c>
      <c r="AS49" s="40">
        <v>4601.60445352641</v>
      </c>
      <c r="AT49" s="40">
        <v>5328.4851861663055</v>
      </c>
      <c r="AU49" s="40">
        <v>6281.9546835552928</v>
      </c>
      <c r="AV49" s="40">
        <v>6756.2711587421791</v>
      </c>
      <c r="AW49" s="40">
        <v>7994.3048251245982</v>
      </c>
      <c r="AX49" s="40">
        <v>10609.542083815104</v>
      </c>
      <c r="AY49" s="40">
        <v>7948.9863606116178</v>
      </c>
      <c r="AZ49" s="40">
        <v>9342.7145735406739</v>
      </c>
      <c r="BA49" s="40">
        <v>11788.548574588085</v>
      </c>
      <c r="BB49" s="40">
        <v>4009.9175742092111</v>
      </c>
    </row>
    <row r="50" spans="1:54">
      <c r="A50" s="41">
        <v>79</v>
      </c>
      <c r="B50" s="41" t="s">
        <v>106</v>
      </c>
      <c r="H50" s="40">
        <v>108.31464498392641</v>
      </c>
      <c r="I50" s="40">
        <v>112.1554125360564</v>
      </c>
      <c r="J50" s="40">
        <v>96.731363695485086</v>
      </c>
      <c r="K50" s="40">
        <v>103.64403911296068</v>
      </c>
      <c r="L50" s="40">
        <v>116.91945288897624</v>
      </c>
      <c r="M50" s="40">
        <v>121.09844303535886</v>
      </c>
      <c r="N50" s="40">
        <v>124.66983784132273</v>
      </c>
      <c r="O50" s="40">
        <v>153.48827899712754</v>
      </c>
      <c r="P50" s="40">
        <v>189.50298638887151</v>
      </c>
      <c r="Q50" s="40">
        <v>221.04465376279444</v>
      </c>
      <c r="R50" s="40">
        <v>209.15163774064857</v>
      </c>
      <c r="S50" s="40">
        <v>250.24894842425718</v>
      </c>
      <c r="T50" s="40">
        <v>302.61463256208094</v>
      </c>
      <c r="U50" s="40">
        <v>353.94498059671923</v>
      </c>
      <c r="V50" s="40">
        <v>398.89924176879362</v>
      </c>
      <c r="W50" s="40">
        <v>349.79717459017832</v>
      </c>
      <c r="X50" s="40">
        <v>333.30740968662593</v>
      </c>
      <c r="Y50" s="40">
        <v>317.0515308364117</v>
      </c>
      <c r="Z50" s="40">
        <v>252.94775623094134</v>
      </c>
      <c r="AA50" s="40">
        <v>308.33058946184644</v>
      </c>
      <c r="AB50" s="40">
        <v>242.16993060090675</v>
      </c>
      <c r="AC50" s="40">
        <v>274.36531838974201</v>
      </c>
      <c r="AD50" s="40">
        <v>316.31462157556575</v>
      </c>
      <c r="AE50" s="40">
        <v>322.44410486995952</v>
      </c>
      <c r="AF50" s="40">
        <v>345.85502214475252</v>
      </c>
      <c r="AG50" s="40">
        <v>727.04198507893443</v>
      </c>
      <c r="AH50" s="40">
        <v>729.07936229406778</v>
      </c>
      <c r="AI50" s="40">
        <v>748.86876219540341</v>
      </c>
      <c r="AJ50" s="40">
        <v>720.15084140445231</v>
      </c>
      <c r="AK50" s="40">
        <v>737.51145407727347</v>
      </c>
      <c r="AL50" s="40">
        <v>773.9904928891666</v>
      </c>
      <c r="AM50" s="40">
        <v>713.08194276416646</v>
      </c>
      <c r="AN50" s="40">
        <v>724.83937654288604</v>
      </c>
      <c r="AO50" s="40">
        <v>682.83856988670698</v>
      </c>
      <c r="AP50" s="40">
        <v>637.10427126204593</v>
      </c>
      <c r="AQ50" s="40">
        <v>542.68217635131555</v>
      </c>
      <c r="AR50" s="40">
        <v>442.5269098882988</v>
      </c>
      <c r="AS50" s="40">
        <v>361.15783661016491</v>
      </c>
      <c r="AT50" s="40">
        <v>415.81396865665778</v>
      </c>
      <c r="AU50" s="40">
        <v>434.49544450812851</v>
      </c>
      <c r="AV50" s="40">
        <v>441.91965608515881</v>
      </c>
      <c r="AW50" s="40">
        <v>522.33991830153934</v>
      </c>
      <c r="AX50" s="40">
        <v>612.02857762725421</v>
      </c>
      <c r="AY50" s="40">
        <v>553.09935136050342</v>
      </c>
      <c r="AZ50" s="40">
        <v>566.33532544388584</v>
      </c>
      <c r="BA50" s="40">
        <v>517.75243196196448</v>
      </c>
      <c r="BB50" s="40">
        <v>402.81892756331058</v>
      </c>
    </row>
    <row r="51" spans="1:54">
      <c r="A51" s="41">
        <v>80</v>
      </c>
      <c r="B51" s="41" t="s">
        <v>105</v>
      </c>
      <c r="AF51" s="40">
        <v>1611.410842154399</v>
      </c>
      <c r="AG51" s="40">
        <v>1310.4726424949695</v>
      </c>
      <c r="AH51" s="40">
        <v>757.38393919697023</v>
      </c>
      <c r="AI51" s="40">
        <v>550.01539449418624</v>
      </c>
      <c r="AJ51" s="40">
        <v>517.08711304956569</v>
      </c>
      <c r="AK51" s="40">
        <v>569.01814110095984</v>
      </c>
      <c r="AL51" s="40">
        <v>670.46110484943608</v>
      </c>
      <c r="AM51" s="40">
        <v>774.68021087100783</v>
      </c>
      <c r="AN51" s="40">
        <v>805.27268997132569</v>
      </c>
      <c r="AO51" s="40">
        <v>628.86565797527635</v>
      </c>
      <c r="AP51" s="40">
        <v>691.99770519198455</v>
      </c>
      <c r="AQ51" s="40">
        <v>733.97041379006009</v>
      </c>
      <c r="AR51" s="40">
        <v>779.38459063659047</v>
      </c>
      <c r="AS51" s="40">
        <v>922.02973961527255</v>
      </c>
      <c r="AT51" s="40">
        <v>1186.8730466262598</v>
      </c>
      <c r="AU51" s="40">
        <v>1469.9746235616303</v>
      </c>
      <c r="AV51" s="40">
        <v>1764.8704363604079</v>
      </c>
      <c r="AW51" s="40">
        <v>2317.9885011600268</v>
      </c>
      <c r="AX51" s="40">
        <v>2919.690052002723</v>
      </c>
      <c r="AY51" s="40">
        <v>2440.9613177727679</v>
      </c>
      <c r="AZ51" s="40">
        <v>2613.6814129315339</v>
      </c>
      <c r="BA51" s="40">
        <v>3219.558512125654</v>
      </c>
      <c r="BB51" s="40">
        <v>1329.8021858151369</v>
      </c>
    </row>
    <row r="52" spans="1:54">
      <c r="A52" s="41">
        <v>81</v>
      </c>
      <c r="B52" s="41" t="s">
        <v>104</v>
      </c>
      <c r="L52" s="40">
        <v>2672.0183042427057</v>
      </c>
      <c r="M52" s="40">
        <v>3089.0706583132433</v>
      </c>
      <c r="N52" s="40">
        <v>3686.9703171530446</v>
      </c>
      <c r="O52" s="40">
        <v>4883.8128308893893</v>
      </c>
      <c r="P52" s="40">
        <v>5457.0112959770613</v>
      </c>
      <c r="Q52" s="40">
        <v>6035.0084153742482</v>
      </c>
      <c r="R52" s="40">
        <v>6420.6403063883163</v>
      </c>
      <c r="S52" s="40">
        <v>7434.8977583240348</v>
      </c>
      <c r="T52" s="40">
        <v>9175.9004610992033</v>
      </c>
      <c r="U52" s="40">
        <v>10916.798076017738</v>
      </c>
      <c r="V52" s="40">
        <v>11746.40409710747</v>
      </c>
      <c r="W52" s="40">
        <v>9879.4574345207402</v>
      </c>
      <c r="X52" s="40">
        <v>9593.6573261425383</v>
      </c>
      <c r="Y52" s="40">
        <v>9545.8593421636706</v>
      </c>
      <c r="Z52" s="40">
        <v>9012.4793689101261</v>
      </c>
      <c r="AA52" s="40">
        <v>9125.1210202011698</v>
      </c>
      <c r="AB52" s="40">
        <v>13027.195018610904</v>
      </c>
      <c r="AC52" s="40">
        <v>16139.051616963017</v>
      </c>
      <c r="AD52" s="40">
        <v>17352.343206354042</v>
      </c>
      <c r="AE52" s="40">
        <v>17190.82613453472</v>
      </c>
      <c r="AF52" s="40">
        <v>21583.843524630025</v>
      </c>
      <c r="AG52" s="40">
        <v>22603.616474269802</v>
      </c>
      <c r="AH52" s="40">
        <v>25604.725434453947</v>
      </c>
      <c r="AI52" s="40">
        <v>24735.620240584834</v>
      </c>
      <c r="AJ52" s="40">
        <v>26375.84572714577</v>
      </c>
      <c r="AK52" s="40">
        <v>30887.865485203634</v>
      </c>
      <c r="AL52" s="40">
        <v>29749.971259161255</v>
      </c>
      <c r="AM52" s="40">
        <v>26296.530612699415</v>
      </c>
      <c r="AN52" s="40">
        <v>26547.775353907025</v>
      </c>
      <c r="AO52" s="40">
        <v>25956.637413113138</v>
      </c>
      <c r="AP52" s="40">
        <v>22945.708850150691</v>
      </c>
      <c r="AQ52" s="40">
        <v>22840.274045011334</v>
      </c>
      <c r="AR52" s="40">
        <v>24325.666449403248</v>
      </c>
      <c r="AS52" s="40">
        <v>29367.408943658258</v>
      </c>
      <c r="AT52" s="40">
        <v>33040.051409262203</v>
      </c>
      <c r="AU52" s="40">
        <v>33542.781383458998</v>
      </c>
      <c r="AV52" s="40">
        <v>35237.603258242445</v>
      </c>
      <c r="AW52" s="40">
        <v>40402.990083871926</v>
      </c>
      <c r="AX52" s="40">
        <v>44132.041815745237</v>
      </c>
      <c r="AY52" s="40">
        <v>40275.250763838412</v>
      </c>
      <c r="AZ52" s="40">
        <v>40163.817401931403</v>
      </c>
      <c r="BA52" s="40">
        <v>44021.219690850296</v>
      </c>
      <c r="BB52" s="40">
        <v>20310.042109759066</v>
      </c>
    </row>
    <row r="53" spans="1:54">
      <c r="A53" s="41">
        <v>82</v>
      </c>
      <c r="B53" s="41" t="s">
        <v>103</v>
      </c>
      <c r="C53" s="40">
        <v>189.66592491206546</v>
      </c>
      <c r="D53" s="40">
        <v>195.11354484391344</v>
      </c>
      <c r="E53" s="40">
        <v>211.00063387202826</v>
      </c>
      <c r="F53" s="40">
        <v>230.46170758261573</v>
      </c>
      <c r="G53" s="40">
        <v>266.38398701176277</v>
      </c>
      <c r="H53" s="40">
        <v>269.52333984715835</v>
      </c>
      <c r="I53" s="40">
        <v>216.87970372564374</v>
      </c>
      <c r="J53" s="40">
        <v>202.78144049390917</v>
      </c>
      <c r="K53" s="40">
        <v>233.61173655940587</v>
      </c>
      <c r="L53" s="40">
        <v>257.68158327792901</v>
      </c>
      <c r="M53" s="40">
        <v>273.87271744739053</v>
      </c>
      <c r="N53" s="40">
        <v>232.56875228853184</v>
      </c>
      <c r="O53" s="40">
        <v>263.69608236503291</v>
      </c>
      <c r="P53" s="40">
        <v>301.36702772394312</v>
      </c>
      <c r="Q53" s="40">
        <v>285.82285674312243</v>
      </c>
      <c r="R53" s="40">
        <v>275.87902084200306</v>
      </c>
      <c r="S53" s="40">
        <v>313.00095052090234</v>
      </c>
      <c r="T53" s="40">
        <v>353.69839312526352</v>
      </c>
      <c r="U53" s="40">
        <v>381.02130513590811</v>
      </c>
      <c r="V53" s="40">
        <v>411.50004771096155</v>
      </c>
      <c r="W53" s="40">
        <v>379.77979609058031</v>
      </c>
      <c r="X53" s="40">
        <v>351.30175858628417</v>
      </c>
      <c r="Y53" s="40">
        <v>341.06952274528135</v>
      </c>
      <c r="Z53" s="40">
        <v>358.37798677028815</v>
      </c>
      <c r="AA53" s="40">
        <v>354.20162910011828</v>
      </c>
      <c r="AB53" s="40">
        <v>437.06757306867905</v>
      </c>
      <c r="AC53" s="40">
        <v>376.44323281063527</v>
      </c>
      <c r="AD53" s="40">
        <v>375.20947108967442</v>
      </c>
      <c r="AE53" s="40">
        <v>368.9849070263395</v>
      </c>
      <c r="AF53" s="40">
        <v>402.57703804577011</v>
      </c>
      <c r="AG53" s="40">
        <v>438.94888197946875</v>
      </c>
      <c r="AH53" s="40">
        <v>414.69791014949703</v>
      </c>
      <c r="AI53" s="40">
        <v>375.23142280530232</v>
      </c>
      <c r="AJ53" s="40">
        <v>333.32991302168216</v>
      </c>
      <c r="AK53" s="40">
        <v>385.68213094031864</v>
      </c>
      <c r="AL53" s="40">
        <v>403.80474466279651</v>
      </c>
      <c r="AM53" s="40">
        <v>392.26166941481944</v>
      </c>
      <c r="AN53" s="40">
        <v>416.3917394865498</v>
      </c>
      <c r="AO53" s="40">
        <v>419.82071339712257</v>
      </c>
      <c r="AP53" s="40">
        <v>264.69269877701703</v>
      </c>
      <c r="AQ53" s="40">
        <v>275.47627102182452</v>
      </c>
      <c r="AR53" s="40">
        <v>311.63961985260534</v>
      </c>
      <c r="AS53" s="40">
        <v>375.96486716823381</v>
      </c>
      <c r="AT53" s="40">
        <v>426.26351086015632</v>
      </c>
      <c r="AU53" s="40">
        <v>501.86429470911224</v>
      </c>
      <c r="AV53" s="40">
        <v>929.94638071209579</v>
      </c>
      <c r="AW53" s="40">
        <v>1099.0862579115108</v>
      </c>
      <c r="AX53" s="40">
        <v>1234.4385298078962</v>
      </c>
      <c r="AY53" s="40">
        <v>1096.503695743703</v>
      </c>
      <c r="AZ53" s="40">
        <v>1326.06611191972</v>
      </c>
      <c r="BA53" s="40">
        <v>1594.0308091873801</v>
      </c>
      <c r="BB53" s="40">
        <v>433.85658519395992</v>
      </c>
    </row>
    <row r="54" spans="1:54">
      <c r="A54" s="41">
        <v>84</v>
      </c>
      <c r="B54" s="41" t="s">
        <v>102</v>
      </c>
      <c r="C54" s="40">
        <v>597.28732101232174</v>
      </c>
      <c r="D54" s="40">
        <v>630.6139412938104</v>
      </c>
      <c r="E54" s="40">
        <v>701.62041775284979</v>
      </c>
      <c r="F54" s="40">
        <v>784.95434843291764</v>
      </c>
      <c r="G54" s="40">
        <v>888.92199790532152</v>
      </c>
      <c r="H54" s="40">
        <v>981.65239447005251</v>
      </c>
      <c r="I54" s="40">
        <v>1052.1209927656578</v>
      </c>
      <c r="J54" s="40">
        <v>1134.3561514753821</v>
      </c>
      <c r="K54" s="40">
        <v>1284.2123155908214</v>
      </c>
      <c r="L54" s="40">
        <v>1424.9944969872115</v>
      </c>
      <c r="M54" s="40">
        <v>1575.5991341523445</v>
      </c>
      <c r="N54" s="40">
        <v>1811.4619914075502</v>
      </c>
      <c r="O54" s="40">
        <v>2386.5937039545865</v>
      </c>
      <c r="P54" s="40">
        <v>2697.3926753304495</v>
      </c>
      <c r="Q54" s="40">
        <v>3006.8116516710033</v>
      </c>
      <c r="R54" s="40">
        <v>3233.1020879923021</v>
      </c>
      <c r="S54" s="40">
        <v>3705.9065847096649</v>
      </c>
      <c r="T54" s="40">
        <v>4476.6336628889894</v>
      </c>
      <c r="U54" s="40">
        <v>5440.9878598532168</v>
      </c>
      <c r="V54" s="40">
        <v>5619.9837094061704</v>
      </c>
      <c r="W54" s="40">
        <v>5130.429582124214</v>
      </c>
      <c r="X54" s="40">
        <v>5320.1574091162965</v>
      </c>
      <c r="Y54" s="40">
        <v>4786.7755552757098</v>
      </c>
      <c r="Z54" s="40">
        <v>4627.2319956424963</v>
      </c>
      <c r="AA54" s="40">
        <v>4590.181679918187</v>
      </c>
      <c r="AB54" s="40">
        <v>5393.8398821547762</v>
      </c>
      <c r="AC54" s="40">
        <v>6260.0375384664367</v>
      </c>
      <c r="AD54" s="40">
        <v>7245.2060359569041</v>
      </c>
      <c r="AE54" s="40">
        <v>7482.3098299424573</v>
      </c>
      <c r="AF54" s="40">
        <v>9190.3437095290265</v>
      </c>
      <c r="AG54" s="40">
        <v>9775.5408484408126</v>
      </c>
      <c r="AH54" s="40">
        <v>10687.473134344995</v>
      </c>
      <c r="AI54" s="40">
        <v>9914.1105483017527</v>
      </c>
      <c r="AJ54" s="40">
        <v>10536.047771452262</v>
      </c>
      <c r="AK54" s="40">
        <v>12273.608915175208</v>
      </c>
      <c r="AL54" s="40">
        <v>12888.819427513177</v>
      </c>
      <c r="AM54" s="40">
        <v>12495.064514271417</v>
      </c>
      <c r="AN54" s="40">
        <v>12485.061683081269</v>
      </c>
      <c r="AO54" s="40">
        <v>12238.59337035207</v>
      </c>
      <c r="AP54" s="40">
        <v>11396.232616202407</v>
      </c>
      <c r="AQ54" s="40">
        <v>11857.735820436968</v>
      </c>
      <c r="AR54" s="40">
        <v>13292.349001993813</v>
      </c>
      <c r="AS54" s="40">
        <v>17494.441359092521</v>
      </c>
      <c r="AT54" s="40">
        <v>20607.176065029147</v>
      </c>
      <c r="AU54" s="40">
        <v>21620.717494362485</v>
      </c>
      <c r="AV54" s="40">
        <v>23475.281139783605</v>
      </c>
      <c r="AW54" s="40">
        <v>27288.326497648432</v>
      </c>
      <c r="AX54" s="40">
        <v>30398.782419459469</v>
      </c>
      <c r="AY54" s="40">
        <v>28451.917325303188</v>
      </c>
      <c r="AZ54" s="40">
        <v>25850.501958671703</v>
      </c>
      <c r="BA54" s="40">
        <v>25630.794514150595</v>
      </c>
      <c r="BB54" s="40">
        <v>9100.3979820048316</v>
      </c>
    </row>
    <row r="55" spans="1:54">
      <c r="A55" s="41">
        <v>89</v>
      </c>
      <c r="B55" s="41" t="s">
        <v>101</v>
      </c>
      <c r="C55" s="40">
        <v>253.14471358461128</v>
      </c>
      <c r="D55" s="40">
        <v>261.74409548029104</v>
      </c>
      <c r="E55" s="40">
        <v>281.35819273036202</v>
      </c>
      <c r="F55" s="40">
        <v>281.77021898304173</v>
      </c>
      <c r="G55" s="40">
        <v>281.12561230972977</v>
      </c>
      <c r="H55" s="40">
        <v>285.8878531070543</v>
      </c>
      <c r="I55" s="40">
        <v>290.92116466938165</v>
      </c>
      <c r="J55" s="40">
        <v>313.84181125215969</v>
      </c>
      <c r="K55" s="40">
        <v>325.4256459094143</v>
      </c>
      <c r="L55" s="40">
        <v>351.57588721209186</v>
      </c>
      <c r="M55" s="40">
        <v>356.65120902567628</v>
      </c>
      <c r="N55" s="40">
        <v>367.4041328375863</v>
      </c>
      <c r="O55" s="40">
        <v>437.17686536103503</v>
      </c>
      <c r="P55" s="40">
        <v>523.81314508423338</v>
      </c>
      <c r="Q55" s="40">
        <v>588.59730671410011</v>
      </c>
      <c r="R55" s="40">
        <v>687.22439694499781</v>
      </c>
      <c r="S55" s="40">
        <v>841.89000942892199</v>
      </c>
      <c r="T55" s="40">
        <v>910.27484613452589</v>
      </c>
      <c r="U55" s="40">
        <v>1010.3066899701018</v>
      </c>
      <c r="V55" s="40">
        <v>1125.3515742738177</v>
      </c>
      <c r="W55" s="40">
        <v>1199.4001937433602</v>
      </c>
      <c r="X55" s="40">
        <v>1184.7403587791343</v>
      </c>
      <c r="Y55" s="40">
        <v>1199.7333786889976</v>
      </c>
      <c r="Z55" s="40">
        <v>1224.9053030508808</v>
      </c>
      <c r="AA55" s="40">
        <v>1227.5008784211195</v>
      </c>
      <c r="AB55" s="40">
        <v>891.85471078022795</v>
      </c>
      <c r="AC55" s="40">
        <v>853.63779565662173</v>
      </c>
      <c r="AD55" s="40">
        <v>923.45479259924321</v>
      </c>
      <c r="AE55" s="40">
        <v>968.05848010768023</v>
      </c>
      <c r="AF55" s="40">
        <v>860.49971564188411</v>
      </c>
      <c r="AG55" s="40">
        <v>1033.7946521195636</v>
      </c>
      <c r="AH55" s="40">
        <v>1121.1143118612158</v>
      </c>
      <c r="AI55" s="40">
        <v>1195.8964621622629</v>
      </c>
      <c r="AJ55" s="40">
        <v>1330.7406195096805</v>
      </c>
      <c r="AK55" s="40">
        <v>1468.0610938165223</v>
      </c>
      <c r="AL55" s="40">
        <v>1544.9987679832357</v>
      </c>
      <c r="AM55" s="40">
        <v>1702.3231425380343</v>
      </c>
      <c r="AN55" s="40">
        <v>1814.0032722519948</v>
      </c>
      <c r="AO55" s="40">
        <v>1674.0298952377327</v>
      </c>
      <c r="AP55" s="40">
        <v>1721.7289801539575</v>
      </c>
      <c r="AQ55" s="40">
        <v>1629.3094204577462</v>
      </c>
      <c r="AR55" s="40">
        <v>1765.8595625991568</v>
      </c>
      <c r="AS55" s="40">
        <v>1816.9511648860605</v>
      </c>
      <c r="AT55" s="40">
        <v>1937.7157062765473</v>
      </c>
      <c r="AU55" s="40">
        <v>2146.179053106227</v>
      </c>
      <c r="AV55" s="40">
        <v>2326.2993849182908</v>
      </c>
      <c r="AW55" s="40">
        <v>2561.4419001064971</v>
      </c>
      <c r="AX55" s="40">
        <v>2867.4828677445198</v>
      </c>
      <c r="AY55" s="40">
        <v>2697.3924839279643</v>
      </c>
      <c r="AZ55" s="40">
        <v>2882.4002187143305</v>
      </c>
      <c r="BA55" s="40">
        <v>3242.6907959936279</v>
      </c>
      <c r="BB55" s="40">
        <v>1191.9546026440676</v>
      </c>
    </row>
    <row r="56" spans="1:54">
      <c r="A56" s="41">
        <v>91</v>
      </c>
      <c r="B56" s="41" t="s">
        <v>100</v>
      </c>
      <c r="AB56" s="40">
        <v>368.89638505966536</v>
      </c>
      <c r="AC56" s="40">
        <v>380.66600616716414</v>
      </c>
      <c r="AD56" s="40">
        <v>430.69564320235418</v>
      </c>
      <c r="AE56" s="40">
        <v>422.89830695559186</v>
      </c>
      <c r="AF56" s="40">
        <v>442.95118329441419</v>
      </c>
      <c r="AG56" s="40">
        <v>474.65435864091006</v>
      </c>
      <c r="AH56" s="40">
        <v>487.74981314331478</v>
      </c>
      <c r="AI56" s="40">
        <v>459.50291091851807</v>
      </c>
      <c r="AJ56" s="40">
        <v>450.25220380976344</v>
      </c>
      <c r="AK56" s="40">
        <v>471.31196147640424</v>
      </c>
      <c r="AL56" s="40">
        <v>477.96804014309208</v>
      </c>
      <c r="AM56" s="40">
        <v>456.07166692684478</v>
      </c>
      <c r="AN56" s="40">
        <v>424.29729393186494</v>
      </c>
      <c r="AO56" s="40">
        <v>402.43204350055862</v>
      </c>
      <c r="AP56" s="40">
        <v>342.47851954307919</v>
      </c>
      <c r="AQ56" s="40">
        <v>318.53066993731545</v>
      </c>
      <c r="AR56" s="40">
        <v>326.07994817714967</v>
      </c>
      <c r="AS56" s="40">
        <v>374.42684451343189</v>
      </c>
      <c r="AT56" s="40">
        <v>390.88456232979485</v>
      </c>
      <c r="AU56" s="40">
        <v>306.7011790880569</v>
      </c>
      <c r="AV56" s="40">
        <v>287.92298567922177</v>
      </c>
      <c r="AW56" s="40">
        <v>418.96544896388127</v>
      </c>
      <c r="AX56" s="40">
        <v>366.29935846074892</v>
      </c>
      <c r="AY56" s="40">
        <v>393.14213839715256</v>
      </c>
      <c r="AZ56" s="40">
        <v>435.4488880125715</v>
      </c>
      <c r="BA56" s="40">
        <v>456.5525088325108</v>
      </c>
      <c r="BB56" s="40">
        <v>406.45311035020677</v>
      </c>
    </row>
    <row r="57" spans="1:54">
      <c r="A57" s="41">
        <v>92</v>
      </c>
      <c r="B57" s="41" t="s">
        <v>99</v>
      </c>
      <c r="L57" s="40">
        <v>115.28178387560773</v>
      </c>
      <c r="M57" s="40">
        <v>112.41970021413279</v>
      </c>
      <c r="N57" s="40">
        <v>122.00659835659161</v>
      </c>
      <c r="O57" s="40">
        <v>120.60805249031343</v>
      </c>
      <c r="P57" s="40">
        <v>129.69225005839539</v>
      </c>
      <c r="Q57" s="40">
        <v>140.06723107914704</v>
      </c>
      <c r="R57" s="40">
        <v>142.36021840439324</v>
      </c>
      <c r="S57" s="40">
        <v>144.30448846274234</v>
      </c>
      <c r="T57" s="40">
        <v>152.94634492132315</v>
      </c>
      <c r="U57" s="40">
        <v>146.62175589814441</v>
      </c>
      <c r="V57" s="40">
        <v>135.22734360614081</v>
      </c>
      <c r="W57" s="40">
        <v>185.94435295643368</v>
      </c>
      <c r="X57" s="40">
        <v>194.89465291598279</v>
      </c>
      <c r="Y57" s="40">
        <v>188.25643142722677</v>
      </c>
      <c r="Z57" s="40">
        <v>155.66562486739249</v>
      </c>
      <c r="AA57" s="40">
        <v>158.02544598917353</v>
      </c>
      <c r="AB57" s="40">
        <v>139.88221146353268</v>
      </c>
      <c r="AC57" s="40">
        <v>182.63652257519456</v>
      </c>
      <c r="AD57" s="40">
        <v>169.01875111261535</v>
      </c>
      <c r="AE57" s="40">
        <v>214.25370871907359</v>
      </c>
      <c r="AF57" s="40">
        <v>239.79319039142842</v>
      </c>
      <c r="AG57" s="40">
        <v>247.0898164476244</v>
      </c>
      <c r="AH57" s="40">
        <v>212.56260532833005</v>
      </c>
      <c r="AI57" s="40">
        <v>217.47447894391479</v>
      </c>
      <c r="AJ57" s="40">
        <v>211.46080888725857</v>
      </c>
      <c r="AK57" s="40">
        <v>222.84309346305474</v>
      </c>
      <c r="AL57" s="40">
        <v>232.02737055980364</v>
      </c>
      <c r="AM57" s="40">
        <v>225.35648310913021</v>
      </c>
      <c r="AN57" s="40">
        <v>169.45863324898406</v>
      </c>
      <c r="AO57" s="40">
        <v>180.20172307498328</v>
      </c>
      <c r="AP57" s="40">
        <v>169.20960278392837</v>
      </c>
      <c r="AQ57" s="40">
        <v>152.89791584184738</v>
      </c>
      <c r="AR57" s="40">
        <v>152.9957395856799</v>
      </c>
      <c r="AS57" s="40">
        <v>349.28415301637182</v>
      </c>
      <c r="AT57" s="40">
        <v>375.79462888655701</v>
      </c>
      <c r="AU57" s="40">
        <v>402.98804692912006</v>
      </c>
      <c r="AV57" s="40">
        <v>398.24717909840007</v>
      </c>
      <c r="AW57" s="40">
        <v>465.34026250495054</v>
      </c>
      <c r="AX57" s="40">
        <v>555.6594652889404</v>
      </c>
      <c r="AY57" s="40">
        <v>536.80280658716663</v>
      </c>
      <c r="AZ57" s="40">
        <v>526.52102387731384</v>
      </c>
      <c r="BA57" s="40">
        <v>595.82924852790484</v>
      </c>
      <c r="BB57" s="40">
        <v>235.47504156610117</v>
      </c>
    </row>
    <row r="58" spans="1:54">
      <c r="A58" s="41">
        <v>94</v>
      </c>
      <c r="B58" s="41" t="s">
        <v>98</v>
      </c>
      <c r="AG58" s="40">
        <v>479.16280586077562</v>
      </c>
      <c r="AH58" s="40">
        <v>285.33043260580797</v>
      </c>
      <c r="AI58" s="40">
        <v>239.40223940170603</v>
      </c>
      <c r="AJ58" s="40">
        <v>276.28829017548105</v>
      </c>
      <c r="AK58" s="40">
        <v>343.89089724841068</v>
      </c>
      <c r="AL58" s="40">
        <v>371.96920274069277</v>
      </c>
      <c r="AM58" s="40">
        <v>398.53970924809244</v>
      </c>
      <c r="AN58" s="40">
        <v>453.49275452340424</v>
      </c>
      <c r="AO58" s="40">
        <v>484.82613110395982</v>
      </c>
      <c r="AP58" s="40">
        <v>427.18627698532379</v>
      </c>
      <c r="AQ58" s="40">
        <v>402.28011265462749</v>
      </c>
      <c r="AR58" s="40">
        <v>362.84028389797987</v>
      </c>
      <c r="AS58" s="40">
        <v>314.18509599538515</v>
      </c>
      <c r="AT58" s="40">
        <v>400.93217394772472</v>
      </c>
      <c r="AU58" s="40">
        <v>448.58483005684604</v>
      </c>
      <c r="AV58" s="40">
        <v>519.7491432686287</v>
      </c>
      <c r="AW58" s="40">
        <v>627.65018346224929</v>
      </c>
      <c r="AX58" s="40">
        <v>664.82026927646211</v>
      </c>
      <c r="AY58" s="40">
        <v>662.58605882389224</v>
      </c>
      <c r="AZ58" s="40">
        <v>670.40329244585132</v>
      </c>
      <c r="BA58" s="40">
        <v>732.20933749768562</v>
      </c>
      <c r="BB58" s="40">
        <v>455.53950101052317</v>
      </c>
    </row>
    <row r="59" spans="1:54">
      <c r="A59" s="41">
        <v>97</v>
      </c>
      <c r="B59" s="41" t="s">
        <v>97</v>
      </c>
      <c r="C59" s="40">
        <v>172.15339147497565</v>
      </c>
      <c r="D59" s="40">
        <v>181.25867891294348</v>
      </c>
      <c r="E59" s="40">
        <v>185.51482852315362</v>
      </c>
      <c r="F59" s="40">
        <v>200.19590286161863</v>
      </c>
      <c r="G59" s="40">
        <v>216.20419979792888</v>
      </c>
      <c r="H59" s="40">
        <v>227.23010089107086</v>
      </c>
      <c r="I59" s="40">
        <v>240.55941387321178</v>
      </c>
      <c r="J59" s="40">
        <v>253.42842097014341</v>
      </c>
      <c r="K59" s="40">
        <v>254.96048189055477</v>
      </c>
      <c r="L59" s="40">
        <v>268.6425081623849</v>
      </c>
      <c r="M59" s="40">
        <v>264.23803834885564</v>
      </c>
      <c r="N59" s="40">
        <v>282.22365821624095</v>
      </c>
      <c r="O59" s="40">
        <v>311.62583588297349</v>
      </c>
      <c r="P59" s="40">
        <v>343.04867975170504</v>
      </c>
      <c r="Q59" s="40">
        <v>361.67819971780091</v>
      </c>
      <c r="R59" s="40">
        <v>420.60855195826366</v>
      </c>
      <c r="S59" s="40">
        <v>504.84050214923866</v>
      </c>
      <c r="T59" s="40">
        <v>565.26851001722025</v>
      </c>
      <c r="U59" s="40">
        <v>639.03538947667778</v>
      </c>
      <c r="V59" s="40">
        <v>705.74736664922921</v>
      </c>
      <c r="W59" s="40">
        <v>751.69628217604009</v>
      </c>
      <c r="X59" s="40">
        <v>750.58540542468893</v>
      </c>
      <c r="Y59" s="40">
        <v>771.48653145468711</v>
      </c>
      <c r="Z59" s="40">
        <v>807.26288507339552</v>
      </c>
      <c r="AA59" s="40">
        <v>858.87539262370092</v>
      </c>
      <c r="AB59" s="40">
        <v>872.21026851525926</v>
      </c>
      <c r="AC59" s="40">
        <v>923.1975178047619</v>
      </c>
      <c r="AD59" s="40">
        <v>857.24324794513439</v>
      </c>
      <c r="AE59" s="40">
        <v>747.53041193330512</v>
      </c>
      <c r="AF59" s="40">
        <v>621.75498325196634</v>
      </c>
      <c r="AG59" s="40">
        <v>608.60677211556708</v>
      </c>
      <c r="AH59" s="40">
        <v>660.0176685809065</v>
      </c>
      <c r="AI59" s="40">
        <v>654.5291036602365</v>
      </c>
      <c r="AJ59" s="40">
        <v>628.96054705493736</v>
      </c>
      <c r="AK59" s="40">
        <v>699.40962840166162</v>
      </c>
      <c r="AL59" s="40">
        <v>704.8028644298081</v>
      </c>
      <c r="AM59" s="40">
        <v>796.7568435029616</v>
      </c>
      <c r="AN59" s="40">
        <v>869.91361713074673</v>
      </c>
      <c r="AO59" s="40">
        <v>879.67985545482532</v>
      </c>
      <c r="AP59" s="40">
        <v>1139.5191555791178</v>
      </c>
      <c r="AQ59" s="40">
        <v>1188.7594540786474</v>
      </c>
      <c r="AR59" s="40">
        <v>1197.1484410976357</v>
      </c>
      <c r="AS59" s="40">
        <v>1242.265574745049</v>
      </c>
      <c r="AT59" s="40">
        <v>1311.8238109383806</v>
      </c>
      <c r="AU59" s="40">
        <v>1408.1301517126662</v>
      </c>
      <c r="AV59" s="40">
        <v>1550.9514263888732</v>
      </c>
      <c r="AW59" s="40">
        <v>1721.5522866057331</v>
      </c>
      <c r="AX59" s="40">
        <v>1896.1751257915562</v>
      </c>
      <c r="AY59" s="40">
        <v>1952.3452277871247</v>
      </c>
      <c r="AZ59" s="40">
        <v>2077.7869343529051</v>
      </c>
      <c r="BA59" s="40">
        <v>2277.0160878433917</v>
      </c>
      <c r="BB59" s="40">
        <v>784.83247378395799</v>
      </c>
    </row>
    <row r="60" spans="1:54">
      <c r="A60" s="41">
        <v>98</v>
      </c>
      <c r="B60" s="41" t="s">
        <v>96</v>
      </c>
    </row>
    <row r="61" spans="1:54">
      <c r="A61" s="41">
        <v>99</v>
      </c>
      <c r="B61" s="41" t="s">
        <v>95</v>
      </c>
      <c r="J61" s="40">
        <v>456.78151794534773</v>
      </c>
      <c r="K61" s="40">
        <v>505.4834071628751</v>
      </c>
      <c r="L61" s="40">
        <v>536.13028810143123</v>
      </c>
      <c r="M61" s="40">
        <v>581.82046956678903</v>
      </c>
      <c r="N61" s="40">
        <v>680.37948270900176</v>
      </c>
      <c r="O61" s="40">
        <v>839.84733429228379</v>
      </c>
      <c r="P61" s="40">
        <v>916.44454431467489</v>
      </c>
      <c r="Q61" s="40">
        <v>1038.7808033555514</v>
      </c>
      <c r="R61" s="40">
        <v>1197.2857762797055</v>
      </c>
      <c r="S61" s="40">
        <v>1331.1251385962173</v>
      </c>
      <c r="T61" s="40">
        <v>1551.1427744799505</v>
      </c>
      <c r="U61" s="40">
        <v>1787.7545883283551</v>
      </c>
      <c r="V61" s="40">
        <v>2069.1955357192537</v>
      </c>
      <c r="W61" s="40">
        <v>2121.7645934115963</v>
      </c>
      <c r="X61" s="40">
        <v>2162.0449897880112</v>
      </c>
      <c r="Y61" s="40">
        <v>1965.1642127942025</v>
      </c>
      <c r="Z61" s="40">
        <v>1909.1006586000972</v>
      </c>
      <c r="AA61" s="40">
        <v>1936.6960410382599</v>
      </c>
      <c r="AB61" s="40">
        <v>2234.6950069771242</v>
      </c>
      <c r="AC61" s="40">
        <v>2460.1295764687279</v>
      </c>
      <c r="AD61" s="40">
        <v>2696.2350853396329</v>
      </c>
      <c r="AE61" s="40">
        <v>2782.7116506496145</v>
      </c>
      <c r="AF61" s="40">
        <v>3186.4442873330941</v>
      </c>
      <c r="AG61" s="40">
        <v>3287.8887476608134</v>
      </c>
      <c r="AH61" s="40">
        <v>3665.5702427321944</v>
      </c>
      <c r="AI61" s="40">
        <v>3801.8695972064202</v>
      </c>
      <c r="AJ61" s="40">
        <v>4095.681356860538</v>
      </c>
      <c r="AK61" s="40">
        <v>4411.0337512819442</v>
      </c>
      <c r="AL61" s="40">
        <v>4454.4303791343636</v>
      </c>
      <c r="AM61" s="40">
        <v>4521.9639991362164</v>
      </c>
      <c r="AN61" s="40">
        <v>4670.6548393297771</v>
      </c>
      <c r="AO61" s="40">
        <v>4713.5404594458805</v>
      </c>
      <c r="AP61" s="40">
        <v>4542.7207200800303</v>
      </c>
      <c r="AQ61" s="40">
        <v>5175.025627624459</v>
      </c>
      <c r="AR61" s="40">
        <v>6535.2939363679625</v>
      </c>
      <c r="AS61" s="40">
        <v>8246.9958257473372</v>
      </c>
      <c r="AT61" s="40">
        <v>10084.52184246933</v>
      </c>
      <c r="AU61" s="40">
        <v>10936.948614181474</v>
      </c>
      <c r="AV61" s="40">
        <v>11173.56950607354</v>
      </c>
      <c r="AW61" s="40">
        <v>13534.705499395212</v>
      </c>
      <c r="AX61" s="40">
        <v>15364.679546972839</v>
      </c>
      <c r="AY61" s="40">
        <v>12634.551144934985</v>
      </c>
      <c r="AZ61" s="40">
        <v>12795.651535664641</v>
      </c>
      <c r="BA61" s="40">
        <v>13909.016098188447</v>
      </c>
      <c r="BB61" s="40">
        <v>4534.1697962213675</v>
      </c>
    </row>
    <row r="62" spans="1:54">
      <c r="A62" s="41">
        <v>101</v>
      </c>
      <c r="B62" s="41" t="s">
        <v>94</v>
      </c>
      <c r="L62" s="40">
        <v>114.40419404787167</v>
      </c>
      <c r="M62" s="40">
        <v>120.69683069156265</v>
      </c>
      <c r="N62" s="40">
        <v>125.20101499263902</v>
      </c>
      <c r="O62" s="40">
        <v>146.44223295770638</v>
      </c>
      <c r="P62" s="40">
        <v>166.56424576041476</v>
      </c>
      <c r="Q62" s="40">
        <v>161.03231141204287</v>
      </c>
      <c r="R62" s="40">
        <v>164.10863708759831</v>
      </c>
      <c r="S62" s="40">
        <v>189.61677290390566</v>
      </c>
      <c r="T62" s="40">
        <v>209.35189514436047</v>
      </c>
      <c r="U62" s="40">
        <v>227.91642875131117</v>
      </c>
      <c r="V62" s="40">
        <v>271.24958385522416</v>
      </c>
      <c r="W62" s="40">
        <v>275.32100638718981</v>
      </c>
      <c r="X62" s="40">
        <v>279.22087776672004</v>
      </c>
      <c r="Y62" s="40">
        <v>296.91758806253898</v>
      </c>
      <c r="Z62" s="40">
        <v>282.28624350127274</v>
      </c>
      <c r="AA62" s="40">
        <v>302.64558501892725</v>
      </c>
      <c r="AB62" s="40">
        <v>317.11001258080347</v>
      </c>
      <c r="AC62" s="40">
        <v>347.80958396277242</v>
      </c>
      <c r="AD62" s="40">
        <v>361.93190557056624</v>
      </c>
      <c r="AE62" s="40">
        <v>353.82039088627135</v>
      </c>
      <c r="AF62" s="40">
        <v>375.89079303739237</v>
      </c>
      <c r="AG62" s="40">
        <v>310.08376773541897</v>
      </c>
      <c r="AH62" s="40">
        <v>324.49512639193705</v>
      </c>
      <c r="AI62" s="40">
        <v>308.53478694412757</v>
      </c>
      <c r="AJ62" s="40">
        <v>354.85487613786182</v>
      </c>
      <c r="AK62" s="40">
        <v>383.55092618206044</v>
      </c>
      <c r="AL62" s="40">
        <v>410.81835680820956</v>
      </c>
      <c r="AM62" s="40">
        <v>427.23619678940622</v>
      </c>
      <c r="AN62" s="40">
        <v>425.44529434966472</v>
      </c>
      <c r="AO62" s="40">
        <v>453.01242082994941</v>
      </c>
      <c r="AP62" s="40">
        <v>455.44377318325513</v>
      </c>
      <c r="AQ62" s="40">
        <v>464.72691546782227</v>
      </c>
      <c r="AR62" s="40">
        <v>485.55370939643495</v>
      </c>
      <c r="AS62" s="40">
        <v>564.61880858167945</v>
      </c>
      <c r="AT62" s="40">
        <v>649.71036431850064</v>
      </c>
      <c r="AU62" s="40">
        <v>740.11593227584319</v>
      </c>
      <c r="AV62" s="40">
        <v>830.16322125209672</v>
      </c>
      <c r="AW62" s="40">
        <v>1068.6785194261624</v>
      </c>
      <c r="AX62" s="40">
        <v>1042.0838316294166</v>
      </c>
      <c r="AY62" s="40">
        <v>1147.2390880970077</v>
      </c>
      <c r="AZ62" s="40">
        <v>1419.1126739622159</v>
      </c>
      <c r="BA62" s="40">
        <v>1533.665573903417</v>
      </c>
      <c r="BB62" s="40">
        <v>449.73053090575195</v>
      </c>
    </row>
    <row r="63" spans="1:54">
      <c r="A63" s="41">
        <v>102</v>
      </c>
      <c r="B63" s="41" t="s">
        <v>93</v>
      </c>
      <c r="I63" s="40">
        <v>56.633653665473702</v>
      </c>
      <c r="J63" s="40">
        <v>68.909792353699942</v>
      </c>
      <c r="K63" s="40">
        <v>79.135904790707301</v>
      </c>
      <c r="L63" s="40">
        <v>84.658574174464192</v>
      </c>
      <c r="M63" s="40">
        <v>84.183369070013171</v>
      </c>
      <c r="N63" s="40">
        <v>96.729638186363417</v>
      </c>
      <c r="O63" s="40">
        <v>139.60073702602594</v>
      </c>
      <c r="P63" s="40">
        <v>215.95489099112231</v>
      </c>
      <c r="Q63" s="40">
        <v>248.80371971897281</v>
      </c>
      <c r="R63" s="40">
        <v>297.0771011579543</v>
      </c>
      <c r="S63" s="40">
        <v>356.90040180515388</v>
      </c>
      <c r="T63" s="40">
        <v>391.03440432713921</v>
      </c>
      <c r="U63" s="40">
        <v>387.76124108012976</v>
      </c>
      <c r="V63" s="40">
        <v>536.19368274997532</v>
      </c>
      <c r="W63" s="40">
        <v>621.16202827071447</v>
      </c>
      <c r="X63" s="40">
        <v>621.97733877610085</v>
      </c>
      <c r="Y63" s="40">
        <v>548.2990561807527</v>
      </c>
      <c r="Z63" s="40">
        <v>550.68313321541643</v>
      </c>
      <c r="AA63" s="40">
        <v>537.60606479946728</v>
      </c>
      <c r="AB63" s="40">
        <v>482.95623159677342</v>
      </c>
      <c r="AC63" s="40">
        <v>449.18379772462475</v>
      </c>
      <c r="AD63" s="40">
        <v>515.41269648797379</v>
      </c>
      <c r="AE63" s="40">
        <v>578.22206062600037</v>
      </c>
      <c r="AF63" s="40">
        <v>640.56666433169039</v>
      </c>
      <c r="AG63" s="40">
        <v>705.04751678284583</v>
      </c>
      <c r="AH63" s="40">
        <v>752.31798268833575</v>
      </c>
      <c r="AI63" s="40">
        <v>840.37579316148469</v>
      </c>
      <c r="AJ63" s="40">
        <v>925.72166958581727</v>
      </c>
      <c r="AK63" s="40">
        <v>1041.3135399863513</v>
      </c>
      <c r="AL63" s="40">
        <v>1153.5875640784977</v>
      </c>
      <c r="AM63" s="40">
        <v>1078.4722609598628</v>
      </c>
      <c r="AN63" s="40">
        <v>470.19614018677606</v>
      </c>
      <c r="AO63" s="40">
        <v>679.79367221834366</v>
      </c>
      <c r="AP63" s="40">
        <v>789.80588010320935</v>
      </c>
      <c r="AQ63" s="40">
        <v>756.93101295894542</v>
      </c>
      <c r="AR63" s="40">
        <v>909.88733022051917</v>
      </c>
      <c r="AS63" s="40">
        <v>1076.2190047489996</v>
      </c>
      <c r="AT63" s="40">
        <v>1160.6149236282183</v>
      </c>
      <c r="AU63" s="40">
        <v>1273.4651756257492</v>
      </c>
      <c r="AV63" s="40">
        <v>1601.0311913470528</v>
      </c>
      <c r="AW63" s="40">
        <v>1871.28840627361</v>
      </c>
      <c r="AX63" s="40">
        <v>2178.2656633839952</v>
      </c>
      <c r="AY63" s="40">
        <v>2272.0409954609918</v>
      </c>
      <c r="AZ63" s="40">
        <v>2946.9685135846044</v>
      </c>
      <c r="BA63" s="40">
        <v>3472.0171232285147</v>
      </c>
      <c r="BB63" s="40">
        <v>812.11127874043189</v>
      </c>
    </row>
    <row r="64" spans="1:54">
      <c r="A64" s="41">
        <v>103</v>
      </c>
      <c r="B64" s="41" t="s">
        <v>92</v>
      </c>
      <c r="G64" s="40">
        <v>245.95760019004859</v>
      </c>
      <c r="H64" s="40">
        <v>260.97183186151034</v>
      </c>
      <c r="I64" s="40">
        <v>281.32988359840448</v>
      </c>
      <c r="J64" s="40">
        <v>311.57953833045934</v>
      </c>
      <c r="K64" s="40">
        <v>340.46783853515109</v>
      </c>
      <c r="L64" s="40">
        <v>370.12641549622111</v>
      </c>
      <c r="M64" s="40">
        <v>449.37302138476673</v>
      </c>
      <c r="N64" s="40">
        <v>541.56244837056795</v>
      </c>
      <c r="O64" s="40">
        <v>831.24913701541811</v>
      </c>
      <c r="P64" s="40">
        <v>1388.8872187015552</v>
      </c>
      <c r="Q64" s="40">
        <v>1488.6093359951756</v>
      </c>
      <c r="R64" s="40">
        <v>1876.818792359592</v>
      </c>
      <c r="S64" s="40">
        <v>2138.0862763835089</v>
      </c>
      <c r="T64" s="40">
        <v>2019.0646724511207</v>
      </c>
      <c r="U64" s="40">
        <v>2299.9205405248999</v>
      </c>
      <c r="V64" s="40">
        <v>2315.3083046953011</v>
      </c>
      <c r="W64" s="40">
        <v>2400.732471540975</v>
      </c>
      <c r="X64" s="40">
        <v>2886.5922027656611</v>
      </c>
      <c r="Y64" s="40">
        <v>3357.2091210156559</v>
      </c>
      <c r="Z64" s="40">
        <v>3351.433497382272</v>
      </c>
      <c r="AA64" s="40">
        <v>3590.7164813715613</v>
      </c>
      <c r="AB64" s="40">
        <v>4020.4856852152475</v>
      </c>
      <c r="AC64" s="40">
        <v>2488.4608120070025</v>
      </c>
      <c r="AD64" s="40">
        <v>2184.1292678028808</v>
      </c>
      <c r="AE64" s="40">
        <v>2075.1126210302859</v>
      </c>
      <c r="AF64" s="40">
        <v>2058.7506015431695</v>
      </c>
      <c r="AI64" s="40">
        <v>1018.7493036591308</v>
      </c>
      <c r="AJ64" s="40">
        <v>1125.1210236615982</v>
      </c>
      <c r="AK64" s="40">
        <v>1502.0997293169025</v>
      </c>
      <c r="AL64" s="40">
        <v>1799.6719209313067</v>
      </c>
      <c r="AM64" s="40">
        <v>1683.6338293552624</v>
      </c>
      <c r="AN64" s="40">
        <v>1611.3077191180842</v>
      </c>
      <c r="AO64" s="40">
        <v>1613.5993017642747</v>
      </c>
      <c r="AP64" s="40">
        <v>1536.7151927336456</v>
      </c>
      <c r="AQ64" s="40">
        <v>1726.630110007033</v>
      </c>
      <c r="AR64" s="40">
        <v>1718.9652926777446</v>
      </c>
      <c r="AS64" s="40">
        <v>1975.5386212305266</v>
      </c>
      <c r="AT64" s="40">
        <v>2353.9309888060798</v>
      </c>
      <c r="AU64" s="40">
        <v>2737.112117587531</v>
      </c>
      <c r="AV64" s="40">
        <v>3140.1980899966488</v>
      </c>
      <c r="AW64" s="40">
        <v>3983.5822935982383</v>
      </c>
      <c r="AX64" s="40">
        <v>4899.3121598090802</v>
      </c>
      <c r="AY64" s="40">
        <v>4931.282897340112</v>
      </c>
      <c r="AZ64" s="40">
        <v>5674.9239273508483</v>
      </c>
      <c r="BA64" s="40">
        <v>6815.5701908728843</v>
      </c>
      <c r="BB64" s="40">
        <v>2164.9084517196738</v>
      </c>
    </row>
    <row r="65" spans="1:54">
      <c r="A65" s="41">
        <v>104</v>
      </c>
      <c r="B65" s="41" t="s">
        <v>91</v>
      </c>
      <c r="C65" s="40">
        <v>245.00241986950584</v>
      </c>
      <c r="D65" s="40">
        <v>254.6707673697745</v>
      </c>
      <c r="E65" s="40">
        <v>250.7568717654857</v>
      </c>
      <c r="F65" s="40">
        <v>288.12872706661858</v>
      </c>
      <c r="G65" s="40">
        <v>305.5170339558735</v>
      </c>
      <c r="H65" s="40">
        <v>320.42520298711162</v>
      </c>
      <c r="I65" s="40">
        <v>312.41431582924849</v>
      </c>
      <c r="J65" s="40">
        <v>342.66799424834062</v>
      </c>
      <c r="K65" s="40">
        <v>344.72591274701858</v>
      </c>
      <c r="L65" s="40">
        <v>362.11309324812999</v>
      </c>
      <c r="M65" s="40">
        <v>404.11400548777146</v>
      </c>
      <c r="N65" s="40">
        <v>505.29820015455363</v>
      </c>
      <c r="O65" s="40">
        <v>591.94611722138416</v>
      </c>
      <c r="P65" s="40">
        <v>1148.8528797161923</v>
      </c>
      <c r="Q65" s="40">
        <v>1377.4170935190814</v>
      </c>
      <c r="R65" s="40">
        <v>1606.1141771445286</v>
      </c>
      <c r="S65" s="40">
        <v>1871.908024106986</v>
      </c>
      <c r="T65" s="40">
        <v>2154.1588418359629</v>
      </c>
      <c r="U65" s="40">
        <v>2984.1157457914646</v>
      </c>
      <c r="V65" s="40">
        <v>3483.5493315386107</v>
      </c>
      <c r="W65" s="40">
        <v>2319.6012951148305</v>
      </c>
      <c r="X65" s="40">
        <v>2547.5733563324084</v>
      </c>
      <c r="Y65" s="40">
        <v>2529.5902905737189</v>
      </c>
      <c r="Z65" s="40">
        <v>2797.5457860880942</v>
      </c>
      <c r="AA65" s="40">
        <v>2837.9114018246141</v>
      </c>
      <c r="AB65" s="40">
        <v>2508.693052643644</v>
      </c>
      <c r="AC65" s="40">
        <v>2680.8115027700533</v>
      </c>
      <c r="AD65" s="40">
        <v>2603.674044436118</v>
      </c>
      <c r="AE65" s="40">
        <v>2836.1163358374629</v>
      </c>
      <c r="AM65" s="40">
        <v>466.21421787542596</v>
      </c>
      <c r="AN65" s="40">
        <v>467.6216796637745</v>
      </c>
      <c r="AO65" s="40">
        <v>777.01466173326924</v>
      </c>
      <c r="AP65" s="40">
        <v>1086.3802890813915</v>
      </c>
      <c r="AQ65" s="40">
        <v>772.37088152736624</v>
      </c>
      <c r="AR65" s="40">
        <v>751.62019686364761</v>
      </c>
      <c r="AT65" s="40">
        <v>956.35482734763036</v>
      </c>
      <c r="AU65" s="40">
        <v>1342.1331704736249</v>
      </c>
      <c r="AV65" s="40">
        <v>2321.1521706985591</v>
      </c>
      <c r="AW65" s="40">
        <v>3091.0153285225992</v>
      </c>
      <c r="AX65" s="40">
        <v>4472.0551823211554</v>
      </c>
      <c r="AY65" s="40">
        <v>3701.8616257807698</v>
      </c>
      <c r="AZ65" s="40">
        <v>4375.9062245060413</v>
      </c>
      <c r="BA65" s="40">
        <v>5686.6083640273273</v>
      </c>
      <c r="BB65" s="40">
        <v>1699.6214567824923</v>
      </c>
    </row>
    <row r="66" spans="1:54">
      <c r="A66" s="41">
        <v>105</v>
      </c>
      <c r="B66" s="41" t="s">
        <v>90</v>
      </c>
      <c r="C66" s="40">
        <v>739.27640644266637</v>
      </c>
      <c r="D66" s="40">
        <v>797.00628835395923</v>
      </c>
      <c r="E66" s="40">
        <v>852.13530171788807</v>
      </c>
      <c r="F66" s="40">
        <v>965.13542267674484</v>
      </c>
      <c r="G66" s="40">
        <v>1023.773726409361</v>
      </c>
      <c r="H66" s="40">
        <v>1074.5065055495788</v>
      </c>
      <c r="I66" s="40">
        <v>1152.0049521499373</v>
      </c>
      <c r="J66" s="40">
        <v>1124.5166360824637</v>
      </c>
      <c r="K66" s="40">
        <v>1291.3499202863707</v>
      </c>
      <c r="L66" s="40">
        <v>1460.1314359331939</v>
      </c>
      <c r="M66" s="40">
        <v>1673.690148906599</v>
      </c>
      <c r="N66" s="40">
        <v>2043.5406743337383</v>
      </c>
      <c r="O66" s="40">
        <v>2381.2424474854647</v>
      </c>
      <c r="P66" s="40">
        <v>2472.2563556945702</v>
      </c>
      <c r="Q66" s="40">
        <v>2920.6273446931041</v>
      </c>
      <c r="R66" s="40">
        <v>2867.7656674469617</v>
      </c>
      <c r="S66" s="40">
        <v>3366.2486801835539</v>
      </c>
      <c r="T66" s="40">
        <v>4321.8946094308212</v>
      </c>
      <c r="U66" s="40">
        <v>5333.5896331335089</v>
      </c>
      <c r="V66" s="40">
        <v>6259.3382172889551</v>
      </c>
      <c r="W66" s="40">
        <v>5879.9101604570469</v>
      </c>
      <c r="X66" s="40">
        <v>6051.297817932772</v>
      </c>
      <c r="Y66" s="40">
        <v>5810.256561172323</v>
      </c>
      <c r="Z66" s="40">
        <v>5591.0038559568029</v>
      </c>
      <c r="AA66" s="40">
        <v>5905.0376197304577</v>
      </c>
      <c r="AB66" s="40">
        <v>7968.1942886085462</v>
      </c>
      <c r="AC66" s="40">
        <v>9411.850795796423</v>
      </c>
      <c r="AD66" s="40">
        <v>10525.682376862471</v>
      </c>
      <c r="AE66" s="40">
        <v>10977.465226165388</v>
      </c>
      <c r="AF66" s="40">
        <v>13782.271235258453</v>
      </c>
      <c r="AG66" s="40">
        <v>13837.184152770094</v>
      </c>
      <c r="AH66" s="40">
        <v>15435.481570117252</v>
      </c>
      <c r="AI66" s="40">
        <v>14396.924042992918</v>
      </c>
      <c r="AJ66" s="40">
        <v>15620.680279877904</v>
      </c>
      <c r="AK66" s="40">
        <v>18818.4271738223</v>
      </c>
      <c r="AL66" s="40">
        <v>20401.530450287646</v>
      </c>
      <c r="AM66" s="40">
        <v>22146.058171799952</v>
      </c>
      <c r="AN66" s="40">
        <v>23767.466067319532</v>
      </c>
      <c r="AO66" s="40">
        <v>25731.117148860958</v>
      </c>
      <c r="AP66" s="40">
        <v>25610.441102352546</v>
      </c>
      <c r="AQ66" s="40">
        <v>27228.81144057036</v>
      </c>
      <c r="AR66" s="40">
        <v>31324.709875129654</v>
      </c>
      <c r="AS66" s="40">
        <v>39771.454614298644</v>
      </c>
      <c r="AT66" s="40">
        <v>45818.245671966826</v>
      </c>
      <c r="AU66" s="40">
        <v>48739.52718226477</v>
      </c>
      <c r="AV66" s="40">
        <v>52333.432958249075</v>
      </c>
      <c r="AW66" s="40">
        <v>59286.557150977693</v>
      </c>
      <c r="AX66" s="40">
        <v>59206.754110117632</v>
      </c>
      <c r="AY66" s="40">
        <v>50245.552069047779</v>
      </c>
      <c r="AZ66" s="40">
        <v>46018.578874520535</v>
      </c>
      <c r="BA66" s="40">
        <v>48248.941380794109</v>
      </c>
      <c r="BB66" s="40">
        <v>16274.723054907419</v>
      </c>
    </row>
    <row r="67" spans="1:54">
      <c r="A67" s="41">
        <v>107</v>
      </c>
      <c r="B67" s="41" t="s">
        <v>89</v>
      </c>
      <c r="C67" s="40">
        <v>1595.8601652298125</v>
      </c>
      <c r="D67" s="40">
        <v>1132.382866258911</v>
      </c>
      <c r="E67" s="40">
        <v>1257.7431616190113</v>
      </c>
      <c r="F67" s="40">
        <v>1375.9428290730061</v>
      </c>
      <c r="G67" s="40">
        <v>1429.319390569317</v>
      </c>
      <c r="H67" s="40">
        <v>1513.8886743565477</v>
      </c>
      <c r="I67" s="40">
        <v>1428.4464108917928</v>
      </c>
      <c r="J67" s="40">
        <v>1412.4702788970242</v>
      </c>
      <c r="K67" s="40">
        <v>1587.7695786231614</v>
      </c>
      <c r="L67" s="40">
        <v>1806.422694878657</v>
      </c>
      <c r="M67" s="40">
        <v>1815.9362700280649</v>
      </c>
      <c r="N67" s="40">
        <v>2278.8400383871544</v>
      </c>
      <c r="O67" s="40">
        <v>2819.4511843951859</v>
      </c>
      <c r="P67" s="40">
        <v>3721.5246679481588</v>
      </c>
      <c r="Q67" s="40">
        <v>3570.7631721187299</v>
      </c>
      <c r="R67" s="40">
        <v>3531.2617373658263</v>
      </c>
      <c r="S67" s="40">
        <v>3812.9719251436127</v>
      </c>
      <c r="T67" s="40">
        <v>3690.7436364604941</v>
      </c>
      <c r="U67" s="40">
        <v>4625.2866514800753</v>
      </c>
      <c r="V67" s="40">
        <v>5616.5468401544131</v>
      </c>
      <c r="W67" s="40">
        <v>5863.5827111964518</v>
      </c>
      <c r="X67" s="40">
        <v>6095.9345197145631</v>
      </c>
      <c r="Y67" s="40">
        <v>6683.4352830076496</v>
      </c>
      <c r="Z67" s="40">
        <v>6261.7857962697972</v>
      </c>
      <c r="AA67" s="40">
        <v>5698.7150859883259</v>
      </c>
      <c r="AB67" s="40">
        <v>6908.9193478583693</v>
      </c>
      <c r="AC67" s="40">
        <v>8120.0147095914526</v>
      </c>
      <c r="AD67" s="40">
        <v>9881.24270633366</v>
      </c>
      <c r="AE67" s="40">
        <v>9871.5743253431374</v>
      </c>
      <c r="AF67" s="40">
        <v>11264.018379448689</v>
      </c>
      <c r="AG67" s="40">
        <v>11956.008904802726</v>
      </c>
      <c r="AH67" s="40">
        <v>12838.418157529222</v>
      </c>
      <c r="AI67" s="40">
        <v>12530.998379204058</v>
      </c>
      <c r="AJ67" s="40">
        <v>13830.286754328034</v>
      </c>
      <c r="AK67" s="40">
        <v>17310.091211396055</v>
      </c>
      <c r="AL67" s="40">
        <v>18464.529865798941</v>
      </c>
      <c r="AM67" s="40">
        <v>18586.737439150398</v>
      </c>
      <c r="AN67" s="40">
        <v>18392.141757624857</v>
      </c>
      <c r="AO67" s="40">
        <v>18088.977446379435</v>
      </c>
      <c r="AP67" s="40">
        <v>19859.302147082522</v>
      </c>
      <c r="AQ67" s="40">
        <v>19093.109657718574</v>
      </c>
      <c r="AR67" s="40">
        <v>17195.491064352227</v>
      </c>
      <c r="AS67" s="40">
        <v>17739.701842376307</v>
      </c>
      <c r="AT67" s="40">
        <v>18588.805049672752</v>
      </c>
      <c r="AU67" s="40">
        <v>19330.024354992162</v>
      </c>
      <c r="AV67" s="40">
        <v>20624.579954203229</v>
      </c>
      <c r="AW67" s="40">
        <v>23274.300289708848</v>
      </c>
      <c r="AX67" s="40">
        <v>27591.622420131709</v>
      </c>
      <c r="AY67" s="40">
        <v>26032.163513560849</v>
      </c>
      <c r="AZ67" s="40">
        <v>30389.122186575631</v>
      </c>
      <c r="BA67" s="40">
        <v>33250.090902415963</v>
      </c>
      <c r="BB67" s="40">
        <v>10620.378398777166</v>
      </c>
    </row>
    <row r="68" spans="1:54">
      <c r="A68" s="41">
        <v>108</v>
      </c>
      <c r="B68" s="41" t="s">
        <v>88</v>
      </c>
      <c r="C68" s="40">
        <v>887.33674460447548</v>
      </c>
      <c r="D68" s="40">
        <v>990.26015216342</v>
      </c>
      <c r="E68" s="40">
        <v>1126.0193369982469</v>
      </c>
      <c r="F68" s="40">
        <v>1222.5445404628979</v>
      </c>
      <c r="G68" s="40">
        <v>1304.4538166196512</v>
      </c>
      <c r="H68" s="40">
        <v>1402.4423544103229</v>
      </c>
      <c r="I68" s="40">
        <v>1533.6928774854725</v>
      </c>
      <c r="J68" s="40">
        <v>1651.9393767975566</v>
      </c>
      <c r="K68" s="40">
        <v>1813.3881257570581</v>
      </c>
      <c r="L68" s="40">
        <v>2029.9332984997495</v>
      </c>
      <c r="M68" s="40">
        <v>2221.4220563336826</v>
      </c>
      <c r="N68" s="40">
        <v>2573.6026095783845</v>
      </c>
      <c r="O68" s="40">
        <v>3088.2145367064031</v>
      </c>
      <c r="P68" s="40">
        <v>3488.9222444792786</v>
      </c>
      <c r="Q68" s="40">
        <v>3957.0298618396791</v>
      </c>
      <c r="R68" s="40">
        <v>3885.8335776992408</v>
      </c>
      <c r="S68" s="40">
        <v>4435.5024856376904</v>
      </c>
      <c r="T68" s="40">
        <v>5405.6347131727362</v>
      </c>
      <c r="U68" s="40">
        <v>6735.0404220099481</v>
      </c>
      <c r="V68" s="40">
        <v>8148.1205324485791</v>
      </c>
      <c r="W68" s="40">
        <v>7344.4909298502853</v>
      </c>
      <c r="X68" s="40">
        <v>7280.6022886862565</v>
      </c>
      <c r="Y68" s="40">
        <v>7546.5744063630664</v>
      </c>
      <c r="Z68" s="40">
        <v>7457.1050184524529</v>
      </c>
      <c r="AA68" s="40">
        <v>7698.9122602575972</v>
      </c>
      <c r="AB68" s="40">
        <v>10901.855341803703</v>
      </c>
      <c r="AC68" s="40">
        <v>13714.957538699151</v>
      </c>
      <c r="AD68" s="40">
        <v>15169.756033564994</v>
      </c>
      <c r="AE68" s="40">
        <v>15788.314766752983</v>
      </c>
      <c r="AF68" s="40">
        <v>20065.345340250013</v>
      </c>
      <c r="AG68" s="40">
        <v>21154.80251087555</v>
      </c>
      <c r="AH68" s="40">
        <v>22394.755409470705</v>
      </c>
      <c r="AI68" s="40">
        <v>18054.53111421008</v>
      </c>
      <c r="AJ68" s="40">
        <v>18631.530909513243</v>
      </c>
      <c r="AK68" s="40">
        <v>19910.000672169786</v>
      </c>
      <c r="AL68" s="40">
        <v>22271.330922435343</v>
      </c>
      <c r="AM68" s="40">
        <v>21069.547792121579</v>
      </c>
      <c r="AN68" s="40">
        <v>21519.064120256822</v>
      </c>
      <c r="AO68" s="40">
        <v>21227.310873050272</v>
      </c>
      <c r="AP68" s="40">
        <v>19388.278750800535</v>
      </c>
      <c r="AQ68" s="40">
        <v>19721.965202988704</v>
      </c>
      <c r="AR68" s="40">
        <v>21435.139299277023</v>
      </c>
      <c r="AS68" s="40">
        <v>26291.338043904187</v>
      </c>
      <c r="AT68" s="40">
        <v>29832.612903508067</v>
      </c>
      <c r="AU68" s="40">
        <v>30478.845588688309</v>
      </c>
      <c r="AV68" s="40">
        <v>31776.977752640974</v>
      </c>
      <c r="AW68" s="40">
        <v>35826.023457385716</v>
      </c>
      <c r="AX68" s="40">
        <v>38563.053086972512</v>
      </c>
      <c r="AY68" s="40">
        <v>35073.158021785661</v>
      </c>
      <c r="AZ68" s="40">
        <v>33760.589748738435</v>
      </c>
      <c r="BA68" s="40">
        <v>36103.890644746563</v>
      </c>
      <c r="BB68" s="40">
        <v>14026.548910076963</v>
      </c>
    </row>
    <row r="69" spans="1:54">
      <c r="A69" s="41">
        <v>109</v>
      </c>
      <c r="B69" s="41" t="s">
        <v>87</v>
      </c>
      <c r="C69" s="40">
        <v>452.83402810137812</v>
      </c>
      <c r="D69" s="40">
        <v>463.35588625535775</v>
      </c>
      <c r="E69" s="40">
        <v>484.29840098214765</v>
      </c>
      <c r="F69" s="40">
        <v>517.62046922978186</v>
      </c>
      <c r="G69" s="40">
        <v>552.36339273029989</v>
      </c>
      <c r="H69" s="40">
        <v>615.07726001426556</v>
      </c>
      <c r="I69" s="40">
        <v>636.40996536840544</v>
      </c>
      <c r="J69" s="40">
        <v>594.30595353448473</v>
      </c>
      <c r="K69" s="40">
        <v>645.68069330145249</v>
      </c>
      <c r="L69" s="40">
        <v>751.58933068931435</v>
      </c>
      <c r="M69" s="40">
        <v>812.32266638647013</v>
      </c>
      <c r="N69" s="40">
        <v>974.01998761694063</v>
      </c>
      <c r="O69" s="40">
        <v>974.32687458462669</v>
      </c>
      <c r="P69" s="40">
        <v>1196.021580021096</v>
      </c>
      <c r="Q69" s="40">
        <v>1420.9849849359416</v>
      </c>
      <c r="R69" s="40">
        <v>1455.5723737750616</v>
      </c>
      <c r="S69" s="40">
        <v>1578.0007388253455</v>
      </c>
      <c r="T69" s="40">
        <v>1271.2199817611781</v>
      </c>
      <c r="U69" s="40">
        <v>1152.5200074923266</v>
      </c>
      <c r="V69" s="40">
        <v>1256.1553684182834</v>
      </c>
      <c r="W69" s="40">
        <v>1377.7126028402195</v>
      </c>
      <c r="X69" s="40">
        <v>1496.975729940064</v>
      </c>
      <c r="Y69" s="40">
        <v>1615.1652482958168</v>
      </c>
      <c r="Z69" s="40">
        <v>1041.0827231740579</v>
      </c>
      <c r="AA69" s="40">
        <v>908.76164014299968</v>
      </c>
      <c r="AB69" s="40">
        <v>1179.2746288700116</v>
      </c>
      <c r="AC69" s="40">
        <v>1398.369451353572</v>
      </c>
      <c r="AD69" s="40">
        <v>1624.6574522501162</v>
      </c>
      <c r="AE69" s="40">
        <v>1854.7888451712508</v>
      </c>
      <c r="AF69" s="40">
        <v>1921.4260299317955</v>
      </c>
      <c r="AG69" s="40">
        <v>1706.6227328125092</v>
      </c>
      <c r="AH69" s="40">
        <v>1459.0956487959331</v>
      </c>
      <c r="AI69" s="40">
        <v>2003.7558445852055</v>
      </c>
      <c r="AJ69" s="40">
        <v>2007.3692655917732</v>
      </c>
      <c r="AK69" s="40">
        <v>2344.141928080629</v>
      </c>
      <c r="AL69" s="40">
        <v>2600.59834595335</v>
      </c>
      <c r="AM69" s="40">
        <v>2948.8278401898506</v>
      </c>
      <c r="AN69" s="40">
        <v>3419.2043204095589</v>
      </c>
      <c r="AO69" s="40">
        <v>3430.4259387082429</v>
      </c>
      <c r="AP69" s="40">
        <v>3479.0567543913708</v>
      </c>
      <c r="AQ69" s="40">
        <v>3495.2993358382391</v>
      </c>
      <c r="AR69" s="40">
        <v>3713.087774118314</v>
      </c>
      <c r="AS69" s="40">
        <v>3591.5131451126786</v>
      </c>
      <c r="AT69" s="40">
        <v>3856.2734244765661</v>
      </c>
      <c r="AU69" s="40">
        <v>4178.9082708318201</v>
      </c>
      <c r="AV69" s="40">
        <v>4469.6108458542358</v>
      </c>
      <c r="AW69" s="40">
        <v>4791.1110787862608</v>
      </c>
      <c r="AX69" s="40">
        <v>5091.2111410270372</v>
      </c>
      <c r="AY69" s="40">
        <v>4477.1671705983754</v>
      </c>
      <c r="AZ69" s="40">
        <v>4887.7761982102884</v>
      </c>
      <c r="BA69" s="40">
        <v>5330.1007762532308</v>
      </c>
      <c r="BB69" s="40">
        <v>2068.7069034631272</v>
      </c>
    </row>
    <row r="70" spans="1:54">
      <c r="A70" s="41">
        <v>110</v>
      </c>
      <c r="B70" s="41" t="s">
        <v>86</v>
      </c>
      <c r="C70" s="40">
        <v>563.58675983882722</v>
      </c>
      <c r="D70" s="40">
        <v>633.64031517377634</v>
      </c>
      <c r="E70" s="40">
        <v>717.86691523089416</v>
      </c>
      <c r="F70" s="40">
        <v>835.65725248411582</v>
      </c>
      <c r="G70" s="40">
        <v>919.77668818480197</v>
      </c>
      <c r="H70" s="40">
        <v>1058.5035609090201</v>
      </c>
      <c r="I70" s="40">
        <v>1228.9092104005958</v>
      </c>
      <c r="J70" s="40">
        <v>1450.6196523437441</v>
      </c>
      <c r="K70" s="40">
        <v>1669.0981999078131</v>
      </c>
      <c r="L70" s="40">
        <v>2003.6470473595045</v>
      </c>
      <c r="M70" s="40">
        <v>2234.2616658496554</v>
      </c>
      <c r="N70" s="40">
        <v>2917.6589757236015</v>
      </c>
      <c r="O70" s="40">
        <v>3931.3016274214115</v>
      </c>
      <c r="P70" s="40">
        <v>4281.3599284105139</v>
      </c>
      <c r="Q70" s="40">
        <v>4581.57438948033</v>
      </c>
      <c r="R70" s="40">
        <v>5111.29514922012</v>
      </c>
      <c r="S70" s="40">
        <v>6230.3356881102527</v>
      </c>
      <c r="T70" s="40">
        <v>8675.0139967336054</v>
      </c>
      <c r="U70" s="40">
        <v>8953.5915202795113</v>
      </c>
      <c r="V70" s="40">
        <v>9307.8392945914984</v>
      </c>
      <c r="W70" s="40">
        <v>10212.378135896759</v>
      </c>
      <c r="X70" s="40">
        <v>9428.8746503714301</v>
      </c>
      <c r="Y70" s="40">
        <v>10213.958279306718</v>
      </c>
      <c r="Z70" s="40">
        <v>10786.786180946263</v>
      </c>
      <c r="AA70" s="40">
        <v>11465.725781626896</v>
      </c>
      <c r="AB70" s="40">
        <v>16882.273952066676</v>
      </c>
      <c r="AC70" s="40">
        <v>20355.605222435584</v>
      </c>
      <c r="AD70" s="40">
        <v>24592.772005353385</v>
      </c>
      <c r="AE70" s="40">
        <v>24505.767295867885</v>
      </c>
      <c r="AF70" s="40">
        <v>25123.631786214184</v>
      </c>
      <c r="AG70" s="40">
        <v>28540.771482601562</v>
      </c>
      <c r="AH70" s="40">
        <v>31013.647148362648</v>
      </c>
      <c r="AI70" s="40">
        <v>35451.29751157463</v>
      </c>
      <c r="AJ70" s="40">
        <v>38814.894378981378</v>
      </c>
      <c r="AK70" s="40">
        <v>42522.066590605355</v>
      </c>
      <c r="AL70" s="40">
        <v>37421.673857711154</v>
      </c>
      <c r="AM70" s="40">
        <v>34294.898976658827</v>
      </c>
      <c r="AN70" s="40">
        <v>30967.288089092821</v>
      </c>
      <c r="AO70" s="40">
        <v>34998.809971753093</v>
      </c>
      <c r="AP70" s="40">
        <v>37291.706158044806</v>
      </c>
      <c r="AQ70" s="40">
        <v>32716.418674889748</v>
      </c>
      <c r="AR70" s="40">
        <v>31235.588184391381</v>
      </c>
      <c r="AS70" s="40">
        <v>33690.937729715421</v>
      </c>
      <c r="AT70" s="40">
        <v>36441.504493942208</v>
      </c>
      <c r="AU70" s="40">
        <v>35781.234980593836</v>
      </c>
      <c r="AV70" s="40">
        <v>34102.206167125485</v>
      </c>
      <c r="AW70" s="40">
        <v>34094.887105768161</v>
      </c>
      <c r="AX70" s="40">
        <v>37972.237212883534</v>
      </c>
      <c r="AY70" s="40">
        <v>39473.362905816502</v>
      </c>
      <c r="AZ70" s="40">
        <v>43117.768273275658</v>
      </c>
      <c r="BA70" s="40">
        <v>46134.568238835695</v>
      </c>
      <c r="BB70" s="40">
        <v>19351.981946281634</v>
      </c>
    </row>
    <row r="71" spans="1:54">
      <c r="A71" s="41">
        <v>112</v>
      </c>
      <c r="B71" s="41" t="s">
        <v>85</v>
      </c>
      <c r="G71" s="40">
        <v>531.70191497880853</v>
      </c>
      <c r="H71" s="40">
        <v>548.20081487009907</v>
      </c>
      <c r="I71" s="40">
        <v>494.11126529087642</v>
      </c>
      <c r="J71" s="40">
        <v>412.91646029083853</v>
      </c>
      <c r="K71" s="40">
        <v>486.50995271904367</v>
      </c>
      <c r="L71" s="40">
        <v>424.08471100272038</v>
      </c>
      <c r="M71" s="40">
        <v>430.89321088519728</v>
      </c>
      <c r="N71" s="40">
        <v>482.67615324198158</v>
      </c>
      <c r="O71" s="40">
        <v>558.47365419512846</v>
      </c>
      <c r="P71" s="40">
        <v>685.1729832845698</v>
      </c>
      <c r="Q71" s="40">
        <v>753.07928053787441</v>
      </c>
      <c r="R71" s="40">
        <v>878.80552777878347</v>
      </c>
      <c r="S71" s="40">
        <v>1055.29016536684</v>
      </c>
      <c r="T71" s="40">
        <v>1261.6138573529136</v>
      </c>
      <c r="U71" s="40">
        <v>1555.9260960256527</v>
      </c>
      <c r="V71" s="40">
        <v>1816.4765410703876</v>
      </c>
      <c r="W71" s="40">
        <v>1961.2291710576228</v>
      </c>
      <c r="X71" s="40">
        <v>2045.0956638971602</v>
      </c>
      <c r="Y71" s="40">
        <v>2050.8380312103177</v>
      </c>
      <c r="Z71" s="40">
        <v>2020.0107643661393</v>
      </c>
      <c r="AA71" s="40">
        <v>1936.1915528108659</v>
      </c>
      <c r="AB71" s="40">
        <v>2253.0301944033913</v>
      </c>
      <c r="AC71" s="40">
        <v>2292.8524356445291</v>
      </c>
      <c r="AD71" s="40">
        <v>2052.1784477805086</v>
      </c>
      <c r="AE71" s="40">
        <v>1350.9278720035177</v>
      </c>
      <c r="AF71" s="40">
        <v>1268.2232892773834</v>
      </c>
      <c r="AG71" s="40">
        <v>1182.8874848204703</v>
      </c>
      <c r="AH71" s="40">
        <v>1422.6716183207507</v>
      </c>
      <c r="AI71" s="40">
        <v>1435.1703332165225</v>
      </c>
      <c r="AJ71" s="40">
        <v>1535.8944075361821</v>
      </c>
      <c r="AK71" s="40">
        <v>1603.6839834675168</v>
      </c>
      <c r="AL71" s="40">
        <v>1601.9632002192716</v>
      </c>
      <c r="AM71" s="40">
        <v>1625.4873565104442</v>
      </c>
      <c r="AN71" s="40">
        <v>1721.5832666846075</v>
      </c>
      <c r="AO71" s="40">
        <v>1741.4101868144398</v>
      </c>
      <c r="AP71" s="40">
        <v>1764.4137813702255</v>
      </c>
      <c r="AQ71" s="40">
        <v>1826.4063290624356</v>
      </c>
      <c r="AR71" s="40">
        <v>1902.3882810639134</v>
      </c>
      <c r="AS71" s="40">
        <v>1974.7784972889226</v>
      </c>
      <c r="AT71" s="40">
        <v>2157.1626742635867</v>
      </c>
      <c r="AU71" s="40">
        <v>2326.4951890247553</v>
      </c>
      <c r="AV71" s="40">
        <v>2719.8224693160423</v>
      </c>
      <c r="AW71" s="40">
        <v>3022.5419537406351</v>
      </c>
      <c r="AX71" s="40">
        <v>3797.4136286817784</v>
      </c>
      <c r="AY71" s="40">
        <v>4027.0520809155764</v>
      </c>
      <c r="AZ71" s="40">
        <v>4370.7210331811511</v>
      </c>
      <c r="BA71" s="40">
        <v>4665.94353968012</v>
      </c>
      <c r="BB71" s="40">
        <v>1702.8170490749465</v>
      </c>
    </row>
    <row r="72" spans="1:54">
      <c r="A72" s="41">
        <v>113</v>
      </c>
      <c r="B72" s="41" t="s">
        <v>84</v>
      </c>
      <c r="AF72" s="40">
        <v>1647.4632309037563</v>
      </c>
      <c r="AG72" s="40">
        <v>1512.4850664963958</v>
      </c>
      <c r="AH72" s="40">
        <v>1515.1040431739889</v>
      </c>
      <c r="AI72" s="40">
        <v>1433.4615339500749</v>
      </c>
      <c r="AJ72" s="40">
        <v>1320.3216276434964</v>
      </c>
      <c r="AK72" s="40">
        <v>1288.2390210039523</v>
      </c>
      <c r="AL72" s="40">
        <v>1350.3338439627778</v>
      </c>
      <c r="AM72" s="40">
        <v>1445.5694104086695</v>
      </c>
      <c r="AN72" s="40">
        <v>1468.7017861456816</v>
      </c>
      <c r="AO72" s="40">
        <v>1130.1136033840257</v>
      </c>
      <c r="AP72" s="40">
        <v>1229.0009584450054</v>
      </c>
      <c r="AQ72" s="40">
        <v>1490.9267511843198</v>
      </c>
      <c r="AR72" s="40">
        <v>1658.03114601521</v>
      </c>
      <c r="AS72" s="40">
        <v>2068.1235184820353</v>
      </c>
      <c r="AT72" s="40">
        <v>2874.2884827299908</v>
      </c>
      <c r="AU72" s="40">
        <v>3771.2789573384489</v>
      </c>
      <c r="AV72" s="40">
        <v>5291.5740221943934</v>
      </c>
      <c r="AW72" s="40">
        <v>6771.4166385663057</v>
      </c>
      <c r="AX72" s="40">
        <v>8513.5675472310268</v>
      </c>
      <c r="AY72" s="40">
        <v>7164.9313906649777</v>
      </c>
      <c r="AZ72" s="40">
        <v>9070.0097292678147</v>
      </c>
      <c r="BA72" s="40">
        <v>11258.636057031623</v>
      </c>
      <c r="BB72" s="40">
        <v>3421.5262893738163</v>
      </c>
    </row>
    <row r="73" spans="1:54">
      <c r="A73" s="41">
        <v>114</v>
      </c>
      <c r="B73" s="41" t="s">
        <v>83</v>
      </c>
      <c r="C73" s="40">
        <v>94.835252949702664</v>
      </c>
      <c r="D73" s="40">
        <v>100.60425512153803</v>
      </c>
      <c r="E73" s="40">
        <v>104.01270205310036</v>
      </c>
      <c r="F73" s="40">
        <v>108.55893244847906</v>
      </c>
      <c r="G73" s="40">
        <v>104.99217334473622</v>
      </c>
      <c r="H73" s="40">
        <v>118.55628204726221</v>
      </c>
      <c r="I73" s="40">
        <v>121.38075149977472</v>
      </c>
      <c r="J73" s="40">
        <v>128.85766931066982</v>
      </c>
      <c r="K73" s="40">
        <v>134.1937239803012</v>
      </c>
      <c r="L73" s="40">
        <v>142.49741854293021</v>
      </c>
      <c r="M73" s="40">
        <v>152.55370344719879</v>
      </c>
      <c r="N73" s="40">
        <v>174.39803261575523</v>
      </c>
      <c r="O73" s="40">
        <v>199.695321883974</v>
      </c>
      <c r="P73" s="40">
        <v>228.76118139820039</v>
      </c>
      <c r="Q73" s="40">
        <v>241.67927413973746</v>
      </c>
      <c r="R73" s="40">
        <v>248.25259967536181</v>
      </c>
      <c r="S73" s="40">
        <v>309.37591975971986</v>
      </c>
      <c r="T73" s="40">
        <v>351.66744935006869</v>
      </c>
      <c r="U73" s="40">
        <v>398.07163660769658</v>
      </c>
      <c r="V73" s="40">
        <v>446.60421148380914</v>
      </c>
      <c r="W73" s="40">
        <v>405.56320483163722</v>
      </c>
      <c r="X73" s="40">
        <v>366.26631519634969</v>
      </c>
      <c r="Y73" s="40">
        <v>327.78134337663244</v>
      </c>
      <c r="Z73" s="40">
        <v>326.85489440205168</v>
      </c>
      <c r="AA73" s="40">
        <v>312.05639477564603</v>
      </c>
      <c r="AB73" s="40">
        <v>354.99293640329705</v>
      </c>
      <c r="AC73" s="40">
        <v>377.07825989470291</v>
      </c>
      <c r="AD73" s="40">
        <v>381.57842867775048</v>
      </c>
      <c r="AE73" s="40">
        <v>365.43066876818335</v>
      </c>
      <c r="AF73" s="40">
        <v>365.61454653599054</v>
      </c>
      <c r="AG73" s="40">
        <v>336.32339183307988</v>
      </c>
      <c r="AH73" s="40">
        <v>327.88033803715939</v>
      </c>
      <c r="AI73" s="40">
        <v>222.59983847380141</v>
      </c>
      <c r="AJ73" s="40">
        <v>268.37770155204106</v>
      </c>
      <c r="AK73" s="40">
        <v>329.93999530940681</v>
      </c>
      <c r="AL73" s="40">
        <v>427.36712325972792</v>
      </c>
      <c r="AM73" s="40">
        <v>453.1482999610671</v>
      </c>
      <c r="AN73" s="40">
        <v>474.50953182912104</v>
      </c>
      <c r="AO73" s="40">
        <v>423.11693417173331</v>
      </c>
      <c r="AP73" s="40">
        <v>406.11570553351066</v>
      </c>
      <c r="AQ73" s="40">
        <v>404.21620628402547</v>
      </c>
      <c r="AR73" s="40">
        <v>398.40994507147741</v>
      </c>
      <c r="AS73" s="40">
        <v>439.59590573198852</v>
      </c>
      <c r="AT73" s="40">
        <v>462.04976828691332</v>
      </c>
      <c r="AU73" s="40">
        <v>523.6137891876308</v>
      </c>
      <c r="AV73" s="40">
        <v>612.23253123009499</v>
      </c>
      <c r="AW73" s="40">
        <v>721.45901071196272</v>
      </c>
      <c r="AX73" s="40">
        <v>785.73420028577743</v>
      </c>
      <c r="AY73" s="40">
        <v>768.37074699413006</v>
      </c>
      <c r="AZ73" s="40">
        <v>787.85742826013131</v>
      </c>
      <c r="BA73" s="40">
        <v>816.83670936353383</v>
      </c>
      <c r="BB73" s="40">
        <v>350.63765854687404</v>
      </c>
    </row>
    <row r="74" spans="1:54">
      <c r="A74" s="41">
        <v>116</v>
      </c>
      <c r="B74" s="41" t="s">
        <v>82</v>
      </c>
    </row>
    <row r="75" spans="1:54">
      <c r="A75" s="41">
        <v>117</v>
      </c>
      <c r="B75" s="41" t="s">
        <v>81</v>
      </c>
      <c r="C75" s="40">
        <v>91.623606005276287</v>
      </c>
      <c r="D75" s="40">
        <v>103.8672749488739</v>
      </c>
      <c r="E75" s="40">
        <v>142.36265268091077</v>
      </c>
      <c r="F75" s="40">
        <v>120.6360499990672</v>
      </c>
      <c r="G75" s="40">
        <v>105.7698691365264</v>
      </c>
      <c r="H75" s="40">
        <v>130.26484011968483</v>
      </c>
      <c r="I75" s="40">
        <v>157.29025386734787</v>
      </c>
      <c r="J75" s="40">
        <v>194.77956080580765</v>
      </c>
      <c r="K75" s="40">
        <v>239.23146398011562</v>
      </c>
      <c r="L75" s="40">
        <v>278.78737965935323</v>
      </c>
      <c r="M75" s="40">
        <v>302.22777926790621</v>
      </c>
      <c r="N75" s="40">
        <v>322.72255279173663</v>
      </c>
      <c r="O75" s="40">
        <v>403.46415092227755</v>
      </c>
      <c r="P75" s="40">
        <v>555.66772963622714</v>
      </c>
      <c r="Q75" s="40">
        <v>608.22777975456086</v>
      </c>
      <c r="R75" s="40">
        <v>824.42333303901648</v>
      </c>
      <c r="S75" s="40">
        <v>1041.5862811551544</v>
      </c>
      <c r="T75" s="40">
        <v>1382.9210043974749</v>
      </c>
      <c r="U75" s="40">
        <v>1746.7303474051296</v>
      </c>
      <c r="V75" s="40">
        <v>1674.387558579253</v>
      </c>
      <c r="W75" s="40">
        <v>1845.653619658045</v>
      </c>
      <c r="X75" s="40">
        <v>1938.112132809287</v>
      </c>
      <c r="Y75" s="40">
        <v>2117.5295074568762</v>
      </c>
      <c r="Z75" s="40">
        <v>2306.8603126146727</v>
      </c>
      <c r="AA75" s="40">
        <v>2367.7825045263912</v>
      </c>
      <c r="AB75" s="40">
        <v>2702.6412208498541</v>
      </c>
      <c r="AC75" s="40">
        <v>3367.5428076784788</v>
      </c>
      <c r="AD75" s="40">
        <v>4465.6703232559021</v>
      </c>
      <c r="AE75" s="40">
        <v>5438.2526678954628</v>
      </c>
      <c r="AF75" s="40">
        <v>6153.0939968068469</v>
      </c>
      <c r="AG75" s="40">
        <v>7122.7013323717874</v>
      </c>
      <c r="AH75" s="40">
        <v>7555.2725269407974</v>
      </c>
      <c r="AI75" s="40">
        <v>8219.8961990324242</v>
      </c>
      <c r="AJ75" s="40">
        <v>9525.4356298874336</v>
      </c>
      <c r="AK75" s="40">
        <v>11467.813847776817</v>
      </c>
      <c r="AL75" s="40">
        <v>12249.1731451653</v>
      </c>
      <c r="AM75" s="40">
        <v>11234.776996783463</v>
      </c>
      <c r="AN75" s="40">
        <v>7462.8386453181665</v>
      </c>
      <c r="AO75" s="40">
        <v>9554.4394429295025</v>
      </c>
      <c r="AP75" s="40">
        <v>11346.664987420338</v>
      </c>
      <c r="AQ75" s="40">
        <v>10654.935553429088</v>
      </c>
      <c r="AR75" s="40">
        <v>12093.757296847849</v>
      </c>
      <c r="AS75" s="40">
        <v>13451.22941768531</v>
      </c>
      <c r="AT75" s="40">
        <v>15028.940149122587</v>
      </c>
      <c r="AU75" s="40">
        <v>17550.85388540092</v>
      </c>
      <c r="AV75" s="40">
        <v>19676.124183099888</v>
      </c>
      <c r="AW75" s="40">
        <v>21590.105584323755</v>
      </c>
      <c r="AX75" s="40">
        <v>19028.012931451616</v>
      </c>
      <c r="AY75" s="40">
        <v>16958.652389918629</v>
      </c>
      <c r="AZ75" s="40">
        <v>20540.176925139524</v>
      </c>
      <c r="BA75" s="40">
        <v>22388.395967900899</v>
      </c>
      <c r="BB75" s="40">
        <v>6428.045247051954</v>
      </c>
    </row>
    <row r="76" spans="1:54">
      <c r="A76" s="41">
        <v>118</v>
      </c>
      <c r="B76" s="41" t="s">
        <v>80</v>
      </c>
      <c r="D76" s="40">
        <v>5454.222600459776</v>
      </c>
      <c r="E76" s="40">
        <v>4980.4297211916091</v>
      </c>
      <c r="F76" s="40">
        <v>4802.3421664816033</v>
      </c>
      <c r="G76" s="40">
        <v>4348.8068872989079</v>
      </c>
      <c r="H76" s="40">
        <v>4480.9802716537934</v>
      </c>
      <c r="I76" s="40">
        <v>4166.7786006629885</v>
      </c>
      <c r="J76" s="40">
        <v>4164.9964110873943</v>
      </c>
      <c r="K76" s="40">
        <v>3989.8032884012823</v>
      </c>
      <c r="L76" s="40">
        <v>3829.3586711915323</v>
      </c>
      <c r="M76" s="40">
        <v>4800.8199386236784</v>
      </c>
      <c r="N76" s="40">
        <v>5131.3322391390675</v>
      </c>
      <c r="O76" s="40">
        <v>5832.2050966780498</v>
      </c>
      <c r="P76" s="40">
        <v>13160.55885238822</v>
      </c>
      <c r="Q76" s="40">
        <v>11450.427551194842</v>
      </c>
      <c r="R76" s="40">
        <v>11808.443165292905</v>
      </c>
      <c r="S76" s="40">
        <v>12034.77552099606</v>
      </c>
      <c r="T76" s="40">
        <v>12519.498013188919</v>
      </c>
      <c r="U76" s="40">
        <v>18982.328021451725</v>
      </c>
      <c r="V76" s="40">
        <v>20881.512637696589</v>
      </c>
      <c r="W76" s="40">
        <v>17406.710226564421</v>
      </c>
      <c r="X76" s="40">
        <v>14317.391311734635</v>
      </c>
      <c r="Y76" s="40">
        <v>13240.837239357907</v>
      </c>
      <c r="Z76" s="40">
        <v>13148.473657946011</v>
      </c>
      <c r="AA76" s="40">
        <v>12393.355620258279</v>
      </c>
      <c r="AB76" s="40">
        <v>9828.9322890695803</v>
      </c>
      <c r="AC76" s="40">
        <v>11650.487657463462</v>
      </c>
      <c r="AD76" s="40">
        <v>10306.947583345744</v>
      </c>
      <c r="AE76" s="40">
        <v>11807.302425570626</v>
      </c>
      <c r="AF76" s="40">
        <v>8946.5050879626051</v>
      </c>
      <c r="AG76" s="40">
        <v>5505.9385577789135</v>
      </c>
      <c r="AK76" s="40">
        <v>17143.492449244899</v>
      </c>
      <c r="AL76" s="40">
        <v>19866.302727454029</v>
      </c>
      <c r="AM76" s="40">
        <v>18551.620789479017</v>
      </c>
      <c r="AN76" s="40">
        <v>15065.651764219016</v>
      </c>
      <c r="AO76" s="40">
        <v>16564.455643094127</v>
      </c>
      <c r="AP76" s="40">
        <v>19786.695037786554</v>
      </c>
      <c r="AQ76" s="40">
        <v>17616.229059528207</v>
      </c>
      <c r="AR76" s="40">
        <v>18620.352331789476</v>
      </c>
      <c r="AS76" s="40">
        <v>22621.858292144025</v>
      </c>
      <c r="AT76" s="40">
        <v>27061.885766389096</v>
      </c>
      <c r="AU76" s="40">
        <v>35185.930672146518</v>
      </c>
      <c r="AV76" s="40">
        <v>42011.774334634028</v>
      </c>
      <c r="AW76" s="40">
        <v>44902.318266683695</v>
      </c>
      <c r="AX76" s="40">
        <v>54548.615305052772</v>
      </c>
      <c r="AY76" s="40">
        <v>37160.543239644656</v>
      </c>
      <c r="AZ76" s="40">
        <v>40090.746272744211</v>
      </c>
      <c r="BA76" s="40">
        <v>51496.927148569877</v>
      </c>
      <c r="BB76" s="40">
        <v>16673.785115164581</v>
      </c>
    </row>
    <row r="77" spans="1:54">
      <c r="A77" s="41">
        <v>119</v>
      </c>
      <c r="B77" s="41" t="s">
        <v>79</v>
      </c>
      <c r="AF77" s="40">
        <v>608.94516305337947</v>
      </c>
      <c r="AG77" s="40">
        <v>575.95513337515308</v>
      </c>
      <c r="AH77" s="40">
        <v>513.03592151304429</v>
      </c>
      <c r="AI77" s="40">
        <v>449.0657901887339</v>
      </c>
      <c r="AJ77" s="40">
        <v>372.30781001683084</v>
      </c>
      <c r="AK77" s="40">
        <v>364.22649735078465</v>
      </c>
      <c r="AL77" s="40">
        <v>394.86012146051439</v>
      </c>
      <c r="AM77" s="40">
        <v>376.42961326109986</v>
      </c>
      <c r="AN77" s="40">
        <v>345.13813164845078</v>
      </c>
      <c r="AO77" s="40">
        <v>258.04933995910545</v>
      </c>
      <c r="AP77" s="40">
        <v>279.62027499226787</v>
      </c>
      <c r="AQ77" s="40">
        <v>308.40903138669466</v>
      </c>
      <c r="AR77" s="40">
        <v>321.72653804514169</v>
      </c>
      <c r="AS77" s="40">
        <v>380.50736243548067</v>
      </c>
      <c r="AT77" s="40">
        <v>433.23511893516621</v>
      </c>
      <c r="AU77" s="40">
        <v>476.4800976123073</v>
      </c>
      <c r="AV77" s="40">
        <v>543.11070240307208</v>
      </c>
      <c r="AW77" s="40">
        <v>721.76869083885708</v>
      </c>
      <c r="AX77" s="40">
        <v>966.39362718537234</v>
      </c>
      <c r="AY77" s="40">
        <v>871.21829748441257</v>
      </c>
      <c r="AZ77" s="40">
        <v>880.03851414418637</v>
      </c>
      <c r="BA77" s="40">
        <v>1123.8831359808048</v>
      </c>
      <c r="BB77" s="40">
        <v>525.6547687850391</v>
      </c>
    </row>
    <row r="78" spans="1:54">
      <c r="A78" s="41">
        <v>120</v>
      </c>
      <c r="B78" s="41" t="s">
        <v>78</v>
      </c>
      <c r="Z78" s="40">
        <v>491.19507411994113</v>
      </c>
      <c r="AA78" s="40">
        <v>643.51952677566987</v>
      </c>
      <c r="AB78" s="40">
        <v>469.79122985183835</v>
      </c>
      <c r="AC78" s="40">
        <v>279.40839823521287</v>
      </c>
      <c r="AD78" s="40">
        <v>149.55782192295038</v>
      </c>
      <c r="AE78" s="40">
        <v>173.19727239314767</v>
      </c>
      <c r="AF78" s="40">
        <v>203.92408474876075</v>
      </c>
      <c r="AG78" s="40">
        <v>235.26362999551844</v>
      </c>
      <c r="AH78" s="40">
        <v>250.74484139522923</v>
      </c>
      <c r="AI78" s="40">
        <v>287.02735655976949</v>
      </c>
      <c r="AJ78" s="40">
        <v>324.89165381061929</v>
      </c>
      <c r="AK78" s="40">
        <v>362.01302177738364</v>
      </c>
      <c r="AL78" s="40">
        <v>375.74189157123476</v>
      </c>
      <c r="AM78" s="40">
        <v>342.77153018525547</v>
      </c>
      <c r="AN78" s="40">
        <v>246.14554009611888</v>
      </c>
      <c r="AO78" s="40">
        <v>274.51690497334795</v>
      </c>
      <c r="AP78" s="40">
        <v>321.28948405848172</v>
      </c>
      <c r="AQ78" s="40">
        <v>323.32073439531291</v>
      </c>
      <c r="AR78" s="40">
        <v>317.06022963412045</v>
      </c>
      <c r="AS78" s="40">
        <v>360.08178708995541</v>
      </c>
      <c r="AT78" s="40">
        <v>415.22225214832758</v>
      </c>
      <c r="AU78" s="40">
        <v>472.4084630620755</v>
      </c>
      <c r="AV78" s="40">
        <v>585.64057515489742</v>
      </c>
      <c r="AW78" s="40">
        <v>702.27013114008821</v>
      </c>
      <c r="AX78" s="40">
        <v>886.75965239858442</v>
      </c>
      <c r="AY78" s="40">
        <v>930.58594452076773</v>
      </c>
      <c r="AZ78" s="40">
        <v>1122.8523155898163</v>
      </c>
      <c r="BA78" s="40">
        <v>1261.5435929873211</v>
      </c>
      <c r="BB78" s="40">
        <v>457.45517644970522</v>
      </c>
    </row>
    <row r="79" spans="1:54">
      <c r="A79" s="41">
        <v>121</v>
      </c>
      <c r="B79" s="41" t="s">
        <v>77</v>
      </c>
      <c r="AC79" s="40">
        <v>2176.1557327058867</v>
      </c>
      <c r="AD79" s="40">
        <v>2572.8965027835679</v>
      </c>
      <c r="AE79" s="40">
        <v>2883.5565613767963</v>
      </c>
      <c r="AF79" s="40">
        <v>2796.3126599863481</v>
      </c>
      <c r="AG79" s="40">
        <v>2549.0329341734923</v>
      </c>
      <c r="AH79" s="40">
        <v>1854.4108574765976</v>
      </c>
      <c r="AI79" s="40">
        <v>1743.0674138712443</v>
      </c>
      <c r="AJ79" s="40">
        <v>2007.6845353688584</v>
      </c>
      <c r="AK79" s="40">
        <v>2106.8820093678355</v>
      </c>
      <c r="AL79" s="40">
        <v>2273.0110598754304</v>
      </c>
      <c r="AM79" s="40">
        <v>2521.0069090765255</v>
      </c>
      <c r="AN79" s="40">
        <v>2745.6039480360851</v>
      </c>
      <c r="AO79" s="40">
        <v>3048.9769312218259</v>
      </c>
      <c r="AP79" s="40">
        <v>3300.9346563048607</v>
      </c>
      <c r="AQ79" s="40">
        <v>3529.9400909682395</v>
      </c>
      <c r="AR79" s="40">
        <v>3983.0191086839604</v>
      </c>
      <c r="AS79" s="40">
        <v>4810.669828664425</v>
      </c>
      <c r="AT79" s="40">
        <v>5950.1281963666952</v>
      </c>
      <c r="AU79" s="40">
        <v>6973.1609425495744</v>
      </c>
      <c r="AV79" s="40">
        <v>8713.067953124928</v>
      </c>
      <c r="AW79" s="40">
        <v>12638.147287751173</v>
      </c>
      <c r="AX79" s="40">
        <v>14857.886619207275</v>
      </c>
      <c r="AY79" s="40">
        <v>11475.692334779411</v>
      </c>
      <c r="AZ79" s="40">
        <v>10743.281633815557</v>
      </c>
      <c r="BA79" s="40">
        <v>13806.974234613181</v>
      </c>
      <c r="BB79" s="40">
        <v>5282.4600376859898</v>
      </c>
    </row>
    <row r="80" spans="1:54">
      <c r="A80" s="41">
        <v>122</v>
      </c>
      <c r="B80" s="41" t="s">
        <v>76</v>
      </c>
      <c r="AD80" s="40">
        <v>1241.6805331848389</v>
      </c>
      <c r="AE80" s="40">
        <v>1015.4612124065646</v>
      </c>
      <c r="AF80" s="40">
        <v>1050.1167020603691</v>
      </c>
      <c r="AG80" s="40">
        <v>1617.2719359717144</v>
      </c>
      <c r="AH80" s="40">
        <v>1965.3370820164282</v>
      </c>
      <c r="AI80" s="40">
        <v>2597.5933754958664</v>
      </c>
      <c r="AJ80" s="40">
        <v>3226.9802734412733</v>
      </c>
      <c r="AK80" s="40">
        <v>3863.2465789472067</v>
      </c>
      <c r="AL80" s="40">
        <v>4457.9252515026019</v>
      </c>
      <c r="AM80" s="40">
        <v>5093.2116958108127</v>
      </c>
      <c r="AN80" s="40">
        <v>5538.5683825492542</v>
      </c>
      <c r="AO80" s="40">
        <v>5509.2417338855375</v>
      </c>
      <c r="AP80" s="40">
        <v>5334.8802435739835</v>
      </c>
      <c r="AQ80" s="40">
        <v>5256.6569108235326</v>
      </c>
      <c r="AR80" s="40">
        <v>5447.7804684401744</v>
      </c>
      <c r="AS80" s="40">
        <v>5442.363165226825</v>
      </c>
      <c r="AT80" s="40">
        <v>5654.234093466328</v>
      </c>
      <c r="AU80" s="40">
        <v>5483.1795201023706</v>
      </c>
      <c r="AV80" s="40">
        <v>5499.864649812188</v>
      </c>
      <c r="AW80" s="40">
        <v>6052.6203521536954</v>
      </c>
      <c r="AX80" s="40">
        <v>7185.6114802292141</v>
      </c>
      <c r="AY80" s="40">
        <v>8159.0219812402374</v>
      </c>
      <c r="AZ80" s="40">
        <v>8551.8524162705453</v>
      </c>
      <c r="BA80" s="40">
        <v>9148.1290133017901</v>
      </c>
      <c r="BB80" s="40">
        <v>4766.3678771630557</v>
      </c>
    </row>
    <row r="81" spans="1:54">
      <c r="A81" s="41">
        <v>123</v>
      </c>
      <c r="B81" s="41" t="s">
        <v>75</v>
      </c>
      <c r="C81" s="40">
        <v>41.211962018354555</v>
      </c>
      <c r="D81" s="40">
        <v>47.465141877006346</v>
      </c>
      <c r="E81" s="40">
        <v>52.363110266272194</v>
      </c>
      <c r="F81" s="40">
        <v>56.735675705110118</v>
      </c>
      <c r="G81" s="40">
        <v>58.80516395906433</v>
      </c>
      <c r="H81" s="40">
        <v>59.575320616945284</v>
      </c>
      <c r="I81" s="40">
        <v>61.033661443290065</v>
      </c>
      <c r="J81" s="40">
        <v>62.012208925890498</v>
      </c>
      <c r="K81" s="40">
        <v>65.230348854352684</v>
      </c>
      <c r="L81" s="40">
        <v>66.593013767638297</v>
      </c>
      <c r="M81" s="40">
        <v>72.594725047881425</v>
      </c>
      <c r="N81" s="40">
        <v>75.250429263303033</v>
      </c>
      <c r="O81" s="40">
        <v>110.36890388728644</v>
      </c>
      <c r="P81" s="40">
        <v>134.39061557637839</v>
      </c>
      <c r="Q81" s="40">
        <v>130.1542484955317</v>
      </c>
      <c r="R81" s="40">
        <v>125.35070767342262</v>
      </c>
      <c r="S81" s="40">
        <v>159.91830143369324</v>
      </c>
      <c r="T81" s="40">
        <v>214.7750608650463</v>
      </c>
      <c r="U81" s="40">
        <v>227.69666185618999</v>
      </c>
      <c r="V81" s="40">
        <v>330.07625210896038</v>
      </c>
      <c r="W81" s="40">
        <v>323.84273768393246</v>
      </c>
      <c r="X81" s="40">
        <v>237.94223843469314</v>
      </c>
      <c r="Y81" s="40">
        <v>252.6580240706665</v>
      </c>
      <c r="Z81" s="40">
        <v>210.6687049677646</v>
      </c>
      <c r="AA81" s="40">
        <v>168.73644073456097</v>
      </c>
      <c r="AB81" s="40">
        <v>194.35929918020045</v>
      </c>
      <c r="AC81" s="40">
        <v>242.95154134807564</v>
      </c>
      <c r="AD81" s="40">
        <v>278.22452295836626</v>
      </c>
      <c r="AE81" s="40">
        <v>287.55760884046771</v>
      </c>
      <c r="AF81" s="40">
        <v>340.88712425203289</v>
      </c>
      <c r="AG81" s="40">
        <v>373.95904169681762</v>
      </c>
      <c r="AH81" s="40">
        <v>433.96817885000701</v>
      </c>
      <c r="AI81" s="40">
        <v>426.10968912161269</v>
      </c>
      <c r="AJ81" s="40">
        <v>437.67526157303405</v>
      </c>
      <c r="AK81" s="40">
        <v>489.83939142738939</v>
      </c>
      <c r="AL81" s="40">
        <v>458.59871110276828</v>
      </c>
      <c r="AM81" s="40">
        <v>477.23050580771843</v>
      </c>
      <c r="AN81" s="40">
        <v>449.83441658173172</v>
      </c>
      <c r="AO81" s="40">
        <v>435.71204168295293</v>
      </c>
      <c r="AP81" s="40">
        <v>415.46721571168661</v>
      </c>
      <c r="AQ81" s="40">
        <v>377.46777077371468</v>
      </c>
      <c r="AR81" s="40">
        <v>348.3464320413193</v>
      </c>
      <c r="AS81" s="40">
        <v>510.42948149368493</v>
      </c>
      <c r="AT81" s="40">
        <v>645.49346421652399</v>
      </c>
      <c r="AU81" s="40">
        <v>710.54836281881467</v>
      </c>
      <c r="AV81" s="40">
        <v>736.38288464339257</v>
      </c>
      <c r="AW81" s="40">
        <v>816.78261714633356</v>
      </c>
      <c r="AX81" s="40">
        <v>826.80813091285552</v>
      </c>
      <c r="AY81" s="40">
        <v>862.79212652326692</v>
      </c>
      <c r="AZ81" s="40">
        <v>1097.0401877652239</v>
      </c>
      <c r="BA81" s="40">
        <v>1243.9110853769962</v>
      </c>
      <c r="BB81" s="40">
        <v>338.50640692902402</v>
      </c>
    </row>
    <row r="82" spans="1:54">
      <c r="A82" s="41">
        <v>124</v>
      </c>
      <c r="B82" s="41" t="s">
        <v>74</v>
      </c>
      <c r="C82" s="40">
        <v>160.64423668175974</v>
      </c>
      <c r="D82" s="40">
        <v>163.94703772728786</v>
      </c>
      <c r="E82" s="40">
        <v>167.33379910211369</v>
      </c>
      <c r="F82" s="40">
        <v>178.84990531772885</v>
      </c>
      <c r="G82" s="40">
        <v>182.97416693802236</v>
      </c>
      <c r="H82" s="40">
        <v>190.49223878363972</v>
      </c>
      <c r="I82" s="40">
        <v>198.47959310146078</v>
      </c>
      <c r="J82" s="40">
        <v>205.2883403735257</v>
      </c>
      <c r="K82" s="40">
        <v>221.9046587701194</v>
      </c>
      <c r="L82" s="40">
        <v>227.57861224121802</v>
      </c>
      <c r="M82" s="40">
        <v>234.30045674254347</v>
      </c>
      <c r="N82" s="40">
        <v>245.83200788590023</v>
      </c>
      <c r="O82" s="40">
        <v>251.46066300080187</v>
      </c>
      <c r="P82" s="40">
        <v>307.69616273133056</v>
      </c>
      <c r="Q82" s="40">
        <v>354.61712725093577</v>
      </c>
      <c r="R82" s="40">
        <v>356.0083722351099</v>
      </c>
      <c r="S82" s="40">
        <v>390.3065209158662</v>
      </c>
      <c r="T82" s="40">
        <v>404.0336007210455</v>
      </c>
      <c r="U82" s="40">
        <v>444.6118638115571</v>
      </c>
      <c r="V82" s="40">
        <v>451.62399308015887</v>
      </c>
      <c r="W82" s="40">
        <v>431.49997629721759</v>
      </c>
      <c r="X82" s="40">
        <v>424.26093673652292</v>
      </c>
      <c r="Y82" s="40">
        <v>390.68372871850033</v>
      </c>
      <c r="Z82" s="40">
        <v>392.11785371805149</v>
      </c>
      <c r="AA82" s="40">
        <v>387.40320791174463</v>
      </c>
      <c r="AB82" s="40">
        <v>381.06710372668584</v>
      </c>
      <c r="AC82" s="40">
        <v>442.94610154612229</v>
      </c>
      <c r="AD82" s="40">
        <v>478.38534923558785</v>
      </c>
      <c r="AE82" s="40">
        <v>367.94261910756018</v>
      </c>
      <c r="AF82" s="40">
        <v>182.79718690156392</v>
      </c>
      <c r="AG82" s="40">
        <v>168.43654104914668</v>
      </c>
      <c r="AH82" s="40">
        <v>110.17059435926556</v>
      </c>
      <c r="AI82" s="40">
        <v>79.946210753961552</v>
      </c>
      <c r="AJ82" s="40">
        <v>65.473159966480907</v>
      </c>
      <c r="AK82" s="40">
        <v>64.810153847189383</v>
      </c>
      <c r="AL82" s="40">
        <v>72.527039527236539</v>
      </c>
      <c r="AM82" s="40">
        <v>125.10093899690948</v>
      </c>
      <c r="AN82" s="40">
        <v>140.57390549427353</v>
      </c>
      <c r="AO82" s="40">
        <v>161.13767254124409</v>
      </c>
      <c r="AP82" s="40">
        <v>182.94277345524918</v>
      </c>
      <c r="AQ82" s="40">
        <v>171.73707886900263</v>
      </c>
      <c r="AR82" s="40">
        <v>174.5545683307864</v>
      </c>
      <c r="AS82" s="40">
        <v>130.91259199890396</v>
      </c>
      <c r="AT82" s="40">
        <v>146.64124047813178</v>
      </c>
      <c r="AU82" s="40">
        <v>165.76008338160332</v>
      </c>
      <c r="AV82" s="40">
        <v>178.45373076393497</v>
      </c>
      <c r="AW82" s="40">
        <v>209.81408486250115</v>
      </c>
      <c r="AX82" s="40">
        <v>231.44749600421687</v>
      </c>
      <c r="AY82" s="40">
        <v>302.28035237659043</v>
      </c>
      <c r="AZ82" s="40">
        <v>326.60428044353245</v>
      </c>
      <c r="BA82" s="40">
        <v>378.80570835311977</v>
      </c>
      <c r="BB82" s="40">
        <v>251.08269857186201</v>
      </c>
    </row>
    <row r="83" spans="1:54">
      <c r="A83" s="41">
        <v>125</v>
      </c>
      <c r="B83" s="41" t="s">
        <v>73</v>
      </c>
      <c r="AF83" s="40">
        <v>6785.4883978980442</v>
      </c>
      <c r="AG83" s="40">
        <v>7338.5991268195639</v>
      </c>
      <c r="AH83" s="40">
        <v>7599.3320592540822</v>
      </c>
      <c r="AI83" s="40">
        <v>6726.6148862639438</v>
      </c>
      <c r="AJ83" s="40">
        <v>6146.880279392687</v>
      </c>
      <c r="AK83" s="40">
        <v>5379.8291705054226</v>
      </c>
      <c r="AL83" s="40">
        <v>5764.4355539444459</v>
      </c>
      <c r="AM83" s="40">
        <v>6234.5114742869164</v>
      </c>
      <c r="AN83" s="40">
        <v>5440.2533177865607</v>
      </c>
      <c r="AO83" s="40">
        <v>5985.6204630856864</v>
      </c>
      <c r="AP83" s="40">
        <v>6548.5682738871601</v>
      </c>
      <c r="AQ83" s="40">
        <v>5404.4623679191536</v>
      </c>
      <c r="AR83" s="40">
        <v>3715.556991267747</v>
      </c>
      <c r="AS83" s="40">
        <v>4437.4371612794721</v>
      </c>
      <c r="AT83" s="40">
        <v>6062.2145241720327</v>
      </c>
      <c r="AU83" s="40">
        <v>7864.9375720580219</v>
      </c>
      <c r="AV83" s="40">
        <v>9933.1088240078425</v>
      </c>
      <c r="AW83" s="40">
        <v>12418.183591265435</v>
      </c>
      <c r="AX83" s="40">
        <v>15853.461508992392</v>
      </c>
      <c r="AY83" s="40">
        <v>10455.574867394531</v>
      </c>
      <c r="BB83" s="40">
        <v>7304.7535205740569</v>
      </c>
    </row>
    <row r="84" spans="1:54">
      <c r="A84" s="41">
        <v>127</v>
      </c>
      <c r="B84" s="41" t="s">
        <v>72</v>
      </c>
      <c r="AF84" s="40">
        <v>2841.3075623662799</v>
      </c>
      <c r="AG84" s="40">
        <v>2777.1736244514873</v>
      </c>
      <c r="AH84" s="40">
        <v>2314.0668171004286</v>
      </c>
      <c r="AI84" s="40">
        <v>2016.1222165754893</v>
      </c>
      <c r="AJ84" s="40">
        <v>1902.7516963527512</v>
      </c>
      <c r="AK84" s="40">
        <v>2178.196091205959</v>
      </c>
      <c r="AL84" s="40">
        <v>2339.6739183249283</v>
      </c>
      <c r="AM84" s="40">
        <v>2833.0942282771261</v>
      </c>
      <c r="AN84" s="40">
        <v>3170.7524601114969</v>
      </c>
      <c r="AO84" s="40">
        <v>3113.1197722741767</v>
      </c>
      <c r="AP84" s="40">
        <v>3267.3474426323946</v>
      </c>
      <c r="AQ84" s="40">
        <v>3492.7334449394075</v>
      </c>
      <c r="AR84" s="40">
        <v>4082.9239945864133</v>
      </c>
      <c r="AS84" s="40">
        <v>5387.2627295074062</v>
      </c>
      <c r="AT84" s="40">
        <v>6564.0942284621533</v>
      </c>
      <c r="AU84" s="40">
        <v>7603.9667764800279</v>
      </c>
      <c r="AV84" s="40">
        <v>8864.9923007456146</v>
      </c>
      <c r="AW84" s="40">
        <v>11584.241182097367</v>
      </c>
      <c r="AX84" s="40">
        <v>14071.265108154375</v>
      </c>
      <c r="AY84" s="40">
        <v>11033.58845641408</v>
      </c>
      <c r="AZ84" s="40">
        <v>11148.941278758188</v>
      </c>
      <c r="BA84" s="40">
        <v>14154.609030796826</v>
      </c>
      <c r="BB84" s="40">
        <v>5761.010198209744</v>
      </c>
    </row>
    <row r="85" spans="1:54">
      <c r="A85" s="41">
        <v>130</v>
      </c>
      <c r="B85" s="41" t="s">
        <v>71</v>
      </c>
      <c r="AF85" s="40">
        <v>2225.1113951307043</v>
      </c>
      <c r="AG85" s="40">
        <v>2341.7370131710973</v>
      </c>
      <c r="AH85" s="40">
        <v>1162.3309223676288</v>
      </c>
      <c r="AI85" s="40">
        <v>1288.6287255523944</v>
      </c>
      <c r="AJ85" s="40">
        <v>1717.3825072154943</v>
      </c>
      <c r="AK85" s="40">
        <v>2261.9959937020758</v>
      </c>
      <c r="AL85" s="40">
        <v>2238.8336255082572</v>
      </c>
      <c r="AM85" s="40">
        <v>1875.4514141695947</v>
      </c>
      <c r="AN85" s="40">
        <v>1773.8875591972128</v>
      </c>
      <c r="AO85" s="40">
        <v>1805.5107581764034</v>
      </c>
      <c r="AP85" s="40">
        <v>1747.8842650517854</v>
      </c>
      <c r="AQ85" s="40">
        <v>1664.3090956518347</v>
      </c>
      <c r="AR85" s="40">
        <v>1827.6281454437044</v>
      </c>
      <c r="AS85" s="40">
        <v>2285.6933741101593</v>
      </c>
      <c r="AT85" s="40">
        <v>2643.802568398884</v>
      </c>
      <c r="AU85" s="40">
        <v>2863.9631797082166</v>
      </c>
      <c r="AV85" s="40">
        <v>3133.3192123038853</v>
      </c>
      <c r="AW85" s="40">
        <v>3891.8953460278931</v>
      </c>
      <c r="AX85" s="40">
        <v>4685.6220798422164</v>
      </c>
      <c r="AY85" s="40">
        <v>4433.8570822515103</v>
      </c>
      <c r="AZ85" s="40">
        <v>4442.3007685395778</v>
      </c>
      <c r="BA85" s="40">
        <v>4940.9398065194418</v>
      </c>
      <c r="BB85" s="40">
        <v>2602.3674926381805</v>
      </c>
    </row>
    <row r="86" spans="1:54">
      <c r="A86" s="41">
        <v>131</v>
      </c>
      <c r="B86" s="41" t="s">
        <v>70</v>
      </c>
      <c r="C86" s="40">
        <v>133.84622339361798</v>
      </c>
      <c r="D86" s="40">
        <v>138.11543669821893</v>
      </c>
      <c r="E86" s="40">
        <v>138.40025365284239</v>
      </c>
      <c r="F86" s="40">
        <v>142.65332974751254</v>
      </c>
      <c r="G86" s="40">
        <v>144.48463008036339</v>
      </c>
      <c r="H86" s="40">
        <v>152.12157072594275</v>
      </c>
      <c r="I86" s="40">
        <v>157.50895983634126</v>
      </c>
      <c r="J86" s="40">
        <v>165.52520969255144</v>
      </c>
      <c r="K86" s="40">
        <v>165.04939414218029</v>
      </c>
      <c r="L86" s="40">
        <v>169.07066296678519</v>
      </c>
      <c r="M86" s="40">
        <v>177.43271800198747</v>
      </c>
      <c r="N86" s="40">
        <v>192.96846584917438</v>
      </c>
      <c r="O86" s="40">
        <v>231.12024333797962</v>
      </c>
      <c r="P86" s="40">
        <v>260.52141152044231</v>
      </c>
      <c r="Q86" s="40">
        <v>301.3625217873938</v>
      </c>
      <c r="R86" s="40">
        <v>279.73645379594171</v>
      </c>
      <c r="S86" s="40">
        <v>293.70656380565509</v>
      </c>
      <c r="T86" s="40">
        <v>322.86694350452757</v>
      </c>
      <c r="U86" s="40">
        <v>407.09720030700447</v>
      </c>
      <c r="V86" s="40">
        <v>462.14285798601577</v>
      </c>
      <c r="W86" s="40">
        <v>400.16370122552655</v>
      </c>
      <c r="X86" s="40">
        <v>382.42223978677208</v>
      </c>
      <c r="Y86" s="40">
        <v>371.11041022670008</v>
      </c>
      <c r="Z86" s="40">
        <v>302.5923394347339</v>
      </c>
      <c r="AA86" s="40">
        <v>286.32976229447291</v>
      </c>
      <c r="AB86" s="40">
        <v>317.43687388399837</v>
      </c>
      <c r="AC86" s="40">
        <v>242.87750916279435</v>
      </c>
      <c r="AD86" s="40">
        <v>224.54147380093838</v>
      </c>
      <c r="AE86" s="40">
        <v>222.93055321704901</v>
      </c>
      <c r="AF86" s="40">
        <v>266.89225556810726</v>
      </c>
      <c r="AG86" s="40">
        <v>222.98557920241385</v>
      </c>
      <c r="AH86" s="40">
        <v>246.61482403298447</v>
      </c>
      <c r="AI86" s="40">
        <v>266.5990563378582</v>
      </c>
      <c r="AJ86" s="40">
        <v>228.30498829253835</v>
      </c>
      <c r="AK86" s="40">
        <v>234.89277095947557</v>
      </c>
      <c r="AL86" s="40">
        <v>287.77139666992031</v>
      </c>
      <c r="AM86" s="40">
        <v>247.45046217546212</v>
      </c>
      <c r="AN86" s="40">
        <v>252.78178840332637</v>
      </c>
      <c r="AO86" s="40">
        <v>243.56678603555193</v>
      </c>
      <c r="AP86" s="40">
        <v>246.28264096587367</v>
      </c>
      <c r="AQ86" s="40">
        <v>278.98744992984257</v>
      </c>
      <c r="AR86" s="40">
        <v>262.7418197520671</v>
      </c>
      <c r="AS86" s="40">
        <v>317.42203169192851</v>
      </c>
      <c r="AT86" s="40">
        <v>245.67045293540556</v>
      </c>
      <c r="AU86" s="40">
        <v>275.47670758205464</v>
      </c>
      <c r="AV86" s="40">
        <v>292.9565189612776</v>
      </c>
      <c r="AW86" s="40">
        <v>379.06649964584233</v>
      </c>
      <c r="AX86" s="40">
        <v>471.44235100432843</v>
      </c>
      <c r="AY86" s="40">
        <v>419.09094287601636</v>
      </c>
      <c r="AZ86" s="40">
        <v>419.22381329404357</v>
      </c>
      <c r="BA86" s="40">
        <v>457.20796495998138</v>
      </c>
      <c r="BB86" s="40">
        <v>269.5993140223876</v>
      </c>
    </row>
    <row r="87" spans="1:54">
      <c r="A87" s="41">
        <v>132</v>
      </c>
      <c r="B87" s="41" t="s">
        <v>69</v>
      </c>
      <c r="C87" s="40">
        <v>48.395232712682891</v>
      </c>
      <c r="D87" s="40">
        <v>49.576613730994978</v>
      </c>
      <c r="E87" s="40">
        <v>50.431277402070521</v>
      </c>
      <c r="F87" s="40">
        <v>50.226632450359624</v>
      </c>
      <c r="G87" s="40">
        <v>57.740939442196954</v>
      </c>
      <c r="H87" s="40">
        <v>63.921075816443071</v>
      </c>
      <c r="I87" s="40">
        <v>64.589506641049937</v>
      </c>
      <c r="J87" s="40">
        <v>57.194471416323466</v>
      </c>
      <c r="K87" s="40">
        <v>60.363239023161192</v>
      </c>
      <c r="L87" s="40">
        <v>64.136029670992954</v>
      </c>
      <c r="M87" s="40">
        <v>78.305695651822347</v>
      </c>
      <c r="N87" s="40">
        <v>84.386111800773563</v>
      </c>
      <c r="O87" s="40">
        <v>89.447956318697791</v>
      </c>
      <c r="P87" s="40">
        <v>106.94500590053245</v>
      </c>
      <c r="Q87" s="40">
        <v>115.70774033645587</v>
      </c>
      <c r="R87" s="40">
        <v>122.34642212975476</v>
      </c>
      <c r="S87" s="40">
        <v>142.24425623991672</v>
      </c>
      <c r="T87" s="40">
        <v>161.88412317170378</v>
      </c>
      <c r="U87" s="40">
        <v>174.84026558369646</v>
      </c>
      <c r="V87" s="40">
        <v>198.44428930397405</v>
      </c>
      <c r="W87" s="40">
        <v>193.26978148304372</v>
      </c>
      <c r="X87" s="40">
        <v>179.91210644608529</v>
      </c>
      <c r="Y87" s="40">
        <v>181.72544568715352</v>
      </c>
      <c r="Z87" s="40">
        <v>173.60992263111362</v>
      </c>
      <c r="AA87" s="40">
        <v>155.73639130311616</v>
      </c>
      <c r="AB87" s="40">
        <v>154.36850610828176</v>
      </c>
      <c r="AC87" s="40">
        <v>145.16141975891455</v>
      </c>
      <c r="AD87" s="40">
        <v>159.4331961994086</v>
      </c>
      <c r="AE87" s="40">
        <v>174.64324516601445</v>
      </c>
      <c r="AF87" s="40">
        <v>199.08539279954749</v>
      </c>
      <c r="AG87" s="40">
        <v>228.16794553454591</v>
      </c>
      <c r="AH87" s="40">
        <v>184.38870212696028</v>
      </c>
      <c r="AI87" s="40">
        <v>211.27683359424995</v>
      </c>
      <c r="AJ87" s="40">
        <v>119.95873571226964</v>
      </c>
      <c r="AK87" s="40">
        <v>140.24939852045151</v>
      </c>
      <c r="AL87" s="40">
        <v>224.65954210149636</v>
      </c>
      <c r="AM87" s="40">
        <v>255.97584422861539</v>
      </c>
      <c r="AN87" s="40">
        <v>163.60334168645079</v>
      </c>
      <c r="AO87" s="40">
        <v>161.26099051653355</v>
      </c>
      <c r="AP87" s="40">
        <v>153.9996380907447</v>
      </c>
      <c r="AQ87" s="40">
        <v>147.67939039084288</v>
      </c>
      <c r="AR87" s="40">
        <v>223.46009483002888</v>
      </c>
      <c r="AS87" s="40">
        <v>198.11327507395947</v>
      </c>
      <c r="AT87" s="40">
        <v>208.85576353292362</v>
      </c>
      <c r="AU87" s="40">
        <v>213.15667453754935</v>
      </c>
      <c r="AV87" s="40">
        <v>234.21239605174901</v>
      </c>
      <c r="AW87" s="40">
        <v>265.99690752705021</v>
      </c>
      <c r="AX87" s="40">
        <v>302.49731895224119</v>
      </c>
      <c r="AY87" s="40">
        <v>345.19476144433901</v>
      </c>
      <c r="AZ87" s="40">
        <v>359.57952683673221</v>
      </c>
      <c r="BA87" s="40">
        <v>363.64155943787011</v>
      </c>
      <c r="BB87" s="40">
        <v>162.0392339814488</v>
      </c>
    </row>
    <row r="88" spans="1:54">
      <c r="A88" s="41">
        <v>133</v>
      </c>
      <c r="B88" s="41" t="s">
        <v>68</v>
      </c>
      <c r="C88" s="40">
        <v>287.4146979478802</v>
      </c>
      <c r="D88" s="40">
        <v>292.03362019403681</v>
      </c>
      <c r="E88" s="40">
        <v>300.96683860356433</v>
      </c>
      <c r="F88" s="40">
        <v>312.2228260251556</v>
      </c>
      <c r="G88" s="40">
        <v>333.11632467654755</v>
      </c>
      <c r="H88" s="40">
        <v>344.64929986212007</v>
      </c>
      <c r="I88" s="40">
        <v>347.69370569572123</v>
      </c>
      <c r="J88" s="40">
        <v>353.43612322832251</v>
      </c>
      <c r="K88" s="40">
        <v>380.69839417405097</v>
      </c>
      <c r="L88" s="40">
        <v>392.04407130659735</v>
      </c>
      <c r="M88" s="40">
        <v>403.71161022639922</v>
      </c>
      <c r="N88" s="40">
        <v>468.09079478138636</v>
      </c>
      <c r="O88" s="40">
        <v>694.15717750098327</v>
      </c>
      <c r="P88" s="40">
        <v>839.92369910365051</v>
      </c>
      <c r="Q88" s="40">
        <v>803.32475226417205</v>
      </c>
      <c r="R88" s="40">
        <v>932.84894468701691</v>
      </c>
      <c r="S88" s="40">
        <v>1084.0511652803846</v>
      </c>
      <c r="T88" s="40">
        <v>1262.7882472628783</v>
      </c>
      <c r="U88" s="40">
        <v>1599.6706487592846</v>
      </c>
      <c r="V88" s="40">
        <v>1802.625097535448</v>
      </c>
      <c r="W88" s="40">
        <v>1795.6890994069979</v>
      </c>
      <c r="X88" s="40">
        <v>1876.2336468697551</v>
      </c>
      <c r="Y88" s="40">
        <v>2055.5110003604532</v>
      </c>
      <c r="Z88" s="40">
        <v>2254.2892673383412</v>
      </c>
      <c r="AA88" s="40">
        <v>2015.4503288156923</v>
      </c>
      <c r="AB88" s="40">
        <v>1741.0620569103974</v>
      </c>
      <c r="AC88" s="40">
        <v>1926.6438566046254</v>
      </c>
      <c r="AD88" s="40">
        <v>2050.4485746698233</v>
      </c>
      <c r="AE88" s="40">
        <v>2193.9586331288506</v>
      </c>
      <c r="AF88" s="40">
        <v>2417.4369215384918</v>
      </c>
      <c r="AG88" s="40">
        <v>2626.0795919398738</v>
      </c>
      <c r="AH88" s="40">
        <v>3079.9762533514327</v>
      </c>
      <c r="AI88" s="40">
        <v>3395.414351165221</v>
      </c>
      <c r="AJ88" s="40">
        <v>3685.9746385338367</v>
      </c>
      <c r="AK88" s="40">
        <v>4286.1688532975959</v>
      </c>
      <c r="AL88" s="40">
        <v>4743.771709545771</v>
      </c>
      <c r="AM88" s="40">
        <v>4593.6717312219207</v>
      </c>
      <c r="AN88" s="40">
        <v>3228.5898581262923</v>
      </c>
      <c r="AO88" s="40">
        <v>3456.8595938948347</v>
      </c>
      <c r="AP88" s="40">
        <v>4004.5571912747491</v>
      </c>
      <c r="AQ88" s="40">
        <v>3877.996651824677</v>
      </c>
      <c r="AR88" s="40">
        <v>4130.6780169076328</v>
      </c>
      <c r="AS88" s="40">
        <v>4427.4597373396718</v>
      </c>
      <c r="AT88" s="40">
        <v>4918.1563559351407</v>
      </c>
      <c r="AU88" s="40">
        <v>5553.9435820831113</v>
      </c>
      <c r="AV88" s="40">
        <v>6179.6582208113587</v>
      </c>
      <c r="AW88" s="40">
        <v>7218.3974536302521</v>
      </c>
      <c r="AX88" s="40">
        <v>8460.3682770336072</v>
      </c>
      <c r="AY88" s="40">
        <v>7277.7627562565094</v>
      </c>
      <c r="AZ88" s="40">
        <v>8729.0997904091055</v>
      </c>
      <c r="BA88" s="40">
        <v>10011.985035219057</v>
      </c>
      <c r="BB88" s="40">
        <v>2773.5051191090329</v>
      </c>
    </row>
    <row r="89" spans="1:54">
      <c r="A89" s="41">
        <v>135</v>
      </c>
      <c r="B89" s="41" t="s">
        <v>67</v>
      </c>
      <c r="I89" s="40">
        <v>50.103041167538926</v>
      </c>
      <c r="J89" s="40">
        <v>61.766503077965453</v>
      </c>
      <c r="K89" s="40">
        <v>60.290576085255864</v>
      </c>
      <c r="L89" s="40">
        <v>62.938035551512556</v>
      </c>
      <c r="M89" s="40">
        <v>74.135795528212313</v>
      </c>
      <c r="N89" s="40">
        <v>82.573892501681556</v>
      </c>
      <c r="O89" s="40">
        <v>94.106637741338503</v>
      </c>
      <c r="P89" s="40">
        <v>88.469431146918623</v>
      </c>
      <c r="Q89" s="40">
        <v>134.1774566613033</v>
      </c>
      <c r="R89" s="40">
        <v>149.244474927444</v>
      </c>
      <c r="S89" s="40">
        <v>164.12982725922362</v>
      </c>
      <c r="T89" s="40">
        <v>188.03018561026465</v>
      </c>
      <c r="U89" s="40">
        <v>241.18049364074085</v>
      </c>
      <c r="V89" s="40">
        <v>265.37083276445367</v>
      </c>
      <c r="W89" s="40">
        <v>217.55846261400325</v>
      </c>
      <c r="X89" s="40">
        <v>189.50492365302065</v>
      </c>
      <c r="Y89" s="40">
        <v>181.14749353000161</v>
      </c>
      <c r="Z89" s="40">
        <v>180.09868521951267</v>
      </c>
      <c r="AA89" s="40">
        <v>177.40031736426101</v>
      </c>
      <c r="AB89" s="40">
        <v>223.33727959250373</v>
      </c>
      <c r="AC89" s="40">
        <v>253.68372433099699</v>
      </c>
      <c r="AD89" s="40">
        <v>252.5307153204632</v>
      </c>
      <c r="AE89" s="40">
        <v>256.54105104692155</v>
      </c>
      <c r="AF89" s="40">
        <v>304.01210846143368</v>
      </c>
      <c r="AG89" s="40">
        <v>297.99499595420929</v>
      </c>
      <c r="AH89" s="40">
        <v>342.74538518193731</v>
      </c>
      <c r="AI89" s="40">
        <v>313.75053981646226</v>
      </c>
      <c r="AJ89" s="40">
        <v>201.2346287888588</v>
      </c>
      <c r="AK89" s="40">
        <v>274.35760884433137</v>
      </c>
      <c r="AL89" s="40">
        <v>283.99933200082796</v>
      </c>
      <c r="AM89" s="40">
        <v>261.58513988753543</v>
      </c>
      <c r="AN89" s="40">
        <v>267.37342920060019</v>
      </c>
      <c r="AO89" s="40">
        <v>257.62757398092793</v>
      </c>
      <c r="AP89" s="40">
        <v>236.09611014733315</v>
      </c>
      <c r="AQ89" s="40">
        <v>248.9630622832442</v>
      </c>
      <c r="AR89" s="40">
        <v>307.16972187732489</v>
      </c>
      <c r="AS89" s="40">
        <v>388.81837307950309</v>
      </c>
      <c r="AT89" s="40">
        <v>421.17042876514967</v>
      </c>
      <c r="AU89" s="40">
        <v>444.28464360496616</v>
      </c>
      <c r="AV89" s="40">
        <v>496.74428309554162</v>
      </c>
      <c r="AW89" s="40">
        <v>561.49633273385098</v>
      </c>
      <c r="AX89" s="40">
        <v>665.05468879196508</v>
      </c>
      <c r="AY89" s="40">
        <v>661.13171143437035</v>
      </c>
      <c r="AZ89" s="40">
        <v>673.69466138146663</v>
      </c>
      <c r="BA89" s="40">
        <v>739.16833844076166</v>
      </c>
      <c r="BB89" s="40">
        <v>273.26206520195876</v>
      </c>
    </row>
    <row r="90" spans="1:54">
      <c r="A90" s="41">
        <v>139</v>
      </c>
      <c r="B90" s="41" t="s">
        <v>66</v>
      </c>
      <c r="C90" s="40">
        <v>121.9496575805541</v>
      </c>
      <c r="D90" s="40">
        <v>122.23398665167433</v>
      </c>
      <c r="E90" s="40">
        <v>121.55967134971326</v>
      </c>
      <c r="F90" s="40">
        <v>157.59174575814868</v>
      </c>
      <c r="G90" s="40">
        <v>174.07731853766239</v>
      </c>
      <c r="H90" s="40">
        <v>176.46339999730827</v>
      </c>
      <c r="I90" s="40">
        <v>181.70756946376642</v>
      </c>
      <c r="J90" s="40">
        <v>194.43174646277325</v>
      </c>
      <c r="K90" s="40">
        <v>178.91858813668458</v>
      </c>
      <c r="L90" s="40">
        <v>182.21054358523529</v>
      </c>
      <c r="M90" s="40">
        <v>191.93501006331815</v>
      </c>
      <c r="N90" s="40">
        <v>217.59286434170517</v>
      </c>
      <c r="O90" s="40">
        <v>266.16974312058761</v>
      </c>
      <c r="P90" s="40">
        <v>321.34436814711228</v>
      </c>
      <c r="Q90" s="40">
        <v>358.18961647133136</v>
      </c>
      <c r="R90" s="40">
        <v>383.44312112127517</v>
      </c>
      <c r="S90" s="40">
        <v>384.07792890212539</v>
      </c>
      <c r="T90" s="40">
        <v>375.80813739176023</v>
      </c>
      <c r="U90" s="40">
        <v>432.01785604405796</v>
      </c>
      <c r="V90" s="40">
        <v>462.17489246099478</v>
      </c>
      <c r="W90" s="40">
        <v>473.81319784909039</v>
      </c>
      <c r="X90" s="40">
        <v>461.8332556347093</v>
      </c>
      <c r="Y90" s="40">
        <v>471.73066553934143</v>
      </c>
      <c r="Z90" s="40">
        <v>422.92394237766217</v>
      </c>
      <c r="AA90" s="40">
        <v>386.61890760129597</v>
      </c>
      <c r="AB90" s="40">
        <v>442.12459413825718</v>
      </c>
      <c r="AC90" s="40">
        <v>487.66006341682476</v>
      </c>
      <c r="AD90" s="40">
        <v>499.51581586998537</v>
      </c>
      <c r="AE90" s="40">
        <v>498.41664178426078</v>
      </c>
      <c r="AF90" s="40">
        <v>503.71475536095045</v>
      </c>
      <c r="AG90" s="40">
        <v>693.62098999227771</v>
      </c>
      <c r="AH90" s="40">
        <v>683.98964077018559</v>
      </c>
      <c r="AI90" s="40">
        <v>567.39187166684337</v>
      </c>
      <c r="AJ90" s="40">
        <v>580.36232056247206</v>
      </c>
      <c r="AK90" s="40">
        <v>606.28166576830563</v>
      </c>
      <c r="AL90" s="40">
        <v>600.13122094592325</v>
      </c>
      <c r="AM90" s="40">
        <v>566.2770767934677</v>
      </c>
      <c r="AN90" s="40">
        <v>539.19551176382038</v>
      </c>
      <c r="AO90" s="40">
        <v>534.93234220484908</v>
      </c>
      <c r="AP90" s="40">
        <v>477.69870452112724</v>
      </c>
      <c r="AQ90" s="40">
        <v>464.11672877959188</v>
      </c>
      <c r="AR90" s="40">
        <v>460.28018166554472</v>
      </c>
      <c r="AS90" s="40">
        <v>527.05602257755459</v>
      </c>
      <c r="AT90" s="40">
        <v>600.06227710346934</v>
      </c>
      <c r="AU90" s="40">
        <v>694.32008278937565</v>
      </c>
      <c r="AV90" s="40">
        <v>939.15629352595147</v>
      </c>
      <c r="AW90" s="40">
        <v>1008.0243953947295</v>
      </c>
      <c r="AX90" s="40">
        <v>1107.318274955333</v>
      </c>
      <c r="AY90" s="40">
        <v>860.90836791011623</v>
      </c>
      <c r="AZ90" s="40">
        <v>1017.1662775218101</v>
      </c>
      <c r="BA90" s="40">
        <v>1154.0659361227956</v>
      </c>
      <c r="BB90" s="40">
        <v>477.14913310775898</v>
      </c>
    </row>
    <row r="91" spans="1:54">
      <c r="A91" s="41">
        <v>140</v>
      </c>
      <c r="B91" s="41" t="s">
        <v>65</v>
      </c>
      <c r="R91" s="40">
        <v>779.90404009518784</v>
      </c>
      <c r="S91" s="40">
        <v>897.66909251336688</v>
      </c>
      <c r="T91" s="40">
        <v>1088.8473418731216</v>
      </c>
      <c r="U91" s="40">
        <v>1278.3301046095651</v>
      </c>
      <c r="V91" s="40">
        <v>1176.5468233587067</v>
      </c>
      <c r="W91" s="40">
        <v>1171.6360426372025</v>
      </c>
      <c r="X91" s="40">
        <v>1093.0411007252667</v>
      </c>
      <c r="Y91" s="40">
        <v>1093.9779487184242</v>
      </c>
      <c r="Z91" s="40">
        <v>1035.366046029226</v>
      </c>
      <c r="AA91" s="40">
        <v>1063.625199097529</v>
      </c>
      <c r="AB91" s="40">
        <v>1433.6677383050203</v>
      </c>
      <c r="AC91" s="40">
        <v>1828.8394274633038</v>
      </c>
      <c r="AD91" s="40">
        <v>2059.3743054935048</v>
      </c>
      <c r="AE91" s="40">
        <v>2088.9101178021369</v>
      </c>
      <c r="AF91" s="40">
        <v>2506.184932712983</v>
      </c>
      <c r="AG91" s="40">
        <v>2669.326281588485</v>
      </c>
      <c r="AH91" s="40">
        <v>2973.2053880177186</v>
      </c>
      <c r="AI91" s="40">
        <v>2973.7936089484388</v>
      </c>
      <c r="AJ91" s="40">
        <v>3197.3369560051933</v>
      </c>
      <c r="AK91" s="40">
        <v>3599.5517508175494</v>
      </c>
      <c r="AL91" s="40">
        <v>3899.4424332067283</v>
      </c>
      <c r="AM91" s="40">
        <v>3646.6378419097318</v>
      </c>
      <c r="AN91" s="40">
        <v>3593.24156856113</v>
      </c>
      <c r="AO91" s="40">
        <v>3651.2310783088933</v>
      </c>
      <c r="AP91" s="40">
        <v>3861.0385424077667</v>
      </c>
      <c r="AQ91" s="40">
        <v>3780.8288480751594</v>
      </c>
      <c r="AR91" s="40">
        <v>3939.2818626440589</v>
      </c>
      <c r="AS91" s="40">
        <v>4587.6561083959086</v>
      </c>
      <c r="AT91" s="40">
        <v>5177.3664653444639</v>
      </c>
      <c r="AU91" s="40">
        <v>5054.318111629058</v>
      </c>
      <c r="AV91" s="40">
        <v>5194.4671409688654</v>
      </c>
      <c r="AW91" s="40">
        <v>6182.1973286412895</v>
      </c>
      <c r="AX91" s="40">
        <v>7599.9762426450052</v>
      </c>
      <c r="AY91" s="40">
        <v>6928.9615831243882</v>
      </c>
      <c r="AZ91" s="40">
        <v>7586.9695334291637</v>
      </c>
      <c r="BA91" s="40">
        <v>8741.3993637094845</v>
      </c>
      <c r="BB91" s="40">
        <v>3317.615230550361</v>
      </c>
    </row>
    <row r="92" spans="1:54">
      <c r="A92" s="41">
        <v>142</v>
      </c>
      <c r="B92" s="41" t="s">
        <v>64</v>
      </c>
      <c r="C92" s="40">
        <v>354.38689777511621</v>
      </c>
      <c r="D92" s="40">
        <v>369.13527709758131</v>
      </c>
      <c r="E92" s="40">
        <v>397.90251262412937</v>
      </c>
      <c r="F92" s="40">
        <v>456.85172005980127</v>
      </c>
      <c r="G92" s="40">
        <v>481.4794909423872</v>
      </c>
      <c r="H92" s="40">
        <v>520.20929597875659</v>
      </c>
      <c r="I92" s="40">
        <v>550.22582399270323</v>
      </c>
      <c r="J92" s="40">
        <v>589.77792714765098</v>
      </c>
      <c r="K92" s="40">
        <v>633.08447672309183</v>
      </c>
      <c r="L92" s="40">
        <v>670.74845072659991</v>
      </c>
      <c r="M92" s="40">
        <v>717.05820548907866</v>
      </c>
      <c r="N92" s="40">
        <v>801.09009755200429</v>
      </c>
      <c r="O92" s="40">
        <v>950.40396248053662</v>
      </c>
      <c r="P92" s="40">
        <v>1200.9833540595398</v>
      </c>
      <c r="Q92" s="40">
        <v>1426.1271868753909</v>
      </c>
      <c r="R92" s="40">
        <v>1402.2562647603097</v>
      </c>
      <c r="S92" s="40">
        <v>1253.8179109655755</v>
      </c>
      <c r="T92" s="40">
        <v>1529.8173553165275</v>
      </c>
      <c r="U92" s="40">
        <v>1957.9342927732537</v>
      </c>
      <c r="V92" s="40">
        <v>2762.5942006094133</v>
      </c>
      <c r="W92" s="40">
        <v>3477.4187958235711</v>
      </c>
      <c r="X92" s="40">
        <v>2366.2617787695353</v>
      </c>
      <c r="Y92" s="40">
        <v>1988.0644207421735</v>
      </c>
      <c r="Z92" s="40">
        <v>2300.3224503966749</v>
      </c>
      <c r="AA92" s="40">
        <v>2369.3122471728093</v>
      </c>
      <c r="AB92" s="40">
        <v>1630.0193426014396</v>
      </c>
      <c r="AC92" s="40">
        <v>1731.6679327169777</v>
      </c>
      <c r="AD92" s="40">
        <v>2216.2950382300132</v>
      </c>
      <c r="AE92" s="40">
        <v>2644.1976026434254</v>
      </c>
      <c r="AF92" s="40">
        <v>3052.0321733399446</v>
      </c>
      <c r="AG92" s="40">
        <v>3577.8081613128338</v>
      </c>
      <c r="AH92" s="40">
        <v>4050.9994549050848</v>
      </c>
      <c r="AI92" s="40">
        <v>4399.1126866200439</v>
      </c>
      <c r="AJ92" s="40">
        <v>4508.4235543510695</v>
      </c>
      <c r="AK92" s="40">
        <v>3005.4544112191438</v>
      </c>
      <c r="AL92" s="40">
        <v>3424.9355042139014</v>
      </c>
      <c r="AM92" s="40">
        <v>4056.6432162859369</v>
      </c>
      <c r="AN92" s="40">
        <v>4183.7459615077214</v>
      </c>
      <c r="AO92" s="40">
        <v>4703.0646363556971</v>
      </c>
      <c r="AP92" s="40">
        <v>5597.4413401419006</v>
      </c>
      <c r="AQ92" s="40">
        <v>5905.5758832066722</v>
      </c>
      <c r="AR92" s="40">
        <v>6081.8338615809043</v>
      </c>
      <c r="AS92" s="40">
        <v>6481.1083403158491</v>
      </c>
      <c r="AT92" s="40">
        <v>6946.1209150030445</v>
      </c>
      <c r="AU92" s="40">
        <v>7666.6979609726432</v>
      </c>
      <c r="AV92" s="40">
        <v>8492.4692474780277</v>
      </c>
      <c r="AW92" s="40">
        <v>9124.2689149499511</v>
      </c>
      <c r="AX92" s="40">
        <v>9500.8227318598292</v>
      </c>
      <c r="AY92" s="40">
        <v>7590.7931353378781</v>
      </c>
      <c r="AZ92" s="40">
        <v>8779.1371924060113</v>
      </c>
      <c r="BA92" s="40">
        <v>9698.678739165538</v>
      </c>
      <c r="BB92" s="40">
        <v>3344.6394575603085</v>
      </c>
    </row>
    <row r="93" spans="1:54">
      <c r="A93" s="41">
        <v>144</v>
      </c>
      <c r="B93" s="41" t="s">
        <v>63</v>
      </c>
      <c r="AF93" s="40">
        <v>972.093095245982</v>
      </c>
      <c r="AG93" s="40">
        <v>835.01541017616171</v>
      </c>
      <c r="AH93" s="40">
        <v>625.30153859962866</v>
      </c>
      <c r="AI93" s="40">
        <v>640.16543154758085</v>
      </c>
      <c r="AJ93" s="40">
        <v>460.83225575105286</v>
      </c>
      <c r="AK93" s="40">
        <v>476.99267795694504</v>
      </c>
      <c r="AL93" s="40">
        <v>462.17201504552173</v>
      </c>
      <c r="AM93" s="40">
        <v>527.39163806750571</v>
      </c>
      <c r="AN93" s="40">
        <v>448.83657001873661</v>
      </c>
      <c r="AO93" s="40">
        <v>321.02697253128031</v>
      </c>
      <c r="AP93" s="40">
        <v>354.00166803161954</v>
      </c>
      <c r="AQ93" s="40">
        <v>407.73046774151936</v>
      </c>
      <c r="AR93" s="40">
        <v>458.6781966351096</v>
      </c>
      <c r="AS93" s="40">
        <v>548.29044549145215</v>
      </c>
      <c r="AT93" s="40">
        <v>720.94313254257997</v>
      </c>
      <c r="AU93" s="40">
        <v>831.1602651732469</v>
      </c>
      <c r="AV93" s="40">
        <v>950.61642325016032</v>
      </c>
      <c r="AW93" s="40">
        <v>1230.811875659319</v>
      </c>
      <c r="AX93" s="40">
        <v>1695.9732861919281</v>
      </c>
      <c r="AY93" s="40">
        <v>1525.5265466728265</v>
      </c>
      <c r="AZ93" s="40">
        <v>1631.5331945336395</v>
      </c>
      <c r="BA93" s="40">
        <v>1970.1189271107889</v>
      </c>
      <c r="BB93" s="40">
        <v>822.50963790793571</v>
      </c>
    </row>
    <row r="94" spans="1:54">
      <c r="A94" s="41">
        <v>146</v>
      </c>
      <c r="B94" s="41" t="s">
        <v>62</v>
      </c>
      <c r="W94" s="40">
        <v>1332.639033956993</v>
      </c>
      <c r="X94" s="40">
        <v>1435.7695120277388</v>
      </c>
      <c r="Y94" s="40">
        <v>1495.0198406364741</v>
      </c>
      <c r="Z94" s="40">
        <v>1121.6683557062941</v>
      </c>
      <c r="AA94" s="40">
        <v>1137.6903523162985</v>
      </c>
      <c r="AB94" s="40">
        <v>1465.4483983358202</v>
      </c>
      <c r="AC94" s="40">
        <v>1485.5366959008963</v>
      </c>
      <c r="AD94" s="40">
        <v>1533.4399032215306</v>
      </c>
      <c r="AE94" s="40">
        <v>1670.6866247924661</v>
      </c>
      <c r="AF94" s="40">
        <v>1172.4355520432898</v>
      </c>
      <c r="AG94" s="40">
        <v>1072.626645042782</v>
      </c>
      <c r="AH94" s="40">
        <v>587.29537793229883</v>
      </c>
      <c r="AI94" s="40">
        <v>339.51640041830018</v>
      </c>
      <c r="AJ94" s="40">
        <v>405.96771591371453</v>
      </c>
      <c r="AK94" s="40">
        <v>631.90828647740841</v>
      </c>
      <c r="AL94" s="40">
        <v>580.90330525605918</v>
      </c>
      <c r="AM94" s="40">
        <v>505.59686118653065</v>
      </c>
      <c r="AN94" s="40">
        <v>477.34405074401371</v>
      </c>
      <c r="AO94" s="40">
        <v>445.00039703601453</v>
      </c>
      <c r="AP94" s="40">
        <v>474.20603366218575</v>
      </c>
      <c r="AQ94" s="40">
        <v>524.03776013690083</v>
      </c>
      <c r="AR94" s="40">
        <v>571.60201881767853</v>
      </c>
      <c r="AS94" s="40">
        <v>646.23694913767224</v>
      </c>
      <c r="AT94" s="40">
        <v>798.02437852498235</v>
      </c>
      <c r="AU94" s="40">
        <v>998.75635986517648</v>
      </c>
      <c r="AV94" s="40">
        <v>1333.8771582161044</v>
      </c>
      <c r="AW94" s="40">
        <v>1631.9010400330903</v>
      </c>
      <c r="AX94" s="40">
        <v>2135.8113377162072</v>
      </c>
      <c r="AY94" s="40">
        <v>1715.3637354983987</v>
      </c>
      <c r="AZ94" s="40">
        <v>2285.6453775170312</v>
      </c>
      <c r="BA94" s="40">
        <v>3181.1044007766932</v>
      </c>
      <c r="BB94" s="40">
        <v>1135.2599954466791</v>
      </c>
    </row>
    <row r="95" spans="1:54">
      <c r="A95" s="41">
        <v>148</v>
      </c>
      <c r="B95" s="41" t="s">
        <v>61</v>
      </c>
      <c r="C95" s="40">
        <v>159.66098499199765</v>
      </c>
      <c r="D95" s="40">
        <v>182.49505610262392</v>
      </c>
      <c r="E95" s="40">
        <v>198.48869384570219</v>
      </c>
      <c r="F95" s="40">
        <v>203.7062410227748</v>
      </c>
      <c r="G95" s="40">
        <v>209.21579514994684</v>
      </c>
      <c r="H95" s="40">
        <v>198.99564006845389</v>
      </c>
      <c r="I95" s="40">
        <v>205.5232016689454</v>
      </c>
      <c r="J95" s="40">
        <v>215.33982162553417</v>
      </c>
      <c r="K95" s="40">
        <v>234.7148937667298</v>
      </c>
      <c r="L95" s="40">
        <v>248.56950425023322</v>
      </c>
      <c r="M95" s="40">
        <v>267.82352943428521</v>
      </c>
      <c r="N95" s="40">
        <v>305.44947677938393</v>
      </c>
      <c r="O95" s="40">
        <v>368.09436854297923</v>
      </c>
      <c r="P95" s="40">
        <v>443.31334720406966</v>
      </c>
      <c r="Q95" s="40">
        <v>508.03836935792594</v>
      </c>
      <c r="R95" s="40">
        <v>530.27997988508264</v>
      </c>
      <c r="S95" s="40">
        <v>597.97343784684006</v>
      </c>
      <c r="T95" s="40">
        <v>700.32670837354692</v>
      </c>
      <c r="U95" s="40">
        <v>822.71654614193903</v>
      </c>
      <c r="V95" s="40">
        <v>950.60822094755395</v>
      </c>
      <c r="W95" s="40">
        <v>753.65830689383029</v>
      </c>
      <c r="X95" s="40">
        <v>742.69012479209425</v>
      </c>
      <c r="Y95" s="40">
        <v>655.43740928209809</v>
      </c>
      <c r="Z95" s="40">
        <v>585.5616481177542</v>
      </c>
      <c r="AA95" s="40">
        <v>577.69443440271812</v>
      </c>
      <c r="AB95" s="40">
        <v>746.28266666437514</v>
      </c>
      <c r="AC95" s="40">
        <v>805.92896472934603</v>
      </c>
      <c r="AD95" s="40">
        <v>935.0634829386463</v>
      </c>
      <c r="AE95" s="40">
        <v>943.64216218355557</v>
      </c>
      <c r="AF95" s="40">
        <v>1046.4337537989247</v>
      </c>
      <c r="AG95" s="40">
        <v>1107.7876843751794</v>
      </c>
      <c r="AH95" s="40">
        <v>1112.6714333032567</v>
      </c>
      <c r="AI95" s="40">
        <v>1030.7965002235717</v>
      </c>
      <c r="AJ95" s="40">
        <v>1148.7419450549214</v>
      </c>
      <c r="AK95" s="40">
        <v>1229.309743375064</v>
      </c>
      <c r="AL95" s="40">
        <v>1345.1761156680086</v>
      </c>
      <c r="AM95" s="40">
        <v>1209.2631509154642</v>
      </c>
      <c r="AN95" s="40">
        <v>1428.6530849550006</v>
      </c>
      <c r="AO95" s="40">
        <v>1400.357350752445</v>
      </c>
      <c r="AP95" s="40">
        <v>1289.4619025128402</v>
      </c>
      <c r="AQ95" s="40">
        <v>1299.9025560897733</v>
      </c>
      <c r="AR95" s="40">
        <v>1378.8510749926918</v>
      </c>
      <c r="AS95" s="40">
        <v>1683.9408453037565</v>
      </c>
      <c r="AT95" s="40">
        <v>1907.4343071481435</v>
      </c>
      <c r="AU95" s="40">
        <v>1975.8665097899898</v>
      </c>
      <c r="AV95" s="40">
        <v>2159.4636719291252</v>
      </c>
      <c r="AW95" s="40">
        <v>2452.9985783251464</v>
      </c>
      <c r="AX95" s="40">
        <v>2871.346605349639</v>
      </c>
      <c r="AY95" s="40">
        <v>2906.5981362675361</v>
      </c>
      <c r="AZ95" s="40">
        <v>2868.6441666067135</v>
      </c>
      <c r="BA95" s="40">
        <v>3094.6076582436608</v>
      </c>
      <c r="BB95" s="40">
        <v>1024.4235253331728</v>
      </c>
    </row>
    <row r="96" spans="1:54">
      <c r="A96" s="41">
        <v>149</v>
      </c>
      <c r="B96" s="41" t="s">
        <v>60</v>
      </c>
      <c r="V96" s="40">
        <v>290.41810171505716</v>
      </c>
      <c r="W96" s="40">
        <v>283.9659237972968</v>
      </c>
      <c r="X96" s="40">
        <v>283.996587766635</v>
      </c>
      <c r="Y96" s="40">
        <v>249.20207897414173</v>
      </c>
      <c r="Z96" s="40">
        <v>255.49692285784101</v>
      </c>
      <c r="AA96" s="40">
        <v>334.22936488910983</v>
      </c>
      <c r="AB96" s="40">
        <v>391.56778339678925</v>
      </c>
      <c r="AC96" s="40">
        <v>175.99486633346399</v>
      </c>
      <c r="AD96" s="40">
        <v>156.82066101635925</v>
      </c>
      <c r="AE96" s="40">
        <v>172.76320130777447</v>
      </c>
      <c r="AF96" s="40">
        <v>185.15013978329702</v>
      </c>
      <c r="AG96" s="40">
        <v>197.85843544505946</v>
      </c>
      <c r="AH96" s="40">
        <v>137.2012874169435</v>
      </c>
      <c r="AI96" s="40">
        <v>136.14589659684518</v>
      </c>
      <c r="AJ96" s="40">
        <v>139.95382798237011</v>
      </c>
      <c r="AK96" s="40">
        <v>140.58639097505312</v>
      </c>
      <c r="AL96" s="40">
        <v>196.90430161878291</v>
      </c>
      <c r="AM96" s="40">
        <v>225.2503258537368</v>
      </c>
      <c r="AN96" s="40">
        <v>249.23860690853559</v>
      </c>
      <c r="AO96" s="40">
        <v>254.87431035646065</v>
      </c>
      <c r="AP96" s="40">
        <v>235.83830608830863</v>
      </c>
      <c r="AQ96" s="40">
        <v>216.92273555089082</v>
      </c>
      <c r="AR96" s="40">
        <v>217.46148738104648</v>
      </c>
      <c r="AS96" s="40">
        <v>234.79541033380463</v>
      </c>
      <c r="AT96" s="40">
        <v>278.78269342212349</v>
      </c>
      <c r="AU96" s="40">
        <v>313.10792968181966</v>
      </c>
      <c r="AV96" s="40">
        <v>328.70739924482638</v>
      </c>
      <c r="AW96" s="40">
        <v>362.43242480998691</v>
      </c>
      <c r="AX96" s="40">
        <v>434.53015009459489</v>
      </c>
      <c r="AY96" s="40">
        <v>414.11004480012815</v>
      </c>
      <c r="AZ96" s="40">
        <v>386.96316546406609</v>
      </c>
      <c r="BA96" s="40">
        <v>511.29949415585611</v>
      </c>
      <c r="BB96" s="40">
        <v>262.26782050059393</v>
      </c>
    </row>
    <row r="97" spans="1:54">
      <c r="A97" s="41">
        <v>150</v>
      </c>
      <c r="B97" s="41" t="s">
        <v>59</v>
      </c>
    </row>
    <row r="98" spans="1:54">
      <c r="A98" s="41">
        <v>151</v>
      </c>
      <c r="B98" s="41" t="s">
        <v>58</v>
      </c>
      <c r="V98" s="40">
        <v>2141.3020104614102</v>
      </c>
      <c r="W98" s="40">
        <v>1885.8612713737637</v>
      </c>
      <c r="X98" s="40">
        <v>1706.4005132537388</v>
      </c>
      <c r="Y98" s="40">
        <v>1783.1560534207695</v>
      </c>
      <c r="Z98" s="40">
        <v>1461.683985382479</v>
      </c>
      <c r="AA98" s="40">
        <v>1178.9439690957331</v>
      </c>
      <c r="AB98" s="40">
        <v>1278.3484767729299</v>
      </c>
      <c r="AC98" s="40">
        <v>1551.207406940164</v>
      </c>
      <c r="AD98" s="40">
        <v>1632.4112577752969</v>
      </c>
      <c r="AE98" s="40">
        <v>1594.1693696394452</v>
      </c>
      <c r="AF98" s="40">
        <v>1660.4702756495749</v>
      </c>
      <c r="AG98" s="40">
        <v>1699.8856944701545</v>
      </c>
      <c r="AH98" s="40">
        <v>1874.6543633839506</v>
      </c>
      <c r="AI98" s="40">
        <v>1825.3612258806952</v>
      </c>
      <c r="AJ98" s="40">
        <v>2025.089082051649</v>
      </c>
      <c r="AK98" s="40">
        <v>2117.6755657782264</v>
      </c>
      <c r="AL98" s="40">
        <v>2047.4053018170177</v>
      </c>
      <c r="AM98" s="40">
        <v>2067.857791444103</v>
      </c>
      <c r="AN98" s="40">
        <v>1878.0284269487404</v>
      </c>
      <c r="AO98" s="40">
        <v>1822.9855939190743</v>
      </c>
      <c r="AP98" s="40">
        <v>2059.3756132762778</v>
      </c>
      <c r="AQ98" s="40">
        <v>1836.4977533865333</v>
      </c>
      <c r="AR98" s="40">
        <v>1716.4054599077729</v>
      </c>
      <c r="AS98" s="40">
        <v>2488.9973850711153</v>
      </c>
      <c r="AT98" s="40">
        <v>3298.0107235251185</v>
      </c>
      <c r="AU98" s="40">
        <v>3582.2438599574662</v>
      </c>
      <c r="AV98" s="40">
        <v>3886.4805830170803</v>
      </c>
      <c r="AW98" s="40">
        <v>4234.9251535053208</v>
      </c>
      <c r="AX98" s="40">
        <v>4183.2313693783644</v>
      </c>
      <c r="AY98" s="40">
        <v>4133.0586994715322</v>
      </c>
      <c r="AZ98" s="40">
        <v>5078.5130198766728</v>
      </c>
      <c r="BA98" s="40">
        <v>5692.1888307463123</v>
      </c>
      <c r="BB98" s="40">
        <v>2419.4633152055776</v>
      </c>
    </row>
    <row r="99" spans="1:54">
      <c r="A99" s="41">
        <v>153</v>
      </c>
      <c r="B99" s="41" t="s">
        <v>57</v>
      </c>
      <c r="C99" s="40">
        <v>54.783867322035078</v>
      </c>
      <c r="D99" s="40">
        <v>58.095903141286776</v>
      </c>
      <c r="E99" s="40">
        <v>49.395137702591143</v>
      </c>
      <c r="F99" s="40">
        <v>48.410110053801269</v>
      </c>
      <c r="G99" s="40">
        <v>70.401366331064537</v>
      </c>
      <c r="H99" s="40">
        <v>85.15092330620044</v>
      </c>
      <c r="I99" s="40">
        <v>77.498466125020173</v>
      </c>
      <c r="J99" s="40">
        <v>69.644239303315175</v>
      </c>
      <c r="K99" s="40">
        <v>69.667403025384431</v>
      </c>
      <c r="L99" s="40">
        <v>74.914890766214782</v>
      </c>
      <c r="M99" s="40">
        <v>74.77073842843609</v>
      </c>
      <c r="N99" s="40">
        <v>84.910709306552249</v>
      </c>
      <c r="O99" s="40">
        <v>78.884004781355941</v>
      </c>
      <c r="P99" s="40">
        <v>96.71500057554141</v>
      </c>
      <c r="Q99" s="40">
        <v>122.42928499953918</v>
      </c>
      <c r="R99" s="40">
        <v>110.42419211558897</v>
      </c>
      <c r="S99" s="40">
        <v>102.78311454250213</v>
      </c>
      <c r="T99" s="40">
        <v>116.6534515817779</v>
      </c>
      <c r="U99" s="40">
        <v>131.63967069164661</v>
      </c>
      <c r="V99" s="40">
        <v>135.27528565210395</v>
      </c>
      <c r="W99" s="40">
        <v>154.60986997438371</v>
      </c>
      <c r="X99" s="40">
        <v>159.02712143171937</v>
      </c>
      <c r="Y99" s="40">
        <v>158.73010192868449</v>
      </c>
      <c r="Z99" s="40">
        <v>163.59535343522722</v>
      </c>
      <c r="AA99" s="40">
        <v>162.28431818988534</v>
      </c>
      <c r="AB99" s="40">
        <v>172.63603304956214</v>
      </c>
      <c r="AC99" s="40">
        <v>175.11282051503827</v>
      </c>
      <c r="AD99" s="40">
        <v>201.86923912161268</v>
      </c>
      <c r="AE99" s="40">
        <v>199.39595958228082</v>
      </c>
      <c r="AF99" s="40">
        <v>200.29369960056593</v>
      </c>
      <c r="AG99" s="40">
        <v>211.17896010843182</v>
      </c>
      <c r="AH99" s="40">
        <v>178.53305253220913</v>
      </c>
      <c r="AI99" s="40">
        <v>187.20004432737471</v>
      </c>
      <c r="AJ99" s="40">
        <v>202.67589359880515</v>
      </c>
      <c r="AK99" s="40">
        <v>213.7791253872831</v>
      </c>
      <c r="AL99" s="40">
        <v>214.1379280176603</v>
      </c>
      <c r="AM99" s="40">
        <v>227.21959692142542</v>
      </c>
      <c r="AN99" s="40">
        <v>218.99258888770356</v>
      </c>
      <c r="AO99" s="40">
        <v>221.842544424149</v>
      </c>
      <c r="AP99" s="40">
        <v>236.98284428664536</v>
      </c>
      <c r="AQ99" s="40">
        <v>253.94339485207391</v>
      </c>
      <c r="AR99" s="40">
        <v>251.04387216190474</v>
      </c>
      <c r="AS99" s="40">
        <v>258.11785551231452</v>
      </c>
      <c r="AT99" s="40">
        <v>291.86904184893859</v>
      </c>
      <c r="AU99" s="40">
        <v>321.45501864774525</v>
      </c>
      <c r="AV99" s="40">
        <v>352.8009746994689</v>
      </c>
      <c r="AW99" s="40">
        <v>397.90401786090854</v>
      </c>
      <c r="AX99" s="40">
        <v>477.93217636249824</v>
      </c>
      <c r="AY99" s="40">
        <v>484.26681403305236</v>
      </c>
      <c r="AZ99" s="40">
        <v>594.34187558376914</v>
      </c>
      <c r="BA99" s="40">
        <v>698.81446259300128</v>
      </c>
      <c r="BB99" s="40">
        <v>195.196752141731</v>
      </c>
    </row>
    <row r="100" spans="1:54">
      <c r="A100" s="41">
        <v>154</v>
      </c>
      <c r="B100" s="41" t="s">
        <v>56</v>
      </c>
      <c r="C100" s="40">
        <v>1159.3923571607356</v>
      </c>
      <c r="D100" s="40">
        <v>1240.6778943729407</v>
      </c>
      <c r="E100" s="40">
        <v>1328.0366487996835</v>
      </c>
      <c r="F100" s="40">
        <v>1541.9473651902895</v>
      </c>
      <c r="G100" s="40">
        <v>1708.096356488621</v>
      </c>
      <c r="H100" s="40">
        <v>1835.8014235103449</v>
      </c>
      <c r="I100" s="40">
        <v>1991.3606856504159</v>
      </c>
      <c r="J100" s="40">
        <v>2185.248658886575</v>
      </c>
      <c r="K100" s="40">
        <v>2446.3354539953862</v>
      </c>
      <c r="L100" s="40">
        <v>2711.3620143907574</v>
      </c>
      <c r="M100" s="40">
        <v>3129.6274233964964</v>
      </c>
      <c r="N100" s="40">
        <v>3801.9730917045213</v>
      </c>
      <c r="O100" s="40">
        <v>4980.9597579259989</v>
      </c>
      <c r="P100" s="40">
        <v>5845.028883199363</v>
      </c>
      <c r="Q100" s="40">
        <v>6821.6976561334586</v>
      </c>
      <c r="R100" s="40">
        <v>7384.4450204750729</v>
      </c>
      <c r="S100" s="40">
        <v>8575.2426842386412</v>
      </c>
      <c r="T100" s="40">
        <v>10424.123751854098</v>
      </c>
      <c r="U100" s="40">
        <v>11855.35325190631</v>
      </c>
      <c r="V100" s="40">
        <v>12775.469559351759</v>
      </c>
      <c r="W100" s="40">
        <v>10671.447280388935</v>
      </c>
      <c r="X100" s="40">
        <v>10256.657771962247</v>
      </c>
      <c r="Y100" s="40">
        <v>9893.2688917091673</v>
      </c>
      <c r="Z100" s="40">
        <v>9241.8923637837452</v>
      </c>
      <c r="AA100" s="40">
        <v>9194.6228163636533</v>
      </c>
      <c r="AB100" s="40">
        <v>12768.047870297862</v>
      </c>
      <c r="AC100" s="40">
        <v>15478.146963504227</v>
      </c>
      <c r="AD100" s="40">
        <v>16436.818526297113</v>
      </c>
      <c r="AE100" s="40">
        <v>16115.566993854101</v>
      </c>
      <c r="AF100" s="40">
        <v>19721.828242555905</v>
      </c>
      <c r="AG100" s="40">
        <v>20130.671820840987</v>
      </c>
      <c r="AH100" s="40">
        <v>22142.426901437044</v>
      </c>
      <c r="AI100" s="40">
        <v>21418.40235078186</v>
      </c>
      <c r="AJ100" s="40">
        <v>22830.001637751153</v>
      </c>
      <c r="AK100" s="40">
        <v>27101.953133830444</v>
      </c>
      <c r="AL100" s="40">
        <v>26913.521521129762</v>
      </c>
      <c r="AM100" s="40">
        <v>24760.901695152745</v>
      </c>
      <c r="AN100" s="40">
        <v>25634.617860989427</v>
      </c>
      <c r="AO100" s="40">
        <v>26021.637652279995</v>
      </c>
      <c r="AP100" s="40">
        <v>24179.731407438598</v>
      </c>
      <c r="AQ100" s="40">
        <v>24968.817419626408</v>
      </c>
      <c r="AR100" s="40">
        <v>27110.606851919998</v>
      </c>
      <c r="AS100" s="40">
        <v>33177.357258652039</v>
      </c>
      <c r="AT100" s="40">
        <v>37458.432870626064</v>
      </c>
      <c r="AU100" s="40">
        <v>39122.291079479655</v>
      </c>
      <c r="AV100" s="40">
        <v>41458.932710176283</v>
      </c>
      <c r="AW100" s="40">
        <v>47770.80120631442</v>
      </c>
      <c r="AX100" s="40">
        <v>52951.033588442915</v>
      </c>
      <c r="AY100" s="40">
        <v>48173.906573578352</v>
      </c>
      <c r="AZ100" s="40">
        <v>46622.902516596478</v>
      </c>
      <c r="BA100" s="40">
        <v>50085.05989436763</v>
      </c>
      <c r="BB100" s="40">
        <v>17912.833051191388</v>
      </c>
    </row>
    <row r="101" spans="1:54">
      <c r="A101" s="41">
        <v>157</v>
      </c>
      <c r="B101" s="41" t="s">
        <v>55</v>
      </c>
      <c r="C101" s="40">
        <v>2343.2922131742489</v>
      </c>
      <c r="D101" s="40">
        <v>2448.6286332646832</v>
      </c>
      <c r="E101" s="40">
        <v>2622.2202714035971</v>
      </c>
      <c r="F101" s="40">
        <v>2813.5469756393927</v>
      </c>
      <c r="G101" s="40">
        <v>2151.2949269531509</v>
      </c>
      <c r="H101" s="40">
        <v>2191.3125419395928</v>
      </c>
      <c r="I101" s="40">
        <v>2188.3991386256102</v>
      </c>
      <c r="J101" s="40">
        <v>1885.1561517562504</v>
      </c>
      <c r="K101" s="40">
        <v>2077.8955430230139</v>
      </c>
      <c r="M101" s="40">
        <v>2747.7526524250698</v>
      </c>
      <c r="N101" s="40">
        <v>3262.8315447669715</v>
      </c>
      <c r="O101" s="40">
        <v>4277.3838112034846</v>
      </c>
      <c r="P101" s="40">
        <v>4557.1295617353198</v>
      </c>
      <c r="Q101" s="40">
        <v>4118.7853296749827</v>
      </c>
      <c r="R101" s="40">
        <v>4320.0781885156794</v>
      </c>
      <c r="S101" s="40">
        <v>4881.3118235281363</v>
      </c>
      <c r="T101" s="40">
        <v>5851.2947161808961</v>
      </c>
      <c r="U101" s="40">
        <v>6565.3351160143684</v>
      </c>
      <c r="V101" s="40">
        <v>7346.5541053244206</v>
      </c>
      <c r="W101" s="40">
        <v>7673.0892401295159</v>
      </c>
      <c r="X101" s="40">
        <v>7501.8342934004977</v>
      </c>
      <c r="Y101" s="40">
        <v>7445.5858353018393</v>
      </c>
      <c r="Z101" s="40">
        <v>6581.6617066785393</v>
      </c>
      <c r="AA101" s="40">
        <v>7447.9353877128688</v>
      </c>
      <c r="AB101" s="40">
        <v>9231.9492835631627</v>
      </c>
      <c r="AC101" s="40">
        <v>12061.801788395056</v>
      </c>
      <c r="AD101" s="40">
        <v>13466.835151928548</v>
      </c>
      <c r="AE101" s="40">
        <v>13033.695437803197</v>
      </c>
      <c r="AF101" s="40">
        <v>13366.78502591699</v>
      </c>
      <c r="AG101" s="40">
        <v>11967.019836903204</v>
      </c>
      <c r="AH101" s="40">
        <v>11538.171435724757</v>
      </c>
      <c r="AI101" s="40">
        <v>12830.868798696431</v>
      </c>
      <c r="AJ101" s="40">
        <v>14992.217500579336</v>
      </c>
      <c r="AK101" s="40">
        <v>17097.713379821627</v>
      </c>
      <c r="AL101" s="40">
        <v>18457.613299770634</v>
      </c>
      <c r="AM101" s="40">
        <v>17172.249732635268</v>
      </c>
      <c r="AN101" s="40">
        <v>14471.404751453774</v>
      </c>
      <c r="AO101" s="40">
        <v>15047.996407084724</v>
      </c>
      <c r="AP101" s="40">
        <v>13379.440827387774</v>
      </c>
      <c r="AQ101" s="40">
        <v>13628.60336833795</v>
      </c>
      <c r="AR101" s="40">
        <v>16582.950794350745</v>
      </c>
      <c r="AS101" s="40">
        <v>21541.293541283387</v>
      </c>
      <c r="AT101" s="40">
        <v>25012.358029450312</v>
      </c>
      <c r="AU101" s="40">
        <v>27357.860786237055</v>
      </c>
      <c r="AV101" s="40">
        <v>26127.650488401814</v>
      </c>
      <c r="AW101" s="40">
        <v>31895.727806057501</v>
      </c>
      <c r="AX101" s="40">
        <v>30452.809857340297</v>
      </c>
      <c r="AY101" s="40">
        <v>26989.636915519717</v>
      </c>
      <c r="AZ101" s="40">
        <v>31999.548033170151</v>
      </c>
      <c r="BA101" s="40">
        <v>36080.301662101556</v>
      </c>
      <c r="BB101" s="40">
        <v>12021.696272965743</v>
      </c>
    </row>
    <row r="102" spans="1:54">
      <c r="A102" s="41">
        <v>158</v>
      </c>
      <c r="B102" s="41" t="s">
        <v>54</v>
      </c>
      <c r="C102" s="40">
        <v>133.38999240197793</v>
      </c>
      <c r="D102" s="40">
        <v>142.74223838742165</v>
      </c>
      <c r="E102" s="40">
        <v>152.97584747057928</v>
      </c>
      <c r="F102" s="40">
        <v>173.36544305218416</v>
      </c>
      <c r="G102" s="40">
        <v>273.53786765046306</v>
      </c>
      <c r="H102" s="40">
        <v>285.60905161699588</v>
      </c>
      <c r="I102" s="40">
        <v>299.96558696819955</v>
      </c>
      <c r="J102" s="40">
        <v>306.85722435728673</v>
      </c>
      <c r="K102" s="40">
        <v>322.22834342109002</v>
      </c>
      <c r="L102" s="40">
        <v>324.44780645508291</v>
      </c>
      <c r="M102" s="40">
        <v>334.86882555423733</v>
      </c>
      <c r="N102" s="40">
        <v>344.34484471926322</v>
      </c>
      <c r="O102" s="40">
        <v>415.3831299514905</v>
      </c>
      <c r="P102" s="40">
        <v>560.72210994052227</v>
      </c>
      <c r="Q102" s="40">
        <v>565.25118890416411</v>
      </c>
      <c r="R102" s="40">
        <v>636.64509588829037</v>
      </c>
      <c r="S102" s="40">
        <v>748.6436082122267</v>
      </c>
      <c r="T102" s="40">
        <v>694.00681670612391</v>
      </c>
      <c r="U102" s="40">
        <v>496.40111772621032</v>
      </c>
      <c r="V102" s="40">
        <v>659.68921607994366</v>
      </c>
      <c r="W102" s="40">
        <v>740.14463341529699</v>
      </c>
      <c r="X102" s="40">
        <v>714.13666910897234</v>
      </c>
      <c r="Y102" s="40">
        <v>779.9293918393771</v>
      </c>
      <c r="Z102" s="40">
        <v>860.96166464087219</v>
      </c>
      <c r="AA102" s="40">
        <v>723.42619292957716</v>
      </c>
      <c r="AB102" s="40">
        <v>760.43703493372323</v>
      </c>
      <c r="AC102" s="40">
        <v>993.26213761751683</v>
      </c>
      <c r="AD102" s="40">
        <v>664.42978485699962</v>
      </c>
      <c r="AE102" s="40">
        <v>250.44350077848614</v>
      </c>
      <c r="AF102" s="40">
        <v>243.96017918602288</v>
      </c>
      <c r="AG102" s="40">
        <v>351.36889612965223</v>
      </c>
      <c r="AH102" s="40">
        <v>412.8669496644535</v>
      </c>
      <c r="AI102" s="40">
        <v>394.67592279628462</v>
      </c>
      <c r="AJ102" s="40">
        <v>847.72419365777307</v>
      </c>
      <c r="AK102" s="40">
        <v>888.61622946561022</v>
      </c>
      <c r="AL102" s="40">
        <v>905.75701692730343</v>
      </c>
      <c r="AM102" s="40">
        <v>905.28343029104497</v>
      </c>
      <c r="AN102" s="40">
        <v>938.82252436113299</v>
      </c>
      <c r="AO102" s="40">
        <v>967.06661499923985</v>
      </c>
      <c r="AP102" s="40">
        <v>1001.2564419097761</v>
      </c>
      <c r="AQ102" s="40">
        <v>1028.2925400602853</v>
      </c>
      <c r="AR102" s="40">
        <v>995.35798348628555</v>
      </c>
      <c r="AS102" s="40">
        <v>1000.8574186129375</v>
      </c>
      <c r="AT102" s="40">
        <v>1075.9833797761778</v>
      </c>
      <c r="AU102" s="40">
        <v>1158.9970077014664</v>
      </c>
      <c r="AV102" s="40">
        <v>1228.304847011528</v>
      </c>
      <c r="AW102" s="40">
        <v>1330.8181105749802</v>
      </c>
      <c r="AX102" s="40">
        <v>1456.3103487914505</v>
      </c>
      <c r="AY102" s="40">
        <v>1420.1051660687297</v>
      </c>
      <c r="AZ102" s="40">
        <v>1474.7488188903944</v>
      </c>
      <c r="BA102" s="40">
        <v>1631.7239283309689</v>
      </c>
      <c r="BB102" s="40">
        <v>706.21851596623685</v>
      </c>
    </row>
    <row r="103" spans="1:54">
      <c r="A103" s="41">
        <v>159</v>
      </c>
      <c r="B103" s="41" t="s">
        <v>53</v>
      </c>
      <c r="C103" s="40">
        <v>141.65721577459789</v>
      </c>
      <c r="D103" s="40">
        <v>150.81316360994606</v>
      </c>
      <c r="E103" s="40">
        <v>161.68192574550017</v>
      </c>
      <c r="F103" s="40">
        <v>156.25473094821123</v>
      </c>
      <c r="G103" s="40">
        <v>175.52607895405947</v>
      </c>
      <c r="H103" s="40">
        <v>177.99465829961747</v>
      </c>
      <c r="I103" s="40">
        <v>164.02580722398673</v>
      </c>
      <c r="J103" s="40">
        <v>153.65674986460286</v>
      </c>
      <c r="K103" s="40">
        <v>145.8464571045391</v>
      </c>
      <c r="L103" s="40">
        <v>147.28527950069434</v>
      </c>
      <c r="M103" s="40">
        <v>152.86752178342041</v>
      </c>
      <c r="N103" s="40">
        <v>159.23284444558752</v>
      </c>
      <c r="O103" s="40">
        <v>197.33104824344665</v>
      </c>
      <c r="P103" s="40">
        <v>208.09518217299836</v>
      </c>
      <c r="Q103" s="40">
        <v>206.81861074132408</v>
      </c>
      <c r="R103" s="40">
        <v>204.13662760058148</v>
      </c>
      <c r="S103" s="40">
        <v>240.78351685445875</v>
      </c>
      <c r="T103" s="40">
        <v>321.63281628586549</v>
      </c>
      <c r="U103" s="40">
        <v>371.76227606064145</v>
      </c>
      <c r="V103" s="40">
        <v>429.96538983916355</v>
      </c>
      <c r="W103" s="40">
        <v>361.89265277405514</v>
      </c>
      <c r="X103" s="40">
        <v>327.1219374240913</v>
      </c>
      <c r="Y103" s="40">
        <v>284.32728238407128</v>
      </c>
      <c r="Z103" s="40">
        <v>224.09648667415132</v>
      </c>
      <c r="AA103" s="40">
        <v>214.84512092120127</v>
      </c>
      <c r="AB103" s="40">
        <v>276.12684548873517</v>
      </c>
      <c r="AC103" s="40">
        <v>314.80656888534327</v>
      </c>
      <c r="AD103" s="40">
        <v>312.36814701649251</v>
      </c>
      <c r="AE103" s="40">
        <v>289.84985069606557</v>
      </c>
      <c r="AF103" s="40">
        <v>319.92559424924701</v>
      </c>
      <c r="AG103" s="40">
        <v>290.85073385819686</v>
      </c>
      <c r="AH103" s="40">
        <v>283.54501676079332</v>
      </c>
      <c r="AI103" s="40">
        <v>187.8425181932482</v>
      </c>
      <c r="AJ103" s="40">
        <v>176.59840609115633</v>
      </c>
      <c r="AK103" s="40">
        <v>205.1693314010181</v>
      </c>
      <c r="AL103" s="40">
        <v>209.24772987492273</v>
      </c>
      <c r="AM103" s="40">
        <v>187.37773726633884</v>
      </c>
      <c r="AN103" s="40">
        <v>203.28669575359967</v>
      </c>
      <c r="AO103" s="40">
        <v>190.46285945858216</v>
      </c>
      <c r="AP103" s="40">
        <v>163.640109769687</v>
      </c>
      <c r="AQ103" s="40">
        <v>170.69616214055685</v>
      </c>
      <c r="AR103" s="40">
        <v>183.66987794434863</v>
      </c>
      <c r="AS103" s="40">
        <v>222.89924639768509</v>
      </c>
      <c r="AT103" s="40">
        <v>240.21743867270698</v>
      </c>
      <c r="AU103" s="40">
        <v>258.28176033125334</v>
      </c>
      <c r="AV103" s="40">
        <v>266.57943230771286</v>
      </c>
      <c r="AW103" s="40">
        <v>302.26640782087276</v>
      </c>
      <c r="AX103" s="40">
        <v>364.37785183933067</v>
      </c>
      <c r="AY103" s="40">
        <v>343.35886570420934</v>
      </c>
      <c r="AZ103" s="40">
        <v>340.42371463805631</v>
      </c>
      <c r="BA103" s="40">
        <v>364.41183030797106</v>
      </c>
      <c r="BB103" s="40">
        <v>238.19474733527343</v>
      </c>
    </row>
    <row r="104" spans="1:54">
      <c r="A104" s="41">
        <v>160</v>
      </c>
      <c r="B104" s="41" t="s">
        <v>52</v>
      </c>
      <c r="C104" s="40">
        <v>96.811564298998093</v>
      </c>
      <c r="D104" s="40">
        <v>104.19401749536007</v>
      </c>
      <c r="E104" s="40">
        <v>107.32921714639114</v>
      </c>
      <c r="F104" s="40">
        <v>112.93372701271704</v>
      </c>
      <c r="G104" s="40">
        <v>116.93052791012499</v>
      </c>
      <c r="H104" s="40">
        <v>124.02107745483859</v>
      </c>
      <c r="I104" s="40">
        <v>99.166673634922518</v>
      </c>
      <c r="J104" s="40">
        <v>96.958291423906914</v>
      </c>
      <c r="K104" s="40">
        <v>120.93116695816455</v>
      </c>
      <c r="L104" s="40">
        <v>223.50680051614799</v>
      </c>
      <c r="M104" s="40">
        <v>159.81154073802904</v>
      </c>
      <c r="N104" s="40">
        <v>208.64452978808905</v>
      </c>
      <c r="O104" s="40">
        <v>251.51790406373664</v>
      </c>
      <c r="P104" s="40">
        <v>401.67856954200766</v>
      </c>
      <c r="Q104" s="40">
        <v>437.01206608110789</v>
      </c>
      <c r="R104" s="40">
        <v>554.95277030490684</v>
      </c>
      <c r="S104" s="40">
        <v>534.44824772029858</v>
      </c>
      <c r="T104" s="40">
        <v>525.4882350312148</v>
      </c>
      <c r="U104" s="40">
        <v>659.87750989400104</v>
      </c>
      <c r="V104" s="40">
        <v>871.14578188276403</v>
      </c>
      <c r="W104" s="40">
        <v>791.21712753124825</v>
      </c>
      <c r="X104" s="40">
        <v>640.21014798230647</v>
      </c>
      <c r="Y104" s="40">
        <v>438.36397681736361</v>
      </c>
      <c r="Z104" s="40">
        <v>344.63428203359757</v>
      </c>
      <c r="AA104" s="40">
        <v>338.58639620121744</v>
      </c>
      <c r="AB104" s="40">
        <v>234.68702926379376</v>
      </c>
      <c r="AC104" s="40">
        <v>265.13471977362985</v>
      </c>
      <c r="AD104" s="40">
        <v>251.70008280282121</v>
      </c>
      <c r="AE104" s="40">
        <v>255.88720874036179</v>
      </c>
      <c r="AF104" s="40">
        <v>297.77515326357309</v>
      </c>
      <c r="AG104" s="40">
        <v>278.46508981294699</v>
      </c>
      <c r="AH104" s="40">
        <v>325.17785065161985</v>
      </c>
      <c r="AI104" s="40">
        <v>207.01741570866062</v>
      </c>
      <c r="AJ104" s="40">
        <v>223.761359855384</v>
      </c>
      <c r="AK104" s="40">
        <v>259.2471375354034</v>
      </c>
      <c r="AL104" s="40">
        <v>317.53488762457584</v>
      </c>
      <c r="AM104" s="40">
        <v>317.85869416150365</v>
      </c>
      <c r="AN104" s="40">
        <v>275.04527488530721</v>
      </c>
      <c r="AO104" s="40">
        <v>290.20689551460873</v>
      </c>
      <c r="AP104" s="40">
        <v>374.2242385154197</v>
      </c>
      <c r="AQ104" s="40">
        <v>380.93464868175505</v>
      </c>
      <c r="AR104" s="40">
        <v>457.47365047045605</v>
      </c>
      <c r="AS104" s="40">
        <v>510.41694119872454</v>
      </c>
      <c r="AT104" s="40">
        <v>645.92565007303483</v>
      </c>
      <c r="AU104" s="40">
        <v>804.15236398613729</v>
      </c>
      <c r="AV104" s="40">
        <v>1014.745587651353</v>
      </c>
      <c r="AW104" s="40">
        <v>1127.2756803429663</v>
      </c>
      <c r="AX104" s="40">
        <v>1369.7415887959214</v>
      </c>
      <c r="AY104" s="40">
        <v>1084.9926699937844</v>
      </c>
      <c r="AZ104" s="40">
        <v>1431.6012391418221</v>
      </c>
      <c r="BA104" s="40">
        <v>1485.9703137654526</v>
      </c>
      <c r="BB104" s="40">
        <v>447.98677493479386</v>
      </c>
    </row>
    <row r="105" spans="1:54">
      <c r="A105" s="41">
        <v>164</v>
      </c>
      <c r="B105" s="41" t="s">
        <v>51</v>
      </c>
      <c r="C105" s="40">
        <v>1560.3249311722964</v>
      </c>
      <c r="D105" s="40">
        <v>1667.2474297782023</v>
      </c>
      <c r="E105" s="40">
        <v>1775.5826554497855</v>
      </c>
      <c r="F105" s="40">
        <v>1937.8846138592774</v>
      </c>
      <c r="G105" s="40">
        <v>2164.4688233673587</v>
      </c>
      <c r="H105" s="40">
        <v>2317.1948838265644</v>
      </c>
      <c r="I105" s="40">
        <v>2514.0437721470475</v>
      </c>
      <c r="J105" s="40">
        <v>2662.1174915311713</v>
      </c>
      <c r="K105" s="40">
        <v>2875.2358439685754</v>
      </c>
      <c r="L105" s="40">
        <v>3284.4380891654801</v>
      </c>
      <c r="M105" s="40">
        <v>3708.9698348295256</v>
      </c>
      <c r="N105" s="40">
        <v>4378.2630724770488</v>
      </c>
      <c r="O105" s="40">
        <v>5641.0253408800454</v>
      </c>
      <c r="P105" s="40">
        <v>6743.8102126778213</v>
      </c>
      <c r="Q105" s="40">
        <v>8126.6317048169531</v>
      </c>
      <c r="R105" s="40">
        <v>8836.163006636476</v>
      </c>
      <c r="S105" s="40">
        <v>10157.73004731117</v>
      </c>
      <c r="T105" s="40">
        <v>11337.52862167557</v>
      </c>
      <c r="U105" s="40">
        <v>12903.012559273462</v>
      </c>
      <c r="V105" s="40">
        <v>15594.785295514655</v>
      </c>
      <c r="W105" s="40">
        <v>15334.607963588114</v>
      </c>
      <c r="X105" s="40">
        <v>15031.309096911207</v>
      </c>
      <c r="Y105" s="40">
        <v>14722.290129921772</v>
      </c>
      <c r="Z105" s="40">
        <v>14757.756412664883</v>
      </c>
      <c r="AA105" s="40">
        <v>15474.281139099934</v>
      </c>
      <c r="AB105" s="40">
        <v>18525.630774087957</v>
      </c>
      <c r="AC105" s="40">
        <v>22080.222075206435</v>
      </c>
      <c r="AD105" s="40">
        <v>23769.418389886898</v>
      </c>
      <c r="AE105" s="40">
        <v>23840.282037581994</v>
      </c>
      <c r="AF105" s="40">
        <v>27731.801672713202</v>
      </c>
      <c r="AG105" s="40">
        <v>28077.177637548823</v>
      </c>
      <c r="AH105" s="40">
        <v>29931.6322005697</v>
      </c>
      <c r="AI105" s="40">
        <v>27404.588058934227</v>
      </c>
      <c r="AJ105" s="40">
        <v>28713.477930485355</v>
      </c>
      <c r="AK105" s="40">
        <v>34162.321360456051</v>
      </c>
      <c r="AL105" s="40">
        <v>36554.671790101122</v>
      </c>
      <c r="AM105" s="40">
        <v>35917.689436632449</v>
      </c>
      <c r="AN105" s="40">
        <v>34105.918475669292</v>
      </c>
      <c r="AO105" s="40">
        <v>35645.089157065901</v>
      </c>
      <c r="AP105" s="40">
        <v>37472.671674319601</v>
      </c>
      <c r="AQ105" s="40">
        <v>37867.142222459333</v>
      </c>
      <c r="AR105" s="40">
        <v>42291.82521593912</v>
      </c>
      <c r="AS105" s="40">
        <v>49263.513151643121</v>
      </c>
      <c r="AT105" s="40">
        <v>56627.657381784316</v>
      </c>
      <c r="AU105" s="40">
        <v>65767.019607604467</v>
      </c>
      <c r="AV105" s="40">
        <v>72959.768013036912</v>
      </c>
      <c r="AW105" s="40">
        <v>83556.249304661746</v>
      </c>
      <c r="AX105" s="40">
        <v>95189.865927292631</v>
      </c>
      <c r="AY105" s="40">
        <v>78457.42178081903</v>
      </c>
      <c r="AZ105" s="40">
        <v>86155.529049276214</v>
      </c>
      <c r="BA105" s="40">
        <v>99143.16511811853</v>
      </c>
      <c r="BB105" s="40">
        <v>27386.636321890954</v>
      </c>
    </row>
    <row r="106" spans="1:54">
      <c r="A106" s="41">
        <v>165</v>
      </c>
      <c r="B106" s="41" t="s">
        <v>50</v>
      </c>
      <c r="C106" s="40">
        <v>80.7840276010796</v>
      </c>
      <c r="D106" s="40">
        <v>97.219710858263596</v>
      </c>
      <c r="E106" s="40">
        <v>100.94752399437586</v>
      </c>
      <c r="F106" s="40">
        <v>101.61543801054303</v>
      </c>
      <c r="G106" s="40">
        <v>101.24682137772231</v>
      </c>
      <c r="H106" s="40">
        <v>105.54430279018666</v>
      </c>
      <c r="I106" s="40">
        <v>162.32249255104423</v>
      </c>
      <c r="J106" s="40">
        <v>277.9308238701359</v>
      </c>
      <c r="K106" s="40">
        <v>342.50016729514647</v>
      </c>
      <c r="L106" s="40">
        <v>354.10621829122442</v>
      </c>
      <c r="M106" s="40">
        <v>401.90464581530023</v>
      </c>
      <c r="N106" s="40">
        <v>472.5572809896604</v>
      </c>
      <c r="O106" s="40">
        <v>598.60418227449998</v>
      </c>
      <c r="P106" s="40">
        <v>1954.8946160025605</v>
      </c>
      <c r="Q106" s="40">
        <v>2377.0912498852676</v>
      </c>
      <c r="R106" s="40">
        <v>2760.5445202350616</v>
      </c>
      <c r="S106" s="40">
        <v>2803.4399938185134</v>
      </c>
      <c r="T106" s="40">
        <v>2653.3458825861285</v>
      </c>
      <c r="U106" s="40">
        <v>3419.350308766283</v>
      </c>
      <c r="V106" s="40">
        <v>5181.8170773564907</v>
      </c>
      <c r="W106" s="40">
        <v>5947.6023355100397</v>
      </c>
      <c r="X106" s="40">
        <v>5857.088875575977</v>
      </c>
      <c r="Y106" s="40">
        <v>5830.0204788238816</v>
      </c>
      <c r="Z106" s="40">
        <v>6165.909338267873</v>
      </c>
      <c r="AA106" s="40">
        <v>6677.4817321274577</v>
      </c>
      <c r="AB106" s="40">
        <v>4688.5353616199363</v>
      </c>
      <c r="AC106" s="40">
        <v>4815.4074946981527</v>
      </c>
      <c r="AD106" s="40">
        <v>4988.6179233229022</v>
      </c>
      <c r="AE106" s="40">
        <v>5377.1890915081949</v>
      </c>
      <c r="AF106" s="40">
        <v>6455.4589478316184</v>
      </c>
      <c r="AG106" s="40">
        <v>6016.5867064382373</v>
      </c>
      <c r="AH106" s="40">
        <v>6335.1467645189514</v>
      </c>
      <c r="AI106" s="40">
        <v>6112.3512366914902</v>
      </c>
      <c r="AJ106" s="40">
        <v>6124.8691576224819</v>
      </c>
      <c r="AK106" s="40">
        <v>6406.1082820478377</v>
      </c>
      <c r="AL106" s="40">
        <v>7021.0374585624231</v>
      </c>
      <c r="AM106" s="40">
        <v>7272.4820288169039</v>
      </c>
      <c r="AN106" s="40">
        <v>6487.5621473143756</v>
      </c>
      <c r="AO106" s="40">
        <v>7232.0776859046309</v>
      </c>
      <c r="AP106" s="40">
        <v>9061.6024602897342</v>
      </c>
      <c r="AQ106" s="40">
        <v>8909.8089457932474</v>
      </c>
      <c r="AR106" s="40">
        <v>8685.3824370226375</v>
      </c>
      <c r="AS106" s="40">
        <v>9016.8153276686662</v>
      </c>
      <c r="AT106" s="40">
        <v>10013.633224790599</v>
      </c>
      <c r="AU106" s="40">
        <v>12252.612875256431</v>
      </c>
      <c r="AV106" s="40">
        <v>14405.091926705929</v>
      </c>
      <c r="AW106" s="40">
        <v>16305.613406213337</v>
      </c>
      <c r="AX106" s="40">
        <v>23353.165011166515</v>
      </c>
      <c r="AY106" s="40">
        <v>17597.490934195215</v>
      </c>
      <c r="AZ106" s="40">
        <v>20983.900335404142</v>
      </c>
      <c r="BA106" s="40">
        <v>23132.93890304309</v>
      </c>
      <c r="BB106" s="40">
        <v>6154.4579631200477</v>
      </c>
    </row>
    <row r="107" spans="1:54">
      <c r="A107" s="41">
        <v>166</v>
      </c>
      <c r="B107" s="41" t="s">
        <v>49</v>
      </c>
      <c r="C107" s="40">
        <v>86.871309687589658</v>
      </c>
      <c r="D107" s="40">
        <v>88.43943612484648</v>
      </c>
      <c r="E107" s="40">
        <v>92.457507667735825</v>
      </c>
      <c r="F107" s="40">
        <v>101.78491432582372</v>
      </c>
      <c r="G107" s="40">
        <v>113.72155928967834</v>
      </c>
      <c r="H107" s="40">
        <v>121.69392322641016</v>
      </c>
      <c r="I107" s="40">
        <v>135.6467023278571</v>
      </c>
      <c r="J107" s="40">
        <v>144.2730539852227</v>
      </c>
      <c r="K107" s="40">
        <v>149.836961476406</v>
      </c>
      <c r="L107" s="40">
        <v>169.36444786580495</v>
      </c>
      <c r="M107" s="40">
        <v>174.25983900678793</v>
      </c>
      <c r="N107" s="40">
        <v>148.86885475798013</v>
      </c>
      <c r="O107" s="40">
        <v>98.366389117641589</v>
      </c>
      <c r="P107" s="40">
        <v>132.58907336724232</v>
      </c>
      <c r="Q107" s="40">
        <v>166.3848397569248</v>
      </c>
      <c r="R107" s="40">
        <v>189.82153978238708</v>
      </c>
      <c r="S107" s="40">
        <v>208.620563353476</v>
      </c>
      <c r="T107" s="40">
        <v>238.01744026595998</v>
      </c>
      <c r="U107" s="40">
        <v>254.74962608779114</v>
      </c>
      <c r="V107" s="40">
        <v>296.17935725117047</v>
      </c>
      <c r="W107" s="40">
        <v>339.65381925049383</v>
      </c>
      <c r="X107" s="40">
        <v>358.94175319383805</v>
      </c>
      <c r="Y107" s="40">
        <v>323.92004609640486</v>
      </c>
      <c r="Z107" s="40">
        <v>339.92526063199625</v>
      </c>
      <c r="AA107" s="40">
        <v>328.59024011934514</v>
      </c>
      <c r="AB107" s="40">
        <v>325.50585044243496</v>
      </c>
      <c r="AC107" s="40">
        <v>329.30630399236634</v>
      </c>
      <c r="AD107" s="40">
        <v>367.86636617929975</v>
      </c>
      <c r="AE107" s="40">
        <v>372.41803212635028</v>
      </c>
      <c r="AF107" s="40">
        <v>360.15941135133914</v>
      </c>
      <c r="AG107" s="40">
        <v>397.90152058521846</v>
      </c>
      <c r="AH107" s="40">
        <v>414.65329508166207</v>
      </c>
      <c r="AI107" s="40">
        <v>427.7859135828038</v>
      </c>
      <c r="AJ107" s="40">
        <v>420.36778821080969</v>
      </c>
      <c r="AK107" s="40">
        <v>478.61926071622923</v>
      </c>
      <c r="AL107" s="40">
        <v>486.76482975505428</v>
      </c>
      <c r="AM107" s="40">
        <v>467.32419548731332</v>
      </c>
      <c r="AN107" s="40">
        <v>453.49480673516541</v>
      </c>
      <c r="AO107" s="40">
        <v>447.95616326884607</v>
      </c>
      <c r="AP107" s="40">
        <v>514.15796047880872</v>
      </c>
      <c r="AQ107" s="40">
        <v>492.38169810370175</v>
      </c>
      <c r="AR107" s="40">
        <v>483.03187191406516</v>
      </c>
      <c r="AS107" s="40">
        <v>546.15414835794149</v>
      </c>
      <c r="AT107" s="40">
        <v>631.49781430692394</v>
      </c>
      <c r="AU107" s="40">
        <v>693.79640614094649</v>
      </c>
      <c r="AV107" s="40">
        <v>792.38911682695527</v>
      </c>
      <c r="AW107" s="40">
        <v>873.37669770974549</v>
      </c>
      <c r="AX107" s="40">
        <v>981.33987935344749</v>
      </c>
      <c r="AY107" s="40">
        <v>951.35061964325439</v>
      </c>
      <c r="AZ107" s="40">
        <v>1019.2216912603388</v>
      </c>
      <c r="BA107" s="40">
        <v>1196.2617510187681</v>
      </c>
      <c r="BB107" s="40">
        <v>386.8247421695412</v>
      </c>
    </row>
    <row r="108" spans="1:54">
      <c r="A108" s="41">
        <v>168</v>
      </c>
      <c r="B108" s="41" t="s">
        <v>48</v>
      </c>
    </row>
    <row r="109" spans="1:54">
      <c r="A109" s="41">
        <v>169</v>
      </c>
      <c r="B109" s="41" t="s">
        <v>47</v>
      </c>
      <c r="C109" s="40">
        <v>396.15585489607423</v>
      </c>
      <c r="D109" s="40">
        <v>418.53322024314389</v>
      </c>
      <c r="E109" s="40">
        <v>450.17285349227905</v>
      </c>
      <c r="F109" s="40">
        <v>469.15471719919009</v>
      </c>
      <c r="G109" s="40">
        <v>500.20430528909748</v>
      </c>
      <c r="H109" s="40">
        <v>529.15777070762158</v>
      </c>
      <c r="I109" s="40">
        <v>572.29772631919013</v>
      </c>
      <c r="J109" s="40">
        <v>598.06486372397092</v>
      </c>
      <c r="K109" s="40">
        <v>637.70872751678758</v>
      </c>
      <c r="L109" s="40">
        <v>666.12791254801948</v>
      </c>
      <c r="M109" s="40">
        <v>730.43848092751102</v>
      </c>
      <c r="N109" s="40">
        <v>780.19300488859028</v>
      </c>
      <c r="O109" s="40">
        <v>867.76881896856412</v>
      </c>
      <c r="P109" s="40">
        <v>964.84478013770604</v>
      </c>
      <c r="Q109" s="40">
        <v>1051.9437123440302</v>
      </c>
      <c r="R109" s="40">
        <v>1088.1880349855264</v>
      </c>
      <c r="S109" s="40">
        <v>1124.4068172370792</v>
      </c>
      <c r="T109" s="40">
        <v>1299.8685691999237</v>
      </c>
      <c r="U109" s="40">
        <v>1451.4205314924955</v>
      </c>
      <c r="V109" s="40">
        <v>1914.6639652432939</v>
      </c>
      <c r="W109" s="40">
        <v>2116.0674813905098</v>
      </c>
      <c r="X109" s="40">
        <v>2283.7699291243816</v>
      </c>
      <c r="Y109" s="40">
        <v>2291.4168477853555</v>
      </c>
      <c r="Z109" s="40">
        <v>2338.2924873601787</v>
      </c>
      <c r="AA109" s="40">
        <v>2419.0977061114236</v>
      </c>
      <c r="AB109" s="40">
        <v>2459.1312941399106</v>
      </c>
      <c r="AC109" s="40">
        <v>2416.7512498885558</v>
      </c>
      <c r="AD109" s="40">
        <v>2044.9112774056707</v>
      </c>
      <c r="AE109" s="40">
        <v>2007.2165337968036</v>
      </c>
      <c r="AF109" s="40">
        <v>2136.5816623612259</v>
      </c>
      <c r="AG109" s="40">
        <v>2300.8971541545561</v>
      </c>
      <c r="AH109" s="40">
        <v>2562.1528657849935</v>
      </c>
      <c r="AI109" s="40">
        <v>2741.0860939967242</v>
      </c>
      <c r="AJ109" s="40">
        <v>2863.5345596508914</v>
      </c>
      <c r="AK109" s="40">
        <v>2867.641831495348</v>
      </c>
      <c r="AL109" s="40">
        <v>3312.139703857667</v>
      </c>
      <c r="AM109" s="40">
        <v>3509.5681323974486</v>
      </c>
      <c r="AN109" s="40">
        <v>3727.2851249531213</v>
      </c>
      <c r="AO109" s="40">
        <v>3826.8221272445162</v>
      </c>
      <c r="AP109" s="40">
        <v>3803.9984129956279</v>
      </c>
      <c r="AQ109" s="40">
        <v>3788.8159095933815</v>
      </c>
      <c r="AR109" s="40">
        <v>3861.1272790196481</v>
      </c>
      <c r="AS109" s="40">
        <v>3990.7368693889325</v>
      </c>
      <c r="AT109" s="40">
        <v>4292.4196304643638</v>
      </c>
      <c r="AU109" s="40">
        <v>4594.4819394586157</v>
      </c>
      <c r="AV109" s="40">
        <v>4998.3826788846118</v>
      </c>
      <c r="AW109" s="40">
        <v>5669.8674375557503</v>
      </c>
      <c r="AX109" s="40">
        <v>6472.9786012584846</v>
      </c>
      <c r="AY109" s="40">
        <v>6682.5025180829052</v>
      </c>
      <c r="AZ109" s="40">
        <v>7229.1122005541947</v>
      </c>
      <c r="BA109" s="40">
        <v>8372.5772548700879</v>
      </c>
      <c r="BB109" s="40">
        <v>2558.6799894585492</v>
      </c>
    </row>
    <row r="110" spans="1:54">
      <c r="A110" s="41">
        <v>170</v>
      </c>
      <c r="B110" s="41" t="s">
        <v>46</v>
      </c>
      <c r="C110" s="40">
        <v>122.35190511347231</v>
      </c>
      <c r="D110" s="40">
        <v>128.20962738526512</v>
      </c>
      <c r="E110" s="40">
        <v>132.95634213895872</v>
      </c>
      <c r="F110" s="40">
        <v>144.23071264320967</v>
      </c>
      <c r="G110" s="40">
        <v>159.25184482034786</v>
      </c>
      <c r="H110" s="40">
        <v>177.03745494396327</v>
      </c>
      <c r="I110" s="40">
        <v>195.54278569896343</v>
      </c>
      <c r="J110" s="40">
        <v>209.75247028150673</v>
      </c>
      <c r="K110" s="40">
        <v>232.44110115663358</v>
      </c>
      <c r="L110" s="40">
        <v>265.13444790579922</v>
      </c>
      <c r="M110" s="40">
        <v>286.73400238664965</v>
      </c>
      <c r="N110" s="40">
        <v>333.37385346701433</v>
      </c>
      <c r="O110" s="40">
        <v>489.75067195997127</v>
      </c>
      <c r="P110" s="40">
        <v>537.32034716107501</v>
      </c>
      <c r="Q110" s="40">
        <v>482.82559751955347</v>
      </c>
      <c r="R110" s="40">
        <v>523.40363359206071</v>
      </c>
      <c r="S110" s="40">
        <v>552.88856525200038</v>
      </c>
      <c r="T110" s="40">
        <v>639.1388189830385</v>
      </c>
      <c r="U110" s="40">
        <v>732.75728406705502</v>
      </c>
      <c r="V110" s="40">
        <v>791.78865514223287</v>
      </c>
      <c r="W110" s="40">
        <v>756.03093730400565</v>
      </c>
      <c r="X110" s="40">
        <v>697.50467181288082</v>
      </c>
      <c r="Y110" s="40">
        <v>734.36436574079801</v>
      </c>
      <c r="Z110" s="40">
        <v>712.25863571562263</v>
      </c>
      <c r="AA110" s="40">
        <v>658.90953911568477</v>
      </c>
      <c r="AB110" s="40">
        <v>702.09974955963855</v>
      </c>
      <c r="AC110" s="40">
        <v>813.32056095950395</v>
      </c>
      <c r="AD110" s="40">
        <v>923.15398868671514</v>
      </c>
      <c r="AE110" s="40">
        <v>874.05767612925763</v>
      </c>
      <c r="AF110" s="40">
        <v>774.363991896877</v>
      </c>
      <c r="AG110" s="40">
        <v>888.6749619155172</v>
      </c>
      <c r="AH110" s="40">
        <v>1002.0363751053706</v>
      </c>
      <c r="AI110" s="40">
        <v>1110.3556012475215</v>
      </c>
      <c r="AJ110" s="40">
        <v>1197.3313016059808</v>
      </c>
      <c r="AK110" s="40">
        <v>983.0753346795542</v>
      </c>
      <c r="AL110" s="40">
        <v>1064.9585045506931</v>
      </c>
      <c r="AM110" s="40">
        <v>993.1162465450858</v>
      </c>
      <c r="AN110" s="40">
        <v>742.36777002952044</v>
      </c>
      <c r="AO110" s="40">
        <v>663.44195409437498</v>
      </c>
      <c r="AP110" s="40">
        <v>654.61985698252215</v>
      </c>
      <c r="AQ110" s="40">
        <v>558.26161543199521</v>
      </c>
      <c r="AR110" s="40">
        <v>529.92948378957533</v>
      </c>
      <c r="AS110" s="40">
        <v>609.38740046306384</v>
      </c>
      <c r="AT110" s="40">
        <v>660.1899981933326</v>
      </c>
      <c r="AU110" s="40">
        <v>804.07110942331337</v>
      </c>
      <c r="AV110" s="40">
        <v>896.39487873916562</v>
      </c>
      <c r="AW110" s="40">
        <v>989.31945963257431</v>
      </c>
      <c r="AX110" s="40">
        <v>1222.7935847933597</v>
      </c>
      <c r="AY110" s="40">
        <v>1180.4319249452224</v>
      </c>
      <c r="AZ110" s="40">
        <v>1382.1437493387666</v>
      </c>
      <c r="BA110" s="40">
        <v>1767.2386619059023</v>
      </c>
      <c r="BB110" s="40">
        <v>680.06066690102273</v>
      </c>
    </row>
    <row r="111" spans="1:54">
      <c r="A111" s="41">
        <v>171</v>
      </c>
      <c r="B111" s="41" t="s">
        <v>45</v>
      </c>
      <c r="G111" s="40">
        <v>183.71402201376745</v>
      </c>
      <c r="H111" s="40">
        <v>188.4955867881101</v>
      </c>
      <c r="I111" s="40">
        <v>196.47859739577351</v>
      </c>
      <c r="J111" s="40">
        <v>202.11469673712605</v>
      </c>
      <c r="K111" s="40">
        <v>211.65412631272997</v>
      </c>
      <c r="L111" s="40">
        <v>220.85167129497671</v>
      </c>
      <c r="M111" s="40">
        <v>239.1488396732037</v>
      </c>
      <c r="N111" s="40">
        <v>267.27555756098684</v>
      </c>
      <c r="O111" s="40">
        <v>332.84358468337734</v>
      </c>
      <c r="P111" s="40">
        <v>438.2726937097421</v>
      </c>
      <c r="Q111" s="40">
        <v>481.91714731029003</v>
      </c>
      <c r="R111" s="40">
        <v>535.68556477919878</v>
      </c>
      <c r="S111" s="40">
        <v>648.13409150536359</v>
      </c>
      <c r="T111" s="40">
        <v>776.05962102648004</v>
      </c>
      <c r="U111" s="40">
        <v>1007.7090325442259</v>
      </c>
      <c r="V111" s="40">
        <v>1280.0891096286678</v>
      </c>
      <c r="W111" s="40">
        <v>1585.5371079261386</v>
      </c>
      <c r="X111" s="40">
        <v>1494.7784748640383</v>
      </c>
      <c r="Y111" s="40">
        <v>1499.7108040274572</v>
      </c>
      <c r="Z111" s="40">
        <v>1130.6838414705423</v>
      </c>
      <c r="AA111" s="40">
        <v>800.92464236313083</v>
      </c>
      <c r="AB111" s="40">
        <v>902.56585975991516</v>
      </c>
      <c r="AC111" s="40">
        <v>963.92802225232526</v>
      </c>
      <c r="AD111" s="40">
        <v>1013.2589379980536</v>
      </c>
      <c r="AE111" s="40">
        <v>1111.2956723656873</v>
      </c>
      <c r="AF111" s="40">
        <v>1340.1272036763999</v>
      </c>
      <c r="AG111" s="40">
        <v>1601.7876887365817</v>
      </c>
      <c r="AH111" s="40">
        <v>1600.8789284382174</v>
      </c>
      <c r="AI111" s="40">
        <v>1582.38735848955</v>
      </c>
      <c r="AJ111" s="40">
        <v>1677.641450440175</v>
      </c>
      <c r="AK111" s="40">
        <v>1887.2229808486459</v>
      </c>
      <c r="AL111" s="40">
        <v>1992.8720784403699</v>
      </c>
      <c r="AM111" s="40">
        <v>1984.6022407582959</v>
      </c>
      <c r="AN111" s="40">
        <v>1758.9270069051768</v>
      </c>
      <c r="AO111" s="40">
        <v>1601.5335584729571</v>
      </c>
      <c r="AP111" s="40">
        <v>1531.8889015658742</v>
      </c>
      <c r="AQ111" s="40">
        <v>1403.2460514628576</v>
      </c>
      <c r="AR111" s="40">
        <v>1135.2953914257016</v>
      </c>
      <c r="AS111" s="40">
        <v>1159.3977767084643</v>
      </c>
      <c r="AT111" s="40">
        <v>1386.7460440062105</v>
      </c>
      <c r="AU111" s="40">
        <v>1479.4037694723818</v>
      </c>
      <c r="AV111" s="40">
        <v>1772.6353285860098</v>
      </c>
      <c r="AW111" s="40">
        <v>2259.0827349694373</v>
      </c>
      <c r="AX111" s="40">
        <v>2967.4063621543005</v>
      </c>
      <c r="AY111" s="40">
        <v>2513.6282795377056</v>
      </c>
      <c r="AZ111" s="40">
        <v>3100.5016399172205</v>
      </c>
      <c r="BA111" s="40">
        <v>3956.7294818098148</v>
      </c>
      <c r="BB111" s="40">
        <v>1263.9802034641202</v>
      </c>
    </row>
    <row r="112" spans="1:54">
      <c r="A112" s="41">
        <v>172</v>
      </c>
      <c r="B112" s="41" t="s">
        <v>44</v>
      </c>
      <c r="C112" s="40">
        <v>276.24939469936959</v>
      </c>
      <c r="D112" s="40">
        <v>304.23154629513937</v>
      </c>
      <c r="E112" s="40">
        <v>323.78737944717096</v>
      </c>
      <c r="F112" s="40">
        <v>380.59711663679184</v>
      </c>
      <c r="G112" s="40">
        <v>438.27006545453764</v>
      </c>
      <c r="H112" s="40">
        <v>504.08150897369472</v>
      </c>
      <c r="I112" s="40">
        <v>496.93457019087316</v>
      </c>
      <c r="J112" s="40">
        <v>447.52173342920997</v>
      </c>
      <c r="K112" s="40">
        <v>487.16413068824698</v>
      </c>
      <c r="L112" s="40">
        <v>548.34328938912961</v>
      </c>
      <c r="M112" s="40">
        <v>594.71657024381966</v>
      </c>
      <c r="N112" s="40">
        <v>641.10593530499011</v>
      </c>
      <c r="O112" s="40">
        <v>745.95282037806749</v>
      </c>
      <c r="P112" s="40">
        <v>914.54069272229549</v>
      </c>
      <c r="Q112" s="40">
        <v>1082.3731921305466</v>
      </c>
      <c r="R112" s="40">
        <v>995.72660173038469</v>
      </c>
      <c r="S112" s="40">
        <v>888.56341628972655</v>
      </c>
      <c r="T112" s="40">
        <v>739.27620505007633</v>
      </c>
      <c r="U112" s="40">
        <v>920.24320046486457</v>
      </c>
      <c r="V112" s="40">
        <v>1192.3230516621911</v>
      </c>
      <c r="W112" s="40">
        <v>1405.2832606265367</v>
      </c>
      <c r="X112" s="40">
        <v>1363.3332025551676</v>
      </c>
      <c r="Y112" s="40">
        <v>1026.2223643956495</v>
      </c>
      <c r="Z112" s="40">
        <v>1040.0568316044341</v>
      </c>
      <c r="AA112" s="40">
        <v>964.8249685482366</v>
      </c>
      <c r="AB112" s="40">
        <v>900.07851769350123</v>
      </c>
      <c r="AC112" s="40">
        <v>1170.4466752838491</v>
      </c>
      <c r="AD112" s="40">
        <v>592.82334648240862</v>
      </c>
      <c r="AE112" s="40">
        <v>964.87603142865146</v>
      </c>
      <c r="AF112" s="40">
        <v>1207.7130789593305</v>
      </c>
      <c r="AG112" s="40">
        <v>1555.1219657025958</v>
      </c>
      <c r="AH112" s="40">
        <v>1593.1402329881785</v>
      </c>
      <c r="AI112" s="40">
        <v>1509.1875849835642</v>
      </c>
      <c r="AJ112" s="40">
        <v>1910.1405640786975</v>
      </c>
      <c r="AK112" s="40">
        <v>2242.094526285935</v>
      </c>
      <c r="AL112" s="40">
        <v>2293.2010007898098</v>
      </c>
      <c r="AM112" s="40">
        <v>2388.9965992964626</v>
      </c>
      <c r="AN112" s="40">
        <v>2251.4417268289048</v>
      </c>
      <c r="AO112" s="40">
        <v>2011.1883883318581</v>
      </c>
      <c r="AP112" s="40">
        <v>2049.6240903114485</v>
      </c>
      <c r="AQ112" s="40">
        <v>2045.1626276728903</v>
      </c>
      <c r="AR112" s="40">
        <v>2123.92563010393</v>
      </c>
      <c r="AS112" s="40">
        <v>2265.9464538077273</v>
      </c>
      <c r="AT112" s="40">
        <v>2544.3513479524504</v>
      </c>
      <c r="AU112" s="40">
        <v>2863.4804597020861</v>
      </c>
      <c r="AV112" s="40">
        <v>3292.9555576918756</v>
      </c>
      <c r="AW112" s="40">
        <v>3785.3517608959487</v>
      </c>
      <c r="AX112" s="40">
        <v>4430.3915218846159</v>
      </c>
      <c r="AY112" s="40">
        <v>4386.5923966913606</v>
      </c>
      <c r="AZ112" s="40">
        <v>5247.0959345042274</v>
      </c>
      <c r="BA112" s="40">
        <v>5970.3633636568102</v>
      </c>
      <c r="BB112" s="40">
        <v>1614.066949665103</v>
      </c>
    </row>
    <row r="113" spans="1:54">
      <c r="A113" s="41">
        <v>173</v>
      </c>
      <c r="B113" s="41" t="s">
        <v>43</v>
      </c>
      <c r="C113" s="40">
        <v>267.16352992905399</v>
      </c>
      <c r="D113" s="40">
        <v>156.68862107820775</v>
      </c>
      <c r="E113" s="40">
        <v>168.02137342045256</v>
      </c>
      <c r="F113" s="40">
        <v>175.93544773137495</v>
      </c>
      <c r="G113" s="40">
        <v>187.11782751531211</v>
      </c>
      <c r="H113" s="40">
        <v>199.9401352861114</v>
      </c>
      <c r="I113" s="40">
        <v>207.42700464254804</v>
      </c>
      <c r="J113" s="40">
        <v>224.62417198731657</v>
      </c>
      <c r="K113" s="40">
        <v>241.70230275081761</v>
      </c>
      <c r="L113" s="40">
        <v>186.76755899522371</v>
      </c>
      <c r="M113" s="40">
        <v>201.03056429906459</v>
      </c>
      <c r="N113" s="40">
        <v>211.3956641547253</v>
      </c>
      <c r="O113" s="40">
        <v>258.35747071595716</v>
      </c>
      <c r="P113" s="40">
        <v>343.2340592533659</v>
      </c>
      <c r="Q113" s="40">
        <v>360.6611505667093</v>
      </c>
      <c r="R113" s="40">
        <v>402.65350210518369</v>
      </c>
      <c r="S113" s="40">
        <v>450.10951444917913</v>
      </c>
      <c r="T113" s="40">
        <v>506.0719891099132</v>
      </c>
      <c r="U113" s="40">
        <v>596.38055431224598</v>
      </c>
      <c r="V113" s="40">
        <v>684.63021603685286</v>
      </c>
      <c r="W113" s="40">
        <v>731.71716378406506</v>
      </c>
      <c r="X113" s="40">
        <v>741.79583424811256</v>
      </c>
      <c r="Y113" s="40">
        <v>645.48167855847987</v>
      </c>
      <c r="Z113" s="40">
        <v>594.04061998095528</v>
      </c>
      <c r="AA113" s="40">
        <v>565.74861699234873</v>
      </c>
      <c r="AB113" s="40">
        <v>535.16393256074684</v>
      </c>
      <c r="AC113" s="40">
        <v>579.03912616896366</v>
      </c>
      <c r="AD113" s="40">
        <v>643.57514098172976</v>
      </c>
      <c r="AE113" s="40">
        <v>704.76591172775272</v>
      </c>
      <c r="AF113" s="40">
        <v>715.29513635315402</v>
      </c>
      <c r="AG113" s="40">
        <v>715.50167060053752</v>
      </c>
      <c r="AH113" s="40">
        <v>815.06477182907361</v>
      </c>
      <c r="AI113" s="40">
        <v>817.3566816957582</v>
      </c>
      <c r="AJ113" s="40">
        <v>941.7161385788595</v>
      </c>
      <c r="AK113" s="40">
        <v>1064.8405920872583</v>
      </c>
      <c r="AL113" s="40">
        <v>1163.8480382089917</v>
      </c>
      <c r="AM113" s="40">
        <v>1131.4004461984041</v>
      </c>
      <c r="AN113" s="40">
        <v>970.61389904091891</v>
      </c>
      <c r="AO113" s="40">
        <v>1091.7827231712558</v>
      </c>
      <c r="AP113" s="40">
        <v>1043.4561026962785</v>
      </c>
      <c r="AQ113" s="40">
        <v>961.71698254477485</v>
      </c>
      <c r="AR113" s="40">
        <v>1004.9905814059342</v>
      </c>
      <c r="AS113" s="40">
        <v>1015.7802766625437</v>
      </c>
      <c r="AT113" s="40">
        <v>1084.7654670059746</v>
      </c>
      <c r="AU113" s="40">
        <v>1200.938178383946</v>
      </c>
      <c r="AV113" s="40">
        <v>1398.826977520823</v>
      </c>
      <c r="AW113" s="40">
        <v>1680.5513256177028</v>
      </c>
      <c r="AX113" s="40">
        <v>1920.9921547933411</v>
      </c>
      <c r="AY113" s="40">
        <v>1831.9744857249179</v>
      </c>
      <c r="AZ113" s="40">
        <v>2135.9184137048051</v>
      </c>
      <c r="BA113" s="40">
        <v>2357.5709719952524</v>
      </c>
      <c r="BB113" s="40">
        <v>761.4929941012407</v>
      </c>
    </row>
    <row r="114" spans="1:54">
      <c r="A114" s="41">
        <v>175</v>
      </c>
      <c r="B114" s="41" t="s">
        <v>42</v>
      </c>
      <c r="AA114" s="40">
        <v>1908.6333573573779</v>
      </c>
      <c r="AB114" s="40">
        <v>1972.7210252093789</v>
      </c>
      <c r="AC114" s="40">
        <v>1695.7982489646977</v>
      </c>
      <c r="AD114" s="40">
        <v>1819.5600555753238</v>
      </c>
      <c r="AE114" s="40">
        <v>2165.6513600754629</v>
      </c>
      <c r="AF114" s="40">
        <v>1693.7358096138128</v>
      </c>
      <c r="AG114" s="40">
        <v>2187.1505805637184</v>
      </c>
      <c r="AH114" s="40">
        <v>2405.7926905357681</v>
      </c>
      <c r="AI114" s="40">
        <v>2443.0777302491992</v>
      </c>
      <c r="AJ114" s="40">
        <v>2812.6030983031847</v>
      </c>
      <c r="AK114" s="40">
        <v>3603.1033207427408</v>
      </c>
      <c r="AL114" s="40">
        <v>4056.6124251212045</v>
      </c>
      <c r="AM114" s="40">
        <v>4066.1117103991492</v>
      </c>
      <c r="AN114" s="40">
        <v>4471.9598970869329</v>
      </c>
      <c r="AO114" s="40">
        <v>4340.4183557962606</v>
      </c>
      <c r="AP114" s="40">
        <v>4454.0802196318955</v>
      </c>
      <c r="AQ114" s="40">
        <v>4978.5738261707493</v>
      </c>
      <c r="AR114" s="40">
        <v>5183.8226063263664</v>
      </c>
      <c r="AS114" s="40">
        <v>5674.7370443390382</v>
      </c>
      <c r="AT114" s="40">
        <v>6620.0704241166031</v>
      </c>
      <c r="AU114" s="40">
        <v>7963.0212080808969</v>
      </c>
      <c r="AV114" s="40">
        <v>8958.0124224472129</v>
      </c>
      <c r="AW114" s="40">
        <v>11157.273191961935</v>
      </c>
      <c r="AX114" s="40">
        <v>13886.472428753867</v>
      </c>
      <c r="AY114" s="40">
        <v>11294.867750186466</v>
      </c>
      <c r="AZ114" s="40">
        <v>12302.029919186125</v>
      </c>
      <c r="BA114" s="40">
        <v>13382.072148011499</v>
      </c>
      <c r="BB114" s="40">
        <v>5462.8875131409959</v>
      </c>
    </row>
    <row r="115" spans="1:54">
      <c r="A115" s="41">
        <v>176</v>
      </c>
      <c r="B115" s="41" t="s">
        <v>41</v>
      </c>
      <c r="C115" s="40">
        <v>382.72994699436811</v>
      </c>
      <c r="D115" s="40">
        <v>407.85284361237183</v>
      </c>
      <c r="E115" s="40">
        <v>432.51172957507521</v>
      </c>
      <c r="F115" s="40">
        <v>468.78108163544283</v>
      </c>
      <c r="G115" s="40">
        <v>520.91065936788448</v>
      </c>
      <c r="H115" s="40">
        <v>575.00768066822127</v>
      </c>
      <c r="I115" s="40">
        <v>646.82272006083997</v>
      </c>
      <c r="J115" s="40">
        <v>719.08049185329003</v>
      </c>
      <c r="K115" s="40">
        <v>795.75937139109908</v>
      </c>
      <c r="L115" s="40">
        <v>921.62125294206487</v>
      </c>
      <c r="M115" s="40">
        <v>1050.3368874271869</v>
      </c>
      <c r="N115" s="40">
        <v>1284.8937143167066</v>
      </c>
      <c r="O115" s="40">
        <v>1724.6708755222783</v>
      </c>
      <c r="P115" s="40">
        <v>1973.7319530464142</v>
      </c>
      <c r="Q115" s="40">
        <v>2099.2545533482298</v>
      </c>
      <c r="R115" s="40">
        <v>2144.292184038773</v>
      </c>
      <c r="S115" s="40">
        <v>2237.1240673526754</v>
      </c>
      <c r="T115" s="40">
        <v>2424.5320988101385</v>
      </c>
      <c r="U115" s="40">
        <v>2718.8640246576424</v>
      </c>
      <c r="V115" s="40">
        <v>3323.4322088740987</v>
      </c>
      <c r="W115" s="40">
        <v>3202.6732161634195</v>
      </c>
      <c r="X115" s="40">
        <v>3038.8624646715134</v>
      </c>
      <c r="Y115" s="40">
        <v>2698.9991230105234</v>
      </c>
      <c r="Z115" s="40">
        <v>2489.0936194706946</v>
      </c>
      <c r="AA115" s="40">
        <v>2669.1051865794429</v>
      </c>
      <c r="AB115" s="40">
        <v>3810.429405424346</v>
      </c>
      <c r="AC115" s="40">
        <v>4739.7815897002156</v>
      </c>
      <c r="AD115" s="40">
        <v>5548.67591060614</v>
      </c>
      <c r="AE115" s="40">
        <v>5975.5878412447073</v>
      </c>
      <c r="AF115" s="40">
        <v>7779.435720516115</v>
      </c>
      <c r="AG115" s="40">
        <v>8832.6931301240202</v>
      </c>
      <c r="AH115" s="40">
        <v>10647.673154706252</v>
      </c>
      <c r="AI115" s="40">
        <v>9390.5785279856282</v>
      </c>
      <c r="AJ115" s="40">
        <v>9831.8652667884398</v>
      </c>
      <c r="AK115" s="40">
        <v>11619.328981929972</v>
      </c>
      <c r="AL115" s="40">
        <v>12045.781498162694</v>
      </c>
      <c r="AM115" s="40">
        <v>11461.701626579636</v>
      </c>
      <c r="AN115" s="40">
        <v>12129.0802716575</v>
      </c>
      <c r="AO115" s="40">
        <v>12428.672490855139</v>
      </c>
      <c r="AP115" s="40">
        <v>11470.897921103837</v>
      </c>
      <c r="AQ115" s="40">
        <v>11690.672517981666</v>
      </c>
      <c r="AR115" s="40">
        <v>12758.542881262842</v>
      </c>
      <c r="AS115" s="40">
        <v>15509.125383090828</v>
      </c>
      <c r="AT115" s="40">
        <v>17653.573979724886</v>
      </c>
      <c r="AU115" s="40">
        <v>18185.624023508568</v>
      </c>
      <c r="AV115" s="40">
        <v>19064.988669719365</v>
      </c>
      <c r="AW115" s="40">
        <v>21845.235261011443</v>
      </c>
      <c r="AX115" s="40">
        <v>23716.39041719522</v>
      </c>
      <c r="AY115" s="40">
        <v>22019.259883605497</v>
      </c>
      <c r="AZ115" s="40">
        <v>21381.903956712114</v>
      </c>
      <c r="BA115" s="40">
        <v>22503.909491703089</v>
      </c>
      <c r="BB115" s="40">
        <v>7548.8696815351095</v>
      </c>
    </row>
    <row r="116" spans="1:54">
      <c r="A116" s="41">
        <v>177</v>
      </c>
      <c r="B116" s="41" t="s">
        <v>40</v>
      </c>
      <c r="C116" s="40">
        <v>777.21511695356662</v>
      </c>
      <c r="D116" s="40">
        <v>852.50022364411268</v>
      </c>
      <c r="E116" s="40">
        <v>929.11651273756149</v>
      </c>
      <c r="F116" s="40">
        <v>1006.3953502212315</v>
      </c>
      <c r="G116" s="40">
        <v>1111.0253939861218</v>
      </c>
      <c r="H116" s="40">
        <v>1207.545040844265</v>
      </c>
      <c r="I116" s="40">
        <v>1341.8133393325616</v>
      </c>
      <c r="J116" s="40">
        <v>1497.6724706844013</v>
      </c>
      <c r="K116" s="40">
        <v>1661.8666971865659</v>
      </c>
      <c r="L116" s="40">
        <v>1852.3178572479765</v>
      </c>
      <c r="M116" s="40">
        <v>2044.3920158436581</v>
      </c>
      <c r="N116" s="40">
        <v>2246.5122090431255</v>
      </c>
      <c r="O116" s="40">
        <v>2432.275609548693</v>
      </c>
      <c r="P116" s="40">
        <v>2614.5688060609818</v>
      </c>
      <c r="Q116" s="40">
        <v>2738.1429525718104</v>
      </c>
      <c r="R116" s="40">
        <v>2946.592977640455</v>
      </c>
      <c r="S116" s="40">
        <v>3208.8041478820014</v>
      </c>
      <c r="T116" s="40">
        <v>3567.7528570143077</v>
      </c>
      <c r="U116" s="40">
        <v>4024.5094201928732</v>
      </c>
      <c r="V116" s="40">
        <v>4502.8072364316904</v>
      </c>
      <c r="W116" s="40">
        <v>4920.8154564676215</v>
      </c>
      <c r="X116" s="40">
        <v>5114.9478033672985</v>
      </c>
      <c r="Y116" s="40">
        <v>5217.8441632869617</v>
      </c>
      <c r="Z116" s="40">
        <v>5730.2359339348623</v>
      </c>
      <c r="AA116" s="40">
        <v>6007.9952620669237</v>
      </c>
      <c r="AB116" s="40">
        <v>6443.3654892534905</v>
      </c>
      <c r="AC116" s="40">
        <v>6937.5489271814777</v>
      </c>
      <c r="AD116" s="40">
        <v>7535.6279931797644</v>
      </c>
      <c r="AE116" s="40">
        <v>8063.2702138856093</v>
      </c>
      <c r="AF116" s="40">
        <v>8652.5303929884085</v>
      </c>
      <c r="AG116" s="40">
        <v>9064.0098144077529</v>
      </c>
      <c r="AH116" s="40">
        <v>9659.2189616353571</v>
      </c>
      <c r="AI116" s="40">
        <v>10212.4272264643</v>
      </c>
      <c r="AJ116" s="40">
        <v>10876.520215047694</v>
      </c>
      <c r="AK116" s="40">
        <v>11579.095127125143</v>
      </c>
      <c r="AL116" s="40">
        <v>12173.207988390872</v>
      </c>
      <c r="AM116" s="40">
        <v>12817.63458822215</v>
      </c>
      <c r="AN116" s="40">
        <v>14304.299197508873</v>
      </c>
      <c r="AO116" s="40">
        <v>15220.991342026657</v>
      </c>
      <c r="AP116" s="40">
        <v>16192.179457067841</v>
      </c>
      <c r="AQ116" s="40">
        <v>18123.093956332581</v>
      </c>
      <c r="AR116" s="40">
        <v>18731.590153100358</v>
      </c>
      <c r="AS116" s="40">
        <v>19557.015704001078</v>
      </c>
      <c r="AT116" s="40">
        <v>20698.072946145658</v>
      </c>
      <c r="AU116" s="40">
        <v>21670.022363754077</v>
      </c>
      <c r="AV116" s="40">
        <v>22641.827765797141</v>
      </c>
      <c r="AW116" s="40">
        <v>23369.050183782954</v>
      </c>
      <c r="AX116" s="40">
        <v>24623.504267368207</v>
      </c>
      <c r="AY116" s="40">
        <v>25497.151381800391</v>
      </c>
      <c r="AZ116" s="40">
        <v>26106.388033133328</v>
      </c>
      <c r="BA116" s="40">
        <v>26733.761169521178</v>
      </c>
      <c r="BB116" s="40">
        <v>9353.7072492806674</v>
      </c>
    </row>
    <row r="117" spans="1:54">
      <c r="A117" s="41">
        <v>178</v>
      </c>
      <c r="B117" s="41" t="s">
        <v>39</v>
      </c>
      <c r="L117" s="40">
        <v>2760.0676025613247</v>
      </c>
      <c r="M117" s="40">
        <v>3250.8810364694555</v>
      </c>
      <c r="N117" s="40">
        <v>3913.3363671202301</v>
      </c>
      <c r="O117" s="40">
        <v>5585.7785527897977</v>
      </c>
      <c r="P117" s="40">
        <v>15633.117399408504</v>
      </c>
      <c r="Q117" s="40">
        <v>15288.852054820392</v>
      </c>
      <c r="R117" s="40">
        <v>18898.538632804408</v>
      </c>
      <c r="S117" s="40">
        <v>19832.789103320756</v>
      </c>
      <c r="T117" s="40">
        <v>21097.685882095768</v>
      </c>
      <c r="U117" s="40">
        <v>27439.76895297907</v>
      </c>
      <c r="V117" s="40">
        <v>34990.053653933079</v>
      </c>
      <c r="W117" s="40">
        <v>34913.609501203369</v>
      </c>
      <c r="X117" s="40">
        <v>27400.68534126116</v>
      </c>
      <c r="Y117" s="40">
        <v>20913.360211906336</v>
      </c>
      <c r="Z117" s="40">
        <v>19646.638150339149</v>
      </c>
      <c r="AA117" s="40">
        <v>16584.541999228935</v>
      </c>
      <c r="AB117" s="40">
        <v>12686.981688474405</v>
      </c>
      <c r="AC117" s="40">
        <v>12866.592340043373</v>
      </c>
      <c r="AD117" s="40">
        <v>13562.954978894137</v>
      </c>
      <c r="AE117" s="40">
        <v>14010.378144833994</v>
      </c>
      <c r="AF117" s="40">
        <v>15446.330787051935</v>
      </c>
      <c r="AG117" s="40">
        <v>14189.043089847704</v>
      </c>
      <c r="AH117" s="40">
        <v>15616.95274660104</v>
      </c>
      <c r="AI117" s="40">
        <v>14546.039899705402</v>
      </c>
      <c r="AJ117" s="40">
        <v>14894.69036022908</v>
      </c>
      <c r="AK117" s="40">
        <v>16238.345394597995</v>
      </c>
      <c r="AL117" s="40">
        <v>17677.589032331955</v>
      </c>
      <c r="AM117" s="40">
        <v>21337.098839964834</v>
      </c>
      <c r="AN117" s="40">
        <v>18633.920161284081</v>
      </c>
      <c r="AO117" s="40">
        <v>21660.444304364984</v>
      </c>
      <c r="AP117" s="40">
        <v>29914.264776665957</v>
      </c>
      <c r="AQ117" s="40">
        <v>28666.6095131252</v>
      </c>
      <c r="AR117" s="40">
        <v>30748.534257003594</v>
      </c>
      <c r="AS117" s="40">
        <v>35644.404791228932</v>
      </c>
      <c r="AT117" s="40">
        <v>43970.04622874051</v>
      </c>
      <c r="AU117" s="40">
        <v>52413.854868181872</v>
      </c>
      <c r="AV117" s="40">
        <v>62522.298996073536</v>
      </c>
      <c r="AW117" s="40">
        <v>69023.692582076968</v>
      </c>
      <c r="AX117" s="40">
        <v>84628.498348872876</v>
      </c>
      <c r="AY117" s="40">
        <v>62390.279839021467</v>
      </c>
      <c r="AZ117" s="40">
        <v>71510.155746257253</v>
      </c>
      <c r="BA117" s="40">
        <v>89735.681871277193</v>
      </c>
      <c r="BB117" s="40">
        <v>27921.080667356953</v>
      </c>
    </row>
    <row r="118" spans="1:54">
      <c r="A118" s="41">
        <v>180</v>
      </c>
      <c r="B118" s="41" t="s">
        <v>38</v>
      </c>
      <c r="AC118" s="40">
        <v>1658.7586341178794</v>
      </c>
      <c r="AD118" s="40">
        <v>1753.192792304369</v>
      </c>
      <c r="AE118" s="40">
        <v>1789.6446375989121</v>
      </c>
      <c r="AF118" s="40">
        <v>1650.692978375474</v>
      </c>
      <c r="AG118" s="40">
        <v>1254.1482705144756</v>
      </c>
      <c r="AH118" s="40">
        <v>1100.7278761993839</v>
      </c>
      <c r="AI118" s="40">
        <v>1158.0563937904667</v>
      </c>
      <c r="AJ118" s="40">
        <v>1323.0244031734876</v>
      </c>
      <c r="AK118" s="40">
        <v>1563.9496276020627</v>
      </c>
      <c r="AL118" s="40">
        <v>1562.1235000117297</v>
      </c>
      <c r="AM118" s="40">
        <v>1564.5084198471732</v>
      </c>
      <c r="AN118" s="40">
        <v>1871.1889803289723</v>
      </c>
      <c r="AO118" s="40">
        <v>1583.8498455351814</v>
      </c>
      <c r="AP118" s="40">
        <v>1650.9684210345324</v>
      </c>
      <c r="AQ118" s="40">
        <v>1815.5069843842946</v>
      </c>
      <c r="AR118" s="40">
        <v>2101.7409874673112</v>
      </c>
      <c r="AS118" s="40">
        <v>2736.9749825029098</v>
      </c>
      <c r="AT118" s="40">
        <v>3481.2000596775106</v>
      </c>
      <c r="AU118" s="40">
        <v>4572.0484534524849</v>
      </c>
      <c r="AV118" s="40">
        <v>5681.0916366669935</v>
      </c>
      <c r="AW118" s="40">
        <v>7856.4760603589357</v>
      </c>
      <c r="AX118" s="40">
        <v>9497.9462637093475</v>
      </c>
      <c r="AY118" s="40">
        <v>7650.961389851861</v>
      </c>
      <c r="AZ118" s="40">
        <v>7686.9225234910555</v>
      </c>
      <c r="BA118" s="40">
        <v>8539.2612210206626</v>
      </c>
      <c r="BB118" s="40">
        <v>3324.1986137206986</v>
      </c>
    </row>
    <row r="119" spans="1:54">
      <c r="A119" s="41">
        <v>181</v>
      </c>
      <c r="B119" s="41" t="s">
        <v>37</v>
      </c>
      <c r="AE119" s="40">
        <v>3428.7619655134608</v>
      </c>
      <c r="AF119" s="40">
        <v>3485.1122022467052</v>
      </c>
      <c r="AG119" s="40">
        <v>3427.3175187472634</v>
      </c>
      <c r="AH119" s="40">
        <v>3095.0871599497705</v>
      </c>
      <c r="AI119" s="40">
        <v>2929.3032823238091</v>
      </c>
      <c r="AJ119" s="40">
        <v>2663.4569884385082</v>
      </c>
      <c r="AK119" s="40">
        <v>2669.9461233262282</v>
      </c>
      <c r="AL119" s="40">
        <v>2651.442018188086</v>
      </c>
      <c r="AM119" s="40">
        <v>2748.9174370011492</v>
      </c>
      <c r="AN119" s="40">
        <v>1844.4857824084968</v>
      </c>
      <c r="AO119" s="40">
        <v>1338.9864442280525</v>
      </c>
      <c r="AP119" s="40">
        <v>1775.1412907960209</v>
      </c>
      <c r="AQ119" s="40">
        <v>2100.7437861492881</v>
      </c>
      <c r="AR119" s="40">
        <v>2375.1629338744842</v>
      </c>
      <c r="AS119" s="40">
        <v>2976.1370489983128</v>
      </c>
      <c r="AT119" s="40">
        <v>4108.5744882763584</v>
      </c>
      <c r="AU119" s="40">
        <v>5337.0653242094295</v>
      </c>
      <c r="AV119" s="40">
        <v>6946.8809984469062</v>
      </c>
      <c r="AW119" s="40">
        <v>9146.4163604819259</v>
      </c>
      <c r="AX119" s="40">
        <v>11700.221117478008</v>
      </c>
      <c r="AY119" s="40">
        <v>8615.6587571380096</v>
      </c>
      <c r="AZ119" s="40">
        <v>10709.502432563364</v>
      </c>
      <c r="BA119" s="40">
        <v>13284.039125012281</v>
      </c>
      <c r="BB119" s="40">
        <v>4754.7113298172135</v>
      </c>
    </row>
    <row r="120" spans="1:54">
      <c r="A120" s="41">
        <v>182</v>
      </c>
      <c r="B120" s="41" t="s">
        <v>36</v>
      </c>
      <c r="C120" s="40">
        <v>40.719729635047806</v>
      </c>
      <c r="D120" s="40">
        <v>40.975602080708164</v>
      </c>
      <c r="E120" s="40">
        <v>41.250828280536567</v>
      </c>
      <c r="F120" s="40">
        <v>41.116871869384973</v>
      </c>
      <c r="G120" s="40">
        <v>46.026254043552342</v>
      </c>
      <c r="H120" s="40">
        <v>37.518172283253101</v>
      </c>
      <c r="I120" s="40">
        <v>46.678001130838517</v>
      </c>
      <c r="J120" s="40">
        <v>48.819768911903296</v>
      </c>
      <c r="K120" s="40">
        <v>51.832253968847375</v>
      </c>
      <c r="L120" s="40">
        <v>58.569000518278372</v>
      </c>
      <c r="M120" s="40">
        <v>57.635337224277741</v>
      </c>
      <c r="N120" s="40">
        <v>61.867202727867543</v>
      </c>
      <c r="O120" s="40">
        <v>70.874594847035468</v>
      </c>
      <c r="P120" s="40">
        <v>72.977281718276473</v>
      </c>
      <c r="Q120" s="40">
        <v>131.1864478125274</v>
      </c>
      <c r="R120" s="40">
        <v>141.73041756316661</v>
      </c>
      <c r="S120" s="40">
        <v>160.6357983238178</v>
      </c>
      <c r="T120" s="40">
        <v>188.51838997090101</v>
      </c>
      <c r="U120" s="40">
        <v>223.27137150642818</v>
      </c>
      <c r="V120" s="40">
        <v>244.08050507061901</v>
      </c>
      <c r="W120" s="40">
        <v>264.80235387181568</v>
      </c>
      <c r="X120" s="40">
        <v>256.54676127252952</v>
      </c>
      <c r="Y120" s="40">
        <v>261.11026396507896</v>
      </c>
      <c r="Z120" s="40">
        <v>270.25344965548283</v>
      </c>
      <c r="AA120" s="40">
        <v>280.6725857588014</v>
      </c>
      <c r="AB120" s="40">
        <v>303.57667907351646</v>
      </c>
      <c r="AC120" s="40">
        <v>320.05227035673983</v>
      </c>
      <c r="AD120" s="40">
        <v>339.9894682132134</v>
      </c>
      <c r="AE120" s="40">
        <v>332.93048725201999</v>
      </c>
      <c r="AF120" s="40">
        <v>353.4709837444579</v>
      </c>
      <c r="AG120" s="40">
        <v>274.1170541689894</v>
      </c>
      <c r="AH120" s="40">
        <v>310.0070215284216</v>
      </c>
      <c r="AI120" s="40">
        <v>324.99812369904566</v>
      </c>
      <c r="AJ120" s="40">
        <v>131.55993833917466</v>
      </c>
      <c r="AK120" s="40">
        <v>228.38492062251632</v>
      </c>
      <c r="AL120" s="40">
        <v>233.12545662163527</v>
      </c>
      <c r="AM120" s="40">
        <v>286.14814500208331</v>
      </c>
      <c r="AN120" s="40">
        <v>277.46700725283739</v>
      </c>
      <c r="AO120" s="40">
        <v>231.45953392972828</v>
      </c>
      <c r="AP120" s="40">
        <v>206.64907132382316</v>
      </c>
      <c r="AQ120" s="40">
        <v>191.17403562860042</v>
      </c>
      <c r="AR120" s="40">
        <v>186.64174801838908</v>
      </c>
      <c r="AS120" s="40">
        <v>202.27323818992656</v>
      </c>
      <c r="AT120" s="40">
        <v>225.7513897748897</v>
      </c>
      <c r="AU120" s="40">
        <v>273.74708922605618</v>
      </c>
      <c r="AV120" s="40">
        <v>322.0379666292871</v>
      </c>
      <c r="AW120" s="40">
        <v>376.52022829832458</v>
      </c>
      <c r="AX120" s="40">
        <v>460.89732489791794</v>
      </c>
      <c r="AY120" s="40">
        <v>498.84545880388015</v>
      </c>
      <c r="AZ120" s="40">
        <v>519.0223544709487</v>
      </c>
      <c r="BA120" s="40">
        <v>570.16688276037439</v>
      </c>
      <c r="BB120" s="40">
        <v>218.05261023211315</v>
      </c>
    </row>
    <row r="121" spans="1:54">
      <c r="A121" s="41">
        <v>191</v>
      </c>
      <c r="B121" s="41" t="s">
        <v>35</v>
      </c>
      <c r="J121" s="40">
        <v>780.99596942664925</v>
      </c>
      <c r="K121" s="40">
        <v>805.17752218396572</v>
      </c>
      <c r="L121" s="40">
        <v>864.11731439374989</v>
      </c>
      <c r="M121" s="40">
        <v>1121.713306181289</v>
      </c>
      <c r="N121" s="40">
        <v>1455.4352257516664</v>
      </c>
      <c r="O121" s="40">
        <v>2170.3918763720721</v>
      </c>
      <c r="P121" s="40">
        <v>6428.7908241337263</v>
      </c>
      <c r="Q121" s="40">
        <v>6306.5373964721612</v>
      </c>
      <c r="R121" s="40">
        <v>8194.27778330207</v>
      </c>
      <c r="S121" s="40">
        <v>8987.8072557605192</v>
      </c>
      <c r="T121" s="40">
        <v>9181.7530569113715</v>
      </c>
      <c r="U121" s="40">
        <v>12069.013428421164</v>
      </c>
      <c r="V121" s="40">
        <v>16692.446250998564</v>
      </c>
      <c r="W121" s="40">
        <v>17543.524270736925</v>
      </c>
      <c r="X121" s="40">
        <v>13685.885053150947</v>
      </c>
      <c r="Y121" s="40">
        <v>10842.128276290701</v>
      </c>
      <c r="Z121" s="40">
        <v>9473.1004283624425</v>
      </c>
      <c r="AA121" s="40">
        <v>7827.2956497525165</v>
      </c>
      <c r="AB121" s="40">
        <v>6248.0174880394825</v>
      </c>
      <c r="AC121" s="40">
        <v>5898.50752616302</v>
      </c>
      <c r="AD121" s="40">
        <v>5841.7613121841541</v>
      </c>
      <c r="AE121" s="40">
        <v>6086.4307991724336</v>
      </c>
      <c r="AF121" s="40">
        <v>7205.8219132203512</v>
      </c>
      <c r="AG121" s="40">
        <v>7845.6833494446291</v>
      </c>
      <c r="AH121" s="40">
        <v>7895.458465800516</v>
      </c>
      <c r="AI121" s="40">
        <v>7441.7553313589833</v>
      </c>
      <c r="AJ121" s="40">
        <v>7381.8224653198968</v>
      </c>
      <c r="AK121" s="40">
        <v>7672.4861093913414</v>
      </c>
      <c r="AL121" s="40">
        <v>8369.068213760218</v>
      </c>
      <c r="AM121" s="40">
        <v>8656.1647897298826</v>
      </c>
      <c r="AN121" s="40">
        <v>7559.6672809601632</v>
      </c>
      <c r="AO121" s="40">
        <v>8203.4345486829243</v>
      </c>
      <c r="AP121" s="40">
        <v>9354.4679242155926</v>
      </c>
      <c r="AQ121" s="40">
        <v>8760.0911850766388</v>
      </c>
      <c r="AR121" s="40">
        <v>8639.1441789070559</v>
      </c>
      <c r="AS121" s="40">
        <v>9389.5358517662062</v>
      </c>
      <c r="AT121" s="40">
        <v>10853.627507251947</v>
      </c>
      <c r="AU121" s="40">
        <v>13303.309738451131</v>
      </c>
      <c r="AV121" s="40">
        <v>14855.000955045309</v>
      </c>
      <c r="AW121" s="40">
        <v>16048.582050079503</v>
      </c>
      <c r="AX121" s="40">
        <v>19714.395139442466</v>
      </c>
      <c r="AY121" s="40">
        <v>16013.280403288381</v>
      </c>
      <c r="AZ121" s="40">
        <v>19326.582554817593</v>
      </c>
      <c r="BA121" s="40">
        <v>24116.174132484353</v>
      </c>
      <c r="BB121" s="40">
        <v>9252.5150477876468</v>
      </c>
    </row>
    <row r="122" spans="1:54">
      <c r="A122" s="41">
        <v>192</v>
      </c>
      <c r="B122" s="41" t="s">
        <v>34</v>
      </c>
      <c r="C122" s="40">
        <v>256.14276247219846</v>
      </c>
      <c r="D122" s="40">
        <v>255.44626775440267</v>
      </c>
      <c r="E122" s="40">
        <v>256.88164707256919</v>
      </c>
      <c r="F122" s="40">
        <v>264.69107742474642</v>
      </c>
      <c r="G122" s="40">
        <v>261.91157249690821</v>
      </c>
      <c r="H122" s="40">
        <v>262.34158150952231</v>
      </c>
      <c r="I122" s="40">
        <v>254.88335337018023</v>
      </c>
      <c r="J122" s="40">
        <v>260.14560783852113</v>
      </c>
      <c r="K122" s="40">
        <v>240.25825033203907</v>
      </c>
      <c r="L122" s="40">
        <v>242.96329344544372</v>
      </c>
      <c r="M122" s="40">
        <v>243.30976553427524</v>
      </c>
      <c r="N122" s="40">
        <v>285.41959985541041</v>
      </c>
      <c r="O122" s="40">
        <v>318.19131891750601</v>
      </c>
      <c r="P122" s="40">
        <v>347.9989785020727</v>
      </c>
      <c r="Q122" s="40">
        <v>456.17679328325028</v>
      </c>
      <c r="R122" s="40">
        <v>450.45374233855426</v>
      </c>
      <c r="S122" s="40">
        <v>449.69425686596026</v>
      </c>
      <c r="T122" s="40">
        <v>489.83780982180798</v>
      </c>
      <c r="U122" s="40">
        <v>594.81859943387519</v>
      </c>
      <c r="V122" s="40">
        <v>629.07895809694571</v>
      </c>
      <c r="W122" s="40">
        <v>555.01957698874787</v>
      </c>
      <c r="X122" s="40">
        <v>528.10746644942913</v>
      </c>
      <c r="Y122" s="40">
        <v>457.58616210944916</v>
      </c>
      <c r="Z122" s="40">
        <v>433.15847142993181</v>
      </c>
      <c r="AA122" s="40">
        <v>460.11963884191437</v>
      </c>
      <c r="AB122" s="40">
        <v>631.1923308760496</v>
      </c>
      <c r="AC122" s="40">
        <v>736.2623123176287</v>
      </c>
      <c r="AD122" s="40">
        <v>705.87944677689893</v>
      </c>
      <c r="AE122" s="40">
        <v>674.38950487457305</v>
      </c>
      <c r="AF122" s="40">
        <v>760.78797420530361</v>
      </c>
      <c r="AG122" s="40">
        <v>724.8414767564276</v>
      </c>
      <c r="AH122" s="40">
        <v>751.45906029836442</v>
      </c>
      <c r="AI122" s="40">
        <v>689.63131966043079</v>
      </c>
      <c r="AJ122" s="40">
        <v>457.44501975661785</v>
      </c>
      <c r="AK122" s="40">
        <v>560.03021284809267</v>
      </c>
      <c r="AL122" s="40">
        <v>566.62877616468074</v>
      </c>
      <c r="AM122" s="40">
        <v>509.87327017962485</v>
      </c>
      <c r="AN122" s="40">
        <v>535.83942991136837</v>
      </c>
      <c r="AO122" s="40">
        <v>534.8038535546691</v>
      </c>
      <c r="AP122" s="40">
        <v>474.52415775888375</v>
      </c>
      <c r="AQ122" s="40">
        <v>482.01849335368075</v>
      </c>
      <c r="AR122" s="40">
        <v>513.36252892210359</v>
      </c>
      <c r="AS122" s="40">
        <v>642.51874230037083</v>
      </c>
      <c r="AT122" s="40">
        <v>732.15666702434521</v>
      </c>
      <c r="AU122" s="40">
        <v>771.8170759716329</v>
      </c>
      <c r="AV122" s="40">
        <v>808.91255336362519</v>
      </c>
      <c r="AW122" s="40">
        <v>950.84192035103615</v>
      </c>
      <c r="AX122" s="40">
        <v>1093.7637993828835</v>
      </c>
      <c r="AY122" s="40">
        <v>1014.4765547703332</v>
      </c>
      <c r="AZ122" s="40">
        <v>992.64383491016144</v>
      </c>
      <c r="BA122" s="40">
        <v>1083.8403451102602</v>
      </c>
      <c r="BB122" s="40">
        <v>542.24661203109224</v>
      </c>
    </row>
    <row r="123" spans="1:54">
      <c r="A123" s="41">
        <v>195</v>
      </c>
      <c r="B123" s="41" t="s">
        <v>33</v>
      </c>
      <c r="C123" s="40">
        <v>149.76188302980134</v>
      </c>
      <c r="D123" s="40">
        <v>154.41402765676204</v>
      </c>
      <c r="E123" s="40">
        <v>154.80220895850772</v>
      </c>
      <c r="F123" s="40">
        <v>162.71212206892906</v>
      </c>
      <c r="G123" s="40">
        <v>154.84784344757736</v>
      </c>
      <c r="H123" s="40">
        <v>159.22138464652869</v>
      </c>
      <c r="I123" s="40">
        <v>145.47855205198644</v>
      </c>
      <c r="J123" s="40">
        <v>135.22682029920509</v>
      </c>
      <c r="K123" s="40">
        <v>164.53223061317826</v>
      </c>
      <c r="L123" s="40">
        <v>171.57661335440412</v>
      </c>
      <c r="M123" s="40">
        <v>162.41459701954301</v>
      </c>
      <c r="N123" s="40">
        <v>176.42366432640969</v>
      </c>
      <c r="O123" s="40">
        <v>213.38143238612122</v>
      </c>
      <c r="P123" s="40">
        <v>235.26852627699063</v>
      </c>
      <c r="Q123" s="40">
        <v>240.83247709724691</v>
      </c>
      <c r="R123" s="40">
        <v>206.00770125578237</v>
      </c>
      <c r="S123" s="40">
        <v>233.89842884966328</v>
      </c>
      <c r="T123" s="40">
        <v>317.07571912409668</v>
      </c>
      <c r="U123" s="40">
        <v>357.36653164440867</v>
      </c>
      <c r="V123" s="40">
        <v>346.10183939273679</v>
      </c>
      <c r="W123" s="40">
        <v>342.40496342328453</v>
      </c>
      <c r="X123" s="40">
        <v>388.88697771497698</v>
      </c>
      <c r="Y123" s="40">
        <v>291.96156732424544</v>
      </c>
      <c r="Z123" s="40">
        <v>311.40253871657734</v>
      </c>
      <c r="AA123" s="40">
        <v>239.06126945630163</v>
      </c>
      <c r="AB123" s="40">
        <v>132.89481355101481</v>
      </c>
      <c r="AC123" s="40">
        <v>184.50797098679348</v>
      </c>
      <c r="AD123" s="40">
        <v>269.94752077804185</v>
      </c>
      <c r="AE123" s="40">
        <v>233.65155871783818</v>
      </c>
      <c r="AF123" s="40">
        <v>160.69665375289532</v>
      </c>
      <c r="AG123" s="40">
        <v>192.43327974248956</v>
      </c>
      <c r="AH123" s="40">
        <v>168.66159132608499</v>
      </c>
      <c r="AI123" s="40">
        <v>192.61556994347447</v>
      </c>
      <c r="AJ123" s="40">
        <v>230.77459612837004</v>
      </c>
      <c r="AK123" s="40">
        <v>221.73044504966882</v>
      </c>
      <c r="AL123" s="40">
        <v>240.25824186645909</v>
      </c>
      <c r="AM123" s="40">
        <v>216.43337321186146</v>
      </c>
      <c r="AN123" s="40">
        <v>169.71180201746895</v>
      </c>
      <c r="AO123" s="40">
        <v>166.08218224960146</v>
      </c>
      <c r="AP123" s="40">
        <v>153.60176991034686</v>
      </c>
      <c r="AQ123" s="40">
        <v>251.29470879278176</v>
      </c>
      <c r="AR123" s="40">
        <v>275.76036657441472</v>
      </c>
      <c r="AS123" s="40">
        <v>291.00605434582764</v>
      </c>
      <c r="AT123" s="40">
        <v>290.41352575822094</v>
      </c>
      <c r="AU123" s="40">
        <v>317.94657633096489</v>
      </c>
      <c r="AV123" s="40">
        <v>357.40610366447851</v>
      </c>
      <c r="AW123" s="40">
        <v>398.43772980833904</v>
      </c>
      <c r="AX123" s="40">
        <v>452.69680269526134</v>
      </c>
      <c r="AY123" s="40">
        <v>435.1094120469607</v>
      </c>
      <c r="AZ123" s="40">
        <v>447.75332377400576</v>
      </c>
      <c r="BA123" s="40">
        <v>501.02322468994095</v>
      </c>
      <c r="BB123" s="40">
        <v>246.42962976174255</v>
      </c>
    </row>
    <row r="124" spans="1:54">
      <c r="A124" s="41">
        <v>196</v>
      </c>
      <c r="B124" s="41" t="s">
        <v>32</v>
      </c>
      <c r="C124" s="40">
        <v>437.94322116974092</v>
      </c>
      <c r="D124" s="40">
        <v>429.53774468875525</v>
      </c>
      <c r="E124" s="40">
        <v>472.18303179988038</v>
      </c>
      <c r="F124" s="40">
        <v>464.37730535391808</v>
      </c>
      <c r="G124" s="40">
        <v>516.26220678884511</v>
      </c>
      <c r="H124" s="40">
        <v>566.65096457345567</v>
      </c>
      <c r="I124" s="40">
        <v>625.58906786765726</v>
      </c>
      <c r="J124" s="40">
        <v>708.26049816747116</v>
      </c>
      <c r="K124" s="40">
        <v>812.06288343143456</v>
      </c>
      <c r="L124" s="40">
        <v>925.05840582172243</v>
      </c>
      <c r="M124" s="40">
        <v>1070.7663841142403</v>
      </c>
      <c r="N124" s="40">
        <v>1263.8942360470235</v>
      </c>
      <c r="O124" s="40">
        <v>1684.3410852713178</v>
      </c>
      <c r="P124" s="40">
        <v>2339.38897866047</v>
      </c>
      <c r="Q124" s="40">
        <v>2488.3414665903547</v>
      </c>
      <c r="R124" s="40">
        <v>2756.6530324920745</v>
      </c>
      <c r="S124" s="40">
        <v>2842.4968445288036</v>
      </c>
      <c r="T124" s="40">
        <v>3187.0067074426647</v>
      </c>
      <c r="U124" s="40">
        <v>3891.7679803334131</v>
      </c>
      <c r="V124" s="40">
        <v>4913.4489497496479</v>
      </c>
      <c r="W124" s="40">
        <v>5579.2139977480256</v>
      </c>
      <c r="X124" s="40">
        <v>6050.9733665055646</v>
      </c>
      <c r="Y124" s="40">
        <v>6605.2469803149643</v>
      </c>
      <c r="Z124" s="40">
        <v>7185.6157066134356</v>
      </c>
      <c r="AA124" s="40">
        <v>6960.4682292127272</v>
      </c>
      <c r="AB124" s="40">
        <v>6783.4910923614834</v>
      </c>
      <c r="AC124" s="40">
        <v>7511.6537180909991</v>
      </c>
      <c r="AD124" s="40">
        <v>8890.4074397180702</v>
      </c>
      <c r="AE124" s="40">
        <v>10383.801787993931</v>
      </c>
      <c r="AF124" s="40">
        <v>11845.409269277987</v>
      </c>
      <c r="AG124" s="40">
        <v>13736.80024876682</v>
      </c>
      <c r="AH124" s="40">
        <v>15180.384860840357</v>
      </c>
      <c r="AI124" s="40">
        <v>18102.905559889608</v>
      </c>
      <c r="AJ124" s="40">
        <v>20248.781387326304</v>
      </c>
      <c r="AK124" s="40">
        <v>22922.114463720754</v>
      </c>
      <c r="AL124" s="40">
        <v>25795.773607321356</v>
      </c>
      <c r="AM124" s="40">
        <v>27545.235113031275</v>
      </c>
      <c r="AN124" s="40">
        <v>24399.982587541068</v>
      </c>
      <c r="AO124" s="40">
        <v>21715.09874513678</v>
      </c>
      <c r="AP124" s="40">
        <v>23814.556614022691</v>
      </c>
      <c r="AQ124" s="40">
        <v>22027.170765683655</v>
      </c>
      <c r="AR124" s="40">
        <v>21691.287891241605</v>
      </c>
      <c r="AS124" s="40">
        <v>22689.528184335741</v>
      </c>
      <c r="AT124" s="40">
        <v>26240.54621495742</v>
      </c>
      <c r="AU124" s="40">
        <v>28952.808914540019</v>
      </c>
      <c r="AV124" s="40">
        <v>31585.60378815189</v>
      </c>
      <c r="AW124" s="40">
        <v>36766.280887925845</v>
      </c>
      <c r="AX124" s="40">
        <v>36972.386025029715</v>
      </c>
      <c r="AY124" s="40">
        <v>38922.782070437257</v>
      </c>
      <c r="AZ124" s="40">
        <v>42783.722448135355</v>
      </c>
      <c r="BA124" s="40">
        <v>47268.228947342388</v>
      </c>
      <c r="BB124" s="40">
        <v>13324.593958982508</v>
      </c>
    </row>
    <row r="125" spans="1:54">
      <c r="A125" s="41">
        <v>197</v>
      </c>
      <c r="B125" s="41" t="s">
        <v>31</v>
      </c>
      <c r="X125" s="40">
        <v>1207.9697995168433</v>
      </c>
      <c r="Y125" s="40">
        <v>1204.0416645997329</v>
      </c>
      <c r="Z125" s="40">
        <v>1121.5861704383235</v>
      </c>
      <c r="AA125" s="40">
        <v>1128.8805607288064</v>
      </c>
      <c r="AB125" s="40">
        <v>1516.0558797059271</v>
      </c>
      <c r="AC125" s="40">
        <v>1815.1330354899555</v>
      </c>
      <c r="AD125" s="40">
        <v>1918.6116474571902</v>
      </c>
      <c r="AE125" s="40">
        <v>1851.7227820155404</v>
      </c>
      <c r="AF125" s="40">
        <v>2210.9981833053862</v>
      </c>
      <c r="AG125" s="40">
        <v>2473.7775129531205</v>
      </c>
      <c r="AH125" s="40">
        <v>2690.1646659961948</v>
      </c>
      <c r="AI125" s="40">
        <v>3031.877331778046</v>
      </c>
      <c r="AJ125" s="40">
        <v>3685.7528200635329</v>
      </c>
      <c r="AK125" s="40">
        <v>4709.735564221648</v>
      </c>
      <c r="AL125" s="40">
        <v>5077.7213103297308</v>
      </c>
      <c r="AM125" s="40">
        <v>5022.770206322788</v>
      </c>
      <c r="AN125" s="40">
        <v>5431.4432397547089</v>
      </c>
      <c r="AO125" s="40">
        <v>5550.0042915436725</v>
      </c>
      <c r="AP125" s="40">
        <v>5330.4016218874895</v>
      </c>
      <c r="AQ125" s="40">
        <v>5636.6390898030122</v>
      </c>
      <c r="AR125" s="40">
        <v>6439.476748668224</v>
      </c>
      <c r="AS125" s="40">
        <v>8520.5883029290617</v>
      </c>
      <c r="AT125" s="40">
        <v>10417.811728875866</v>
      </c>
      <c r="AU125" s="40">
        <v>11384.529459552063</v>
      </c>
      <c r="AV125" s="40">
        <v>12798.527267124115</v>
      </c>
      <c r="AW125" s="40">
        <v>15583.39903033307</v>
      </c>
      <c r="AX125" s="40">
        <v>18109.055660114729</v>
      </c>
      <c r="AY125" s="40">
        <v>16100.082706384255</v>
      </c>
      <c r="AZ125" s="40">
        <v>16062.419819845736</v>
      </c>
      <c r="BA125" s="40">
        <v>17789.562614713279</v>
      </c>
      <c r="BB125" s="40">
        <v>6527.358023881734</v>
      </c>
    </row>
    <row r="126" spans="1:54">
      <c r="A126" s="41">
        <v>198</v>
      </c>
      <c r="B126" s="41" t="s">
        <v>30</v>
      </c>
      <c r="AF126" s="40">
        <v>8698.9000177405796</v>
      </c>
      <c r="AG126" s="40">
        <v>6338.552270238587</v>
      </c>
      <c r="AH126" s="40">
        <v>6272.2508504937441</v>
      </c>
      <c r="AI126" s="40">
        <v>6362.7787816737946</v>
      </c>
      <c r="AJ126" s="40">
        <v>7230.9212308214655</v>
      </c>
      <c r="AK126" s="40">
        <v>10523.724545607894</v>
      </c>
      <c r="AL126" s="40">
        <v>10635.427126523049</v>
      </c>
      <c r="AM126" s="40">
        <v>10282.321490034303</v>
      </c>
      <c r="AN126" s="40">
        <v>10974.488925736498</v>
      </c>
      <c r="AO126" s="40">
        <v>11250.215817788614</v>
      </c>
      <c r="AP126" s="40">
        <v>10045.360076644314</v>
      </c>
      <c r="AQ126" s="40">
        <v>10290.31604519909</v>
      </c>
      <c r="AR126" s="40">
        <v>11599.901924952372</v>
      </c>
      <c r="AS126" s="40">
        <v>14607.200496223833</v>
      </c>
      <c r="AT126" s="40">
        <v>16944.189526738734</v>
      </c>
      <c r="AU126" s="40">
        <v>17854.635330154309</v>
      </c>
      <c r="AV126" s="40">
        <v>19405.93327489974</v>
      </c>
      <c r="AW126" s="40">
        <v>23441.000620478855</v>
      </c>
      <c r="AX126" s="40">
        <v>27015.082379725027</v>
      </c>
      <c r="AY126" s="40">
        <v>24051.036070570903</v>
      </c>
      <c r="AZ126" s="40">
        <v>22942.364428653545</v>
      </c>
      <c r="BA126" s="40">
        <v>24478.281827866562</v>
      </c>
      <c r="BB126" s="40">
        <v>14147.494684489357</v>
      </c>
    </row>
    <row r="127" spans="1:54">
      <c r="A127" s="41">
        <v>200</v>
      </c>
      <c r="B127" s="41" t="s">
        <v>29</v>
      </c>
      <c r="C127" s="40">
        <v>68.093277594116103</v>
      </c>
      <c r="D127" s="40">
        <v>70.795490524446237</v>
      </c>
      <c r="E127" s="40">
        <v>73.585515548962519</v>
      </c>
      <c r="F127" s="40">
        <v>76.455021696659642</v>
      </c>
      <c r="G127" s="40">
        <v>79.400975717545066</v>
      </c>
      <c r="H127" s="40">
        <v>81.856210702591213</v>
      </c>
      <c r="I127" s="40">
        <v>84.214830064504852</v>
      </c>
      <c r="J127" s="40">
        <v>86.593257637895192</v>
      </c>
      <c r="K127" s="40">
        <v>88.683399279414331</v>
      </c>
      <c r="L127" s="40">
        <v>91.758881455419498</v>
      </c>
      <c r="M127" s="40">
        <v>95.211537779168722</v>
      </c>
      <c r="N127" s="40">
        <v>119.45722254707587</v>
      </c>
      <c r="O127" s="40">
        <v>143.7755727735973</v>
      </c>
      <c r="P127" s="40">
        <v>128.29419382602001</v>
      </c>
      <c r="Q127" s="40">
        <v>183.16373622308191</v>
      </c>
      <c r="R127" s="40">
        <v>189.51755477536031</v>
      </c>
      <c r="S127" s="40">
        <v>104.86647897506448</v>
      </c>
      <c r="T127" s="40">
        <v>106.82186486260633</v>
      </c>
      <c r="U127" s="40">
        <v>102.5219417157586</v>
      </c>
      <c r="V127" s="40">
        <v>99.116862920031295</v>
      </c>
      <c r="W127" s="40">
        <v>111.82700573157886</v>
      </c>
      <c r="X127" s="40">
        <v>123.48160306547953</v>
      </c>
      <c r="Y127" s="40">
        <v>118.37746584021652</v>
      </c>
      <c r="Z127" s="40">
        <v>128.95055313070151</v>
      </c>
      <c r="AA127" s="40">
        <v>144.42044104909266</v>
      </c>
      <c r="AB127" s="40">
        <v>152.94445129627999</v>
      </c>
      <c r="AC127" s="40">
        <v>164.49064025756417</v>
      </c>
      <c r="AD127" s="40">
        <v>166.99952315697578</v>
      </c>
      <c r="AE127" s="40">
        <v>173.79694018690043</v>
      </c>
      <c r="AF127" s="40">
        <v>145.06486933960025</v>
      </c>
      <c r="BB127" s="40">
        <v>116.81791065579031</v>
      </c>
    </row>
    <row r="128" spans="1:54">
      <c r="A128" s="41">
        <v>201</v>
      </c>
      <c r="B128" s="41" t="s">
        <v>28</v>
      </c>
      <c r="C128" s="40">
        <v>431.35393896232375</v>
      </c>
      <c r="D128" s="40">
        <v>448.00160720810419</v>
      </c>
      <c r="E128" s="40">
        <v>484.52583078245556</v>
      </c>
      <c r="F128" s="40">
        <v>519.40970222593251</v>
      </c>
      <c r="G128" s="40">
        <v>554.79000275125554</v>
      </c>
      <c r="H128" s="40">
        <v>591.81191568812108</v>
      </c>
      <c r="I128" s="40">
        <v>646.27557160998163</v>
      </c>
      <c r="J128" s="40">
        <v>684.32373890147289</v>
      </c>
      <c r="K128" s="40">
        <v>754.91389874141544</v>
      </c>
      <c r="L128" s="40">
        <v>810.76619431365862</v>
      </c>
      <c r="M128" s="40">
        <v>874.44941752738305</v>
      </c>
      <c r="N128" s="40">
        <v>897.38177953181741</v>
      </c>
      <c r="O128" s="40">
        <v>1202.4683740238074</v>
      </c>
      <c r="P128" s="40">
        <v>1477.0232198655629</v>
      </c>
      <c r="Q128" s="40">
        <v>1494.1585022619961</v>
      </c>
      <c r="R128" s="40">
        <v>1403.9523355927427</v>
      </c>
      <c r="S128" s="40">
        <v>1526.8076697504171</v>
      </c>
      <c r="T128" s="40">
        <v>1719.8957125264997</v>
      </c>
      <c r="U128" s="40">
        <v>2076.2840814227111</v>
      </c>
      <c r="V128" s="40">
        <v>2920.7827143691215</v>
      </c>
      <c r="W128" s="40">
        <v>3073.1224197503675</v>
      </c>
      <c r="X128" s="40">
        <v>2764.2894328437833</v>
      </c>
      <c r="Y128" s="40">
        <v>2893.7251446014184</v>
      </c>
      <c r="Z128" s="40">
        <v>2792.0079094611178</v>
      </c>
      <c r="AA128" s="40">
        <v>2142.1518230356096</v>
      </c>
      <c r="AB128" s="40">
        <v>2475.0445447492525</v>
      </c>
      <c r="AC128" s="40">
        <v>3158.5906033484121</v>
      </c>
      <c r="AD128" s="40">
        <v>3398.6413751998853</v>
      </c>
      <c r="AE128" s="40">
        <v>3621.5229184592199</v>
      </c>
      <c r="AF128" s="40">
        <v>3182.2140463246874</v>
      </c>
      <c r="AG128" s="40">
        <v>3345.8094726707204</v>
      </c>
      <c r="AH128" s="40">
        <v>3557.1110383145392</v>
      </c>
      <c r="AI128" s="40">
        <v>3479.9240539298175</v>
      </c>
      <c r="AJ128" s="40">
        <v>3546.6689921697739</v>
      </c>
      <c r="AK128" s="40">
        <v>3862.8089929619014</v>
      </c>
      <c r="AL128" s="40">
        <v>3593.2775996826686</v>
      </c>
      <c r="AM128" s="40">
        <v>3636.1710586637464</v>
      </c>
      <c r="AN128" s="40">
        <v>3205.1687588454615</v>
      </c>
      <c r="AO128" s="40">
        <v>3102.8138331191226</v>
      </c>
      <c r="AP128" s="40">
        <v>3019.9463672175821</v>
      </c>
      <c r="AQ128" s="40">
        <v>2638.1580501004764</v>
      </c>
      <c r="AR128" s="40">
        <v>2439.9917785480343</v>
      </c>
      <c r="AS128" s="40">
        <v>3647.7041204306965</v>
      </c>
      <c r="AT128" s="40">
        <v>4695.0393627643907</v>
      </c>
      <c r="AU128" s="40">
        <v>5234.3130517902828</v>
      </c>
      <c r="AV128" s="40">
        <v>5468.2980592685508</v>
      </c>
      <c r="AW128" s="40">
        <v>5930.1274095802128</v>
      </c>
      <c r="AX128" s="40">
        <v>5597.9674756109216</v>
      </c>
      <c r="AY128" s="40">
        <v>5758.0025216947915</v>
      </c>
      <c r="AZ128" s="40">
        <v>7266.078871331285</v>
      </c>
      <c r="BA128" s="40">
        <v>7942.8341009557043</v>
      </c>
      <c r="BB128" s="40">
        <v>2784.0961057937502</v>
      </c>
    </row>
    <row r="129" spans="1:54">
      <c r="A129" s="41">
        <v>203</v>
      </c>
      <c r="B129" s="41" t="s">
        <v>27</v>
      </c>
      <c r="C129" s="40">
        <v>450.05328924696846</v>
      </c>
      <c r="D129" s="40">
        <v>520.2061313800051</v>
      </c>
      <c r="E129" s="40">
        <v>609.48738405651261</v>
      </c>
      <c r="F129" s="40">
        <v>675.24163914120777</v>
      </c>
      <c r="G129" s="40">
        <v>774.76160933009623</v>
      </c>
      <c r="H129" s="40">
        <v>889.65987201152882</v>
      </c>
      <c r="I129" s="40">
        <v>968.30678176598303</v>
      </c>
      <c r="J129" s="40">
        <v>950.54574059373374</v>
      </c>
      <c r="K129" s="40">
        <v>1077.6786999459102</v>
      </c>
      <c r="L129" s="40">
        <v>1177.0646642462175</v>
      </c>
      <c r="M129" s="40">
        <v>1323.8551931710881</v>
      </c>
      <c r="N129" s="40">
        <v>1664.0505238242158</v>
      </c>
      <c r="O129" s="40">
        <v>2193.0205040850929</v>
      </c>
      <c r="P129" s="40">
        <v>2686.6550312282989</v>
      </c>
      <c r="Q129" s="40">
        <v>3136.4979161160918</v>
      </c>
      <c r="R129" s="40">
        <v>3201.6027186306901</v>
      </c>
      <c r="S129" s="40">
        <v>3535.8979522581762</v>
      </c>
      <c r="T129" s="40">
        <v>4228.9842829118452</v>
      </c>
      <c r="U129" s="40">
        <v>5601.0784853335372</v>
      </c>
      <c r="V129" s="40">
        <v>6036.5731068896957</v>
      </c>
      <c r="W129" s="40">
        <v>5217.597656248985</v>
      </c>
      <c r="X129" s="40">
        <v>5015.4912467379372</v>
      </c>
      <c r="Y129" s="40">
        <v>4353.9715302831646</v>
      </c>
      <c r="Z129" s="40">
        <v>4365.4245426751049</v>
      </c>
      <c r="AA129" s="40">
        <v>4569.1221670143887</v>
      </c>
      <c r="AB129" s="40">
        <v>6332.2874845621245</v>
      </c>
      <c r="AC129" s="40">
        <v>8011.3828502549477</v>
      </c>
      <c r="AD129" s="40">
        <v>9433.6189453436891</v>
      </c>
      <c r="AE129" s="40">
        <v>10381.295296173603</v>
      </c>
      <c r="AF129" s="40">
        <v>13409.583826580938</v>
      </c>
      <c r="AG129" s="40">
        <v>14391.615973732494</v>
      </c>
      <c r="AH129" s="40">
        <v>15680.042718222297</v>
      </c>
      <c r="AI129" s="40">
        <v>13009.100973092713</v>
      </c>
      <c r="AJ129" s="40">
        <v>13109.730526182504</v>
      </c>
      <c r="AK129" s="40">
        <v>15150.950220994642</v>
      </c>
      <c r="AL129" s="40">
        <v>15766.396670622687</v>
      </c>
      <c r="AM129" s="40">
        <v>14466.967943566249</v>
      </c>
      <c r="AN129" s="40">
        <v>15126.431605450876</v>
      </c>
      <c r="AO129" s="40">
        <v>15475.521554131103</v>
      </c>
      <c r="AP129" s="40">
        <v>14413.788872415951</v>
      </c>
      <c r="AQ129" s="40">
        <v>14952.090840544188</v>
      </c>
      <c r="AR129" s="40">
        <v>16611.713379272634</v>
      </c>
      <c r="AS129" s="40">
        <v>21041.537602061959</v>
      </c>
      <c r="AT129" s="40">
        <v>24468.745434352033</v>
      </c>
      <c r="AU129" s="40">
        <v>26056.388766184005</v>
      </c>
      <c r="AV129" s="40">
        <v>28024.748495565793</v>
      </c>
      <c r="AW129" s="40">
        <v>32118.102020228496</v>
      </c>
      <c r="AX129" s="40">
        <v>34977.389054695988</v>
      </c>
      <c r="AY129" s="40">
        <v>31714.244358335942</v>
      </c>
      <c r="AZ129" s="40">
        <v>29956.1563511721</v>
      </c>
      <c r="BA129" s="40">
        <v>31984.725638331875</v>
      </c>
      <c r="BB129" s="40">
        <v>10809.556589631338</v>
      </c>
    </row>
    <row r="130" spans="1:54">
      <c r="A130" s="41">
        <v>204</v>
      </c>
      <c r="B130" s="41" t="s">
        <v>26</v>
      </c>
      <c r="C130" s="40">
        <v>143.03128747958664</v>
      </c>
      <c r="D130" s="40">
        <v>139.67342906761337</v>
      </c>
      <c r="E130" s="40">
        <v>117.31125624772683</v>
      </c>
      <c r="F130" s="40">
        <v>121.23642355777493</v>
      </c>
      <c r="G130" s="40">
        <v>152.12462627473062</v>
      </c>
      <c r="H130" s="40">
        <v>153.11395998210457</v>
      </c>
      <c r="I130" s="40">
        <v>158.88789375169884</v>
      </c>
      <c r="J130" s="40">
        <v>150.19817132990619</v>
      </c>
      <c r="K130" s="40">
        <v>160.42656043808316</v>
      </c>
      <c r="L130" s="40">
        <v>183.5121134917128</v>
      </c>
      <c r="M130" s="40">
        <v>186.7067454954506</v>
      </c>
      <c r="N130" s="40">
        <v>198.57991978918517</v>
      </c>
      <c r="O130" s="40">
        <v>219.6642731647697</v>
      </c>
      <c r="P130" s="40">
        <v>269.08961654361741</v>
      </c>
      <c r="Q130" s="40">
        <v>280.9201352627756</v>
      </c>
      <c r="R130" s="40">
        <v>261.81525532643599</v>
      </c>
      <c r="S130" s="40">
        <v>294.39890853992148</v>
      </c>
      <c r="T130" s="40">
        <v>192.61337959846668</v>
      </c>
      <c r="U130" s="40">
        <v>232.49111610292218</v>
      </c>
      <c r="V130" s="40">
        <v>272.91122937387451</v>
      </c>
      <c r="W130" s="40">
        <v>297.42332833866482</v>
      </c>
      <c r="X130" s="40">
        <v>313.81712403387979</v>
      </c>
      <c r="Y130" s="40">
        <v>335.20875022166734</v>
      </c>
      <c r="Z130" s="40">
        <v>387.32774740545375</v>
      </c>
      <c r="AA130" s="40">
        <v>377.38044262199679</v>
      </c>
      <c r="AB130" s="40">
        <v>397.17309877118754</v>
      </c>
      <c r="AC130" s="40">
        <v>408.12112133177897</v>
      </c>
      <c r="AD130" s="40">
        <v>420.40915604938573</v>
      </c>
      <c r="AE130" s="40">
        <v>415.29079844116131</v>
      </c>
      <c r="AF130" s="40">
        <v>472.08646331120417</v>
      </c>
      <c r="AG130" s="40">
        <v>521.24645749585079</v>
      </c>
      <c r="AH130" s="40">
        <v>556.81232846699447</v>
      </c>
      <c r="AI130" s="40">
        <v>585.89366631313555</v>
      </c>
      <c r="AJ130" s="40">
        <v>654.94406175296729</v>
      </c>
      <c r="AK130" s="40">
        <v>718.44384434139886</v>
      </c>
      <c r="AL130" s="40">
        <v>757.94820981941416</v>
      </c>
      <c r="AM130" s="40">
        <v>812.79248361346777</v>
      </c>
      <c r="AN130" s="40">
        <v>840.8737674173949</v>
      </c>
      <c r="AO130" s="40">
        <v>821.59645339289671</v>
      </c>
      <c r="AP130" s="40">
        <v>854.92672515526408</v>
      </c>
      <c r="AQ130" s="40">
        <v>837.69880352183623</v>
      </c>
      <c r="AR130" s="40">
        <v>903.89640485324821</v>
      </c>
      <c r="AS130" s="40">
        <v>984.81017249335446</v>
      </c>
      <c r="AT130" s="40">
        <v>1063.1605835502212</v>
      </c>
      <c r="AU130" s="40">
        <v>1242.404349662804</v>
      </c>
      <c r="AV130" s="40">
        <v>1424.1018695030607</v>
      </c>
      <c r="AW130" s="40">
        <v>1614.3644099416938</v>
      </c>
      <c r="AX130" s="40">
        <v>2013.8409032230825</v>
      </c>
      <c r="AY130" s="40">
        <v>2057.027343359744</v>
      </c>
      <c r="AZ130" s="40">
        <v>2399.9200536543817</v>
      </c>
      <c r="BA130" s="40">
        <v>2836.1147141135889</v>
      </c>
      <c r="BB130" s="40">
        <v>631.68160660765761</v>
      </c>
    </row>
    <row r="131" spans="1:54">
      <c r="A131" s="41">
        <v>205</v>
      </c>
      <c r="B131" s="41" t="s">
        <v>25</v>
      </c>
      <c r="C131" s="40">
        <v>157.80272046624879</v>
      </c>
      <c r="D131" s="40">
        <v>166.4236378011598</v>
      </c>
      <c r="E131" s="40">
        <v>164.3271413916853</v>
      </c>
      <c r="F131" s="40">
        <v>163.80144463346471</v>
      </c>
      <c r="G131" s="40">
        <v>165.57029336263997</v>
      </c>
      <c r="H131" s="40">
        <v>164.68763287102317</v>
      </c>
      <c r="I131" s="40">
        <v>172.83275082075286</v>
      </c>
      <c r="J131" s="40">
        <v>174.78574150109844</v>
      </c>
      <c r="K131" s="40">
        <v>186.44395012431031</v>
      </c>
      <c r="L131" s="40">
        <v>205.24571763029914</v>
      </c>
      <c r="M131" s="40">
        <v>216.50509456711211</v>
      </c>
      <c r="N131" s="40">
        <v>227.42485482984688</v>
      </c>
      <c r="O131" s="40">
        <v>272.7198368444503</v>
      </c>
      <c r="P131" s="40">
        <v>339.27862410481197</v>
      </c>
      <c r="Q131" s="40">
        <v>399.39994174402273</v>
      </c>
      <c r="R131" s="40">
        <v>480.82472307659026</v>
      </c>
      <c r="S131" s="40">
        <v>578.70029242570376</v>
      </c>
      <c r="T131" s="40">
        <v>605.27983338698562</v>
      </c>
      <c r="U131" s="40">
        <v>604.88102131476887</v>
      </c>
      <c r="V131" s="40">
        <v>528.30755735091373</v>
      </c>
      <c r="W131" s="40">
        <v>638.63334630505665</v>
      </c>
      <c r="X131" s="40">
        <v>598.25383907928051</v>
      </c>
      <c r="Y131" s="40">
        <v>528.65274863811896</v>
      </c>
      <c r="Z131" s="40">
        <v>606.63837399353952</v>
      </c>
      <c r="AA131" s="40">
        <v>728.71854777670205</v>
      </c>
      <c r="AB131" s="40">
        <v>906.01435890848597</v>
      </c>
      <c r="AC131" s="40">
        <v>1137.3335796952379</v>
      </c>
      <c r="AD131" s="40">
        <v>830.21864746037477</v>
      </c>
      <c r="AE131" s="40">
        <v>792.70547357265457</v>
      </c>
      <c r="AF131" s="40">
        <v>620.15941124303572</v>
      </c>
      <c r="AG131" s="40">
        <v>546.00632284720973</v>
      </c>
      <c r="AH131" s="40">
        <v>322.98383902263936</v>
      </c>
      <c r="AI131" s="40">
        <v>390.45146777278092</v>
      </c>
      <c r="AJ131" s="40">
        <v>540.20539483964694</v>
      </c>
      <c r="AK131" s="40">
        <v>563.82089776059081</v>
      </c>
      <c r="AL131" s="40">
        <v>356.9764341961594</v>
      </c>
      <c r="AM131" s="40">
        <v>450.94630301254608</v>
      </c>
      <c r="AN131" s="40">
        <v>424.67680117108262</v>
      </c>
      <c r="AO131" s="40">
        <v>394.38228684008095</v>
      </c>
      <c r="AP131" s="40">
        <v>442.02626945714394</v>
      </c>
      <c r="AQ131" s="40">
        <v>463.61739553689205</v>
      </c>
      <c r="AR131" s="40">
        <v>507.2023147816048</v>
      </c>
      <c r="AS131" s="40">
        <v>588.71968239168029</v>
      </c>
      <c r="AT131" s="40">
        <v>697.16964774359838</v>
      </c>
      <c r="AU131" s="40">
        <v>839.77396809326899</v>
      </c>
      <c r="AV131" s="40">
        <v>1085.2446331150115</v>
      </c>
      <c r="AW131" s="40">
        <v>1368.4182741445509</v>
      </c>
      <c r="AX131" s="40">
        <v>1575.2344025021785</v>
      </c>
      <c r="AY131" s="40">
        <v>1510.4962469262032</v>
      </c>
      <c r="AZ131" s="40">
        <v>1817.3371277802785</v>
      </c>
      <c r="BA131" s="40">
        <v>1758.2142766458273</v>
      </c>
      <c r="BB131" s="40">
        <v>588.36225732355581</v>
      </c>
    </row>
    <row r="132" spans="1:54">
      <c r="A132" s="41">
        <v>208</v>
      </c>
      <c r="B132" s="41" t="s">
        <v>24</v>
      </c>
      <c r="C132" s="40">
        <v>120.34496564357228</v>
      </c>
      <c r="D132" s="40">
        <v>125.58281206927454</v>
      </c>
      <c r="E132" s="40">
        <v>144.7346614487179</v>
      </c>
      <c r="F132" s="40">
        <v>169.85058520226664</v>
      </c>
      <c r="G132" s="40">
        <v>179.44173864541142</v>
      </c>
      <c r="H132" s="40">
        <v>191.52984534259397</v>
      </c>
      <c r="I132" s="40">
        <v>181.68643311651149</v>
      </c>
      <c r="J132" s="40">
        <v>188.98033019928837</v>
      </c>
      <c r="K132" s="40">
        <v>243.06610624678021</v>
      </c>
      <c r="L132" s="40">
        <v>251.52285370863771</v>
      </c>
      <c r="M132" s="40">
        <v>297.48642611878449</v>
      </c>
      <c r="N132" s="40">
        <v>310.66884422730845</v>
      </c>
      <c r="O132" s="40">
        <v>455.99991822859056</v>
      </c>
      <c r="P132" s="40">
        <v>526.95982338406122</v>
      </c>
      <c r="Q132" s="40">
        <v>557.53216767868616</v>
      </c>
      <c r="R132" s="40">
        <v>511.09769225561826</v>
      </c>
      <c r="S132" s="40">
        <v>552.70070025648249</v>
      </c>
      <c r="T132" s="40">
        <v>600.1656207340194</v>
      </c>
      <c r="U132" s="40">
        <v>704.03115847404024</v>
      </c>
      <c r="V132" s="40">
        <v>898.29590266068794</v>
      </c>
      <c r="W132" s="40">
        <v>919.84796137611897</v>
      </c>
      <c r="X132" s="40">
        <v>840.82647474777741</v>
      </c>
      <c r="Y132" s="40">
        <v>843.34023990310584</v>
      </c>
      <c r="Z132" s="40">
        <v>726.9108156276161</v>
      </c>
      <c r="AA132" s="40">
        <v>511.71707789120069</v>
      </c>
      <c r="AB132" s="40">
        <v>611.25001423203332</v>
      </c>
      <c r="AC132" s="40">
        <v>761.15851083647487</v>
      </c>
      <c r="AD132" s="40">
        <v>863.57595664654127</v>
      </c>
      <c r="AE132" s="40">
        <v>835.85063785753482</v>
      </c>
      <c r="AF132" s="40">
        <v>1292.0574020969618</v>
      </c>
      <c r="AG132" s="40">
        <v>1303.0581385930102</v>
      </c>
      <c r="AH132" s="40">
        <v>1415.0163375036755</v>
      </c>
      <c r="AI132" s="40">
        <v>1465.2931840293504</v>
      </c>
      <c r="AJ132" s="40">
        <v>1503.1344524346273</v>
      </c>
      <c r="AK132" s="40">
        <v>1763.4835934308317</v>
      </c>
      <c r="AL132" s="40">
        <v>1627.9654583755605</v>
      </c>
      <c r="AM132" s="40">
        <v>1705.187139805621</v>
      </c>
      <c r="AN132" s="40">
        <v>1532.9231130016378</v>
      </c>
      <c r="AO132" s="40">
        <v>1476.7800190601286</v>
      </c>
      <c r="AP132" s="40">
        <v>1433.1753891771355</v>
      </c>
      <c r="AQ132" s="40">
        <v>1255.4670136026621</v>
      </c>
      <c r="AR132" s="40">
        <v>1131.2510685061475</v>
      </c>
      <c r="AS132" s="40">
        <v>1704.1741655223261</v>
      </c>
      <c r="AT132" s="40">
        <v>2211.0919295401568</v>
      </c>
      <c r="AU132" s="40">
        <v>2339.2899515516933</v>
      </c>
      <c r="AV132" s="40">
        <v>2636.185355863257</v>
      </c>
      <c r="AW132" s="40">
        <v>2690.6477657595196</v>
      </c>
      <c r="AX132" s="40">
        <v>2616.9466922532552</v>
      </c>
      <c r="AY132" s="40">
        <v>2693.5160414020452</v>
      </c>
      <c r="AZ132" s="40">
        <v>3093.5395296203706</v>
      </c>
      <c r="BA132" s="40">
        <v>3274.3872935278832</v>
      </c>
      <c r="BB132" s="40">
        <v>1103.7397511650506</v>
      </c>
    </row>
    <row r="133" spans="1:54">
      <c r="A133" s="41">
        <v>209</v>
      </c>
      <c r="B133" s="41" t="s">
        <v>23</v>
      </c>
      <c r="C133" s="40">
        <v>2147.2293108040935</v>
      </c>
      <c r="D133" s="40">
        <v>2315.8465274022242</v>
      </c>
      <c r="E133" s="40">
        <v>2492.5453459549381</v>
      </c>
      <c r="F133" s="40">
        <v>2758.943466240341</v>
      </c>
      <c r="G133" s="40">
        <v>3007.5979781713622</v>
      </c>
      <c r="H133" s="40">
        <v>3240.6110369328544</v>
      </c>
      <c r="I133" s="40">
        <v>3490.5503367889492</v>
      </c>
      <c r="J133" s="40">
        <v>3683.3136938765324</v>
      </c>
      <c r="K133" s="40">
        <v>3972.0027487060861</v>
      </c>
      <c r="L133" s="40">
        <v>4401.9737106287475</v>
      </c>
      <c r="M133" s="40">
        <v>4770.4898986302569</v>
      </c>
      <c r="N133" s="40">
        <v>5601.778815099261</v>
      </c>
      <c r="O133" s="40">
        <v>6785.9495496574573</v>
      </c>
      <c r="P133" s="40">
        <v>7518.9982751611251</v>
      </c>
      <c r="Q133" s="40">
        <v>9403.3105281140324</v>
      </c>
      <c r="R133" s="40">
        <v>10101.281529621981</v>
      </c>
      <c r="S133" s="40">
        <v>10640.668421500422</v>
      </c>
      <c r="T133" s="40">
        <v>11729.883947747807</v>
      </c>
      <c r="U133" s="40">
        <v>13827.241330621238</v>
      </c>
      <c r="V133" s="40">
        <v>15891.222573485789</v>
      </c>
      <c r="W133" s="40">
        <v>14486.221091214073</v>
      </c>
      <c r="X133" s="40">
        <v>12765.107919654442</v>
      </c>
      <c r="Y133" s="40">
        <v>11729.244056986332</v>
      </c>
      <c r="Z133" s="40">
        <v>12181.866012764447</v>
      </c>
      <c r="AA133" s="40">
        <v>12732.350446036817</v>
      </c>
      <c r="AB133" s="40">
        <v>16812.232246596333</v>
      </c>
      <c r="AC133" s="40">
        <v>20423.834827155537</v>
      </c>
      <c r="AD133" s="40">
        <v>22968.964781803294</v>
      </c>
      <c r="AE133" s="40">
        <v>24059.796394788784</v>
      </c>
      <c r="AF133" s="40">
        <v>28556.951895070517</v>
      </c>
      <c r="AG133" s="40">
        <v>29912.225186094591</v>
      </c>
      <c r="AH133" s="40">
        <v>30806.189868226284</v>
      </c>
      <c r="AI133" s="40">
        <v>23173.296418003894</v>
      </c>
      <c r="AJ133" s="40">
        <v>24775.391734635432</v>
      </c>
      <c r="AK133" s="40">
        <v>28739.285922102939</v>
      </c>
      <c r="AL133" s="40">
        <v>31269.790883776135</v>
      </c>
      <c r="AM133" s="40">
        <v>28620.40834869066</v>
      </c>
      <c r="AN133" s="40">
        <v>28779.11561659315</v>
      </c>
      <c r="AO133" s="40">
        <v>29218.471707748227</v>
      </c>
      <c r="AP133" s="40">
        <v>27869.377603201607</v>
      </c>
      <c r="AQ133" s="40">
        <v>25557.612544512493</v>
      </c>
      <c r="AR133" s="40">
        <v>28118.984799331389</v>
      </c>
      <c r="AS133" s="40">
        <v>35131.207759112069</v>
      </c>
      <c r="AT133" s="40">
        <v>40261.122012362561</v>
      </c>
      <c r="AU133" s="40">
        <v>41040.665022374669</v>
      </c>
      <c r="AV133" s="40">
        <v>43948.619770912097</v>
      </c>
      <c r="AW133" s="40">
        <v>50558.395528829446</v>
      </c>
      <c r="AX133" s="40">
        <v>52730.775389490453</v>
      </c>
      <c r="AY133" s="40">
        <v>43639.54831877548</v>
      </c>
      <c r="AZ133" s="40">
        <v>49359.866919853121</v>
      </c>
      <c r="BA133" s="40">
        <v>57071.204353388464</v>
      </c>
      <c r="BB133" s="40">
        <v>20687.834596181008</v>
      </c>
    </row>
    <row r="134" spans="1:54">
      <c r="A134" s="41">
        <v>210</v>
      </c>
      <c r="B134" s="41" t="s">
        <v>22</v>
      </c>
      <c r="C134" s="40">
        <v>1971.3163227922828</v>
      </c>
      <c r="D134" s="40">
        <v>2131.3916515998317</v>
      </c>
      <c r="E134" s="40">
        <v>2294.1828473173787</v>
      </c>
      <c r="F134" s="40">
        <v>2501.2931899637747</v>
      </c>
      <c r="G134" s="40">
        <v>2620.4755473530031</v>
      </c>
      <c r="H134" s="40">
        <v>2784.7335477164634</v>
      </c>
      <c r="I134" s="40">
        <v>2960.7225858838383</v>
      </c>
      <c r="J134" s="40">
        <v>3121.8890308772043</v>
      </c>
      <c r="K134" s="40">
        <v>3344.7836025463948</v>
      </c>
      <c r="V134" s="40">
        <v>17807.34012612062</v>
      </c>
      <c r="W134" s="40">
        <v>16219.905522958879</v>
      </c>
      <c r="X134" s="40">
        <v>16527.459504727827</v>
      </c>
      <c r="Y134" s="40">
        <v>16398.235735612565</v>
      </c>
      <c r="Z134" s="40">
        <v>15601.255955389854</v>
      </c>
      <c r="AA134" s="40">
        <v>15748.946459371657</v>
      </c>
      <c r="AB134" s="40">
        <v>22458.884983000724</v>
      </c>
      <c r="AC134" s="40">
        <v>27950.287129194538</v>
      </c>
      <c r="AD134" s="40">
        <v>30016.149087696096</v>
      </c>
      <c r="AE134" s="40">
        <v>28747.407853519679</v>
      </c>
      <c r="AF134" s="40">
        <v>36337.0955329555</v>
      </c>
      <c r="AG134" s="40">
        <v>36309.508347318209</v>
      </c>
      <c r="AH134" s="40">
        <v>37383.05448901411</v>
      </c>
      <c r="AI134" s="40">
        <v>36027.277544247161</v>
      </c>
      <c r="AJ134" s="40">
        <v>39566.600866860397</v>
      </c>
      <c r="AK134" s="40">
        <v>46014.207980823085</v>
      </c>
      <c r="AL134" s="40">
        <v>44123.027148203917</v>
      </c>
      <c r="AM134" s="40">
        <v>38407.953761298137</v>
      </c>
      <c r="AN134" s="40">
        <v>39227.026447186086</v>
      </c>
      <c r="AO134" s="40">
        <v>38290.674879462553</v>
      </c>
      <c r="AP134" s="40">
        <v>35639.478857550101</v>
      </c>
      <c r="AQ134" s="40">
        <v>36328.142909914568</v>
      </c>
      <c r="AR134" s="40">
        <v>39350.442751953015</v>
      </c>
      <c r="AS134" s="40">
        <v>45588.619817472267</v>
      </c>
      <c r="AT134" s="40">
        <v>50641.837203331299</v>
      </c>
      <c r="AU134" s="40">
        <v>51734.30389050021</v>
      </c>
      <c r="AV134" s="40">
        <v>54140.498146131737</v>
      </c>
      <c r="AW134" s="40">
        <v>59663.770255375472</v>
      </c>
      <c r="AX134" s="40">
        <v>68555.371869493771</v>
      </c>
      <c r="AY134" s="40">
        <v>65790.06734998805</v>
      </c>
      <c r="AZ134" s="40">
        <v>70572.656937853608</v>
      </c>
      <c r="BA134" s="40">
        <v>83325.929869167841</v>
      </c>
      <c r="BB134" s="40">
        <v>31322.541647310823</v>
      </c>
    </row>
    <row r="135" spans="1:54">
      <c r="A135" s="41">
        <v>211</v>
      </c>
      <c r="B135" s="41" t="s">
        <v>21</v>
      </c>
      <c r="C135" s="40">
        <v>199.30961461573361</v>
      </c>
      <c r="D135" s="40">
        <v>226.76512292847667</v>
      </c>
      <c r="E135" s="40">
        <v>237.34459334542149</v>
      </c>
      <c r="F135" s="40">
        <v>256.38320128324148</v>
      </c>
      <c r="G135" s="40">
        <v>272.68353848092443</v>
      </c>
      <c r="H135" s="40">
        <v>240.58423996503728</v>
      </c>
      <c r="I135" s="40">
        <v>273.98973919734033</v>
      </c>
      <c r="J135" s="40">
        <v>294.09247724135253</v>
      </c>
      <c r="K135" s="40">
        <v>364.0402098072106</v>
      </c>
      <c r="L135" s="40">
        <v>335.54634710543644</v>
      </c>
      <c r="M135" s="40">
        <v>392.43947036565146</v>
      </c>
      <c r="N135" s="40">
        <v>448.05790871675771</v>
      </c>
      <c r="O135" s="40">
        <v>458.4306249000021</v>
      </c>
      <c r="P135" s="40">
        <v>705.65911570036099</v>
      </c>
      <c r="Q135" s="40">
        <v>902.56223793918764</v>
      </c>
      <c r="R135" s="40">
        <v>975.82890138629432</v>
      </c>
      <c r="S135" s="40">
        <v>951.51712985317295</v>
      </c>
      <c r="T135" s="40">
        <v>1109.0301786929601</v>
      </c>
      <c r="U135" s="40">
        <v>1147.6875135356174</v>
      </c>
      <c r="V135" s="40">
        <v>1458.4852059224957</v>
      </c>
      <c r="W135" s="40">
        <v>1672.7100233435092</v>
      </c>
      <c r="X135" s="40">
        <v>1695.4057662755783</v>
      </c>
      <c r="Y135" s="40">
        <v>1765.8194535721834</v>
      </c>
      <c r="Z135" s="40">
        <v>1697.0945406924789</v>
      </c>
      <c r="AA135" s="40">
        <v>1537.7489236367664</v>
      </c>
      <c r="AB135" s="40">
        <v>1206.217942829812</v>
      </c>
      <c r="AC135" s="40">
        <v>998.39804944643208</v>
      </c>
      <c r="AD135" s="40">
        <v>901.72709024386529</v>
      </c>
      <c r="AE135" s="40">
        <v>815.11601141060419</v>
      </c>
      <c r="AF135" s="40">
        <v>988.52232515022433</v>
      </c>
      <c r="AG135" s="40">
        <v>1012.7576439791584</v>
      </c>
      <c r="AH135" s="40">
        <v>1004.9746815329929</v>
      </c>
      <c r="AI135" s="40">
        <v>1009.8224988118657</v>
      </c>
      <c r="AJ135" s="40">
        <v>725.81937043289349</v>
      </c>
      <c r="AK135" s="40">
        <v>794.84696774683277</v>
      </c>
      <c r="AL135" s="40">
        <v>935.11967527620232</v>
      </c>
      <c r="AM135" s="40">
        <v>956.27200946364053</v>
      </c>
      <c r="AN135" s="40">
        <v>974.95937878770189</v>
      </c>
      <c r="AO135" s="40">
        <v>992.38022882265352</v>
      </c>
      <c r="AP135" s="40">
        <v>1180.4806898260283</v>
      </c>
      <c r="AQ135" s="40">
        <v>1263.3886592252893</v>
      </c>
      <c r="AR135" s="40">
        <v>1269.9417677429808</v>
      </c>
      <c r="AS135" s="40">
        <v>1261.853627223544</v>
      </c>
      <c r="AT135" s="40">
        <v>1419.2641809175796</v>
      </c>
      <c r="AU135" s="40">
        <v>1588.5056715836356</v>
      </c>
      <c r="AV135" s="40">
        <v>1772.5603304955321</v>
      </c>
      <c r="AW135" s="40">
        <v>2065.5396321662547</v>
      </c>
      <c r="AX135" s="40">
        <v>2584.3787109646519</v>
      </c>
      <c r="AY135" s="40">
        <v>2564.4588538810681</v>
      </c>
      <c r="AZ135" s="40">
        <v>2746.8538100240316</v>
      </c>
      <c r="BB135" s="40">
        <v>1053.0675177297733</v>
      </c>
    </row>
    <row r="136" spans="1:54">
      <c r="A136" s="41">
        <v>213</v>
      </c>
      <c r="B136" s="41" t="s">
        <v>20</v>
      </c>
      <c r="AF136" s="40">
        <v>496.36645374068382</v>
      </c>
      <c r="AG136" s="40">
        <v>468.02401773133357</v>
      </c>
      <c r="AH136" s="40">
        <v>345.67718371018447</v>
      </c>
      <c r="AI136" s="40">
        <v>293.17311539013087</v>
      </c>
      <c r="AJ136" s="40">
        <v>236.04528886557887</v>
      </c>
      <c r="AK136" s="40">
        <v>212.90678529075771</v>
      </c>
      <c r="AL136" s="40">
        <v>178.06742975223969</v>
      </c>
      <c r="AM136" s="40">
        <v>155.2662344030669</v>
      </c>
      <c r="AN136" s="40">
        <v>219.54787537958285</v>
      </c>
      <c r="AO136" s="40">
        <v>178.28183846662014</v>
      </c>
      <c r="AP136" s="40">
        <v>139.10914155899619</v>
      </c>
      <c r="AQ136" s="40">
        <v>171.8421973632297</v>
      </c>
      <c r="AR136" s="40">
        <v>190.67634211693587</v>
      </c>
      <c r="AS136" s="40">
        <v>238.01203756032353</v>
      </c>
      <c r="AT136" s="40">
        <v>311.5502446556871</v>
      </c>
      <c r="AU136" s="40">
        <v>339.76444280946191</v>
      </c>
      <c r="AV136" s="40">
        <v>406.96341946208355</v>
      </c>
      <c r="AW136" s="40">
        <v>523.06065174803723</v>
      </c>
      <c r="AX136" s="40">
        <v>709.43744223029512</v>
      </c>
      <c r="AY136" s="40">
        <v>668.4422775135705</v>
      </c>
      <c r="AZ136" s="40">
        <v>739.67494813738392</v>
      </c>
      <c r="BA136" s="40">
        <v>834.59059235347274</v>
      </c>
      <c r="BB136" s="40">
        <v>366.20363455634805</v>
      </c>
    </row>
    <row r="137" spans="1:54">
      <c r="A137" s="41">
        <v>214</v>
      </c>
      <c r="B137" s="41" t="s">
        <v>19</v>
      </c>
    </row>
    <row r="138" spans="1:54">
      <c r="A138" s="41">
        <v>215</v>
      </c>
      <c r="B138" s="41" t="s">
        <v>18</v>
      </c>
      <c r="C138" s="40">
        <v>107.60806744836231</v>
      </c>
      <c r="D138" s="40">
        <v>113.87011802335982</v>
      </c>
      <c r="E138" s="40">
        <v>118.20576587611177</v>
      </c>
      <c r="F138" s="40">
        <v>125.9800685387294</v>
      </c>
      <c r="G138" s="40">
        <v>137.94616845546651</v>
      </c>
      <c r="H138" s="40">
        <v>161.02837249666936</v>
      </c>
      <c r="I138" s="40">
        <v>166.9464157596309</v>
      </c>
      <c r="J138" s="40">
        <v>174.81342905147619</v>
      </c>
      <c r="K138" s="40">
        <v>186.91247310125252</v>
      </c>
      <c r="L138" s="40">
        <v>192.15865768631107</v>
      </c>
      <c r="M138" s="40">
        <v>194.28703455234731</v>
      </c>
      <c r="N138" s="40">
        <v>209.37884740379909</v>
      </c>
      <c r="O138" s="40">
        <v>269.87000054490511</v>
      </c>
      <c r="P138" s="40">
        <v>332.13232732936069</v>
      </c>
      <c r="Q138" s="40">
        <v>351.56787423912533</v>
      </c>
      <c r="R138" s="40">
        <v>391.52263324577115</v>
      </c>
      <c r="S138" s="40">
        <v>445.3955228784518</v>
      </c>
      <c r="T138" s="40">
        <v>528.63679157497461</v>
      </c>
      <c r="U138" s="40">
        <v>589.93197816849158</v>
      </c>
      <c r="V138" s="40">
        <v>683.00831622428382</v>
      </c>
      <c r="W138" s="40">
        <v>721.15796656185148</v>
      </c>
      <c r="X138" s="40">
        <v>742.97831044754616</v>
      </c>
      <c r="Y138" s="40">
        <v>798.21698111983926</v>
      </c>
      <c r="Z138" s="40">
        <v>818.11172907789262</v>
      </c>
      <c r="AA138" s="40">
        <v>747.63159921617614</v>
      </c>
      <c r="AB138" s="40">
        <v>813.09702831380298</v>
      </c>
      <c r="AC138" s="40">
        <v>935.96201379575973</v>
      </c>
      <c r="AD138" s="40">
        <v>1122.1054760505372</v>
      </c>
      <c r="AE138" s="40">
        <v>1294.043518245554</v>
      </c>
      <c r="AF138" s="40">
        <v>1508.2905217337445</v>
      </c>
      <c r="AG138" s="40">
        <v>1717.8608845107931</v>
      </c>
      <c r="AH138" s="40">
        <v>1932.8964798369723</v>
      </c>
      <c r="AI138" s="40">
        <v>2152.7729682233894</v>
      </c>
      <c r="AJ138" s="40">
        <v>2467.1780203951389</v>
      </c>
      <c r="AK138" s="40">
        <v>2848.5468659427993</v>
      </c>
      <c r="AL138" s="40">
        <v>3054.7533066970263</v>
      </c>
      <c r="AM138" s="40">
        <v>2506.2135193854901</v>
      </c>
      <c r="AN138" s="40">
        <v>1836.6841982045737</v>
      </c>
      <c r="AO138" s="40">
        <v>1989.9949228119724</v>
      </c>
      <c r="AP138" s="40">
        <v>1968.5369910020293</v>
      </c>
      <c r="AQ138" s="40">
        <v>1831.9027876953583</v>
      </c>
      <c r="AR138" s="40">
        <v>1988.7337361467196</v>
      </c>
      <c r="AS138" s="40">
        <v>2211.874014078518</v>
      </c>
      <c r="AT138" s="40">
        <v>2478.8175682947431</v>
      </c>
      <c r="AU138" s="40">
        <v>2689.9531474965247</v>
      </c>
      <c r="AV138" s="40">
        <v>3143.2358547377862</v>
      </c>
      <c r="AW138" s="40">
        <v>3737.7172545090721</v>
      </c>
      <c r="AX138" s="40">
        <v>4118.4014353836319</v>
      </c>
      <c r="AY138" s="40">
        <v>3978.9053812823713</v>
      </c>
      <c r="AZ138" s="40">
        <v>4802.6627576621331</v>
      </c>
      <c r="BA138" s="40">
        <v>5192.1189066953239</v>
      </c>
      <c r="BB138" s="40">
        <v>1443.7756276108616</v>
      </c>
    </row>
    <row r="139" spans="1:54">
      <c r="A139" s="41">
        <v>216</v>
      </c>
      <c r="B139" s="41" t="s">
        <v>17</v>
      </c>
      <c r="AP139" s="40">
        <v>370.4376248411113</v>
      </c>
      <c r="AQ139" s="40">
        <v>318.24071300609512</v>
      </c>
      <c r="AR139" s="40">
        <v>315.88884181874585</v>
      </c>
      <c r="AS139" s="40">
        <v>319.05923595062615</v>
      </c>
      <c r="AT139" s="40">
        <v>319.85952241343472</v>
      </c>
      <c r="AU139" s="40">
        <v>461.99618563254927</v>
      </c>
      <c r="AV139" s="40">
        <v>438.96183013468527</v>
      </c>
      <c r="AW139" s="40">
        <v>501.99325067158685</v>
      </c>
      <c r="AX139" s="40">
        <v>616.93405114151358</v>
      </c>
      <c r="AY139" s="40">
        <v>709.9545884902858</v>
      </c>
      <c r="AZ139" s="40">
        <v>765.95051912381768</v>
      </c>
      <c r="BA139" s="40">
        <v>927.81576351328363</v>
      </c>
      <c r="BB139" s="40">
        <v>505.59101056147796</v>
      </c>
    </row>
    <row r="140" spans="1:54">
      <c r="A140" s="41">
        <v>217</v>
      </c>
      <c r="B140" s="41" t="s">
        <v>16</v>
      </c>
      <c r="C140" s="40">
        <v>79.120033373982452</v>
      </c>
      <c r="D140" s="40">
        <v>81.994613016399228</v>
      </c>
      <c r="E140" s="40">
        <v>87.792046700990795</v>
      </c>
      <c r="F140" s="40">
        <v>99.937955991208412</v>
      </c>
      <c r="G140" s="40">
        <v>109.62004117196476</v>
      </c>
      <c r="H140" s="40">
        <v>121.83353926695655</v>
      </c>
      <c r="I140" s="40">
        <v>124.8791745457964</v>
      </c>
      <c r="J140" s="40">
        <v>124.34951149402994</v>
      </c>
      <c r="K140" s="40">
        <v>131.5697520823347</v>
      </c>
      <c r="L140" s="40">
        <v>120.05392150971451</v>
      </c>
      <c r="M140" s="40">
        <v>131.09881643957814</v>
      </c>
      <c r="N140" s="40">
        <v>149.3510117582405</v>
      </c>
      <c r="O140" s="40">
        <v>176.47375311463952</v>
      </c>
      <c r="P140" s="40">
        <v>237.81394734227715</v>
      </c>
      <c r="Q140" s="40">
        <v>256.10267491300306</v>
      </c>
      <c r="R140" s="40">
        <v>251.32296736922203</v>
      </c>
      <c r="S140" s="40">
        <v>308.68089648503224</v>
      </c>
      <c r="T140" s="40">
        <v>319.91901603942705</v>
      </c>
      <c r="U140" s="40">
        <v>337.42918015288535</v>
      </c>
      <c r="V140" s="40">
        <v>417.66876756940002</v>
      </c>
      <c r="W140" s="40">
        <v>342.22251626329785</v>
      </c>
      <c r="X140" s="40">
        <v>281.86086268179554</v>
      </c>
      <c r="Y140" s="40">
        <v>253.02993553610892</v>
      </c>
      <c r="Z140" s="40">
        <v>228.68824694341154</v>
      </c>
      <c r="AA140" s="40">
        <v>234.35627353833891</v>
      </c>
      <c r="AB140" s="40">
        <v>315.41550590895116</v>
      </c>
      <c r="AC140" s="40">
        <v>359.69627990075537</v>
      </c>
      <c r="AD140" s="40">
        <v>385.17410048093126</v>
      </c>
      <c r="AE140" s="40">
        <v>367.172241108462</v>
      </c>
      <c r="AF140" s="40">
        <v>429.93629943458342</v>
      </c>
      <c r="AG140" s="40">
        <v>412.14425456460219</v>
      </c>
      <c r="AH140" s="40">
        <v>424.7940979872003</v>
      </c>
      <c r="AI140" s="40">
        <v>302.14831675048936</v>
      </c>
      <c r="AJ140" s="40">
        <v>234.99433146528355</v>
      </c>
      <c r="AK140" s="40">
        <v>305.60946067489169</v>
      </c>
      <c r="AL140" s="40">
        <v>333.64962378580907</v>
      </c>
      <c r="AM140" s="40">
        <v>332.78288860449629</v>
      </c>
      <c r="AN140" s="40">
        <v>343.52859613458833</v>
      </c>
      <c r="AO140" s="40">
        <v>332.44107322861174</v>
      </c>
      <c r="AP140" s="40">
        <v>266.0464528582005</v>
      </c>
      <c r="AQ140" s="40">
        <v>266.8807968957276</v>
      </c>
      <c r="AR140" s="40">
        <v>287.8071866825909</v>
      </c>
      <c r="AS140" s="40">
        <v>318.25525630967519</v>
      </c>
      <c r="AT140" s="40">
        <v>358.86032014053148</v>
      </c>
      <c r="AU140" s="40">
        <v>381.78201966759957</v>
      </c>
      <c r="AV140" s="40">
        <v>387.41984889509905</v>
      </c>
      <c r="AW140" s="40">
        <v>432.48441318937967</v>
      </c>
      <c r="AX140" s="40">
        <v>527.69089904975476</v>
      </c>
      <c r="AY140" s="40">
        <v>514.77300445962999</v>
      </c>
      <c r="AZ140" s="40">
        <v>503.16178846463691</v>
      </c>
      <c r="BA140" s="40">
        <v>569.46971582606523</v>
      </c>
      <c r="BB140" s="40">
        <v>288.26055348565848</v>
      </c>
    </row>
    <row r="141" spans="1:54">
      <c r="A141" s="41">
        <v>220</v>
      </c>
      <c r="B141" s="41" t="s">
        <v>15</v>
      </c>
      <c r="C141" s="40">
        <v>675.98144475531853</v>
      </c>
      <c r="D141" s="40">
        <v>703.76074541550884</v>
      </c>
      <c r="E141" s="40">
        <v>759.87154935004037</v>
      </c>
      <c r="F141" s="40">
        <v>788.1319677200097</v>
      </c>
      <c r="G141" s="40">
        <v>807.27513063167737</v>
      </c>
      <c r="H141" s="40">
        <v>786.75757454250697</v>
      </c>
      <c r="I141" s="40">
        <v>822.9470118080294</v>
      </c>
      <c r="J141" s="40">
        <v>814.7371648562588</v>
      </c>
      <c r="K141" s="40">
        <v>830.84003130577946</v>
      </c>
      <c r="L141" s="40">
        <v>868.76687005019051</v>
      </c>
      <c r="M141" s="40">
        <v>937.67999328241035</v>
      </c>
      <c r="N141" s="40">
        <v>1118.349698406907</v>
      </c>
      <c r="O141" s="40">
        <v>1331.9703584024039</v>
      </c>
      <c r="P141" s="40">
        <v>2048.0396408807565</v>
      </c>
      <c r="Q141" s="40">
        <v>2414.9272533188741</v>
      </c>
      <c r="R141" s="40">
        <v>2437.8770481802658</v>
      </c>
      <c r="S141" s="40">
        <v>3018.6539181243947</v>
      </c>
      <c r="T141" s="40">
        <v>3379.4733736697012</v>
      </c>
      <c r="U141" s="40">
        <v>4304.5461669122442</v>
      </c>
      <c r="V141" s="40">
        <v>5745.7189469489504</v>
      </c>
      <c r="W141" s="40">
        <v>6212.0463379884841</v>
      </c>
      <c r="X141" s="40">
        <v>7129.8589659627878</v>
      </c>
      <c r="Y141" s="40">
        <v>6849.8591460402886</v>
      </c>
      <c r="Z141" s="40">
        <v>6711.2224688429842</v>
      </c>
      <c r="AA141" s="40">
        <v>6299.2392848048939</v>
      </c>
      <c r="AB141" s="40">
        <v>4049.1103863936264</v>
      </c>
      <c r="AC141" s="40">
        <v>4014.0374564347308</v>
      </c>
      <c r="AD141" s="40">
        <v>3732.1302808669848</v>
      </c>
      <c r="AE141" s="40">
        <v>3562.0850735703079</v>
      </c>
      <c r="AF141" s="40">
        <v>4147.6829850116274</v>
      </c>
      <c r="AG141" s="40">
        <v>4360.3522618323486</v>
      </c>
      <c r="AH141" s="40">
        <v>4470.4484361130271</v>
      </c>
      <c r="AI141" s="40">
        <v>3684.1926254807149</v>
      </c>
      <c r="AJ141" s="40">
        <v>3956.7645151916595</v>
      </c>
      <c r="AK141" s="40">
        <v>4246.3823971875909</v>
      </c>
      <c r="AL141" s="40">
        <v>4577.0009875311662</v>
      </c>
      <c r="AM141" s="40">
        <v>4551.3254578137994</v>
      </c>
      <c r="AN141" s="40">
        <v>4786.9303655375079</v>
      </c>
      <c r="AO141" s="40">
        <v>5383.5218022699473</v>
      </c>
      <c r="AP141" s="40">
        <v>6430.9497849715808</v>
      </c>
      <c r="AQ141" s="40">
        <v>6935.9012562027774</v>
      </c>
      <c r="AR141" s="40">
        <v>7050.2554280997219</v>
      </c>
      <c r="AS141" s="40">
        <v>8751.6477730474908</v>
      </c>
      <c r="AT141" s="40">
        <v>9985.2154258515129</v>
      </c>
      <c r="AU141" s="40">
        <v>12405.056148499669</v>
      </c>
      <c r="AV141" s="40">
        <v>14162.805420785427</v>
      </c>
      <c r="AW141" s="40">
        <v>16591.391872160526</v>
      </c>
      <c r="AX141" s="40">
        <v>21282.791925984708</v>
      </c>
      <c r="AY141" s="40">
        <v>14557.016810312492</v>
      </c>
      <c r="AZ141" s="40">
        <v>15572.688762412001</v>
      </c>
      <c r="BA141" s="40">
        <v>17626.558796660538</v>
      </c>
      <c r="BB141" s="40">
        <v>5464.1720887926504</v>
      </c>
    </row>
    <row r="142" spans="1:54">
      <c r="A142" s="41">
        <v>221</v>
      </c>
      <c r="B142" s="41" t="s">
        <v>14</v>
      </c>
      <c r="C142" s="40">
        <v>202.49714488517722</v>
      </c>
      <c r="D142" s="40">
        <v>202.26751296611147</v>
      </c>
      <c r="E142" s="40">
        <v>231.42217793314302</v>
      </c>
      <c r="F142" s="40">
        <v>226.41891970382312</v>
      </c>
      <c r="G142" s="40">
        <v>214.0491617813432</v>
      </c>
      <c r="H142" s="40">
        <v>220.00960328834523</v>
      </c>
      <c r="I142" s="40">
        <v>224.64960455284819</v>
      </c>
      <c r="J142" s="40">
        <v>246.22630483994962</v>
      </c>
      <c r="K142" s="40">
        <v>256.38056337304261</v>
      </c>
      <c r="L142" s="40">
        <v>280.71739715976111</v>
      </c>
      <c r="M142" s="40">
        <v>323.56044104394562</v>
      </c>
      <c r="N142" s="40">
        <v>422.63560834129476</v>
      </c>
      <c r="O142" s="40">
        <v>506.76099492388357</v>
      </c>
      <c r="P142" s="40">
        <v>645.43716082000617</v>
      </c>
      <c r="Q142" s="40">
        <v>771.50834138346511</v>
      </c>
      <c r="R142" s="40">
        <v>785.0702800449659</v>
      </c>
      <c r="S142" s="40">
        <v>867.60365874424178</v>
      </c>
      <c r="T142" s="40">
        <v>986.59984995644731</v>
      </c>
      <c r="U142" s="40">
        <v>1156.5730280344756</v>
      </c>
      <c r="V142" s="40">
        <v>1369.5261118594733</v>
      </c>
      <c r="W142" s="40">
        <v>1285.7782294219689</v>
      </c>
      <c r="X142" s="40">
        <v>1208.6971606617726</v>
      </c>
      <c r="Y142" s="40">
        <v>1209.3238792143811</v>
      </c>
      <c r="Z142" s="40">
        <v>1172.1000075332472</v>
      </c>
      <c r="AA142" s="40">
        <v>1158.3701933433802</v>
      </c>
      <c r="AB142" s="40">
        <v>1203.5549857527499</v>
      </c>
      <c r="AC142" s="40">
        <v>1261.8156210082445</v>
      </c>
      <c r="AD142" s="40">
        <v>1284.9048632178974</v>
      </c>
      <c r="AE142" s="40">
        <v>1269.2863776384811</v>
      </c>
      <c r="AF142" s="40">
        <v>1507.2314556335452</v>
      </c>
      <c r="AG142" s="40">
        <v>1571.8283533331312</v>
      </c>
      <c r="AH142" s="40">
        <v>1825.3791323565365</v>
      </c>
      <c r="AI142" s="40">
        <v>1687.4519944189956</v>
      </c>
      <c r="AJ142" s="40">
        <v>1773.3130004626414</v>
      </c>
      <c r="AK142" s="40">
        <v>2012.936265625945</v>
      </c>
      <c r="AL142" s="40">
        <v>2154.9869391603906</v>
      </c>
      <c r="AM142" s="40">
        <v>2251.3684677611136</v>
      </c>
      <c r="AN142" s="40">
        <v>2336.0839431519212</v>
      </c>
      <c r="AO142" s="40">
        <v>2426.3883627262367</v>
      </c>
      <c r="AP142" s="40">
        <v>2245.3350590283453</v>
      </c>
      <c r="AQ142" s="40">
        <v>2281.0568799924381</v>
      </c>
      <c r="AR142" s="40">
        <v>2365.7588612155305</v>
      </c>
      <c r="AS142" s="40">
        <v>2790.0043682328742</v>
      </c>
      <c r="AT142" s="40">
        <v>3139.5291180827194</v>
      </c>
      <c r="AU142" s="40">
        <v>3218.9610807148092</v>
      </c>
      <c r="AV142" s="40">
        <v>3394.310287575182</v>
      </c>
      <c r="AW142" s="40">
        <v>3799.3478737414712</v>
      </c>
      <c r="AX142" s="40">
        <v>4331.2408068028162</v>
      </c>
      <c r="AY142" s="40">
        <v>4177.1302241886287</v>
      </c>
      <c r="AZ142" s="40">
        <v>4206.7799215762498</v>
      </c>
      <c r="BA142" s="40">
        <v>4350.3359763353837</v>
      </c>
      <c r="BB142" s="40">
        <v>1589.0294814812696</v>
      </c>
    </row>
    <row r="143" spans="1:54">
      <c r="A143" s="41">
        <v>222</v>
      </c>
      <c r="B143" s="41" t="s">
        <v>13</v>
      </c>
      <c r="C143" s="40">
        <v>284.01277597896342</v>
      </c>
      <c r="D143" s="40">
        <v>308.51082206616405</v>
      </c>
      <c r="E143" s="40">
        <v>349.76076919305569</v>
      </c>
      <c r="F143" s="40">
        <v>368.82991171570961</v>
      </c>
      <c r="G143" s="40">
        <v>385.34380060317454</v>
      </c>
      <c r="H143" s="40">
        <v>445.14209050994987</v>
      </c>
      <c r="I143" s="40">
        <v>482.75636031477677</v>
      </c>
      <c r="J143" s="40">
        <v>527.16735897798696</v>
      </c>
      <c r="K143" s="40">
        <v>573.06813506348499</v>
      </c>
      <c r="L143" s="40">
        <v>491.39943886910515</v>
      </c>
      <c r="M143" s="40">
        <v>456.54302114415361</v>
      </c>
      <c r="N143" s="40">
        <v>560.13422888485104</v>
      </c>
      <c r="O143" s="40">
        <v>688.42656147706509</v>
      </c>
      <c r="P143" s="40">
        <v>930.16465800082472</v>
      </c>
      <c r="Q143" s="40">
        <v>1139.0323256136976</v>
      </c>
      <c r="R143" s="40">
        <v>1278.7841526313887</v>
      </c>
      <c r="S143" s="40">
        <v>1430.436661756032</v>
      </c>
      <c r="T143" s="40">
        <v>1552.8534177814001</v>
      </c>
      <c r="U143" s="40">
        <v>2083.1785175643799</v>
      </c>
      <c r="V143" s="40">
        <v>1566.7475648597472</v>
      </c>
      <c r="W143" s="40">
        <v>1580.8861162464495</v>
      </c>
      <c r="X143" s="40">
        <v>1403.243983986202</v>
      </c>
      <c r="Y143" s="40">
        <v>1310.2797845170946</v>
      </c>
      <c r="Z143" s="40">
        <v>1246.2019908026436</v>
      </c>
      <c r="AA143" s="40">
        <v>1367.1731314392875</v>
      </c>
      <c r="AB143" s="40">
        <v>1508.9194359068938</v>
      </c>
      <c r="AC143" s="40">
        <v>1703.6493422257897</v>
      </c>
      <c r="AD143" s="40">
        <v>1742.9596826486561</v>
      </c>
      <c r="AE143" s="40">
        <v>2019.0658889158012</v>
      </c>
      <c r="AF143" s="40">
        <v>2790.5804865913915</v>
      </c>
      <c r="AG143" s="40">
        <v>2750.6439016629934</v>
      </c>
      <c r="AH143" s="40">
        <v>2850.3897584860129</v>
      </c>
      <c r="AI143" s="40">
        <v>3181.317555694151</v>
      </c>
      <c r="AJ143" s="40">
        <v>2268.3972703053319</v>
      </c>
      <c r="AK143" s="40">
        <v>2896.0906035173407</v>
      </c>
      <c r="AL143" s="40">
        <v>3052.959568938657</v>
      </c>
      <c r="AM143" s="40">
        <v>3144.3939322295664</v>
      </c>
      <c r="AN143" s="40">
        <v>4392.3501676068472</v>
      </c>
      <c r="AO143" s="40">
        <v>4012.4728106426501</v>
      </c>
      <c r="AP143" s="40">
        <v>4219.5443370666489</v>
      </c>
      <c r="AQ143" s="40">
        <v>3057.7906501450389</v>
      </c>
      <c r="AR143" s="40">
        <v>3576.2278599026317</v>
      </c>
      <c r="AS143" s="40">
        <v>4595.2877713465623</v>
      </c>
      <c r="AT143" s="40">
        <v>5866.7447020472036</v>
      </c>
      <c r="AU143" s="40">
        <v>7129.5848796105092</v>
      </c>
      <c r="AV143" s="40">
        <v>7736.0983904001778</v>
      </c>
      <c r="AW143" s="40">
        <v>9312.0518713219171</v>
      </c>
      <c r="AX143" s="40">
        <v>10379.491949544597</v>
      </c>
      <c r="AY143" s="40">
        <v>8626.3981655428524</v>
      </c>
      <c r="AZ143" s="40">
        <v>10135.420911873671</v>
      </c>
      <c r="BA143" s="40">
        <v>10604.84015474164</v>
      </c>
      <c r="BB143" s="40">
        <v>2869.8774437041784</v>
      </c>
    </row>
    <row r="144" spans="1:54">
      <c r="A144" s="41">
        <v>223</v>
      </c>
      <c r="B144" s="41" t="s">
        <v>12</v>
      </c>
      <c r="AC144" s="40">
        <v>698.13855921033792</v>
      </c>
      <c r="AD144" s="40">
        <v>859.04088680867119</v>
      </c>
      <c r="AE144" s="40">
        <v>854.19287155469726</v>
      </c>
      <c r="AF144" s="40">
        <v>881.15235456234075</v>
      </c>
      <c r="AG144" s="40">
        <v>847.54171999541882</v>
      </c>
      <c r="AH144" s="40">
        <v>824.46215263735633</v>
      </c>
      <c r="AI144" s="40">
        <v>796.41584446298293</v>
      </c>
      <c r="AJ144" s="40">
        <v>625.34760204710972</v>
      </c>
      <c r="AK144" s="40">
        <v>592.69878527369065</v>
      </c>
      <c r="AL144" s="40">
        <v>557.51044896789631</v>
      </c>
      <c r="AM144" s="40">
        <v>565.05766968783246</v>
      </c>
      <c r="AN144" s="40">
        <v>592.83603279312229</v>
      </c>
      <c r="AO144" s="40">
        <v>550.78702488612464</v>
      </c>
      <c r="AP144" s="40">
        <v>645.27710146967638</v>
      </c>
      <c r="AQ144" s="40">
        <v>776.57223038284724</v>
      </c>
      <c r="AR144" s="40">
        <v>969.97024430819772</v>
      </c>
      <c r="AS144" s="40">
        <v>1286.0139845706292</v>
      </c>
      <c r="AT144" s="40">
        <v>1455.9360495075628</v>
      </c>
      <c r="AU144" s="40">
        <v>1706.9567263924498</v>
      </c>
      <c r="AV144" s="40">
        <v>2140.4550263870528</v>
      </c>
      <c r="AW144" s="40">
        <v>2606.7414393186114</v>
      </c>
      <c r="AX144" s="40">
        <v>3918.9174892519418</v>
      </c>
      <c r="AY144" s="40">
        <v>4059.973974565557</v>
      </c>
      <c r="AZ144" s="40">
        <v>4479.033231467849</v>
      </c>
      <c r="BA144" s="40">
        <v>5495.1270522548575</v>
      </c>
      <c r="BB144" s="40">
        <v>1551.4462601105927</v>
      </c>
    </row>
    <row r="145" spans="1:54">
      <c r="A145" s="41">
        <v>226</v>
      </c>
      <c r="B145" s="41" t="s">
        <v>11</v>
      </c>
      <c r="C145" s="40">
        <v>63.035596863440361</v>
      </c>
      <c r="D145" s="40">
        <v>62.037113470083924</v>
      </c>
      <c r="E145" s="40">
        <v>68.957825597457571</v>
      </c>
      <c r="F145" s="40">
        <v>76.069417638025541</v>
      </c>
      <c r="G145" s="40">
        <v>110.36446738336475</v>
      </c>
      <c r="H145" s="40">
        <v>111.58920874298899</v>
      </c>
      <c r="I145" s="40">
        <v>112.72351450507473</v>
      </c>
      <c r="J145" s="40">
        <v>116.91560315421611</v>
      </c>
      <c r="K145" s="40">
        <v>127.53278822805767</v>
      </c>
      <c r="L145" s="40">
        <v>133.34233003939042</v>
      </c>
      <c r="M145" s="40">
        <v>145.79579561487927</v>
      </c>
      <c r="N145" s="40">
        <v>149.26957137025366</v>
      </c>
      <c r="O145" s="40">
        <v>165.92493718465633</v>
      </c>
      <c r="P145" s="40">
        <v>199.25772511764686</v>
      </c>
      <c r="Q145" s="40">
        <v>217.93058245950468</v>
      </c>
      <c r="R145" s="40">
        <v>219.69307424159075</v>
      </c>
      <c r="S145" s="40">
        <v>255.99911253640985</v>
      </c>
      <c r="T145" s="40">
        <v>204.79211563966882</v>
      </c>
      <c r="U145" s="40">
        <v>175.63927350073638</v>
      </c>
      <c r="V145" s="40">
        <v>99.17385796196092</v>
      </c>
      <c r="W145" s="40">
        <v>103.42042983859979</v>
      </c>
      <c r="X145" s="40">
        <v>163.42211538389375</v>
      </c>
      <c r="Y145" s="40">
        <v>163.07430068882334</v>
      </c>
      <c r="Z145" s="40">
        <v>254.95288369841995</v>
      </c>
      <c r="AA145" s="40">
        <v>240.06409738507108</v>
      </c>
      <c r="AB145" s="40">
        <v>258.43595591524388</v>
      </c>
      <c r="AC145" s="40">
        <v>398.41457411380799</v>
      </c>
      <c r="AD145" s="40">
        <v>398.82140581268141</v>
      </c>
      <c r="AE145" s="40">
        <v>311.79995782236796</v>
      </c>
      <c r="AF145" s="40">
        <v>245.4769910391999</v>
      </c>
      <c r="AG145" s="40">
        <v>182.95394509988861</v>
      </c>
      <c r="AH145" s="40">
        <v>152.08595209120671</v>
      </c>
      <c r="AI145" s="40">
        <v>165.74177926871792</v>
      </c>
      <c r="AJ145" s="40">
        <v>198.71521998246126</v>
      </c>
      <c r="AK145" s="40">
        <v>277.51288904323815</v>
      </c>
      <c r="AL145" s="40">
        <v>282.35575533234714</v>
      </c>
      <c r="AM145" s="40">
        <v>283.87899424656382</v>
      </c>
      <c r="AN145" s="40">
        <v>289.05555234738495</v>
      </c>
      <c r="AO145" s="40">
        <v>255.1733151526978</v>
      </c>
      <c r="AP145" s="40">
        <v>255.12185784619658</v>
      </c>
      <c r="AQ145" s="40">
        <v>232.80038347127442</v>
      </c>
      <c r="AR145" s="40">
        <v>238.15512626438613</v>
      </c>
      <c r="AS145" s="40">
        <v>236.10534450823084</v>
      </c>
      <c r="AT145" s="40">
        <v>285.96415409296952</v>
      </c>
      <c r="AU145" s="40">
        <v>313.79897643335056</v>
      </c>
      <c r="AV145" s="40">
        <v>335.80410907447089</v>
      </c>
      <c r="AW145" s="40">
        <v>387.78084451367829</v>
      </c>
      <c r="AX145" s="40">
        <v>454.40413405437249</v>
      </c>
      <c r="AY145" s="40">
        <v>480.87137649157239</v>
      </c>
      <c r="AZ145" s="40">
        <v>505.98768493116575</v>
      </c>
      <c r="BA145" s="40">
        <v>478.61564423959288</v>
      </c>
      <c r="BB145" s="40">
        <v>228.36881689084868</v>
      </c>
    </row>
    <row r="146" spans="1:54">
      <c r="A146" s="41">
        <v>227</v>
      </c>
      <c r="B146" s="41" t="s">
        <v>10</v>
      </c>
      <c r="AC146" s="40">
        <v>1249.4432776057808</v>
      </c>
      <c r="AD146" s="40">
        <v>1449.9624988386142</v>
      </c>
      <c r="AE146" s="40">
        <v>1597.4929841022422</v>
      </c>
      <c r="AF146" s="40">
        <v>1569.730041083855</v>
      </c>
      <c r="AG146" s="40">
        <v>1489.6796921763919</v>
      </c>
      <c r="AH146" s="40">
        <v>1417.8699390977397</v>
      </c>
      <c r="AI146" s="40">
        <v>1258.1363261460365</v>
      </c>
      <c r="AJ146" s="40">
        <v>1012.1051831925776</v>
      </c>
      <c r="AK146" s="40">
        <v>935.96809869115259</v>
      </c>
      <c r="AL146" s="40">
        <v>872.70918584510696</v>
      </c>
      <c r="AM146" s="40">
        <v>991.23010069740212</v>
      </c>
      <c r="AN146" s="40">
        <v>835.26029678802126</v>
      </c>
      <c r="AO146" s="40">
        <v>635.76624203104677</v>
      </c>
      <c r="AP146" s="40">
        <v>635.70896815850392</v>
      </c>
      <c r="AQ146" s="40">
        <v>780.73803109413677</v>
      </c>
      <c r="AR146" s="40">
        <v>879.47504862277765</v>
      </c>
      <c r="AS146" s="40">
        <v>1048.522487907627</v>
      </c>
      <c r="AT146" s="40">
        <v>1367.3524333362905</v>
      </c>
      <c r="AU146" s="40">
        <v>1828.717625765981</v>
      </c>
      <c r="AV146" s="40">
        <v>2303.0188309318291</v>
      </c>
      <c r="AW146" s="40">
        <v>3068.6089979969643</v>
      </c>
      <c r="AX146" s="40">
        <v>3891.0378231820687</v>
      </c>
      <c r="AY146" s="40">
        <v>2545.4803410734889</v>
      </c>
      <c r="AZ146" s="40">
        <v>2973.9817087455513</v>
      </c>
      <c r="BA146" s="40">
        <v>3575.5073248385343</v>
      </c>
      <c r="BB146" s="40">
        <v>1608.540139517989</v>
      </c>
    </row>
    <row r="147" spans="1:54">
      <c r="A147" s="41">
        <v>228</v>
      </c>
      <c r="B147" s="41" t="s">
        <v>9</v>
      </c>
      <c r="Q147" s="40">
        <v>27631.898540164486</v>
      </c>
      <c r="R147" s="40">
        <v>30817.263382888323</v>
      </c>
      <c r="S147" s="40">
        <v>34371.462894909535</v>
      </c>
      <c r="T147" s="40">
        <v>28742.855354213003</v>
      </c>
      <c r="U147" s="40">
        <v>33716.72408355918</v>
      </c>
      <c r="V147" s="40">
        <v>42961.838215063377</v>
      </c>
      <c r="W147" s="40">
        <v>45232.633528183411</v>
      </c>
      <c r="X147" s="40">
        <v>40339.271873466452</v>
      </c>
      <c r="Y147" s="40">
        <v>35218.057974179887</v>
      </c>
      <c r="Z147" s="40">
        <v>32731.507235934034</v>
      </c>
      <c r="AA147" s="40">
        <v>30138.886349018125</v>
      </c>
      <c r="AB147" s="40">
        <v>23788.11075608902</v>
      </c>
      <c r="AC147" s="40">
        <v>24019.644009565782</v>
      </c>
      <c r="AD147" s="40">
        <v>22543.096233162898</v>
      </c>
      <c r="AE147" s="40">
        <v>24289.942135764661</v>
      </c>
      <c r="AF147" s="40">
        <v>28066.14991857803</v>
      </c>
      <c r="AG147" s="40">
        <v>27018.926378943044</v>
      </c>
      <c r="AH147" s="40">
        <v>26944.754873705308</v>
      </c>
      <c r="AI147" s="40">
        <v>26224.149053380374</v>
      </c>
      <c r="AJ147" s="40">
        <v>26568.489932041346</v>
      </c>
      <c r="AK147" s="40">
        <v>28020.085414107612</v>
      </c>
      <c r="AL147" s="40">
        <v>29776.160012196498</v>
      </c>
      <c r="AM147" s="40">
        <v>30218.175503974308</v>
      </c>
      <c r="AN147" s="40">
        <v>27482.982898410344</v>
      </c>
      <c r="AO147" s="40">
        <v>29183.050434305325</v>
      </c>
      <c r="AP147" s="40">
        <v>34476.285423019486</v>
      </c>
      <c r="AQ147" s="40">
        <v>32984.742372185756</v>
      </c>
      <c r="AR147" s="40">
        <v>34062.42573501599</v>
      </c>
      <c r="AS147" s="40">
        <v>36906.199894290898</v>
      </c>
      <c r="AT147" s="40">
        <v>40403.988167934003</v>
      </c>
      <c r="AU147" s="40">
        <v>43533.891782230734</v>
      </c>
      <c r="AV147" s="40">
        <v>45554.219403978866</v>
      </c>
      <c r="AW147" s="40">
        <v>44528.996006407804</v>
      </c>
      <c r="AX147" s="40">
        <v>46309.982109967277</v>
      </c>
      <c r="AY147" s="40">
        <v>35025.104486807548</v>
      </c>
      <c r="AZ147" s="40">
        <v>34048.530247914903</v>
      </c>
      <c r="BA147" s="40">
        <v>39057.840108062141</v>
      </c>
      <c r="BB147" s="40">
        <v>33052.387100638378</v>
      </c>
    </row>
    <row r="148" spans="1:54">
      <c r="A148" s="41">
        <v>229</v>
      </c>
      <c r="B148" s="41" t="s">
        <v>8</v>
      </c>
      <c r="C148" s="40">
        <v>1452.5447090135581</v>
      </c>
      <c r="D148" s="40">
        <v>1513.6514485492642</v>
      </c>
      <c r="E148" s="40">
        <v>1592.6144766156178</v>
      </c>
      <c r="F148" s="40">
        <v>1729.3999780356835</v>
      </c>
      <c r="G148" s="40">
        <v>1850.9547685549837</v>
      </c>
      <c r="H148" s="40">
        <v>1959.6278296212581</v>
      </c>
      <c r="I148" s="40">
        <v>2023.6275637111758</v>
      </c>
      <c r="J148" s="40">
        <v>1896.3867486073502</v>
      </c>
      <c r="K148" s="40">
        <v>2032.3470096450301</v>
      </c>
      <c r="L148" s="40">
        <v>2241.9713946527272</v>
      </c>
      <c r="M148" s="40">
        <v>2525.6282120138508</v>
      </c>
      <c r="N148" s="40">
        <v>2891.9809006579344</v>
      </c>
      <c r="O148" s="40">
        <v>3257.3058329606529</v>
      </c>
      <c r="P148" s="40">
        <v>3516.420283418784</v>
      </c>
      <c r="Q148" s="40">
        <v>4204.9220434994932</v>
      </c>
      <c r="R148" s="40">
        <v>4041.0397113742993</v>
      </c>
      <c r="S148" s="40">
        <v>4565.4654894534879</v>
      </c>
      <c r="T148" s="40">
        <v>5785.4617386137807</v>
      </c>
      <c r="U148" s="40">
        <v>7511.1076999537854</v>
      </c>
      <c r="V148" s="40">
        <v>9622.9750431564826</v>
      </c>
      <c r="W148" s="40">
        <v>9142.4665043544919</v>
      </c>
      <c r="X148" s="40">
        <v>8718.2672572495612</v>
      </c>
      <c r="Y148" s="40">
        <v>8266.5236949894952</v>
      </c>
      <c r="Z148" s="40">
        <v>7777.6442890194276</v>
      </c>
      <c r="AA148" s="40">
        <v>8209.836962979789</v>
      </c>
      <c r="AB148" s="40">
        <v>10063.838662494158</v>
      </c>
      <c r="AC148" s="40">
        <v>12333.137185675994</v>
      </c>
      <c r="AD148" s="40">
        <v>14951.052134667505</v>
      </c>
      <c r="AE148" s="40">
        <v>15057.179223513893</v>
      </c>
      <c r="AF148" s="40">
        <v>17805.249087867054</v>
      </c>
      <c r="AG148" s="40">
        <v>18532.049926028747</v>
      </c>
      <c r="AH148" s="40">
        <v>19133.774573689705</v>
      </c>
      <c r="AI148" s="40">
        <v>17170.31511951884</v>
      </c>
      <c r="AJ148" s="40">
        <v>18528.925578416525</v>
      </c>
      <c r="AK148" s="40">
        <v>20177.13912283707</v>
      </c>
      <c r="AL148" s="40">
        <v>21144.848702816464</v>
      </c>
      <c r="AM148" s="40">
        <v>23459.716605661248</v>
      </c>
      <c r="AN148" s="40">
        <v>24995.882902267564</v>
      </c>
      <c r="AO148" s="40">
        <v>25625.232247292333</v>
      </c>
      <c r="AP148" s="40">
        <v>25057.613530497005</v>
      </c>
      <c r="AQ148" s="40">
        <v>24836.358525197938</v>
      </c>
      <c r="AR148" s="40">
        <v>26996.972030082419</v>
      </c>
      <c r="AS148" s="40">
        <v>31152.987780809101</v>
      </c>
      <c r="AT148" s="40">
        <v>36695.144762979711</v>
      </c>
      <c r="AU148" s="40">
        <v>38121.562978924601</v>
      </c>
      <c r="AV148" s="40">
        <v>40480.961338128545</v>
      </c>
      <c r="AW148" s="40">
        <v>46330.245822436744</v>
      </c>
      <c r="AX148" s="40">
        <v>43146.829436194545</v>
      </c>
      <c r="AY148" s="40">
        <v>35331.280962231249</v>
      </c>
      <c r="AZ148" s="40">
        <v>36232.814420707029</v>
      </c>
      <c r="BA148" s="40">
        <v>38960.757927874809</v>
      </c>
      <c r="BB148" s="40">
        <v>15502.981219206133</v>
      </c>
    </row>
    <row r="149" spans="1:54">
      <c r="A149" s="41">
        <v>230</v>
      </c>
      <c r="B149" s="41" t="s">
        <v>7</v>
      </c>
      <c r="C149" s="40">
        <v>2934.5527776102258</v>
      </c>
      <c r="D149" s="40">
        <v>3107.9374166336083</v>
      </c>
      <c r="E149" s="40">
        <v>3232.208009300261</v>
      </c>
      <c r="F149" s="40">
        <v>3423.3962816419908</v>
      </c>
      <c r="G149" s="40">
        <v>3664.8018703982953</v>
      </c>
      <c r="H149" s="40">
        <v>3972.1230899470897</v>
      </c>
      <c r="I149" s="40">
        <v>4152.019837191513</v>
      </c>
      <c r="J149" s="40">
        <v>4491.4243045250269</v>
      </c>
      <c r="K149" s="40">
        <v>4802.6424850575049</v>
      </c>
      <c r="L149" s="40">
        <v>4997.7566666016428</v>
      </c>
      <c r="M149" s="40">
        <v>5360.1783676280093</v>
      </c>
      <c r="N149" s="40">
        <v>5836.2236536189348</v>
      </c>
      <c r="O149" s="40">
        <v>6461.7359338206497</v>
      </c>
      <c r="P149" s="40">
        <v>6948.1983035154826</v>
      </c>
      <c r="Q149" s="40">
        <v>7516.6803257814636</v>
      </c>
      <c r="R149" s="40">
        <v>8297.2917192193909</v>
      </c>
      <c r="S149" s="40">
        <v>9142.7948728426854</v>
      </c>
      <c r="T149" s="40">
        <v>10225.307186018825</v>
      </c>
      <c r="U149" s="40">
        <v>11301.68181111284</v>
      </c>
      <c r="V149" s="40">
        <v>12179.557707118494</v>
      </c>
      <c r="W149" s="40">
        <v>13526.186886074625</v>
      </c>
      <c r="X149" s="40">
        <v>13932.678361765315</v>
      </c>
      <c r="Y149" s="40">
        <v>15000.085546126471</v>
      </c>
      <c r="Z149" s="40">
        <v>16539.383017067739</v>
      </c>
      <c r="AA149" s="40">
        <v>17588.809872059985</v>
      </c>
      <c r="AB149" s="40">
        <v>18427.288211116338</v>
      </c>
      <c r="AC149" s="40">
        <v>19393.781806025036</v>
      </c>
      <c r="AD149" s="40">
        <v>20703.152160131533</v>
      </c>
      <c r="AE149" s="40">
        <v>22039.227125950594</v>
      </c>
      <c r="AF149" s="40">
        <v>23037.941215352752</v>
      </c>
      <c r="AG149" s="40">
        <v>23443.262537502815</v>
      </c>
      <c r="AH149" s="40">
        <v>24411.143251440466</v>
      </c>
      <c r="AI149" s="40">
        <v>25326.736406341977</v>
      </c>
      <c r="AJ149" s="40">
        <v>26577.761224660429</v>
      </c>
      <c r="AK149" s="40">
        <v>27559.167486611736</v>
      </c>
      <c r="AL149" s="40">
        <v>28772.355731753491</v>
      </c>
      <c r="AM149" s="40">
        <v>30281.635901517289</v>
      </c>
      <c r="AN149" s="40">
        <v>31687.051846266502</v>
      </c>
      <c r="AO149" s="40">
        <v>33332.13876146789</v>
      </c>
      <c r="AP149" s="40">
        <v>35081.923084361508</v>
      </c>
      <c r="AQ149" s="40">
        <v>35912.332976762329</v>
      </c>
      <c r="AR149" s="40">
        <v>36819.445089429282</v>
      </c>
      <c r="AS149" s="40">
        <v>38224.738928459432</v>
      </c>
      <c r="AT149" s="40">
        <v>40292.303727373132</v>
      </c>
      <c r="AU149" s="40">
        <v>42516.393469999297</v>
      </c>
      <c r="AV149" s="40">
        <v>44622.642022898646</v>
      </c>
      <c r="AW149" s="40">
        <v>46349.115481916189</v>
      </c>
      <c r="AX149" s="40">
        <v>46759.559839474095</v>
      </c>
      <c r="AY149" s="40">
        <v>45305.051760523711</v>
      </c>
      <c r="AZ149" s="40">
        <v>46615.51085750974</v>
      </c>
      <c r="BA149" s="40">
        <v>48112.600140950315</v>
      </c>
      <c r="BB149" s="40">
        <v>20789.017987224994</v>
      </c>
    </row>
    <row r="150" spans="1:54">
      <c r="A150" s="41">
        <v>232</v>
      </c>
      <c r="B150" s="41" t="s">
        <v>6</v>
      </c>
      <c r="C150" s="40">
        <v>602.53638302836509</v>
      </c>
      <c r="D150" s="40">
        <v>656.37240899035612</v>
      </c>
      <c r="E150" s="40">
        <v>583.98481604108861</v>
      </c>
      <c r="F150" s="40">
        <v>740.74881274791721</v>
      </c>
      <c r="G150" s="40">
        <v>701.07071658677262</v>
      </c>
      <c r="H150" s="40">
        <v>664.24502935089595</v>
      </c>
      <c r="I150" s="40">
        <v>581.08769805640134</v>
      </c>
      <c r="J150" s="40">
        <v>574.31729682929461</v>
      </c>
      <c r="K150" s="40">
        <v>717.06004921091585</v>
      </c>
      <c r="L150" s="40">
        <v>760.58946145325217</v>
      </c>
      <c r="M150" s="40">
        <v>996.0548490401801</v>
      </c>
      <c r="N150" s="40">
        <v>775.96677644444844</v>
      </c>
      <c r="O150" s="40">
        <v>1404.6299984921707</v>
      </c>
      <c r="P150" s="40">
        <v>1448.2404519261108</v>
      </c>
      <c r="Q150" s="40">
        <v>1250.1129768890166</v>
      </c>
      <c r="R150" s="40">
        <v>1290.5255383963645</v>
      </c>
      <c r="S150" s="40">
        <v>1440.0948442052252</v>
      </c>
      <c r="T150" s="40">
        <v>1707.3098692047315</v>
      </c>
      <c r="U150" s="40">
        <v>2479.6755870335924</v>
      </c>
      <c r="V150" s="40">
        <v>3485.5774327002837</v>
      </c>
      <c r="W150" s="40">
        <v>3764.3584350493561</v>
      </c>
      <c r="X150" s="40">
        <v>3106.9970210238689</v>
      </c>
      <c r="Y150" s="40">
        <v>1715.9547031520829</v>
      </c>
      <c r="Z150" s="40">
        <v>1620.7211556658369</v>
      </c>
      <c r="AA150" s="40">
        <v>1571.0978430965536</v>
      </c>
      <c r="AB150" s="40">
        <v>1939.9571524794703</v>
      </c>
      <c r="AC150" s="40">
        <v>2415.582172085707</v>
      </c>
      <c r="AD150" s="40">
        <v>2676.1862905333483</v>
      </c>
      <c r="AE150" s="40">
        <v>2731.9540677072823</v>
      </c>
      <c r="AF150" s="40">
        <v>2990.0373207181051</v>
      </c>
      <c r="AG150" s="40">
        <v>3578.040328105621</v>
      </c>
      <c r="AH150" s="40">
        <v>4082.2686288075465</v>
      </c>
      <c r="AI150" s="40">
        <v>4720.8220433285142</v>
      </c>
      <c r="AJ150" s="40">
        <v>5458.6990653402881</v>
      </c>
      <c r="AK150" s="40">
        <v>5984.916524045263</v>
      </c>
      <c r="AL150" s="40">
        <v>6317.1451506483172</v>
      </c>
      <c r="AM150" s="40">
        <v>7328.9673542574474</v>
      </c>
      <c r="AN150" s="40">
        <v>7712.1565075791605</v>
      </c>
      <c r="AO150" s="40">
        <v>7248.3487455639734</v>
      </c>
      <c r="AP150" s="40">
        <v>6872.7336858242816</v>
      </c>
      <c r="AQ150" s="40">
        <v>6282.0209020342227</v>
      </c>
      <c r="AR150" s="40">
        <v>4089.1043122527508</v>
      </c>
      <c r="AS150" s="40">
        <v>3622.2973373872392</v>
      </c>
      <c r="AT150" s="40">
        <v>4117.6494474693327</v>
      </c>
      <c r="AU150" s="40">
        <v>5221.6731880918642</v>
      </c>
      <c r="AV150" s="40">
        <v>5879.3403394421075</v>
      </c>
      <c r="AW150" s="40">
        <v>7012.5356923821246</v>
      </c>
      <c r="AX150" s="40">
        <v>9067.5046680697287</v>
      </c>
      <c r="AY150" s="40">
        <v>8995.6926113539866</v>
      </c>
      <c r="AZ150" s="40">
        <v>11520.272592662337</v>
      </c>
      <c r="BA150" s="40">
        <v>13723.921843246899</v>
      </c>
      <c r="BB150" s="40">
        <v>3651.5521201182751</v>
      </c>
    </row>
    <row r="151" spans="1:54">
      <c r="A151" s="41">
        <v>233</v>
      </c>
      <c r="B151" s="41" t="s">
        <v>5</v>
      </c>
      <c r="AF151" s="40">
        <v>651.41920968674287</v>
      </c>
      <c r="AG151" s="40">
        <v>658.65586814086066</v>
      </c>
      <c r="AH151" s="40">
        <v>603.93494200342423</v>
      </c>
      <c r="AI151" s="40">
        <v>597.02527262141325</v>
      </c>
      <c r="AJ151" s="40">
        <v>576.44341722879949</v>
      </c>
      <c r="AK151" s="40">
        <v>585.93204005538905</v>
      </c>
      <c r="AL151" s="40">
        <v>600.59815782858402</v>
      </c>
      <c r="AM151" s="40">
        <v>623.00265236763869</v>
      </c>
      <c r="AN151" s="40">
        <v>623.21613283598492</v>
      </c>
      <c r="AO151" s="40">
        <v>702.48074408887271</v>
      </c>
      <c r="AP151" s="40">
        <v>558.22114397778694</v>
      </c>
      <c r="AQ151" s="40">
        <v>456.70348916846808</v>
      </c>
      <c r="AR151" s="40">
        <v>383.34949974874866</v>
      </c>
      <c r="AS151" s="40">
        <v>396.12996898130393</v>
      </c>
      <c r="AT151" s="40">
        <v>465.11988694402487</v>
      </c>
      <c r="AU151" s="40">
        <v>546.77685018555155</v>
      </c>
      <c r="AV151" s="40">
        <v>642.96041464408825</v>
      </c>
      <c r="AW151" s="40">
        <v>830.40769420432196</v>
      </c>
      <c r="AX151" s="40">
        <v>1023.11964110698</v>
      </c>
      <c r="AY151" s="40">
        <v>1181.8473596006563</v>
      </c>
      <c r="AZ151" s="40">
        <v>1364.7874596791189</v>
      </c>
      <c r="BA151" s="40">
        <v>1544.7303448532532</v>
      </c>
      <c r="BB151" s="40">
        <v>709.85737227054597</v>
      </c>
    </row>
    <row r="152" spans="1:54">
      <c r="A152" s="41">
        <v>235</v>
      </c>
      <c r="B152" s="41" t="s">
        <v>4</v>
      </c>
      <c r="C152" s="40">
        <v>1133.4650249052781</v>
      </c>
      <c r="D152" s="40">
        <v>1208.1508608387344</v>
      </c>
      <c r="E152" s="40">
        <v>1257.8465799169601</v>
      </c>
      <c r="F152" s="40">
        <v>1037.3161546239146</v>
      </c>
      <c r="G152" s="40">
        <v>1055.762648910923</v>
      </c>
      <c r="H152" s="40">
        <v>1073.3502876974035</v>
      </c>
      <c r="I152" s="40">
        <v>1077.4515986530839</v>
      </c>
      <c r="J152" s="40">
        <v>1142.4926241996604</v>
      </c>
      <c r="K152" s="40">
        <v>1149.805618876987</v>
      </c>
      <c r="L152" s="40">
        <v>1211.5551721629151</v>
      </c>
      <c r="M152" s="40">
        <v>1304.5590139137701</v>
      </c>
      <c r="N152" s="40">
        <v>1387.1770542710217</v>
      </c>
      <c r="O152" s="40">
        <v>1636.6471577632178</v>
      </c>
      <c r="P152" s="40">
        <v>2364.3833203828908</v>
      </c>
      <c r="Q152" s="40">
        <v>2465.731989507115</v>
      </c>
      <c r="R152" s="40">
        <v>2748.700452031921</v>
      </c>
      <c r="S152" s="40">
        <v>3097.2923930732695</v>
      </c>
      <c r="T152" s="40">
        <v>3286.7072293590654</v>
      </c>
      <c r="U152" s="40">
        <v>3811.0669403760376</v>
      </c>
      <c r="V152" s="40">
        <v>4447.0854347487621</v>
      </c>
      <c r="W152" s="40">
        <v>4855.3784967307247</v>
      </c>
      <c r="X152" s="40">
        <v>4796.2379287609456</v>
      </c>
      <c r="Y152" s="40">
        <v>4784.2174693129209</v>
      </c>
      <c r="Z152" s="40">
        <v>3317.1082878022316</v>
      </c>
      <c r="AA152" s="40">
        <v>3344.4879634439035</v>
      </c>
      <c r="AB152" s="40">
        <v>3311.0870036674528</v>
      </c>
      <c r="AC152" s="40">
        <v>2481.0571853330862</v>
      </c>
      <c r="AD152" s="40">
        <v>3113.521876994952</v>
      </c>
      <c r="AE152" s="40">
        <v>2188.5216258439877</v>
      </c>
      <c r="AF152" s="40">
        <v>2382.2510605722377</v>
      </c>
      <c r="AG152" s="40">
        <v>2558.7240469449875</v>
      </c>
      <c r="AH152" s="40">
        <v>2825.796101714101</v>
      </c>
      <c r="AI152" s="40">
        <v>2746.0697461337663</v>
      </c>
      <c r="AJ152" s="40">
        <v>2613.905373111043</v>
      </c>
      <c r="AK152" s="40">
        <v>3389.8358703295107</v>
      </c>
      <c r="AL152" s="40">
        <v>3026.0708022456224</v>
      </c>
      <c r="AM152" s="40">
        <v>3728.7879966012006</v>
      </c>
      <c r="AN152" s="40">
        <v>3889.6099060911824</v>
      </c>
      <c r="AO152" s="40">
        <v>4091.6320005591469</v>
      </c>
      <c r="AP152" s="40">
        <v>4799.6460179995383</v>
      </c>
      <c r="AQ152" s="40">
        <v>4942.0006103358437</v>
      </c>
      <c r="AR152" s="40">
        <v>3666.6524422044072</v>
      </c>
      <c r="AS152" s="40">
        <v>3241.5196156987863</v>
      </c>
      <c r="AT152" s="40">
        <v>4282.015326376978</v>
      </c>
      <c r="AU152" s="40">
        <v>5444.6625178519625</v>
      </c>
      <c r="AV152" s="40">
        <v>6747.7591246909105</v>
      </c>
      <c r="AW152" s="40">
        <v>8329.6404882498464</v>
      </c>
      <c r="AX152" s="40">
        <v>11223.211305046085</v>
      </c>
      <c r="AY152" s="40">
        <v>11524.979732167916</v>
      </c>
      <c r="AZ152" s="40">
        <v>13559.33118330574</v>
      </c>
      <c r="BA152" s="40">
        <v>10727.982878083309</v>
      </c>
      <c r="BB152" s="40">
        <v>3722.1617556944552</v>
      </c>
    </row>
    <row r="153" spans="1:54">
      <c r="A153" s="41">
        <v>236</v>
      </c>
      <c r="B153" s="41" t="s">
        <v>3</v>
      </c>
      <c r="AA153" s="40">
        <v>239.4286951768494</v>
      </c>
      <c r="AB153" s="40">
        <v>437.1295434646517</v>
      </c>
      <c r="AC153" s="40">
        <v>593.65357358295353</v>
      </c>
      <c r="AD153" s="40">
        <v>401.87491099631887</v>
      </c>
      <c r="AE153" s="40">
        <v>97.157885063793259</v>
      </c>
      <c r="AF153" s="40">
        <v>98.031869001632614</v>
      </c>
      <c r="AG153" s="40">
        <v>142.96588988273183</v>
      </c>
      <c r="AH153" s="40">
        <v>144.14865860413227</v>
      </c>
      <c r="AI153" s="40">
        <v>189.26051610777591</v>
      </c>
      <c r="AJ153" s="40">
        <v>229.95480510301451</v>
      </c>
      <c r="AK153" s="40">
        <v>288.02027786799067</v>
      </c>
      <c r="AL153" s="40">
        <v>337.05006283219734</v>
      </c>
      <c r="AM153" s="40">
        <v>361.2544883009067</v>
      </c>
      <c r="AN153" s="40">
        <v>360.60079802253165</v>
      </c>
      <c r="AO153" s="40">
        <v>374.47642006471563</v>
      </c>
      <c r="AP153" s="40">
        <v>401.54780212788745</v>
      </c>
      <c r="AQ153" s="40">
        <v>415.73115797054135</v>
      </c>
      <c r="AR153" s="40">
        <v>440.76928653054551</v>
      </c>
      <c r="AS153" s="40">
        <v>491.52851451674388</v>
      </c>
      <c r="AT153" s="40">
        <v>557.82339989041236</v>
      </c>
      <c r="AU153" s="40">
        <v>642.25086674158285</v>
      </c>
      <c r="AV153" s="40">
        <v>731.14058784029783</v>
      </c>
      <c r="AW153" s="40">
        <v>843.20429040371687</v>
      </c>
      <c r="AX153" s="40">
        <v>1070.1549586256235</v>
      </c>
      <c r="AY153" s="40">
        <v>1129.675150403197</v>
      </c>
      <c r="AZ153" s="40">
        <v>1224.2469175143124</v>
      </c>
      <c r="BA153" s="40">
        <v>1408.0063125159431</v>
      </c>
      <c r="BB153" s="40">
        <v>505.59583848714817</v>
      </c>
    </row>
    <row r="154" spans="1:54">
      <c r="A154" s="41">
        <v>241</v>
      </c>
      <c r="B154" s="41" t="s">
        <v>2</v>
      </c>
      <c r="AF154" s="40">
        <v>478.97647525484382</v>
      </c>
      <c r="AG154" s="40">
        <v>478.85258021796773</v>
      </c>
      <c r="AH154" s="40">
        <v>495.6423808698429</v>
      </c>
      <c r="AI154" s="40">
        <v>391.07876968558003</v>
      </c>
      <c r="AJ154" s="40">
        <v>289.4656586466711</v>
      </c>
      <c r="AK154" s="40">
        <v>283.5751582662873</v>
      </c>
      <c r="AL154" s="40">
        <v>371.38577634932716</v>
      </c>
      <c r="AM154" s="40">
        <v>425.10137697798592</v>
      </c>
      <c r="AN154" s="40">
        <v>381.86006011977673</v>
      </c>
      <c r="AO154" s="40">
        <v>448.53906939788112</v>
      </c>
      <c r="AP154" s="40">
        <v>549.93990167200548</v>
      </c>
      <c r="AQ154" s="40">
        <v>546.5362272087151</v>
      </c>
      <c r="AR154" s="40">
        <v>576.42386367269785</v>
      </c>
      <c r="AS154" s="40">
        <v>617.24119338945161</v>
      </c>
      <c r="AT154" s="40">
        <v>707.37347316050545</v>
      </c>
      <c r="AU154" s="40">
        <v>831.8802897569069</v>
      </c>
      <c r="AV154" s="40">
        <v>916.73439336543515</v>
      </c>
      <c r="AW154" s="40">
        <v>1019.5412780358637</v>
      </c>
      <c r="AX154" s="40">
        <v>1237.9999044913784</v>
      </c>
      <c r="AY154" s="40">
        <v>1105.8174743650725</v>
      </c>
      <c r="AZ154" s="40">
        <v>1400.6676849886519</v>
      </c>
      <c r="BA154" s="40">
        <v>1361.3265301208048</v>
      </c>
      <c r="BB154" s="40">
        <v>677.99816000062049</v>
      </c>
    </row>
    <row r="155" spans="1:54">
      <c r="A155" s="41">
        <v>242</v>
      </c>
      <c r="B155" s="41" t="s">
        <v>1</v>
      </c>
      <c r="C155" s="40">
        <v>215.00705725091478</v>
      </c>
      <c r="D155" s="40">
        <v>207.78475162506112</v>
      </c>
      <c r="E155" s="40">
        <v>209.0673411018555</v>
      </c>
      <c r="F155" s="40">
        <v>236.87787535261083</v>
      </c>
      <c r="G155" s="40">
        <v>296.36585165410003</v>
      </c>
      <c r="H155" s="40">
        <v>335.55315916947376</v>
      </c>
      <c r="I155" s="40">
        <v>352.03307539878784</v>
      </c>
      <c r="J155" s="40">
        <v>400.51860387080205</v>
      </c>
      <c r="K155" s="40">
        <v>474.88212501229282</v>
      </c>
      <c r="L155" s="40">
        <v>426.80281195019148</v>
      </c>
      <c r="M155" s="40">
        <v>381.53012195767684</v>
      </c>
      <c r="N155" s="40">
        <v>417.71081723421565</v>
      </c>
      <c r="O155" s="40">
        <v>524.82450469747164</v>
      </c>
      <c r="P155" s="40">
        <v>606.59180773465164</v>
      </c>
      <c r="Q155" s="40">
        <v>492.11158731761088</v>
      </c>
      <c r="R155" s="40">
        <v>534.47081141420222</v>
      </c>
      <c r="S155" s="40">
        <v>474.24108505746744</v>
      </c>
      <c r="T155" s="40">
        <v>512.9717790144432</v>
      </c>
      <c r="U155" s="40">
        <v>592.38808073139694</v>
      </c>
      <c r="V155" s="40">
        <v>664.33571252850027</v>
      </c>
      <c r="W155" s="40">
        <v>663.71018687837818</v>
      </c>
      <c r="X155" s="40">
        <v>620.83378712725346</v>
      </c>
      <c r="Y155" s="40">
        <v>516.08260767628178</v>
      </c>
      <c r="Z155" s="40">
        <v>409.77838324441973</v>
      </c>
      <c r="AA155" s="40">
        <v>329.38365497476485</v>
      </c>
      <c r="AB155" s="40">
        <v>236.39564448373818</v>
      </c>
      <c r="AC155" s="40">
        <v>312.71074565463465</v>
      </c>
      <c r="AD155" s="40">
        <v>500.75729177611987</v>
      </c>
      <c r="AE155" s="40">
        <v>522.39044798014754</v>
      </c>
      <c r="AF155" s="40">
        <v>419.19498224391242</v>
      </c>
      <c r="AG155" s="40">
        <v>420.09112498836521</v>
      </c>
      <c r="AH155" s="40">
        <v>386.75723370314529</v>
      </c>
      <c r="AI155" s="40">
        <v>388.63648844998181</v>
      </c>
      <c r="AJ155" s="40">
        <v>387.98739786316537</v>
      </c>
      <c r="AK155" s="40">
        <v>393.33926865647572</v>
      </c>
      <c r="AL155" s="40">
        <v>360.43113732170752</v>
      </c>
      <c r="AM155" s="40">
        <v>419.56589009833596</v>
      </c>
      <c r="AN155" s="40">
        <v>338.00167074045089</v>
      </c>
      <c r="AO155" s="40">
        <v>318.25216864427478</v>
      </c>
      <c r="AP155" s="40">
        <v>322.10255120017871</v>
      </c>
      <c r="AQ155" s="40">
        <v>352.61285503004456</v>
      </c>
      <c r="AR155" s="40">
        <v>349.28342022209966</v>
      </c>
      <c r="AS155" s="40">
        <v>398.53447534748267</v>
      </c>
      <c r="AT155" s="40">
        <v>486.74243718918694</v>
      </c>
      <c r="AU155" s="40">
        <v>625.85375484222482</v>
      </c>
      <c r="AV155" s="40">
        <v>908.38170716273339</v>
      </c>
      <c r="AW155" s="40">
        <v>953.07870779550808</v>
      </c>
      <c r="AX155" s="40">
        <v>1175.3510509381383</v>
      </c>
      <c r="AY155" s="40">
        <v>998.44043430847091</v>
      </c>
      <c r="AZ155" s="40">
        <v>1224.953862933736</v>
      </c>
      <c r="BA155" s="40">
        <v>1408.5613194992611</v>
      </c>
      <c r="BB155" s="40">
        <v>500.08364017741849</v>
      </c>
    </row>
    <row r="156" spans="1:54">
      <c r="A156" s="41">
        <v>243</v>
      </c>
      <c r="B156" s="41" t="s">
        <v>0</v>
      </c>
      <c r="C156" s="40">
        <v>282.8860007814194</v>
      </c>
      <c r="D156" s="40">
        <v>278.96375993839638</v>
      </c>
      <c r="E156" s="40">
        <v>280.02105499588964</v>
      </c>
      <c r="F156" s="40">
        <v>284.40733242645797</v>
      </c>
      <c r="G156" s="40">
        <v>296.5620914177922</v>
      </c>
      <c r="H156" s="40">
        <v>280.57367215391355</v>
      </c>
      <c r="I156" s="40">
        <v>296.0622494930646</v>
      </c>
      <c r="J156" s="40">
        <v>303.56315334482673</v>
      </c>
      <c r="K156" s="40">
        <v>347.07886069947159</v>
      </c>
      <c r="L156" s="40">
        <v>361.90856081709967</v>
      </c>
      <c r="M156" s="40">
        <v>404.56519335046812</v>
      </c>
      <c r="N156" s="40">
        <v>480.45827272468182</v>
      </c>
      <c r="O156" s="40">
        <v>573.71017009031891</v>
      </c>
      <c r="P156" s="40">
        <v>667.2724902924117</v>
      </c>
      <c r="Q156" s="40">
        <v>708.44607164385138</v>
      </c>
      <c r="R156" s="40">
        <v>677.50370085725535</v>
      </c>
      <c r="S156" s="40">
        <v>663.20980298883126</v>
      </c>
      <c r="T156" s="40">
        <v>640.23660231565941</v>
      </c>
      <c r="U156" s="40">
        <v>736.36716485611032</v>
      </c>
      <c r="V156" s="40">
        <v>916.28549870285894</v>
      </c>
      <c r="W156" s="40">
        <v>1058.0080988108405</v>
      </c>
      <c r="X156" s="40">
        <v>1084.1605540336197</v>
      </c>
      <c r="Y156" s="40">
        <v>947.08483471807028</v>
      </c>
      <c r="Z156" s="40">
        <v>744.86961299627364</v>
      </c>
      <c r="AA156" s="40">
        <v>636.23574952355511</v>
      </c>
      <c r="AB156" s="40">
        <v>676.2669947640253</v>
      </c>
      <c r="AC156" s="40">
        <v>707.57628216211344</v>
      </c>
      <c r="AD156" s="40">
        <v>793.04915088777273</v>
      </c>
      <c r="AE156" s="40">
        <v>814.98998948825511</v>
      </c>
      <c r="AF156" s="40">
        <v>839.60998861338442</v>
      </c>
      <c r="AG156" s="40">
        <v>805.12839418212059</v>
      </c>
      <c r="AH156" s="40">
        <v>614.81723382726057</v>
      </c>
      <c r="AI156" s="40">
        <v>585.49007423677801</v>
      </c>
      <c r="AJ156" s="40">
        <v>602.92965257398271</v>
      </c>
      <c r="AK156" s="40">
        <v>610.96728901057395</v>
      </c>
      <c r="AL156" s="40">
        <v>722.021540993955</v>
      </c>
      <c r="AM156" s="40">
        <v>708.09430409183756</v>
      </c>
      <c r="AN156" s="40">
        <v>523.48568331539229</v>
      </c>
      <c r="AO156" s="40">
        <v>553.74761694530457</v>
      </c>
      <c r="AP156" s="40">
        <v>535.04029143289415</v>
      </c>
      <c r="AQ156" s="40">
        <v>538.45335235639936</v>
      </c>
      <c r="AR156" s="40">
        <v>501.71311507113637</v>
      </c>
      <c r="AS156" s="40">
        <v>451.94864888455413</v>
      </c>
      <c r="AT156" s="40">
        <v>457.38414445851816</v>
      </c>
      <c r="AU156" s="40">
        <v>452.78902750599917</v>
      </c>
      <c r="AV156" s="40">
        <v>427.83438594224066</v>
      </c>
      <c r="AW156" s="40">
        <v>415.37548204711402</v>
      </c>
      <c r="AX156" s="40">
        <v>345.4074342595498</v>
      </c>
      <c r="AY156" s="40">
        <v>475.85380494051793</v>
      </c>
      <c r="AZ156" s="40">
        <v>568.42754187850824</v>
      </c>
      <c r="BA156" s="40">
        <v>722.8377047138689</v>
      </c>
      <c r="BB156" s="40">
        <v>576.50352318739613</v>
      </c>
    </row>
  </sheetData>
  <phoneticPr fontId="4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theme="8" tint="0.39997558519241921"/>
  </sheetPr>
  <dimension ref="A1:CM156"/>
  <sheetViews>
    <sheetView workbookViewId="0">
      <selection activeCell="C8" sqref="C8"/>
    </sheetView>
  </sheetViews>
  <sheetFormatPr baseColWidth="10" defaultColWidth="9.1640625" defaultRowHeight="14"/>
  <cols>
    <col min="1" max="16384" width="9.1640625" style="40"/>
  </cols>
  <sheetData>
    <row r="1" spans="1:91" s="42" customFormat="1">
      <c r="A1" s="42" t="s">
        <v>189</v>
      </c>
      <c r="B1" s="43" t="s">
        <v>190</v>
      </c>
      <c r="C1" s="43" t="s">
        <v>191</v>
      </c>
      <c r="D1" s="43" t="s">
        <v>192</v>
      </c>
      <c r="E1" s="43" t="s">
        <v>193</v>
      </c>
      <c r="F1" s="43" t="s">
        <v>194</v>
      </c>
      <c r="G1" s="43" t="s">
        <v>195</v>
      </c>
      <c r="H1" s="43" t="s">
        <v>196</v>
      </c>
      <c r="I1" s="43" t="s">
        <v>197</v>
      </c>
      <c r="J1" s="43" t="s">
        <v>198</v>
      </c>
      <c r="K1" s="43" t="s">
        <v>199</v>
      </c>
      <c r="L1" s="43" t="s">
        <v>200</v>
      </c>
      <c r="M1" s="43" t="s">
        <v>201</v>
      </c>
      <c r="N1" s="43" t="s">
        <v>202</v>
      </c>
      <c r="O1" s="43" t="s">
        <v>203</v>
      </c>
      <c r="P1" s="43" t="s">
        <v>204</v>
      </c>
      <c r="Q1" s="43" t="s">
        <v>205</v>
      </c>
      <c r="R1" s="43" t="s">
        <v>206</v>
      </c>
      <c r="S1" s="43" t="s">
        <v>207</v>
      </c>
      <c r="T1" s="43" t="s">
        <v>208</v>
      </c>
      <c r="U1" s="43" t="s">
        <v>209</v>
      </c>
      <c r="V1" s="43" t="s">
        <v>210</v>
      </c>
      <c r="W1" s="43" t="s">
        <v>211</v>
      </c>
      <c r="X1" s="43" t="s">
        <v>212</v>
      </c>
      <c r="Y1" s="43" t="s">
        <v>213</v>
      </c>
      <c r="Z1" s="43" t="s">
        <v>214</v>
      </c>
      <c r="AA1" s="43" t="s">
        <v>215</v>
      </c>
      <c r="AB1" s="43" t="s">
        <v>216</v>
      </c>
      <c r="AC1" s="43" t="s">
        <v>217</v>
      </c>
      <c r="AD1" s="43" t="s">
        <v>218</v>
      </c>
      <c r="AE1" s="43" t="s">
        <v>219</v>
      </c>
      <c r="AF1" s="43" t="s">
        <v>220</v>
      </c>
      <c r="AG1" s="43" t="s">
        <v>221</v>
      </c>
      <c r="AH1" s="43" t="s">
        <v>222</v>
      </c>
      <c r="AI1" s="43" t="s">
        <v>223</v>
      </c>
      <c r="AJ1" s="43" t="s">
        <v>224</v>
      </c>
      <c r="AK1" s="43" t="s">
        <v>225</v>
      </c>
      <c r="AL1" s="43" t="s">
        <v>226</v>
      </c>
      <c r="AM1" s="43" t="s">
        <v>227</v>
      </c>
      <c r="AN1" s="43" t="s">
        <v>228</v>
      </c>
      <c r="AO1" s="43" t="s">
        <v>229</v>
      </c>
      <c r="AP1" s="43" t="s">
        <v>230</v>
      </c>
      <c r="AQ1" s="43" t="s">
        <v>231</v>
      </c>
      <c r="AR1" s="43" t="s">
        <v>232</v>
      </c>
      <c r="AS1" s="43" t="s">
        <v>233</v>
      </c>
      <c r="AT1" s="43" t="s">
        <v>234</v>
      </c>
      <c r="AU1" s="43" t="s">
        <v>235</v>
      </c>
      <c r="AV1" s="43" t="s">
        <v>236</v>
      </c>
      <c r="AW1" s="43" t="s">
        <v>237</v>
      </c>
      <c r="AX1" s="43" t="s">
        <v>238</v>
      </c>
      <c r="AY1" s="43" t="s">
        <v>239</v>
      </c>
      <c r="AZ1" s="43" t="s">
        <v>240</v>
      </c>
      <c r="BA1" s="43" t="s">
        <v>241</v>
      </c>
      <c r="BB1" s="43" t="s">
        <v>242</v>
      </c>
      <c r="BC1" s="43" t="s">
        <v>243</v>
      </c>
      <c r="BD1" s="42" t="s">
        <v>244</v>
      </c>
    </row>
    <row r="2" spans="1:91">
      <c r="A2" s="41">
        <v>1</v>
      </c>
      <c r="B2" s="41" t="s">
        <v>154</v>
      </c>
      <c r="C2" s="43">
        <v>8.2650000000000006</v>
      </c>
      <c r="D2" s="43">
        <v>8.5370000000000008</v>
      </c>
      <c r="E2" s="43">
        <v>8.8089999999999993</v>
      </c>
      <c r="F2" s="43">
        <v>9.0809999999999995</v>
      </c>
      <c r="G2" s="43">
        <v>9.3529999999999998</v>
      </c>
      <c r="H2" s="43">
        <v>9.6885999999999992</v>
      </c>
      <c r="I2" s="43">
        <v>10.0242</v>
      </c>
      <c r="J2" s="43">
        <v>10.3598</v>
      </c>
      <c r="K2" s="43">
        <v>10.695399999999999</v>
      </c>
      <c r="L2" s="43">
        <v>11.031000000000001</v>
      </c>
      <c r="M2" s="43">
        <v>11.480399999999999</v>
      </c>
      <c r="N2" s="43">
        <v>11.9298</v>
      </c>
      <c r="O2" s="43">
        <v>12.379200000000001</v>
      </c>
      <c r="P2" s="43">
        <v>12.8286</v>
      </c>
      <c r="Q2" s="43">
        <v>13.278</v>
      </c>
      <c r="R2" s="43">
        <v>13.757400000000001</v>
      </c>
      <c r="S2" s="43">
        <v>14.236800000000001</v>
      </c>
      <c r="T2" s="43">
        <v>14.716200000000001</v>
      </c>
      <c r="U2" s="43">
        <v>15.195600000000001</v>
      </c>
      <c r="V2" s="43">
        <v>15.675000000000001</v>
      </c>
      <c r="W2" s="43">
        <v>15.923400000000001</v>
      </c>
      <c r="X2" s="43">
        <v>16.171800000000001</v>
      </c>
      <c r="Y2" s="43">
        <v>16.420200000000001</v>
      </c>
      <c r="Z2" s="43">
        <v>16.668600000000001</v>
      </c>
      <c r="AA2" s="43">
        <v>16.917000000000002</v>
      </c>
      <c r="AB2" s="43">
        <v>17.164999999999999</v>
      </c>
      <c r="AC2" s="43">
        <v>17.413</v>
      </c>
      <c r="AD2" s="43">
        <v>17.661000000000001</v>
      </c>
      <c r="AE2" s="43">
        <v>17.908999999999999</v>
      </c>
      <c r="AF2" s="43">
        <v>18.157</v>
      </c>
      <c r="AG2" s="43">
        <v>18.393799999999999</v>
      </c>
      <c r="AH2" s="43">
        <v>18.630600000000001</v>
      </c>
      <c r="AI2" s="43">
        <v>18.8674</v>
      </c>
      <c r="AJ2" s="43">
        <v>19.104199999999999</v>
      </c>
      <c r="AK2" s="43">
        <v>19.341000000000001</v>
      </c>
      <c r="AL2" s="43">
        <v>19.589400000000001</v>
      </c>
      <c r="AM2" s="43">
        <v>19.837800000000001</v>
      </c>
      <c r="AN2" s="43">
        <v>20.086200000000002</v>
      </c>
      <c r="AO2" s="43">
        <v>20.334599999999998</v>
      </c>
      <c r="AP2" s="43">
        <v>20.582999999999998</v>
      </c>
      <c r="AQ2" s="43">
        <v>20.8428</v>
      </c>
      <c r="AR2" s="43">
        <v>21.102599999999999</v>
      </c>
      <c r="AS2" s="43">
        <v>21.362400000000001</v>
      </c>
      <c r="AT2" s="43">
        <v>21.622199999999999</v>
      </c>
      <c r="AU2" s="43">
        <v>21.882000000000001</v>
      </c>
      <c r="AV2" s="43">
        <v>22.153400000000001</v>
      </c>
      <c r="AW2" s="43">
        <v>22.424800000000001</v>
      </c>
      <c r="AX2" s="43">
        <v>22.696200000000001</v>
      </c>
      <c r="AY2" s="43">
        <v>22.967600000000001</v>
      </c>
      <c r="AZ2" s="43">
        <v>23.239000000000001</v>
      </c>
      <c r="BA2" s="43">
        <v>23.5472</v>
      </c>
      <c r="BB2" s="43">
        <v>23.855399999999999</v>
      </c>
      <c r="BC2" s="43"/>
      <c r="BD2" s="44">
        <f>AVERAGE(C2:AF2)</f>
        <v>13.3909</v>
      </c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</row>
    <row r="3" spans="1:91">
      <c r="A3" s="41">
        <v>3</v>
      </c>
      <c r="B3" s="41" t="s">
        <v>153</v>
      </c>
      <c r="C3" s="43">
        <v>30.81</v>
      </c>
      <c r="D3" s="43">
        <v>30.914999999999999</v>
      </c>
      <c r="E3" s="43">
        <v>31.02</v>
      </c>
      <c r="F3" s="43">
        <v>31.125</v>
      </c>
      <c r="G3" s="43">
        <v>31.23</v>
      </c>
      <c r="H3" s="43">
        <v>31.332000000000001</v>
      </c>
      <c r="I3" s="43">
        <v>31.434000000000001</v>
      </c>
      <c r="J3" s="43">
        <v>31.536000000000001</v>
      </c>
      <c r="K3" s="43">
        <v>31.638000000000002</v>
      </c>
      <c r="L3" s="43">
        <v>31.74</v>
      </c>
      <c r="M3" s="43">
        <v>31.9344</v>
      </c>
      <c r="N3" s="43">
        <v>32.128799999999998</v>
      </c>
      <c r="O3" s="43">
        <v>32.3232</v>
      </c>
      <c r="P3" s="43">
        <v>32.517600000000002</v>
      </c>
      <c r="Q3" s="43">
        <v>32.712000000000003</v>
      </c>
      <c r="R3" s="43">
        <v>32.921999999999997</v>
      </c>
      <c r="S3" s="43">
        <v>33.131999999999998</v>
      </c>
      <c r="T3" s="43">
        <v>33.341999999999999</v>
      </c>
      <c r="U3" s="43">
        <v>33.552</v>
      </c>
      <c r="V3" s="43">
        <v>33.762</v>
      </c>
      <c r="W3" s="43">
        <v>34.026200000000003</v>
      </c>
      <c r="X3" s="43">
        <v>34.290399999999998</v>
      </c>
      <c r="Y3" s="43">
        <v>34.554600000000001</v>
      </c>
      <c r="Z3" s="43">
        <v>34.818800000000003</v>
      </c>
      <c r="AA3" s="43">
        <v>35.082999999999998</v>
      </c>
      <c r="AB3" s="43">
        <v>35.351999999999997</v>
      </c>
      <c r="AC3" s="43">
        <v>35.621000000000002</v>
      </c>
      <c r="AD3" s="43">
        <v>35.89</v>
      </c>
      <c r="AE3" s="43">
        <v>36.158999999999999</v>
      </c>
      <c r="AF3" s="43">
        <v>36.427999999999997</v>
      </c>
      <c r="AG3" s="43">
        <v>36.924599999999998</v>
      </c>
      <c r="AH3" s="43">
        <v>37.421199999999999</v>
      </c>
      <c r="AI3" s="43">
        <v>37.9178</v>
      </c>
      <c r="AJ3" s="43">
        <v>38.414400000000001</v>
      </c>
      <c r="AK3" s="43">
        <v>38.911000000000001</v>
      </c>
      <c r="AL3" s="43">
        <v>39.476999999999997</v>
      </c>
      <c r="AM3" s="43">
        <v>40.042999999999999</v>
      </c>
      <c r="AN3" s="43">
        <v>40.609000000000002</v>
      </c>
      <c r="AO3" s="43">
        <v>41.174999999999997</v>
      </c>
      <c r="AP3" s="43">
        <v>41.741</v>
      </c>
      <c r="AQ3" s="43">
        <v>42.753599999999999</v>
      </c>
      <c r="AR3" s="43">
        <v>43.766199999999998</v>
      </c>
      <c r="AS3" s="43">
        <v>44.778799999999997</v>
      </c>
      <c r="AT3" s="43">
        <v>45.791400000000003</v>
      </c>
      <c r="AU3" s="43">
        <v>46.804000000000002</v>
      </c>
      <c r="AV3" s="43">
        <v>47.907600000000002</v>
      </c>
      <c r="AW3" s="43">
        <v>49.011200000000002</v>
      </c>
      <c r="AX3" s="43">
        <v>50.114800000000002</v>
      </c>
      <c r="AY3" s="43">
        <v>51.218400000000003</v>
      </c>
      <c r="AZ3" s="43">
        <v>52.322000000000003</v>
      </c>
      <c r="BA3" s="43">
        <v>53.384599999999999</v>
      </c>
      <c r="BB3" s="43">
        <v>54.447200000000002</v>
      </c>
      <c r="BC3" s="43"/>
      <c r="BD3" s="44">
        <f t="shared" ref="BD3:BD66" si="0">AVERAGE(C3:AF3)</f>
        <v>33.110966666666663</v>
      </c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</row>
    <row r="4" spans="1:91">
      <c r="A4" s="41">
        <v>4</v>
      </c>
      <c r="B4" s="40" t="s">
        <v>245</v>
      </c>
      <c r="C4" s="43">
        <v>31.936599999999999</v>
      </c>
      <c r="D4" s="43">
        <v>33.363199999999999</v>
      </c>
      <c r="E4" s="43">
        <v>34.7898</v>
      </c>
      <c r="F4" s="43">
        <v>36.2164</v>
      </c>
      <c r="G4" s="43">
        <v>37.643000000000001</v>
      </c>
      <c r="H4" s="43">
        <v>38.014400000000002</v>
      </c>
      <c r="I4" s="43">
        <v>38.385800000000003</v>
      </c>
      <c r="J4" s="43">
        <v>38.757199999999997</v>
      </c>
      <c r="K4" s="43">
        <v>39.128599999999999</v>
      </c>
      <c r="L4" s="43">
        <v>39.5</v>
      </c>
      <c r="M4" s="43">
        <v>39.665999999999997</v>
      </c>
      <c r="N4" s="43">
        <v>39.832000000000001</v>
      </c>
      <c r="O4" s="43">
        <v>39.997999999999998</v>
      </c>
      <c r="P4" s="43">
        <v>40.164000000000001</v>
      </c>
      <c r="Q4" s="43">
        <v>40.33</v>
      </c>
      <c r="R4" s="43">
        <v>40.9724</v>
      </c>
      <c r="S4" s="43">
        <v>41.614800000000002</v>
      </c>
      <c r="T4" s="43">
        <v>42.257199999999997</v>
      </c>
      <c r="U4" s="43">
        <v>42.8996</v>
      </c>
      <c r="V4" s="43">
        <v>43.542000000000002</v>
      </c>
      <c r="W4" s="43">
        <v>44.427199999999999</v>
      </c>
      <c r="X4" s="43">
        <v>45.312399999999997</v>
      </c>
      <c r="Y4" s="43">
        <v>46.197600000000001</v>
      </c>
      <c r="Z4" s="43">
        <v>47.082799999999999</v>
      </c>
      <c r="AA4" s="43">
        <v>47.968000000000004</v>
      </c>
      <c r="AB4" s="43">
        <v>48.791400000000003</v>
      </c>
      <c r="AC4" s="43">
        <v>49.614800000000002</v>
      </c>
      <c r="AD4" s="43">
        <v>50.438200000000002</v>
      </c>
      <c r="AE4" s="43">
        <v>51.261600000000001</v>
      </c>
      <c r="AF4" s="43">
        <v>52.085000000000001</v>
      </c>
      <c r="AG4" s="43">
        <v>52.867400000000004</v>
      </c>
      <c r="AH4" s="43">
        <v>53.649799999999999</v>
      </c>
      <c r="AI4" s="43">
        <v>54.432200000000002</v>
      </c>
      <c r="AJ4" s="43">
        <v>55.214599999999997</v>
      </c>
      <c r="AK4" s="43">
        <v>55.997</v>
      </c>
      <c r="AL4" s="43">
        <v>56.954999999999998</v>
      </c>
      <c r="AM4" s="43">
        <v>57.912999999999997</v>
      </c>
      <c r="AN4" s="43">
        <v>58.871000000000002</v>
      </c>
      <c r="AO4" s="43">
        <v>59.829000000000001</v>
      </c>
      <c r="AP4" s="43">
        <v>60.786999999999999</v>
      </c>
      <c r="AQ4" s="43">
        <v>61.967399999999998</v>
      </c>
      <c r="AR4" s="43">
        <v>63.147799999999997</v>
      </c>
      <c r="AS4" s="43">
        <v>64.328199999999995</v>
      </c>
      <c r="AT4" s="43">
        <v>65.508600000000001</v>
      </c>
      <c r="AU4" s="43">
        <v>66.688999999999993</v>
      </c>
      <c r="AV4" s="43">
        <v>67.756</v>
      </c>
      <c r="AW4" s="43">
        <v>68.822999999999993</v>
      </c>
      <c r="AX4" s="43">
        <v>69.89</v>
      </c>
      <c r="AY4" s="43">
        <v>70.956999999999994</v>
      </c>
      <c r="AZ4" s="43">
        <v>72.024000000000001</v>
      </c>
      <c r="BA4" s="43">
        <v>72.864999999999995</v>
      </c>
      <c r="BB4" s="43">
        <v>73.706000000000003</v>
      </c>
      <c r="BC4" s="43"/>
      <c r="BD4" s="44">
        <f t="shared" si="0"/>
        <v>42.073000000000008</v>
      </c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</row>
    <row r="5" spans="1:91">
      <c r="A5" s="41">
        <v>7</v>
      </c>
      <c r="B5" s="41" t="s">
        <v>151</v>
      </c>
      <c r="C5" s="43">
        <v>10.848800000000001</v>
      </c>
      <c r="D5" s="43">
        <v>11.262600000000001</v>
      </c>
      <c r="E5" s="43">
        <v>11.676399999999999</v>
      </c>
      <c r="F5" s="43">
        <v>12.090199999999999</v>
      </c>
      <c r="G5" s="43">
        <v>12.504</v>
      </c>
      <c r="H5" s="43">
        <v>12.9946</v>
      </c>
      <c r="I5" s="43">
        <v>13.485200000000001</v>
      </c>
      <c r="J5" s="43">
        <v>13.9758</v>
      </c>
      <c r="K5" s="43">
        <v>14.4664</v>
      </c>
      <c r="L5" s="43">
        <v>14.957000000000001</v>
      </c>
      <c r="M5" s="43">
        <v>15.7912</v>
      </c>
      <c r="N5" s="43">
        <v>16.625399999999999</v>
      </c>
      <c r="O5" s="43">
        <v>17.459599999999998</v>
      </c>
      <c r="P5" s="43">
        <v>18.293800000000001</v>
      </c>
      <c r="Q5" s="43">
        <v>19.128</v>
      </c>
      <c r="R5" s="43">
        <v>20.161999999999999</v>
      </c>
      <c r="S5" s="43">
        <v>21.196000000000002</v>
      </c>
      <c r="T5" s="43">
        <v>22.23</v>
      </c>
      <c r="U5" s="43">
        <v>23.263999999999999</v>
      </c>
      <c r="V5" s="43">
        <v>24.297999999999998</v>
      </c>
      <c r="W5" s="43">
        <v>25.506</v>
      </c>
      <c r="X5" s="43">
        <v>26.713999999999999</v>
      </c>
      <c r="Y5" s="43">
        <v>27.922000000000001</v>
      </c>
      <c r="Z5" s="43">
        <v>29.13</v>
      </c>
      <c r="AA5" s="43">
        <v>30.338000000000001</v>
      </c>
      <c r="AB5" s="43">
        <v>31.699200000000001</v>
      </c>
      <c r="AC5" s="43">
        <v>33.060400000000001</v>
      </c>
      <c r="AD5" s="43">
        <v>34.421599999999998</v>
      </c>
      <c r="AE5" s="43">
        <v>35.782800000000002</v>
      </c>
      <c r="AF5" s="43">
        <v>37.143999999999998</v>
      </c>
      <c r="AG5" s="43">
        <v>38.512799999999999</v>
      </c>
      <c r="AH5" s="43">
        <v>39.881599999999999</v>
      </c>
      <c r="AI5" s="43">
        <v>41.250399999999999</v>
      </c>
      <c r="AJ5" s="43">
        <v>42.619199999999999</v>
      </c>
      <c r="AK5" s="43">
        <v>43.988</v>
      </c>
      <c r="AL5" s="43">
        <v>44.9878</v>
      </c>
      <c r="AM5" s="43">
        <v>45.9876</v>
      </c>
      <c r="AN5" s="43">
        <v>46.987400000000001</v>
      </c>
      <c r="AO5" s="43">
        <v>47.987200000000001</v>
      </c>
      <c r="AP5" s="43">
        <v>48.987000000000002</v>
      </c>
      <c r="AQ5" s="43">
        <v>49.978200000000001</v>
      </c>
      <c r="AR5" s="43">
        <v>50.9694</v>
      </c>
      <c r="AS5" s="43">
        <v>51.960599999999999</v>
      </c>
      <c r="AT5" s="43">
        <v>52.951799999999999</v>
      </c>
      <c r="AU5" s="43">
        <v>53.942999999999998</v>
      </c>
      <c r="AV5" s="43">
        <v>54.830199999999998</v>
      </c>
      <c r="AW5" s="43">
        <v>55.717399999999998</v>
      </c>
      <c r="AX5" s="43">
        <v>56.604599999999998</v>
      </c>
      <c r="AY5" s="43">
        <v>57.491799999999998</v>
      </c>
      <c r="AZ5" s="43">
        <v>58.378999999999998</v>
      </c>
      <c r="BA5" s="43">
        <v>59.142600000000002</v>
      </c>
      <c r="BB5" s="43">
        <v>59.906199999999998</v>
      </c>
      <c r="BC5" s="43"/>
      <c r="BD5" s="44">
        <f t="shared" si="0"/>
        <v>21.280899999999999</v>
      </c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</row>
    <row r="6" spans="1:91">
      <c r="A6" s="41">
        <v>11</v>
      </c>
      <c r="B6" s="41" t="s">
        <v>150</v>
      </c>
      <c r="C6" s="43">
        <v>74.162599999999998</v>
      </c>
      <c r="D6" s="43">
        <v>74.714200000000005</v>
      </c>
      <c r="E6" s="43">
        <v>75.265799999999999</v>
      </c>
      <c r="F6" s="43">
        <v>75.817400000000006</v>
      </c>
      <c r="G6" s="43">
        <v>76.369</v>
      </c>
      <c r="H6" s="43">
        <v>76.871200000000002</v>
      </c>
      <c r="I6" s="43">
        <v>77.373400000000004</v>
      </c>
      <c r="J6" s="43">
        <v>77.875600000000006</v>
      </c>
      <c r="K6" s="43">
        <v>78.377799999999993</v>
      </c>
      <c r="L6" s="43">
        <v>78.88</v>
      </c>
      <c r="M6" s="43">
        <v>79.297799999999995</v>
      </c>
      <c r="N6" s="43">
        <v>79.715599999999995</v>
      </c>
      <c r="O6" s="43">
        <v>80.133399999999995</v>
      </c>
      <c r="P6" s="43">
        <v>80.551199999999994</v>
      </c>
      <c r="Q6" s="43">
        <v>80.968999999999994</v>
      </c>
      <c r="R6" s="43">
        <v>81.352599999999995</v>
      </c>
      <c r="S6" s="43">
        <v>81.736199999999997</v>
      </c>
      <c r="T6" s="43">
        <v>82.119799999999998</v>
      </c>
      <c r="U6" s="43">
        <v>82.503399999999999</v>
      </c>
      <c r="V6" s="43">
        <v>82.887</v>
      </c>
      <c r="W6" s="43">
        <v>83.3172</v>
      </c>
      <c r="X6" s="43">
        <v>83.747399999999999</v>
      </c>
      <c r="Y6" s="43">
        <v>84.177599999999998</v>
      </c>
      <c r="Z6" s="43">
        <v>84.607799999999997</v>
      </c>
      <c r="AA6" s="43">
        <v>85.037999999999997</v>
      </c>
      <c r="AB6" s="43">
        <v>85.427199999999999</v>
      </c>
      <c r="AC6" s="43">
        <v>85.816400000000002</v>
      </c>
      <c r="AD6" s="43">
        <v>86.205600000000004</v>
      </c>
      <c r="AE6" s="43">
        <v>86.594800000000006</v>
      </c>
      <c r="AF6" s="43">
        <v>86.983999999999995</v>
      </c>
      <c r="AG6" s="43">
        <v>87.317999999999998</v>
      </c>
      <c r="AH6" s="43">
        <v>87.652000000000001</v>
      </c>
      <c r="AI6" s="43">
        <v>87.986000000000004</v>
      </c>
      <c r="AJ6" s="43">
        <v>88.32</v>
      </c>
      <c r="AK6" s="43">
        <v>88.653999999999996</v>
      </c>
      <c r="AL6" s="43">
        <v>88.9482</v>
      </c>
      <c r="AM6" s="43">
        <v>89.242400000000004</v>
      </c>
      <c r="AN6" s="43">
        <v>89.536600000000007</v>
      </c>
      <c r="AO6" s="43">
        <v>89.830799999999996</v>
      </c>
      <c r="AP6" s="43">
        <v>90.125</v>
      </c>
      <c r="AQ6" s="43">
        <v>90.376400000000004</v>
      </c>
      <c r="AR6" s="43">
        <v>90.627799999999993</v>
      </c>
      <c r="AS6" s="43">
        <v>90.879199999999997</v>
      </c>
      <c r="AT6" s="43">
        <v>91.130600000000001</v>
      </c>
      <c r="AU6" s="43">
        <v>91.382000000000005</v>
      </c>
      <c r="AV6" s="43">
        <v>91.575400000000002</v>
      </c>
      <c r="AW6" s="43">
        <v>91.768799999999999</v>
      </c>
      <c r="AX6" s="43">
        <v>91.962199999999996</v>
      </c>
      <c r="AY6" s="43">
        <v>92.155600000000007</v>
      </c>
      <c r="AZ6" s="43">
        <v>92.349000000000004</v>
      </c>
      <c r="BA6" s="43">
        <v>92.494799999999998</v>
      </c>
      <c r="BB6" s="43">
        <v>92.640600000000006</v>
      </c>
      <c r="BC6" s="43"/>
      <c r="BD6" s="44">
        <f t="shared" si="0"/>
        <v>80.962966666666659</v>
      </c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</row>
    <row r="7" spans="1:91">
      <c r="A7" s="41">
        <v>12</v>
      </c>
      <c r="B7" s="41" t="s">
        <v>149</v>
      </c>
      <c r="C7" s="43">
        <v>52.144399999999997</v>
      </c>
      <c r="D7" s="43">
        <v>53.013800000000003</v>
      </c>
      <c r="E7" s="43">
        <v>53.883200000000002</v>
      </c>
      <c r="F7" s="43">
        <v>54.752600000000001</v>
      </c>
      <c r="G7" s="43">
        <v>55.622</v>
      </c>
      <c r="H7" s="43">
        <v>56.470399999999998</v>
      </c>
      <c r="I7" s="43">
        <v>57.318800000000003</v>
      </c>
      <c r="J7" s="43">
        <v>58.167200000000001</v>
      </c>
      <c r="K7" s="43">
        <v>59.015599999999999</v>
      </c>
      <c r="L7" s="43">
        <v>59.863999999999997</v>
      </c>
      <c r="M7" s="43">
        <v>60.613399999999999</v>
      </c>
      <c r="N7" s="43">
        <v>61.3628</v>
      </c>
      <c r="O7" s="43">
        <v>62.112200000000001</v>
      </c>
      <c r="P7" s="43">
        <v>62.861600000000003</v>
      </c>
      <c r="Q7" s="43">
        <v>63.610999999999997</v>
      </c>
      <c r="R7" s="43">
        <v>64.098799999999997</v>
      </c>
      <c r="S7" s="43">
        <v>64.586600000000004</v>
      </c>
      <c r="T7" s="43">
        <v>65.074399999999997</v>
      </c>
      <c r="U7" s="43">
        <v>65.562200000000004</v>
      </c>
      <c r="V7" s="43">
        <v>66.05</v>
      </c>
      <c r="W7" s="43">
        <v>66.257999999999996</v>
      </c>
      <c r="X7" s="43">
        <v>66.465999999999994</v>
      </c>
      <c r="Y7" s="43">
        <v>66.674000000000007</v>
      </c>
      <c r="Z7" s="43">
        <v>66.882000000000005</v>
      </c>
      <c r="AA7" s="43">
        <v>67.09</v>
      </c>
      <c r="AB7" s="43">
        <v>67.156199999999998</v>
      </c>
      <c r="AC7" s="43">
        <v>67.222399999999993</v>
      </c>
      <c r="AD7" s="43">
        <v>67.288600000000002</v>
      </c>
      <c r="AE7" s="43">
        <v>67.354799999999997</v>
      </c>
      <c r="AF7" s="43">
        <v>67.421000000000006</v>
      </c>
      <c r="AG7" s="43">
        <v>67.148200000000003</v>
      </c>
      <c r="AH7" s="43">
        <v>66.875399999999999</v>
      </c>
      <c r="AI7" s="43">
        <v>66.602599999999995</v>
      </c>
      <c r="AJ7" s="43">
        <v>66.329800000000006</v>
      </c>
      <c r="AK7" s="43">
        <v>66.057000000000002</v>
      </c>
      <c r="AL7" s="43">
        <v>65.778800000000004</v>
      </c>
      <c r="AM7" s="43">
        <v>65.500600000000006</v>
      </c>
      <c r="AN7" s="43">
        <v>65.222399999999993</v>
      </c>
      <c r="AO7" s="43">
        <v>64.944199999999995</v>
      </c>
      <c r="AP7" s="43">
        <v>64.665999999999997</v>
      </c>
      <c r="AQ7" s="43">
        <v>64.569599999999994</v>
      </c>
      <c r="AR7" s="43">
        <v>64.473200000000006</v>
      </c>
      <c r="AS7" s="43">
        <v>64.376800000000003</v>
      </c>
      <c r="AT7" s="43">
        <v>64.2804</v>
      </c>
      <c r="AU7" s="43">
        <v>64.183999999999997</v>
      </c>
      <c r="AV7" s="43">
        <v>64.160399999999996</v>
      </c>
      <c r="AW7" s="43">
        <v>64.136799999999994</v>
      </c>
      <c r="AX7" s="43">
        <v>64.113200000000006</v>
      </c>
      <c r="AY7" s="43">
        <v>64.089600000000004</v>
      </c>
      <c r="AZ7" s="43">
        <v>64.066000000000003</v>
      </c>
      <c r="BA7" s="43">
        <v>64.114800000000002</v>
      </c>
      <c r="BB7" s="43">
        <v>64.163600000000002</v>
      </c>
      <c r="BC7" s="43"/>
      <c r="BD7" s="44">
        <f t="shared" si="0"/>
        <v>62.199933333333334</v>
      </c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</row>
    <row r="8" spans="1:91">
      <c r="A8" s="41">
        <v>14</v>
      </c>
      <c r="B8" s="41" t="s">
        <v>148</v>
      </c>
      <c r="C8" s="43">
        <v>81.920199999999994</v>
      </c>
      <c r="D8" s="43">
        <v>82.311400000000006</v>
      </c>
      <c r="E8" s="43">
        <v>82.702600000000004</v>
      </c>
      <c r="F8" s="43">
        <v>83.093800000000002</v>
      </c>
      <c r="G8" s="43">
        <v>83.484999999999999</v>
      </c>
      <c r="H8" s="43">
        <v>83.840999999999994</v>
      </c>
      <c r="I8" s="43">
        <v>84.197000000000003</v>
      </c>
      <c r="J8" s="43">
        <v>84.552999999999997</v>
      </c>
      <c r="K8" s="43">
        <v>84.909000000000006</v>
      </c>
      <c r="L8" s="43">
        <v>85.265000000000001</v>
      </c>
      <c r="M8" s="43">
        <v>85.396199999999993</v>
      </c>
      <c r="N8" s="43">
        <v>85.5274</v>
      </c>
      <c r="O8" s="43">
        <v>85.658600000000007</v>
      </c>
      <c r="P8" s="43">
        <v>85.7898</v>
      </c>
      <c r="Q8" s="43">
        <v>85.921000000000006</v>
      </c>
      <c r="R8" s="43">
        <v>85.888800000000003</v>
      </c>
      <c r="S8" s="43">
        <v>85.8566</v>
      </c>
      <c r="T8" s="43">
        <v>85.824399999999997</v>
      </c>
      <c r="U8" s="43">
        <v>85.792199999999994</v>
      </c>
      <c r="V8" s="43">
        <v>85.76</v>
      </c>
      <c r="W8" s="43">
        <v>85.7</v>
      </c>
      <c r="X8" s="43">
        <v>85.64</v>
      </c>
      <c r="Y8" s="43">
        <v>85.58</v>
      </c>
      <c r="Z8" s="43">
        <v>85.52</v>
      </c>
      <c r="AA8" s="43">
        <v>85.46</v>
      </c>
      <c r="AB8" s="43">
        <v>85.447999999999993</v>
      </c>
      <c r="AC8" s="43">
        <v>85.436000000000007</v>
      </c>
      <c r="AD8" s="43">
        <v>85.424000000000007</v>
      </c>
      <c r="AE8" s="43">
        <v>85.412000000000006</v>
      </c>
      <c r="AF8" s="43">
        <v>85.4</v>
      </c>
      <c r="AG8" s="43">
        <v>85.541200000000003</v>
      </c>
      <c r="AH8" s="43">
        <v>85.682400000000001</v>
      </c>
      <c r="AI8" s="43">
        <v>85.823599999999999</v>
      </c>
      <c r="AJ8" s="43">
        <v>85.964799999999997</v>
      </c>
      <c r="AK8" s="43">
        <v>86.105999999999995</v>
      </c>
      <c r="AL8" s="43">
        <v>86.317800000000005</v>
      </c>
      <c r="AM8" s="43">
        <v>86.529600000000002</v>
      </c>
      <c r="AN8" s="43">
        <v>86.741399999999999</v>
      </c>
      <c r="AO8" s="43">
        <v>86.953199999999995</v>
      </c>
      <c r="AP8" s="43">
        <v>87.165000000000006</v>
      </c>
      <c r="AQ8" s="43">
        <v>87.368399999999994</v>
      </c>
      <c r="AR8" s="43">
        <v>87.571799999999996</v>
      </c>
      <c r="AS8" s="43">
        <v>87.775199999999998</v>
      </c>
      <c r="AT8" s="43">
        <v>87.9786</v>
      </c>
      <c r="AU8" s="43">
        <v>88.182000000000002</v>
      </c>
      <c r="AV8" s="43">
        <v>88.354799999999997</v>
      </c>
      <c r="AW8" s="43">
        <v>88.527600000000007</v>
      </c>
      <c r="AX8" s="43">
        <v>88.700400000000002</v>
      </c>
      <c r="AY8" s="43">
        <v>88.873199999999997</v>
      </c>
      <c r="AZ8" s="43">
        <v>89.046000000000006</v>
      </c>
      <c r="BA8" s="43">
        <v>89.191599999999994</v>
      </c>
      <c r="BB8" s="43">
        <v>89.337199999999996</v>
      </c>
      <c r="BC8" s="43"/>
      <c r="BD8" s="44">
        <f t="shared" si="0"/>
        <v>84.957100000000011</v>
      </c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</row>
    <row r="9" spans="1:91">
      <c r="A9" s="41">
        <v>15</v>
      </c>
      <c r="B9" s="41" t="s">
        <v>147</v>
      </c>
      <c r="C9" s="43">
        <v>64.778199999999998</v>
      </c>
      <c r="D9" s="43">
        <v>64.836399999999998</v>
      </c>
      <c r="E9" s="43">
        <v>64.894599999999997</v>
      </c>
      <c r="F9" s="43">
        <v>64.952799999999996</v>
      </c>
      <c r="G9" s="43">
        <v>65.010999999999996</v>
      </c>
      <c r="H9" s="43">
        <v>65.060400000000001</v>
      </c>
      <c r="I9" s="43">
        <v>65.109800000000007</v>
      </c>
      <c r="J9" s="43">
        <v>65.159199999999998</v>
      </c>
      <c r="K9" s="43">
        <v>65.208600000000004</v>
      </c>
      <c r="L9" s="43">
        <v>65.257999999999996</v>
      </c>
      <c r="M9" s="43">
        <v>65.274600000000007</v>
      </c>
      <c r="N9" s="43">
        <v>65.291200000000003</v>
      </c>
      <c r="O9" s="43">
        <v>65.3078</v>
      </c>
      <c r="P9" s="43">
        <v>65.324399999999997</v>
      </c>
      <c r="Q9" s="43">
        <v>65.340999999999994</v>
      </c>
      <c r="R9" s="43">
        <v>65.350999999999999</v>
      </c>
      <c r="S9" s="43">
        <v>65.361000000000004</v>
      </c>
      <c r="T9" s="43">
        <v>65.370999999999995</v>
      </c>
      <c r="U9" s="43">
        <v>65.381</v>
      </c>
      <c r="V9" s="43">
        <v>65.391000000000005</v>
      </c>
      <c r="W9" s="43">
        <v>65.426000000000002</v>
      </c>
      <c r="X9" s="43">
        <v>65.460999999999999</v>
      </c>
      <c r="Y9" s="43">
        <v>65.495999999999995</v>
      </c>
      <c r="Z9" s="43">
        <v>65.531000000000006</v>
      </c>
      <c r="AA9" s="43">
        <v>65.566000000000003</v>
      </c>
      <c r="AB9" s="43">
        <v>65.605800000000002</v>
      </c>
      <c r="AC9" s="43">
        <v>65.645600000000002</v>
      </c>
      <c r="AD9" s="43">
        <v>65.685400000000001</v>
      </c>
      <c r="AE9" s="43">
        <v>65.725200000000001</v>
      </c>
      <c r="AF9" s="43">
        <v>65.765000000000001</v>
      </c>
      <c r="AG9" s="43">
        <v>65.772000000000006</v>
      </c>
      <c r="AH9" s="43">
        <v>65.778999999999996</v>
      </c>
      <c r="AI9" s="43">
        <v>65.786000000000001</v>
      </c>
      <c r="AJ9" s="43">
        <v>65.793000000000006</v>
      </c>
      <c r="AK9" s="43">
        <v>65.8</v>
      </c>
      <c r="AL9" s="43">
        <v>65.8</v>
      </c>
      <c r="AM9" s="43">
        <v>65.8</v>
      </c>
      <c r="AN9" s="43">
        <v>65.8</v>
      </c>
      <c r="AO9" s="43">
        <v>65.8</v>
      </c>
      <c r="AP9" s="43">
        <v>65.8</v>
      </c>
      <c r="AQ9" s="43">
        <v>65.946799999999996</v>
      </c>
      <c r="AR9" s="43">
        <v>66.093599999999995</v>
      </c>
      <c r="AS9" s="43">
        <v>66.240399999999994</v>
      </c>
      <c r="AT9" s="43">
        <v>66.387200000000007</v>
      </c>
      <c r="AU9" s="43">
        <v>66.534000000000006</v>
      </c>
      <c r="AV9" s="43">
        <v>66.718000000000004</v>
      </c>
      <c r="AW9" s="43">
        <v>66.902000000000001</v>
      </c>
      <c r="AX9" s="43">
        <v>67.085999999999999</v>
      </c>
      <c r="AY9" s="43">
        <v>67.27</v>
      </c>
      <c r="AZ9" s="43">
        <v>67.453999999999994</v>
      </c>
      <c r="BA9" s="43">
        <v>67.667400000000001</v>
      </c>
      <c r="BB9" s="43">
        <v>67.880799999999994</v>
      </c>
      <c r="BC9" s="43"/>
      <c r="BD9" s="44">
        <f t="shared" si="0"/>
        <v>65.319000000000031</v>
      </c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</row>
    <row r="10" spans="1:91">
      <c r="A10" s="41">
        <v>16</v>
      </c>
      <c r="B10" s="41" t="s">
        <v>146</v>
      </c>
      <c r="C10" s="43">
        <v>52.363199999999999</v>
      </c>
      <c r="D10" s="43">
        <v>52.063400000000001</v>
      </c>
      <c r="E10" s="43">
        <v>51.763599999999997</v>
      </c>
      <c r="F10" s="43">
        <v>51.463799999999999</v>
      </c>
      <c r="G10" s="43">
        <v>51.164000000000001</v>
      </c>
      <c r="H10" s="43">
        <v>50.9328</v>
      </c>
      <c r="I10" s="43">
        <v>50.701599999999999</v>
      </c>
      <c r="J10" s="43">
        <v>50.470399999999998</v>
      </c>
      <c r="K10" s="43">
        <v>50.239199999999997</v>
      </c>
      <c r="L10" s="43">
        <v>50.008000000000003</v>
      </c>
      <c r="M10" s="43">
        <v>50.385800000000003</v>
      </c>
      <c r="N10" s="43">
        <v>50.763599999999997</v>
      </c>
      <c r="O10" s="43">
        <v>51.141399999999997</v>
      </c>
      <c r="P10" s="43">
        <v>51.519199999999998</v>
      </c>
      <c r="Q10" s="43">
        <v>51.896999999999998</v>
      </c>
      <c r="R10" s="43">
        <v>52.073</v>
      </c>
      <c r="S10" s="43">
        <v>52.249000000000002</v>
      </c>
      <c r="T10" s="43">
        <v>52.424999999999997</v>
      </c>
      <c r="U10" s="43">
        <v>52.600999999999999</v>
      </c>
      <c r="V10" s="43">
        <v>52.777000000000001</v>
      </c>
      <c r="W10" s="43">
        <v>52.921199999999999</v>
      </c>
      <c r="X10" s="43">
        <v>53.065399999999997</v>
      </c>
      <c r="Y10" s="43">
        <v>53.209600000000002</v>
      </c>
      <c r="Z10" s="43">
        <v>53.3538</v>
      </c>
      <c r="AA10" s="43">
        <v>53.497999999999998</v>
      </c>
      <c r="AB10" s="43">
        <v>53.548200000000001</v>
      </c>
      <c r="AC10" s="43">
        <v>53.598399999999998</v>
      </c>
      <c r="AD10" s="43">
        <v>53.648600000000002</v>
      </c>
      <c r="AE10" s="43">
        <v>53.698799999999999</v>
      </c>
      <c r="AF10" s="43">
        <v>53.749000000000002</v>
      </c>
      <c r="AG10" s="43">
        <v>53.440399999999997</v>
      </c>
      <c r="AH10" s="43">
        <v>53.131799999999998</v>
      </c>
      <c r="AI10" s="43">
        <v>52.8232</v>
      </c>
      <c r="AJ10" s="43">
        <v>52.514600000000002</v>
      </c>
      <c r="AK10" s="43">
        <v>52.206000000000003</v>
      </c>
      <c r="AL10" s="43">
        <v>52.042000000000002</v>
      </c>
      <c r="AM10" s="43">
        <v>51.878</v>
      </c>
      <c r="AN10" s="43">
        <v>51.713999999999999</v>
      </c>
      <c r="AO10" s="43">
        <v>51.55</v>
      </c>
      <c r="AP10" s="43">
        <v>51.386000000000003</v>
      </c>
      <c r="AQ10" s="43">
        <v>51.586599999999997</v>
      </c>
      <c r="AR10" s="43">
        <v>51.787199999999999</v>
      </c>
      <c r="AS10" s="43">
        <v>51.9878</v>
      </c>
      <c r="AT10" s="43">
        <v>52.188400000000001</v>
      </c>
      <c r="AU10" s="43">
        <v>52.389000000000003</v>
      </c>
      <c r="AV10" s="43">
        <v>52.5914</v>
      </c>
      <c r="AW10" s="43">
        <v>52.793799999999997</v>
      </c>
      <c r="AX10" s="43">
        <v>52.996200000000002</v>
      </c>
      <c r="AY10" s="43">
        <v>53.198599999999999</v>
      </c>
      <c r="AZ10" s="43">
        <v>53.401000000000003</v>
      </c>
      <c r="BA10" s="43">
        <v>53.644799999999996</v>
      </c>
      <c r="BB10" s="43">
        <v>53.888599999999997</v>
      </c>
      <c r="BC10" s="43"/>
      <c r="BD10" s="44">
        <f t="shared" si="0"/>
        <v>52.109766666666658</v>
      </c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</row>
    <row r="11" spans="1:91">
      <c r="A11" s="41">
        <v>18</v>
      </c>
      <c r="B11" s="41" t="s">
        <v>145</v>
      </c>
      <c r="C11" s="43">
        <v>82.355999999999995</v>
      </c>
      <c r="D11" s="43">
        <v>82.391999999999996</v>
      </c>
      <c r="E11" s="43">
        <v>82.427999999999997</v>
      </c>
      <c r="F11" s="43">
        <v>82.463999999999999</v>
      </c>
      <c r="G11" s="43">
        <v>82.5</v>
      </c>
      <c r="H11" s="43">
        <v>82.754999999999995</v>
      </c>
      <c r="I11" s="43">
        <v>83.01</v>
      </c>
      <c r="J11" s="43">
        <v>83.265000000000001</v>
      </c>
      <c r="K11" s="43">
        <v>83.52</v>
      </c>
      <c r="L11" s="43">
        <v>83.775000000000006</v>
      </c>
      <c r="M11" s="43">
        <v>84.015000000000001</v>
      </c>
      <c r="N11" s="43">
        <v>84.254999999999995</v>
      </c>
      <c r="O11" s="43">
        <v>84.495000000000005</v>
      </c>
      <c r="P11" s="43">
        <v>84.734999999999999</v>
      </c>
      <c r="Q11" s="43">
        <v>84.974999999999994</v>
      </c>
      <c r="R11" s="43">
        <v>85.200199999999995</v>
      </c>
      <c r="S11" s="43">
        <v>85.425399999999996</v>
      </c>
      <c r="T11" s="43">
        <v>85.650599999999997</v>
      </c>
      <c r="U11" s="43">
        <v>85.875799999999998</v>
      </c>
      <c r="V11" s="43">
        <v>86.100999999999999</v>
      </c>
      <c r="W11" s="43">
        <v>86.311800000000005</v>
      </c>
      <c r="X11" s="43">
        <v>86.522599999999997</v>
      </c>
      <c r="Y11" s="43">
        <v>86.733400000000003</v>
      </c>
      <c r="Z11" s="43">
        <v>86.944199999999995</v>
      </c>
      <c r="AA11" s="43">
        <v>87.155000000000001</v>
      </c>
      <c r="AB11" s="43">
        <v>87.352000000000004</v>
      </c>
      <c r="AC11" s="43">
        <v>87.549000000000007</v>
      </c>
      <c r="AD11" s="43">
        <v>87.745999999999995</v>
      </c>
      <c r="AE11" s="43">
        <v>87.942999999999998</v>
      </c>
      <c r="AF11" s="43">
        <v>88.14</v>
      </c>
      <c r="AG11" s="43">
        <v>88.189599999999999</v>
      </c>
      <c r="AH11" s="43">
        <v>88.239199999999997</v>
      </c>
      <c r="AI11" s="43">
        <v>88.288799999999995</v>
      </c>
      <c r="AJ11" s="43">
        <v>88.338399999999993</v>
      </c>
      <c r="AK11" s="43">
        <v>88.388000000000005</v>
      </c>
      <c r="AL11" s="43">
        <v>88.384799999999998</v>
      </c>
      <c r="AM11" s="43">
        <v>88.381600000000006</v>
      </c>
      <c r="AN11" s="43">
        <v>88.378399999999999</v>
      </c>
      <c r="AO11" s="43">
        <v>88.375200000000007</v>
      </c>
      <c r="AP11" s="43">
        <v>88.372</v>
      </c>
      <c r="AQ11" s="43">
        <v>88.381399999999999</v>
      </c>
      <c r="AR11" s="43">
        <v>88.390799999999999</v>
      </c>
      <c r="AS11" s="43">
        <v>88.400199999999998</v>
      </c>
      <c r="AT11" s="43">
        <v>88.409599999999998</v>
      </c>
      <c r="AU11" s="43">
        <v>88.418999999999997</v>
      </c>
      <c r="AV11" s="43">
        <v>88.458799999999997</v>
      </c>
      <c r="AW11" s="43">
        <v>88.498599999999996</v>
      </c>
      <c r="AX11" s="43">
        <v>88.538399999999996</v>
      </c>
      <c r="AY11" s="43">
        <v>88.578199999999995</v>
      </c>
      <c r="AZ11" s="43">
        <v>88.617999999999995</v>
      </c>
      <c r="BA11" s="43">
        <v>88.687200000000004</v>
      </c>
      <c r="BB11" s="43">
        <v>88.756399999999999</v>
      </c>
      <c r="BC11" s="43"/>
      <c r="BD11" s="44">
        <f t="shared" si="0"/>
        <v>85.052999999999983</v>
      </c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</row>
    <row r="12" spans="1:91">
      <c r="A12" s="41">
        <v>19</v>
      </c>
      <c r="B12" s="41" t="s">
        <v>144</v>
      </c>
      <c r="C12" s="43">
        <v>5.3502000000000001</v>
      </c>
      <c r="D12" s="43">
        <v>5.5654000000000003</v>
      </c>
      <c r="E12" s="43">
        <v>5.7805999999999997</v>
      </c>
      <c r="F12" s="43">
        <v>5.9958</v>
      </c>
      <c r="G12" s="43">
        <v>6.2110000000000003</v>
      </c>
      <c r="H12" s="43">
        <v>6.4874000000000001</v>
      </c>
      <c r="I12" s="43">
        <v>6.7637999999999998</v>
      </c>
      <c r="J12" s="43">
        <v>7.0401999999999996</v>
      </c>
      <c r="K12" s="43">
        <v>7.3166000000000002</v>
      </c>
      <c r="L12" s="43">
        <v>7.593</v>
      </c>
      <c r="M12" s="43">
        <v>8.0416000000000007</v>
      </c>
      <c r="N12" s="43">
        <v>8.4901999999999997</v>
      </c>
      <c r="O12" s="43">
        <v>8.9388000000000005</v>
      </c>
      <c r="P12" s="43">
        <v>9.3873999999999995</v>
      </c>
      <c r="Q12" s="43">
        <v>9.8360000000000003</v>
      </c>
      <c r="R12" s="43">
        <v>10.839</v>
      </c>
      <c r="S12" s="43">
        <v>11.842000000000001</v>
      </c>
      <c r="T12" s="43">
        <v>12.845000000000001</v>
      </c>
      <c r="U12" s="43">
        <v>13.848000000000001</v>
      </c>
      <c r="V12" s="43">
        <v>14.851000000000001</v>
      </c>
      <c r="W12" s="43">
        <v>15.38</v>
      </c>
      <c r="X12" s="43">
        <v>15.909000000000001</v>
      </c>
      <c r="Y12" s="43">
        <v>16.437999999999999</v>
      </c>
      <c r="Z12" s="43">
        <v>16.966999999999999</v>
      </c>
      <c r="AA12" s="43">
        <v>17.495999999999999</v>
      </c>
      <c r="AB12" s="43">
        <v>17.959</v>
      </c>
      <c r="AC12" s="43">
        <v>18.422000000000001</v>
      </c>
      <c r="AD12" s="43">
        <v>18.885000000000002</v>
      </c>
      <c r="AE12" s="43">
        <v>19.347999999999999</v>
      </c>
      <c r="AF12" s="43">
        <v>19.811</v>
      </c>
      <c r="AG12" s="43">
        <v>20.1874</v>
      </c>
      <c r="AH12" s="43">
        <v>20.563800000000001</v>
      </c>
      <c r="AI12" s="43">
        <v>20.940200000000001</v>
      </c>
      <c r="AJ12" s="43">
        <v>21.316600000000001</v>
      </c>
      <c r="AK12" s="43">
        <v>21.693000000000001</v>
      </c>
      <c r="AL12" s="43">
        <v>22.072399999999998</v>
      </c>
      <c r="AM12" s="43">
        <v>22.451799999999999</v>
      </c>
      <c r="AN12" s="43">
        <v>22.831199999999999</v>
      </c>
      <c r="AO12" s="43">
        <v>23.210599999999999</v>
      </c>
      <c r="AP12" s="43">
        <v>23.59</v>
      </c>
      <c r="AQ12" s="43">
        <v>23.999199999999998</v>
      </c>
      <c r="AR12" s="43">
        <v>24.4084</v>
      </c>
      <c r="AS12" s="43">
        <v>24.817599999999999</v>
      </c>
      <c r="AT12" s="43">
        <v>25.226800000000001</v>
      </c>
      <c r="AU12" s="43">
        <v>25.635999999999999</v>
      </c>
      <c r="AV12" s="43">
        <v>26.087599999999998</v>
      </c>
      <c r="AW12" s="43">
        <v>26.539200000000001</v>
      </c>
      <c r="AX12" s="43">
        <v>26.9908</v>
      </c>
      <c r="AY12" s="43">
        <v>27.442399999999999</v>
      </c>
      <c r="AZ12" s="43">
        <v>27.893999999999998</v>
      </c>
      <c r="BA12" s="43">
        <v>28.3902</v>
      </c>
      <c r="BB12" s="43">
        <v>28.886399999999998</v>
      </c>
      <c r="BC12" s="43"/>
      <c r="BD12" s="44">
        <f t="shared" si="0"/>
        <v>11.654599999999999</v>
      </c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</row>
    <row r="13" spans="1:91">
      <c r="A13" s="41">
        <v>21</v>
      </c>
      <c r="B13" s="41" t="s">
        <v>143</v>
      </c>
      <c r="C13" s="43">
        <v>33.546199999999999</v>
      </c>
      <c r="D13" s="43">
        <v>34.691400000000002</v>
      </c>
      <c r="E13" s="43">
        <v>35.836599999999997</v>
      </c>
      <c r="F13" s="43">
        <v>36.9818</v>
      </c>
      <c r="G13" s="43">
        <v>38.127000000000002</v>
      </c>
      <c r="H13" s="43">
        <v>39.303600000000003</v>
      </c>
      <c r="I13" s="43">
        <v>40.480200000000004</v>
      </c>
      <c r="J13" s="43">
        <v>41.656799999999997</v>
      </c>
      <c r="K13" s="43">
        <v>42.833399999999997</v>
      </c>
      <c r="L13" s="43">
        <v>44.01</v>
      </c>
      <c r="M13" s="43">
        <v>45.330800000000004</v>
      </c>
      <c r="N13" s="43">
        <v>46.651600000000002</v>
      </c>
      <c r="O13" s="43">
        <v>47.9724</v>
      </c>
      <c r="P13" s="43">
        <v>49.293199999999999</v>
      </c>
      <c r="Q13" s="43">
        <v>50.613999999999997</v>
      </c>
      <c r="R13" s="43">
        <v>51.790799999999997</v>
      </c>
      <c r="S13" s="43">
        <v>52.967599999999997</v>
      </c>
      <c r="T13" s="43">
        <v>54.144399999999997</v>
      </c>
      <c r="U13" s="43">
        <v>55.321199999999997</v>
      </c>
      <c r="V13" s="43">
        <v>56.497999999999998</v>
      </c>
      <c r="W13" s="43">
        <v>57.564999999999998</v>
      </c>
      <c r="X13" s="43">
        <v>58.631999999999998</v>
      </c>
      <c r="Y13" s="43">
        <v>59.698999999999998</v>
      </c>
      <c r="Z13" s="43">
        <v>60.765999999999998</v>
      </c>
      <c r="AA13" s="43">
        <v>61.832999999999998</v>
      </c>
      <c r="AB13" s="43">
        <v>62.662599999999998</v>
      </c>
      <c r="AC13" s="43">
        <v>63.492199999999997</v>
      </c>
      <c r="AD13" s="43">
        <v>64.321799999999996</v>
      </c>
      <c r="AE13" s="43">
        <v>65.151399999999995</v>
      </c>
      <c r="AF13" s="43">
        <v>65.980999999999995</v>
      </c>
      <c r="AG13" s="43">
        <v>66.37</v>
      </c>
      <c r="AH13" s="43">
        <v>66.759</v>
      </c>
      <c r="AI13" s="43">
        <v>67.147999999999996</v>
      </c>
      <c r="AJ13" s="43">
        <v>67.537000000000006</v>
      </c>
      <c r="AK13" s="43">
        <v>67.926000000000002</v>
      </c>
      <c r="AL13" s="43">
        <v>68.335400000000007</v>
      </c>
      <c r="AM13" s="43">
        <v>68.744799999999998</v>
      </c>
      <c r="AN13" s="43">
        <v>69.154200000000003</v>
      </c>
      <c r="AO13" s="43">
        <v>69.563599999999994</v>
      </c>
      <c r="AP13" s="43">
        <v>69.972999999999999</v>
      </c>
      <c r="AQ13" s="43">
        <v>70.449200000000005</v>
      </c>
      <c r="AR13" s="43">
        <v>70.925399999999996</v>
      </c>
      <c r="AS13" s="43">
        <v>71.401600000000002</v>
      </c>
      <c r="AT13" s="43">
        <v>71.877799999999993</v>
      </c>
      <c r="AU13" s="43">
        <v>72.353999999999999</v>
      </c>
      <c r="AV13" s="43">
        <v>72.806200000000004</v>
      </c>
      <c r="AW13" s="43">
        <v>73.258399999999995</v>
      </c>
      <c r="AX13" s="43">
        <v>73.710599999999999</v>
      </c>
      <c r="AY13" s="43">
        <v>74.162800000000004</v>
      </c>
      <c r="AZ13" s="43">
        <v>74.614999999999995</v>
      </c>
      <c r="BA13" s="43">
        <v>75.021600000000007</v>
      </c>
      <c r="BB13" s="43">
        <v>75.428200000000004</v>
      </c>
      <c r="BC13" s="43"/>
      <c r="BD13" s="44">
        <f t="shared" si="0"/>
        <v>50.605166666666655</v>
      </c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</row>
    <row r="14" spans="1:91">
      <c r="A14" s="41">
        <v>22</v>
      </c>
      <c r="B14" s="41" t="s">
        <v>142</v>
      </c>
      <c r="C14" s="43">
        <v>92.595399999999998</v>
      </c>
      <c r="D14" s="43">
        <v>92.730800000000002</v>
      </c>
      <c r="E14" s="43">
        <v>92.866200000000006</v>
      </c>
      <c r="F14" s="43">
        <v>93.001599999999996</v>
      </c>
      <c r="G14" s="43">
        <v>93.137</v>
      </c>
      <c r="H14" s="43">
        <v>93.278199999999998</v>
      </c>
      <c r="I14" s="43">
        <v>93.419399999999996</v>
      </c>
      <c r="J14" s="43">
        <v>93.560599999999994</v>
      </c>
      <c r="K14" s="43">
        <v>93.701800000000006</v>
      </c>
      <c r="L14" s="43">
        <v>93.843000000000004</v>
      </c>
      <c r="M14" s="43">
        <v>93.970399999999998</v>
      </c>
      <c r="N14" s="43">
        <v>94.097800000000007</v>
      </c>
      <c r="O14" s="43">
        <v>94.225200000000001</v>
      </c>
      <c r="P14" s="43">
        <v>94.352599999999995</v>
      </c>
      <c r="Q14" s="43">
        <v>94.48</v>
      </c>
      <c r="R14" s="43">
        <v>94.660200000000003</v>
      </c>
      <c r="S14" s="43">
        <v>94.840400000000002</v>
      </c>
      <c r="T14" s="43">
        <v>95.020600000000002</v>
      </c>
      <c r="U14" s="43">
        <v>95.200800000000001</v>
      </c>
      <c r="V14" s="43">
        <v>95.381</v>
      </c>
      <c r="W14" s="43">
        <v>95.490799999999993</v>
      </c>
      <c r="X14" s="43">
        <v>95.6006</v>
      </c>
      <c r="Y14" s="43">
        <v>95.710400000000007</v>
      </c>
      <c r="Z14" s="43">
        <v>95.8202</v>
      </c>
      <c r="AA14" s="43">
        <v>95.93</v>
      </c>
      <c r="AB14" s="43">
        <v>96.019400000000005</v>
      </c>
      <c r="AC14" s="43">
        <v>96.108800000000002</v>
      </c>
      <c r="AD14" s="43">
        <v>96.1982</v>
      </c>
      <c r="AE14" s="43">
        <v>96.287599999999998</v>
      </c>
      <c r="AF14" s="43">
        <v>96.376999999999995</v>
      </c>
      <c r="AG14" s="43">
        <v>96.456999999999994</v>
      </c>
      <c r="AH14" s="43">
        <v>96.537000000000006</v>
      </c>
      <c r="AI14" s="43">
        <v>96.617000000000004</v>
      </c>
      <c r="AJ14" s="43">
        <v>96.697000000000003</v>
      </c>
      <c r="AK14" s="43">
        <v>96.777000000000001</v>
      </c>
      <c r="AL14" s="43">
        <v>96.845200000000006</v>
      </c>
      <c r="AM14" s="43">
        <v>96.913399999999996</v>
      </c>
      <c r="AN14" s="43">
        <v>96.9816</v>
      </c>
      <c r="AO14" s="43">
        <v>97.049800000000005</v>
      </c>
      <c r="AP14" s="43">
        <v>97.117999999999995</v>
      </c>
      <c r="AQ14" s="43">
        <v>97.152799999999999</v>
      </c>
      <c r="AR14" s="43">
        <v>97.187600000000003</v>
      </c>
      <c r="AS14" s="43">
        <v>97.222399999999993</v>
      </c>
      <c r="AT14" s="43">
        <v>97.257199999999997</v>
      </c>
      <c r="AU14" s="43">
        <v>97.292000000000002</v>
      </c>
      <c r="AV14" s="43">
        <v>97.324799999999996</v>
      </c>
      <c r="AW14" s="43">
        <v>97.357600000000005</v>
      </c>
      <c r="AX14" s="43">
        <v>97.3904</v>
      </c>
      <c r="AY14" s="43">
        <v>97.423199999999994</v>
      </c>
      <c r="AZ14" s="43">
        <v>97.456000000000003</v>
      </c>
      <c r="BA14" s="43">
        <v>97.485399999999998</v>
      </c>
      <c r="BB14" s="43">
        <v>97.514799999999994</v>
      </c>
      <c r="BC14" s="43"/>
      <c r="BD14" s="44">
        <f t="shared" si="0"/>
        <v>94.596866666666685</v>
      </c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</row>
    <row r="15" spans="1:91">
      <c r="A15" s="41">
        <v>24</v>
      </c>
      <c r="B15" s="41" t="s">
        <v>141</v>
      </c>
      <c r="C15" s="43">
        <v>9.9238</v>
      </c>
      <c r="D15" s="43">
        <v>10.5726</v>
      </c>
      <c r="E15" s="43">
        <v>11.221399999999999</v>
      </c>
      <c r="F15" s="43">
        <v>11.870200000000001</v>
      </c>
      <c r="G15" s="43">
        <v>12.519</v>
      </c>
      <c r="H15" s="43">
        <v>13.353400000000001</v>
      </c>
      <c r="I15" s="43">
        <v>14.187799999999999</v>
      </c>
      <c r="J15" s="43">
        <v>15.0222</v>
      </c>
      <c r="K15" s="43">
        <v>15.8566</v>
      </c>
      <c r="L15" s="43">
        <v>16.690999999999999</v>
      </c>
      <c r="M15" s="43">
        <v>17.733599999999999</v>
      </c>
      <c r="N15" s="43">
        <v>18.776199999999999</v>
      </c>
      <c r="O15" s="43">
        <v>19.8188</v>
      </c>
      <c r="P15" s="43">
        <v>20.8614</v>
      </c>
      <c r="Q15" s="43">
        <v>21.904</v>
      </c>
      <c r="R15" s="43">
        <v>22.991</v>
      </c>
      <c r="S15" s="43">
        <v>24.077999999999999</v>
      </c>
      <c r="T15" s="43">
        <v>25.164999999999999</v>
      </c>
      <c r="U15" s="43">
        <v>26.251999999999999</v>
      </c>
      <c r="V15" s="43">
        <v>27.338999999999999</v>
      </c>
      <c r="W15" s="43">
        <v>28.0304</v>
      </c>
      <c r="X15" s="43">
        <v>28.721800000000002</v>
      </c>
      <c r="Y15" s="43">
        <v>29.4132</v>
      </c>
      <c r="Z15" s="43">
        <v>30.104600000000001</v>
      </c>
      <c r="AA15" s="43">
        <v>30.795999999999999</v>
      </c>
      <c r="AB15" s="43">
        <v>31.533799999999999</v>
      </c>
      <c r="AC15" s="43">
        <v>32.271599999999999</v>
      </c>
      <c r="AD15" s="43">
        <v>33.009399999999999</v>
      </c>
      <c r="AE15" s="43">
        <v>33.747199999999999</v>
      </c>
      <c r="AF15" s="43">
        <v>34.484999999999999</v>
      </c>
      <c r="AG15" s="43">
        <v>34.939599999999999</v>
      </c>
      <c r="AH15" s="43">
        <v>35.394199999999998</v>
      </c>
      <c r="AI15" s="43">
        <v>35.848799999999997</v>
      </c>
      <c r="AJ15" s="43">
        <v>36.303400000000003</v>
      </c>
      <c r="AK15" s="43">
        <v>36.758000000000003</v>
      </c>
      <c r="AL15" s="43">
        <v>37.073</v>
      </c>
      <c r="AM15" s="43">
        <v>37.387999999999998</v>
      </c>
      <c r="AN15" s="43">
        <v>37.703000000000003</v>
      </c>
      <c r="AO15" s="43">
        <v>38.018000000000001</v>
      </c>
      <c r="AP15" s="43">
        <v>38.332999999999998</v>
      </c>
      <c r="AQ15" s="43">
        <v>38.866999999999997</v>
      </c>
      <c r="AR15" s="43">
        <v>39.401000000000003</v>
      </c>
      <c r="AS15" s="43">
        <v>39.935000000000002</v>
      </c>
      <c r="AT15" s="43">
        <v>40.469000000000001</v>
      </c>
      <c r="AU15" s="43">
        <v>41.003</v>
      </c>
      <c r="AV15" s="43">
        <v>41.654000000000003</v>
      </c>
      <c r="AW15" s="43">
        <v>42.305</v>
      </c>
      <c r="AX15" s="43">
        <v>42.956000000000003</v>
      </c>
      <c r="AY15" s="43">
        <v>43.606999999999999</v>
      </c>
      <c r="AZ15" s="43">
        <v>44.258000000000003</v>
      </c>
      <c r="BA15" s="43">
        <v>44.9086</v>
      </c>
      <c r="BB15" s="43">
        <v>45.559199999999997</v>
      </c>
      <c r="BC15" s="43"/>
      <c r="BD15" s="44">
        <f t="shared" si="0"/>
        <v>22.275000000000002</v>
      </c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</row>
    <row r="16" spans="1:91">
      <c r="A16" s="41">
        <v>27</v>
      </c>
      <c r="B16" s="41" t="s">
        <v>140</v>
      </c>
      <c r="C16" s="43">
        <v>37.061</v>
      </c>
      <c r="D16" s="43">
        <v>37.36</v>
      </c>
      <c r="E16" s="43">
        <v>37.658999999999999</v>
      </c>
      <c r="F16" s="43">
        <v>37.957999999999998</v>
      </c>
      <c r="G16" s="43">
        <v>38.256999999999998</v>
      </c>
      <c r="H16" s="43">
        <v>38.5608</v>
      </c>
      <c r="I16" s="43">
        <v>38.864600000000003</v>
      </c>
      <c r="J16" s="43">
        <v>39.168399999999998</v>
      </c>
      <c r="K16" s="43">
        <v>39.472200000000001</v>
      </c>
      <c r="L16" s="43">
        <v>39.776000000000003</v>
      </c>
      <c r="M16" s="43">
        <v>40.083599999999997</v>
      </c>
      <c r="N16" s="43">
        <v>40.391199999999998</v>
      </c>
      <c r="O16" s="43">
        <v>40.698799999999999</v>
      </c>
      <c r="P16" s="43">
        <v>41.006399999999999</v>
      </c>
      <c r="Q16" s="43">
        <v>41.314</v>
      </c>
      <c r="R16" s="43">
        <v>42.141399999999997</v>
      </c>
      <c r="S16" s="43">
        <v>42.968800000000002</v>
      </c>
      <c r="T16" s="43">
        <v>43.796199999999999</v>
      </c>
      <c r="U16" s="43">
        <v>44.623600000000003</v>
      </c>
      <c r="V16" s="43">
        <v>45.451000000000001</v>
      </c>
      <c r="W16" s="43">
        <v>46.464599999999997</v>
      </c>
      <c r="X16" s="43">
        <v>47.478200000000001</v>
      </c>
      <c r="Y16" s="43">
        <v>48.491799999999998</v>
      </c>
      <c r="Z16" s="43">
        <v>49.505400000000002</v>
      </c>
      <c r="AA16" s="43">
        <v>50.518999999999998</v>
      </c>
      <c r="AB16" s="43">
        <v>51.5306</v>
      </c>
      <c r="AC16" s="43">
        <v>52.542200000000001</v>
      </c>
      <c r="AD16" s="43">
        <v>53.553800000000003</v>
      </c>
      <c r="AE16" s="43">
        <v>54.565399999999997</v>
      </c>
      <c r="AF16" s="43">
        <v>55.576999999999998</v>
      </c>
      <c r="AG16" s="43">
        <v>56.3416</v>
      </c>
      <c r="AH16" s="43">
        <v>57.106200000000001</v>
      </c>
      <c r="AI16" s="43">
        <v>57.870800000000003</v>
      </c>
      <c r="AJ16" s="43">
        <v>58.635399999999997</v>
      </c>
      <c r="AK16" s="43">
        <v>59.4</v>
      </c>
      <c r="AL16" s="43">
        <v>59.886800000000001</v>
      </c>
      <c r="AM16" s="43">
        <v>60.373600000000003</v>
      </c>
      <c r="AN16" s="43">
        <v>60.860399999999998</v>
      </c>
      <c r="AO16" s="43">
        <v>61.347200000000001</v>
      </c>
      <c r="AP16" s="43">
        <v>61.834000000000003</v>
      </c>
      <c r="AQ16" s="43">
        <v>62.305</v>
      </c>
      <c r="AR16" s="43">
        <v>62.776000000000003</v>
      </c>
      <c r="AS16" s="43">
        <v>63.247</v>
      </c>
      <c r="AT16" s="43">
        <v>63.718000000000004</v>
      </c>
      <c r="AU16" s="43">
        <v>64.188999999999993</v>
      </c>
      <c r="AV16" s="43">
        <v>64.631</v>
      </c>
      <c r="AW16" s="43">
        <v>65.072999999999993</v>
      </c>
      <c r="AX16" s="43">
        <v>65.515000000000001</v>
      </c>
      <c r="AY16" s="43">
        <v>65.956999999999994</v>
      </c>
      <c r="AZ16" s="43">
        <v>66.399000000000001</v>
      </c>
      <c r="BA16" s="43">
        <v>66.811400000000006</v>
      </c>
      <c r="BB16" s="43">
        <v>67.223799999999997</v>
      </c>
      <c r="BC16" s="43"/>
      <c r="BD16" s="44">
        <f t="shared" si="0"/>
        <v>43.894666666666666</v>
      </c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</row>
    <row r="17" spans="1:91">
      <c r="A17" s="41">
        <v>28</v>
      </c>
      <c r="B17" s="41" t="s">
        <v>139</v>
      </c>
      <c r="C17" s="43">
        <v>19.795400000000001</v>
      </c>
      <c r="D17" s="43">
        <v>20.550799999999999</v>
      </c>
      <c r="E17" s="43">
        <v>21.3062</v>
      </c>
      <c r="F17" s="43">
        <v>22.061599999999999</v>
      </c>
      <c r="G17" s="43">
        <v>22.817</v>
      </c>
      <c r="H17" s="43">
        <v>23.6938</v>
      </c>
      <c r="I17" s="43">
        <v>24.570599999999999</v>
      </c>
      <c r="J17" s="43">
        <v>25.447399999999998</v>
      </c>
      <c r="K17" s="43">
        <v>26.324200000000001</v>
      </c>
      <c r="L17" s="43">
        <v>27.201000000000001</v>
      </c>
      <c r="M17" s="43">
        <v>28.0184</v>
      </c>
      <c r="N17" s="43">
        <v>28.835799999999999</v>
      </c>
      <c r="O17" s="43">
        <v>29.653199999999998</v>
      </c>
      <c r="P17" s="43">
        <v>30.470600000000001</v>
      </c>
      <c r="Q17" s="43">
        <v>31.288</v>
      </c>
      <c r="R17" s="43">
        <v>32.139000000000003</v>
      </c>
      <c r="S17" s="43">
        <v>32.99</v>
      </c>
      <c r="T17" s="43">
        <v>33.841000000000001</v>
      </c>
      <c r="U17" s="43">
        <v>34.692</v>
      </c>
      <c r="V17" s="43">
        <v>35.542999999999999</v>
      </c>
      <c r="W17" s="43">
        <v>35.952199999999998</v>
      </c>
      <c r="X17" s="43">
        <v>36.361400000000003</v>
      </c>
      <c r="Y17" s="43">
        <v>36.770600000000002</v>
      </c>
      <c r="Z17" s="43">
        <v>37.1798</v>
      </c>
      <c r="AA17" s="43">
        <v>37.588999999999999</v>
      </c>
      <c r="AB17" s="43">
        <v>37.920999999999999</v>
      </c>
      <c r="AC17" s="43">
        <v>38.253</v>
      </c>
      <c r="AD17" s="43">
        <v>38.585000000000001</v>
      </c>
      <c r="AE17" s="43">
        <v>38.917000000000002</v>
      </c>
      <c r="AF17" s="43">
        <v>39.249000000000002</v>
      </c>
      <c r="AG17" s="43">
        <v>39.602800000000002</v>
      </c>
      <c r="AH17" s="43">
        <v>39.956600000000002</v>
      </c>
      <c r="AI17" s="43">
        <v>40.310400000000001</v>
      </c>
      <c r="AJ17" s="43">
        <v>40.664200000000001</v>
      </c>
      <c r="AK17" s="43">
        <v>41.018000000000001</v>
      </c>
      <c r="AL17" s="43">
        <v>41.418599999999998</v>
      </c>
      <c r="AM17" s="43">
        <v>41.819200000000002</v>
      </c>
      <c r="AN17" s="43">
        <v>42.219799999999999</v>
      </c>
      <c r="AO17" s="43">
        <v>42.620399999999997</v>
      </c>
      <c r="AP17" s="43">
        <v>43.021000000000001</v>
      </c>
      <c r="AQ17" s="43">
        <v>43.468800000000002</v>
      </c>
      <c r="AR17" s="43">
        <v>43.916600000000003</v>
      </c>
      <c r="AS17" s="43">
        <v>44.364400000000003</v>
      </c>
      <c r="AT17" s="43">
        <v>44.812199999999997</v>
      </c>
      <c r="AU17" s="43">
        <v>45.26</v>
      </c>
      <c r="AV17" s="43">
        <v>45.754600000000003</v>
      </c>
      <c r="AW17" s="43">
        <v>46.249200000000002</v>
      </c>
      <c r="AX17" s="43">
        <v>46.7438</v>
      </c>
      <c r="AY17" s="43">
        <v>47.238399999999999</v>
      </c>
      <c r="AZ17" s="43">
        <v>47.732999999999997</v>
      </c>
      <c r="BA17" s="43">
        <v>48.273000000000003</v>
      </c>
      <c r="BB17" s="43">
        <v>48.813000000000002</v>
      </c>
      <c r="BC17" s="43"/>
      <c r="BD17" s="44">
        <f t="shared" si="0"/>
        <v>30.933900000000008</v>
      </c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</row>
    <row r="18" spans="1:91">
      <c r="A18" s="41">
        <v>29</v>
      </c>
      <c r="B18" s="41" t="s">
        <v>138</v>
      </c>
      <c r="C18" s="43">
        <v>3.2158000000000002</v>
      </c>
      <c r="D18" s="43">
        <v>3.3715999999999999</v>
      </c>
      <c r="E18" s="43">
        <v>3.5274000000000001</v>
      </c>
      <c r="F18" s="43">
        <v>3.6831999999999998</v>
      </c>
      <c r="G18" s="43">
        <v>3.839</v>
      </c>
      <c r="H18" s="43">
        <v>4.6379999999999999</v>
      </c>
      <c r="I18" s="43">
        <v>5.4370000000000003</v>
      </c>
      <c r="J18" s="43">
        <v>6.2359999999999998</v>
      </c>
      <c r="K18" s="43">
        <v>7.0350000000000001</v>
      </c>
      <c r="L18" s="43">
        <v>7.8339999999999996</v>
      </c>
      <c r="M18" s="43">
        <v>8.6440000000000001</v>
      </c>
      <c r="N18" s="43">
        <v>9.4540000000000006</v>
      </c>
      <c r="O18" s="43">
        <v>10.263999999999999</v>
      </c>
      <c r="P18" s="43">
        <v>11.074</v>
      </c>
      <c r="Q18" s="43">
        <v>11.884</v>
      </c>
      <c r="R18" s="43">
        <v>12.803000000000001</v>
      </c>
      <c r="S18" s="43">
        <v>13.722</v>
      </c>
      <c r="T18" s="43">
        <v>14.641</v>
      </c>
      <c r="U18" s="43">
        <v>15.56</v>
      </c>
      <c r="V18" s="43">
        <v>16.478999999999999</v>
      </c>
      <c r="W18" s="43">
        <v>18.527999999999999</v>
      </c>
      <c r="X18" s="43">
        <v>20.577000000000002</v>
      </c>
      <c r="Y18" s="43">
        <v>22.626000000000001</v>
      </c>
      <c r="Z18" s="43">
        <v>24.675000000000001</v>
      </c>
      <c r="AA18" s="43">
        <v>26.724</v>
      </c>
      <c r="AB18" s="43">
        <v>29.765799999999999</v>
      </c>
      <c r="AC18" s="43">
        <v>32.807600000000001</v>
      </c>
      <c r="AD18" s="43">
        <v>35.849400000000003</v>
      </c>
      <c r="AE18" s="43">
        <v>38.891199999999998</v>
      </c>
      <c r="AF18" s="43">
        <v>41.933</v>
      </c>
      <c r="AG18" s="43">
        <v>43.342599999999997</v>
      </c>
      <c r="AH18" s="43">
        <v>44.752200000000002</v>
      </c>
      <c r="AI18" s="43">
        <v>46.161799999999999</v>
      </c>
      <c r="AJ18" s="43">
        <v>47.571399999999997</v>
      </c>
      <c r="AK18" s="43">
        <v>48.981000000000002</v>
      </c>
      <c r="AL18" s="43">
        <v>49.828600000000002</v>
      </c>
      <c r="AM18" s="43">
        <v>50.676200000000001</v>
      </c>
      <c r="AN18" s="43">
        <v>51.523800000000001</v>
      </c>
      <c r="AO18" s="43">
        <v>52.371400000000001</v>
      </c>
      <c r="AP18" s="43">
        <v>53.219000000000001</v>
      </c>
      <c r="AQ18" s="43">
        <v>54.039200000000001</v>
      </c>
      <c r="AR18" s="43">
        <v>54.859400000000001</v>
      </c>
      <c r="AS18" s="43">
        <v>55.679600000000001</v>
      </c>
      <c r="AT18" s="43">
        <v>56.4998</v>
      </c>
      <c r="AU18" s="43">
        <v>57.32</v>
      </c>
      <c r="AV18" s="43">
        <v>58.051400000000001</v>
      </c>
      <c r="AW18" s="43">
        <v>58.782800000000002</v>
      </c>
      <c r="AX18" s="43">
        <v>59.514200000000002</v>
      </c>
      <c r="AY18" s="43">
        <v>60.245600000000003</v>
      </c>
      <c r="AZ18" s="43">
        <v>60.976999999999997</v>
      </c>
      <c r="BA18" s="43">
        <v>61.614800000000002</v>
      </c>
      <c r="BB18" s="43">
        <v>62.252600000000001</v>
      </c>
      <c r="BC18" s="43"/>
      <c r="BD18" s="44">
        <f t="shared" si="0"/>
        <v>15.523966666666665</v>
      </c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</row>
    <row r="19" spans="1:91">
      <c r="A19" s="41">
        <v>31</v>
      </c>
      <c r="B19" s="41" t="s">
        <v>137</v>
      </c>
      <c r="C19" s="43">
        <v>47.118600000000001</v>
      </c>
      <c r="D19" s="43">
        <v>48.098199999999999</v>
      </c>
      <c r="E19" s="43">
        <v>49.077800000000003</v>
      </c>
      <c r="F19" s="43">
        <v>50.057400000000001</v>
      </c>
      <c r="G19" s="43">
        <v>51.036999999999999</v>
      </c>
      <c r="H19" s="43">
        <v>52.011400000000002</v>
      </c>
      <c r="I19" s="43">
        <v>52.985799999999998</v>
      </c>
      <c r="J19" s="43">
        <v>53.9602</v>
      </c>
      <c r="K19" s="43">
        <v>54.934600000000003</v>
      </c>
      <c r="L19" s="43">
        <v>55.908999999999999</v>
      </c>
      <c r="M19" s="43">
        <v>56.884999999999998</v>
      </c>
      <c r="N19" s="43">
        <v>57.860999999999997</v>
      </c>
      <c r="O19" s="43">
        <v>58.837000000000003</v>
      </c>
      <c r="P19" s="43">
        <v>59.813000000000002</v>
      </c>
      <c r="Q19" s="43">
        <v>60.789000000000001</v>
      </c>
      <c r="R19" s="43">
        <v>61.724800000000002</v>
      </c>
      <c r="S19" s="43">
        <v>62.660600000000002</v>
      </c>
      <c r="T19" s="43">
        <v>63.596400000000003</v>
      </c>
      <c r="U19" s="43">
        <v>64.532200000000003</v>
      </c>
      <c r="V19" s="43">
        <v>65.468000000000004</v>
      </c>
      <c r="W19" s="43">
        <v>66.346800000000002</v>
      </c>
      <c r="X19" s="43">
        <v>67.2256</v>
      </c>
      <c r="Y19" s="43">
        <v>68.104399999999998</v>
      </c>
      <c r="Z19" s="43">
        <v>68.983199999999997</v>
      </c>
      <c r="AA19" s="43">
        <v>69.861999999999995</v>
      </c>
      <c r="AB19" s="43">
        <v>70.674000000000007</v>
      </c>
      <c r="AC19" s="43">
        <v>71.486000000000004</v>
      </c>
      <c r="AD19" s="43">
        <v>72.298000000000002</v>
      </c>
      <c r="AE19" s="43">
        <v>73.11</v>
      </c>
      <c r="AF19" s="43">
        <v>73.921999999999997</v>
      </c>
      <c r="AG19" s="43">
        <v>74.659599999999998</v>
      </c>
      <c r="AH19" s="43">
        <v>75.397199999999998</v>
      </c>
      <c r="AI19" s="43">
        <v>76.134799999999998</v>
      </c>
      <c r="AJ19" s="43">
        <v>76.872399999999999</v>
      </c>
      <c r="AK19" s="43">
        <v>77.61</v>
      </c>
      <c r="AL19" s="43">
        <v>78.326400000000007</v>
      </c>
      <c r="AM19" s="43">
        <v>79.0428</v>
      </c>
      <c r="AN19" s="43">
        <v>79.759200000000007</v>
      </c>
      <c r="AO19" s="43">
        <v>80.4756</v>
      </c>
      <c r="AP19" s="43">
        <v>81.191999999999993</v>
      </c>
      <c r="AQ19" s="43">
        <v>81.520399999999995</v>
      </c>
      <c r="AR19" s="43">
        <v>81.848799999999997</v>
      </c>
      <c r="AS19" s="43">
        <v>82.177199999999999</v>
      </c>
      <c r="AT19" s="43">
        <v>82.505600000000001</v>
      </c>
      <c r="AU19" s="43">
        <v>82.834000000000003</v>
      </c>
      <c r="AV19" s="43">
        <v>83.134200000000007</v>
      </c>
      <c r="AW19" s="43">
        <v>83.434399999999997</v>
      </c>
      <c r="AX19" s="43">
        <v>83.7346</v>
      </c>
      <c r="AY19" s="43">
        <v>84.034800000000004</v>
      </c>
      <c r="AZ19" s="43">
        <v>84.334999999999994</v>
      </c>
      <c r="BA19" s="43">
        <v>84.603200000000001</v>
      </c>
      <c r="BB19" s="43">
        <v>84.871399999999994</v>
      </c>
      <c r="BC19" s="43"/>
      <c r="BD19" s="44">
        <f t="shared" si="0"/>
        <v>60.978966666666665</v>
      </c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</row>
    <row r="20" spans="1:91">
      <c r="A20" s="41">
        <v>34</v>
      </c>
      <c r="B20" s="41" t="s">
        <v>136</v>
      </c>
      <c r="C20" s="43">
        <v>38.831000000000003</v>
      </c>
      <c r="D20" s="43">
        <v>40.561999999999998</v>
      </c>
      <c r="E20" s="43">
        <v>42.292999999999999</v>
      </c>
      <c r="F20" s="43">
        <v>44.024000000000001</v>
      </c>
      <c r="G20" s="43">
        <v>45.755000000000003</v>
      </c>
      <c r="H20" s="43">
        <v>47.064</v>
      </c>
      <c r="I20" s="43">
        <v>48.372999999999998</v>
      </c>
      <c r="J20" s="43">
        <v>49.682000000000002</v>
      </c>
      <c r="K20" s="43">
        <v>50.991</v>
      </c>
      <c r="L20" s="43">
        <v>52.3</v>
      </c>
      <c r="M20" s="43">
        <v>53.352400000000003</v>
      </c>
      <c r="N20" s="43">
        <v>54.404800000000002</v>
      </c>
      <c r="O20" s="43">
        <v>55.4572</v>
      </c>
      <c r="P20" s="43">
        <v>56.509599999999999</v>
      </c>
      <c r="Q20" s="43">
        <v>57.561999999999998</v>
      </c>
      <c r="R20" s="43">
        <v>58.4696</v>
      </c>
      <c r="S20" s="43">
        <v>59.377200000000002</v>
      </c>
      <c r="T20" s="43">
        <v>60.284799999999997</v>
      </c>
      <c r="U20" s="43">
        <v>61.192399999999999</v>
      </c>
      <c r="V20" s="43">
        <v>62.1</v>
      </c>
      <c r="W20" s="43">
        <v>62.597999999999999</v>
      </c>
      <c r="X20" s="43">
        <v>63.095999999999997</v>
      </c>
      <c r="Y20" s="43">
        <v>63.594000000000001</v>
      </c>
      <c r="Z20" s="43">
        <v>64.091999999999999</v>
      </c>
      <c r="AA20" s="43">
        <v>64.59</v>
      </c>
      <c r="AB20" s="43">
        <v>64.947400000000002</v>
      </c>
      <c r="AC20" s="43">
        <v>65.3048</v>
      </c>
      <c r="AD20" s="43">
        <v>65.662199999999999</v>
      </c>
      <c r="AE20" s="43">
        <v>66.019599999999997</v>
      </c>
      <c r="AF20" s="43">
        <v>66.376999999999995</v>
      </c>
      <c r="AG20" s="43">
        <v>66.658000000000001</v>
      </c>
      <c r="AH20" s="43">
        <v>66.938999999999993</v>
      </c>
      <c r="AI20" s="43">
        <v>67.22</v>
      </c>
      <c r="AJ20" s="43">
        <v>67.501000000000005</v>
      </c>
      <c r="AK20" s="43">
        <v>67.781999999999996</v>
      </c>
      <c r="AL20" s="43">
        <v>68.005399999999995</v>
      </c>
      <c r="AM20" s="43">
        <v>68.228800000000007</v>
      </c>
      <c r="AN20" s="43">
        <v>68.452200000000005</v>
      </c>
      <c r="AO20" s="43">
        <v>68.675600000000003</v>
      </c>
      <c r="AP20" s="43">
        <v>68.899000000000001</v>
      </c>
      <c r="AQ20" s="43">
        <v>69.155000000000001</v>
      </c>
      <c r="AR20" s="43">
        <v>69.411000000000001</v>
      </c>
      <c r="AS20" s="43">
        <v>69.667000000000002</v>
      </c>
      <c r="AT20" s="43">
        <v>69.923000000000002</v>
      </c>
      <c r="AU20" s="43">
        <v>70.179000000000002</v>
      </c>
      <c r="AV20" s="43">
        <v>70.647999999999996</v>
      </c>
      <c r="AW20" s="43">
        <v>71.117000000000004</v>
      </c>
      <c r="AX20" s="43">
        <v>71.585999999999999</v>
      </c>
      <c r="AY20" s="43">
        <v>72.055000000000007</v>
      </c>
      <c r="AZ20" s="43">
        <v>72.524000000000001</v>
      </c>
      <c r="BA20" s="43">
        <v>73.081599999999995</v>
      </c>
      <c r="BB20" s="43">
        <v>73.639200000000002</v>
      </c>
      <c r="BC20" s="43"/>
      <c r="BD20" s="44">
        <f t="shared" si="0"/>
        <v>56.162200000000006</v>
      </c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</row>
    <row r="21" spans="1:91">
      <c r="A21" s="41">
        <v>35</v>
      </c>
      <c r="B21" s="41" t="s">
        <v>135</v>
      </c>
      <c r="C21" s="43">
        <v>4.7995999999999999</v>
      </c>
      <c r="D21" s="43">
        <v>4.8992000000000004</v>
      </c>
      <c r="E21" s="43">
        <v>4.9988000000000001</v>
      </c>
      <c r="F21" s="43">
        <v>5.0983999999999998</v>
      </c>
      <c r="G21" s="43">
        <v>5.1980000000000004</v>
      </c>
      <c r="H21" s="43">
        <v>5.3075999999999999</v>
      </c>
      <c r="I21" s="43">
        <v>5.4172000000000002</v>
      </c>
      <c r="J21" s="43">
        <v>5.5267999999999997</v>
      </c>
      <c r="K21" s="43">
        <v>5.6364000000000001</v>
      </c>
      <c r="L21" s="43">
        <v>5.7460000000000004</v>
      </c>
      <c r="M21" s="43">
        <v>5.8662000000000001</v>
      </c>
      <c r="N21" s="43">
        <v>5.9863999999999997</v>
      </c>
      <c r="O21" s="43">
        <v>6.1066000000000003</v>
      </c>
      <c r="P21" s="43">
        <v>6.2267999999999999</v>
      </c>
      <c r="Q21" s="43">
        <v>6.3470000000000004</v>
      </c>
      <c r="R21" s="43">
        <v>6.8385999999999996</v>
      </c>
      <c r="S21" s="43">
        <v>7.3301999999999996</v>
      </c>
      <c r="T21" s="43">
        <v>7.8217999999999996</v>
      </c>
      <c r="U21" s="43">
        <v>8.3133999999999997</v>
      </c>
      <c r="V21" s="43">
        <v>8.8049999999999997</v>
      </c>
      <c r="W21" s="43">
        <v>9.5107999999999997</v>
      </c>
      <c r="X21" s="43">
        <v>10.2166</v>
      </c>
      <c r="Y21" s="43">
        <v>10.9224</v>
      </c>
      <c r="Z21" s="43">
        <v>11.6282</v>
      </c>
      <c r="AA21" s="43">
        <v>12.334</v>
      </c>
      <c r="AB21" s="43">
        <v>12.6302</v>
      </c>
      <c r="AC21" s="43">
        <v>12.926399999999999</v>
      </c>
      <c r="AD21" s="43">
        <v>13.2226</v>
      </c>
      <c r="AE21" s="43">
        <v>13.518800000000001</v>
      </c>
      <c r="AF21" s="43">
        <v>13.815</v>
      </c>
      <c r="AG21" s="43">
        <v>14.078200000000001</v>
      </c>
      <c r="AH21" s="43">
        <v>14.3414</v>
      </c>
      <c r="AI21" s="43">
        <v>14.6046</v>
      </c>
      <c r="AJ21" s="43">
        <v>14.867800000000001</v>
      </c>
      <c r="AK21" s="43">
        <v>15.131</v>
      </c>
      <c r="AL21" s="43">
        <v>15.6736</v>
      </c>
      <c r="AM21" s="43">
        <v>16.216200000000001</v>
      </c>
      <c r="AN21" s="43">
        <v>16.758800000000001</v>
      </c>
      <c r="AO21" s="43">
        <v>17.301400000000001</v>
      </c>
      <c r="AP21" s="43">
        <v>17.844000000000001</v>
      </c>
      <c r="AQ21" s="43">
        <v>18.582599999999999</v>
      </c>
      <c r="AR21" s="43">
        <v>19.321200000000001</v>
      </c>
      <c r="AS21" s="43">
        <v>20.059799999999999</v>
      </c>
      <c r="AT21" s="43">
        <v>20.798400000000001</v>
      </c>
      <c r="AU21" s="43">
        <v>21.536999999999999</v>
      </c>
      <c r="AV21" s="43">
        <v>22.363</v>
      </c>
      <c r="AW21" s="43">
        <v>23.189</v>
      </c>
      <c r="AX21" s="43">
        <v>24.015000000000001</v>
      </c>
      <c r="AY21" s="43">
        <v>24.841000000000001</v>
      </c>
      <c r="AZ21" s="43">
        <v>25.667000000000002</v>
      </c>
      <c r="BA21" s="43">
        <v>26.509</v>
      </c>
      <c r="BB21" s="43">
        <v>27.350999999999999</v>
      </c>
      <c r="BC21" s="43"/>
      <c r="BD21" s="44">
        <f t="shared" si="0"/>
        <v>8.0998333333333328</v>
      </c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</row>
    <row r="22" spans="1:91">
      <c r="A22" s="41">
        <v>36</v>
      </c>
      <c r="B22" s="41" t="s">
        <v>134</v>
      </c>
      <c r="C22" s="43">
        <v>2.0726</v>
      </c>
      <c r="D22" s="43">
        <v>2.1072000000000002</v>
      </c>
      <c r="E22" s="43">
        <v>2.1417999999999999</v>
      </c>
      <c r="F22" s="43">
        <v>2.1764000000000001</v>
      </c>
      <c r="G22" s="43">
        <v>2.2109999999999999</v>
      </c>
      <c r="H22" s="43">
        <v>2.2452000000000001</v>
      </c>
      <c r="I22" s="43">
        <v>2.2793999999999999</v>
      </c>
      <c r="J22" s="43">
        <v>2.3136000000000001</v>
      </c>
      <c r="K22" s="43">
        <v>2.3477999999999999</v>
      </c>
      <c r="L22" s="43">
        <v>2.3820000000000001</v>
      </c>
      <c r="M22" s="43">
        <v>2.5491999999999999</v>
      </c>
      <c r="N22" s="43">
        <v>2.7164000000000001</v>
      </c>
      <c r="O22" s="43">
        <v>2.8835999999999999</v>
      </c>
      <c r="P22" s="43">
        <v>3.0508000000000002</v>
      </c>
      <c r="Q22" s="43">
        <v>3.218</v>
      </c>
      <c r="R22" s="43">
        <v>3.4422000000000001</v>
      </c>
      <c r="S22" s="43">
        <v>3.6663999999999999</v>
      </c>
      <c r="T22" s="43">
        <v>3.8906000000000001</v>
      </c>
      <c r="U22" s="43">
        <v>4.1147999999999998</v>
      </c>
      <c r="V22" s="43">
        <v>4.3390000000000004</v>
      </c>
      <c r="W22" s="43">
        <v>4.5153999999999996</v>
      </c>
      <c r="X22" s="43">
        <v>4.6917999999999997</v>
      </c>
      <c r="Y22" s="43">
        <v>4.8681999999999999</v>
      </c>
      <c r="Z22" s="43">
        <v>5.0446</v>
      </c>
      <c r="AA22" s="43">
        <v>5.2210000000000001</v>
      </c>
      <c r="AB22" s="43">
        <v>5.431</v>
      </c>
      <c r="AC22" s="43">
        <v>5.641</v>
      </c>
      <c r="AD22" s="43">
        <v>5.851</v>
      </c>
      <c r="AE22" s="43">
        <v>6.0609999999999999</v>
      </c>
      <c r="AF22" s="43">
        <v>6.2709999999999999</v>
      </c>
      <c r="AG22" s="43">
        <v>6.4589999999999996</v>
      </c>
      <c r="AH22" s="43">
        <v>6.6470000000000002</v>
      </c>
      <c r="AI22" s="43">
        <v>6.835</v>
      </c>
      <c r="AJ22" s="43">
        <v>7.0229999999999997</v>
      </c>
      <c r="AK22" s="43">
        <v>7.2110000000000003</v>
      </c>
      <c r="AL22" s="43">
        <v>7.4180000000000001</v>
      </c>
      <c r="AM22" s="43">
        <v>7.625</v>
      </c>
      <c r="AN22" s="43">
        <v>7.8319999999999999</v>
      </c>
      <c r="AO22" s="43">
        <v>8.0389999999999997</v>
      </c>
      <c r="AP22" s="43">
        <v>8.2460000000000004</v>
      </c>
      <c r="AQ22" s="43">
        <v>8.4718</v>
      </c>
      <c r="AR22" s="43">
        <v>8.6975999999999996</v>
      </c>
      <c r="AS22" s="43">
        <v>8.9234000000000009</v>
      </c>
      <c r="AT22" s="43">
        <v>9.1492000000000004</v>
      </c>
      <c r="AU22" s="43">
        <v>9.375</v>
      </c>
      <c r="AV22" s="43">
        <v>9.6283999999999992</v>
      </c>
      <c r="AW22" s="43">
        <v>9.8818000000000001</v>
      </c>
      <c r="AX22" s="43">
        <v>10.135199999999999</v>
      </c>
      <c r="AY22" s="43">
        <v>10.3886</v>
      </c>
      <c r="AZ22" s="43">
        <v>10.641999999999999</v>
      </c>
      <c r="BA22" s="43">
        <v>10.928000000000001</v>
      </c>
      <c r="BB22" s="43">
        <v>11.214</v>
      </c>
      <c r="BC22" s="43"/>
      <c r="BD22" s="44">
        <f t="shared" si="0"/>
        <v>3.6581333333333337</v>
      </c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</row>
    <row r="23" spans="1:91">
      <c r="A23" s="41">
        <v>37</v>
      </c>
      <c r="B23" s="41" t="s">
        <v>133</v>
      </c>
      <c r="C23" s="43">
        <v>10.394</v>
      </c>
      <c r="D23" s="43">
        <v>10.503</v>
      </c>
      <c r="E23" s="43">
        <v>10.612</v>
      </c>
      <c r="F23" s="43">
        <v>10.721</v>
      </c>
      <c r="G23" s="43">
        <v>10.83</v>
      </c>
      <c r="H23" s="43">
        <v>11.858000000000001</v>
      </c>
      <c r="I23" s="43">
        <v>12.885999999999999</v>
      </c>
      <c r="J23" s="43">
        <v>13.914</v>
      </c>
      <c r="K23" s="43">
        <v>14.942</v>
      </c>
      <c r="L23" s="43">
        <v>15.97</v>
      </c>
      <c r="M23" s="43">
        <v>13.657999999999999</v>
      </c>
      <c r="N23" s="43">
        <v>11.346</v>
      </c>
      <c r="O23" s="43">
        <v>9.0340000000000007</v>
      </c>
      <c r="P23" s="43">
        <v>6.7220000000000004</v>
      </c>
      <c r="Q23" s="43">
        <v>4.41</v>
      </c>
      <c r="R23" s="43">
        <v>5.3224</v>
      </c>
      <c r="S23" s="43">
        <v>6.2347999999999999</v>
      </c>
      <c r="T23" s="43">
        <v>7.1471999999999998</v>
      </c>
      <c r="U23" s="43">
        <v>8.0595999999999997</v>
      </c>
      <c r="V23" s="43">
        <v>8.9719999999999995</v>
      </c>
      <c r="W23" s="43">
        <v>9.9638000000000009</v>
      </c>
      <c r="X23" s="43">
        <v>10.9556</v>
      </c>
      <c r="Y23" s="43">
        <v>11.9474</v>
      </c>
      <c r="Z23" s="43">
        <v>12.9392</v>
      </c>
      <c r="AA23" s="43">
        <v>13.930999999999999</v>
      </c>
      <c r="AB23" s="43">
        <v>14.254</v>
      </c>
      <c r="AC23" s="43">
        <v>14.577</v>
      </c>
      <c r="AD23" s="43">
        <v>14.9</v>
      </c>
      <c r="AE23" s="43">
        <v>15.223000000000001</v>
      </c>
      <c r="AF23" s="43">
        <v>15.545999999999999</v>
      </c>
      <c r="AG23" s="43">
        <v>15.898999999999999</v>
      </c>
      <c r="AH23" s="43">
        <v>16.251999999999999</v>
      </c>
      <c r="AI23" s="43">
        <v>16.605</v>
      </c>
      <c r="AJ23" s="43">
        <v>16.957999999999998</v>
      </c>
      <c r="AK23" s="43">
        <v>17.311</v>
      </c>
      <c r="AL23" s="43">
        <v>17.565999999999999</v>
      </c>
      <c r="AM23" s="43">
        <v>17.821000000000002</v>
      </c>
      <c r="AN23" s="43">
        <v>18.076000000000001</v>
      </c>
      <c r="AO23" s="43">
        <v>18.331</v>
      </c>
      <c r="AP23" s="43">
        <v>18.585999999999999</v>
      </c>
      <c r="AQ23" s="43">
        <v>18.703600000000002</v>
      </c>
      <c r="AR23" s="43">
        <v>18.821200000000001</v>
      </c>
      <c r="AS23" s="43">
        <v>18.938800000000001</v>
      </c>
      <c r="AT23" s="43">
        <v>19.0564</v>
      </c>
      <c r="AU23" s="43">
        <v>19.173999999999999</v>
      </c>
      <c r="AV23" s="43">
        <v>19.302</v>
      </c>
      <c r="AW23" s="43">
        <v>19.43</v>
      </c>
      <c r="AX23" s="43">
        <v>19.558</v>
      </c>
      <c r="AY23" s="43">
        <v>19.686</v>
      </c>
      <c r="AZ23" s="43">
        <v>19.814</v>
      </c>
      <c r="BA23" s="43">
        <v>20.003</v>
      </c>
      <c r="BB23" s="43">
        <v>20.192</v>
      </c>
      <c r="BC23" s="43"/>
      <c r="BD23" s="44">
        <f t="shared" si="0"/>
        <v>11.259099999999998</v>
      </c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</row>
    <row r="24" spans="1:91">
      <c r="A24" s="41">
        <v>38</v>
      </c>
      <c r="B24" s="41" t="s">
        <v>132</v>
      </c>
      <c r="C24" s="43">
        <v>14.525600000000001</v>
      </c>
      <c r="D24" s="43">
        <v>15.1142</v>
      </c>
      <c r="E24" s="43">
        <v>15.7028</v>
      </c>
      <c r="F24" s="43">
        <v>16.291399999999999</v>
      </c>
      <c r="G24" s="43">
        <v>16.88</v>
      </c>
      <c r="H24" s="43">
        <v>17.564</v>
      </c>
      <c r="I24" s="43">
        <v>18.248000000000001</v>
      </c>
      <c r="J24" s="43">
        <v>18.931999999999999</v>
      </c>
      <c r="K24" s="43">
        <v>19.616</v>
      </c>
      <c r="L24" s="43">
        <v>20.3</v>
      </c>
      <c r="M24" s="43">
        <v>21.698399999999999</v>
      </c>
      <c r="N24" s="43">
        <v>23.096800000000002</v>
      </c>
      <c r="O24" s="43">
        <v>24.495200000000001</v>
      </c>
      <c r="P24" s="43">
        <v>25.893599999999999</v>
      </c>
      <c r="Q24" s="43">
        <v>27.292000000000002</v>
      </c>
      <c r="R24" s="43">
        <v>28.2178</v>
      </c>
      <c r="S24" s="43">
        <v>29.143599999999999</v>
      </c>
      <c r="T24" s="43">
        <v>30.069400000000002</v>
      </c>
      <c r="U24" s="43">
        <v>30.995200000000001</v>
      </c>
      <c r="V24" s="43">
        <v>31.920999999999999</v>
      </c>
      <c r="W24" s="43">
        <v>32.783200000000001</v>
      </c>
      <c r="X24" s="43">
        <v>33.645400000000002</v>
      </c>
      <c r="Y24" s="43">
        <v>34.507599999999996</v>
      </c>
      <c r="Z24" s="43">
        <v>35.369799999999998</v>
      </c>
      <c r="AA24" s="43">
        <v>36.231999999999999</v>
      </c>
      <c r="AB24" s="43">
        <v>36.917000000000002</v>
      </c>
      <c r="AC24" s="43">
        <v>37.601999999999997</v>
      </c>
      <c r="AD24" s="43">
        <v>38.286999999999999</v>
      </c>
      <c r="AE24" s="43">
        <v>38.972000000000001</v>
      </c>
      <c r="AF24" s="43">
        <v>39.656999999999996</v>
      </c>
      <c r="AG24" s="43">
        <v>40.240200000000002</v>
      </c>
      <c r="AH24" s="43">
        <v>40.823399999999999</v>
      </c>
      <c r="AI24" s="43">
        <v>41.406599999999997</v>
      </c>
      <c r="AJ24" s="43">
        <v>41.989800000000002</v>
      </c>
      <c r="AK24" s="43">
        <v>42.573</v>
      </c>
      <c r="AL24" s="43">
        <v>43.166800000000002</v>
      </c>
      <c r="AM24" s="43">
        <v>43.760599999999997</v>
      </c>
      <c r="AN24" s="43">
        <v>44.354399999999998</v>
      </c>
      <c r="AO24" s="43">
        <v>44.9482</v>
      </c>
      <c r="AP24" s="43">
        <v>45.542000000000002</v>
      </c>
      <c r="AQ24" s="43">
        <v>46.141800000000003</v>
      </c>
      <c r="AR24" s="43">
        <v>46.741599999999998</v>
      </c>
      <c r="AS24" s="43">
        <v>47.3414</v>
      </c>
      <c r="AT24" s="43">
        <v>47.941200000000002</v>
      </c>
      <c r="AU24" s="43">
        <v>48.540999999999997</v>
      </c>
      <c r="AV24" s="43">
        <v>49.135199999999998</v>
      </c>
      <c r="AW24" s="43">
        <v>49.729399999999998</v>
      </c>
      <c r="AX24" s="43">
        <v>50.323599999999999</v>
      </c>
      <c r="AY24" s="43">
        <v>50.9178</v>
      </c>
      <c r="AZ24" s="43">
        <v>51.512</v>
      </c>
      <c r="BA24" s="43">
        <v>52.085000000000001</v>
      </c>
      <c r="BB24" s="43">
        <v>52.658000000000001</v>
      </c>
      <c r="BC24" s="43"/>
      <c r="BD24" s="44">
        <f t="shared" si="0"/>
        <v>26.999000000000006</v>
      </c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</row>
    <row r="25" spans="1:91">
      <c r="A25" s="41">
        <v>39</v>
      </c>
      <c r="B25" s="41" t="s">
        <v>131</v>
      </c>
      <c r="C25" s="43">
        <v>69.827200000000005</v>
      </c>
      <c r="D25" s="43">
        <v>70.593400000000003</v>
      </c>
      <c r="E25" s="43">
        <v>71.3596</v>
      </c>
      <c r="F25" s="43">
        <v>72.125799999999998</v>
      </c>
      <c r="G25" s="43">
        <v>72.891999999999996</v>
      </c>
      <c r="H25" s="43">
        <v>73.444400000000002</v>
      </c>
      <c r="I25" s="43">
        <v>73.996799999999993</v>
      </c>
      <c r="J25" s="43">
        <v>74.549199999999999</v>
      </c>
      <c r="K25" s="43">
        <v>75.101600000000005</v>
      </c>
      <c r="L25" s="43">
        <v>75.653999999999996</v>
      </c>
      <c r="M25" s="43">
        <v>75.645399999999995</v>
      </c>
      <c r="N25" s="43">
        <v>75.636799999999994</v>
      </c>
      <c r="O25" s="43">
        <v>75.628200000000007</v>
      </c>
      <c r="P25" s="43">
        <v>75.619600000000005</v>
      </c>
      <c r="Q25" s="43">
        <v>75.611000000000004</v>
      </c>
      <c r="R25" s="43">
        <v>75.621399999999994</v>
      </c>
      <c r="S25" s="43">
        <v>75.631799999999998</v>
      </c>
      <c r="T25" s="43">
        <v>75.642200000000003</v>
      </c>
      <c r="U25" s="43">
        <v>75.652600000000007</v>
      </c>
      <c r="V25" s="43">
        <v>75.662999999999997</v>
      </c>
      <c r="W25" s="43">
        <v>75.801199999999994</v>
      </c>
      <c r="X25" s="43">
        <v>75.939400000000006</v>
      </c>
      <c r="Y25" s="43">
        <v>76.077600000000004</v>
      </c>
      <c r="Z25" s="43">
        <v>76.215800000000002</v>
      </c>
      <c r="AA25" s="43">
        <v>76.353999999999999</v>
      </c>
      <c r="AB25" s="43">
        <v>76.399600000000007</v>
      </c>
      <c r="AC25" s="43">
        <v>76.4452</v>
      </c>
      <c r="AD25" s="43">
        <v>76.490799999999993</v>
      </c>
      <c r="AE25" s="43">
        <v>76.5364</v>
      </c>
      <c r="AF25" s="43">
        <v>76.581999999999994</v>
      </c>
      <c r="AG25" s="43">
        <v>76.800600000000003</v>
      </c>
      <c r="AH25" s="43">
        <v>77.019199999999998</v>
      </c>
      <c r="AI25" s="43">
        <v>77.237799999999993</v>
      </c>
      <c r="AJ25" s="43">
        <v>77.456400000000002</v>
      </c>
      <c r="AK25" s="43">
        <v>77.674999999999997</v>
      </c>
      <c r="AL25" s="43">
        <v>78.035600000000002</v>
      </c>
      <c r="AM25" s="43">
        <v>78.396199999999993</v>
      </c>
      <c r="AN25" s="43">
        <v>78.756799999999998</v>
      </c>
      <c r="AO25" s="43">
        <v>79.117400000000004</v>
      </c>
      <c r="AP25" s="43">
        <v>79.477999999999994</v>
      </c>
      <c r="AQ25" s="43">
        <v>79.606800000000007</v>
      </c>
      <c r="AR25" s="43">
        <v>79.735600000000005</v>
      </c>
      <c r="AS25" s="43">
        <v>79.864400000000003</v>
      </c>
      <c r="AT25" s="43">
        <v>79.993200000000002</v>
      </c>
      <c r="AU25" s="43">
        <v>80.122</v>
      </c>
      <c r="AV25" s="43">
        <v>80.208399999999997</v>
      </c>
      <c r="AW25" s="43">
        <v>80.294799999999995</v>
      </c>
      <c r="AX25" s="43">
        <v>80.381200000000007</v>
      </c>
      <c r="AY25" s="43">
        <v>80.467600000000004</v>
      </c>
      <c r="AZ25" s="43">
        <v>80.554000000000002</v>
      </c>
      <c r="BA25" s="43">
        <v>80.661799999999999</v>
      </c>
      <c r="BB25" s="43">
        <v>80.769599999999997</v>
      </c>
      <c r="BC25" s="43"/>
      <c r="BD25" s="44">
        <f t="shared" si="0"/>
        <v>74.95793333333333</v>
      </c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</row>
    <row r="26" spans="1:91">
      <c r="A26" s="41">
        <v>42</v>
      </c>
      <c r="B26" s="41" t="s">
        <v>130</v>
      </c>
      <c r="C26" s="43">
        <v>20.783799999999999</v>
      </c>
      <c r="D26" s="43">
        <v>21.467600000000001</v>
      </c>
      <c r="E26" s="43">
        <v>22.151399999999999</v>
      </c>
      <c r="F26" s="43">
        <v>22.8352</v>
      </c>
      <c r="G26" s="43">
        <v>23.518999999999998</v>
      </c>
      <c r="H26" s="43">
        <v>24.280799999999999</v>
      </c>
      <c r="I26" s="43">
        <v>25.0426</v>
      </c>
      <c r="J26" s="43">
        <v>25.804400000000001</v>
      </c>
      <c r="K26" s="43">
        <v>26.566199999999998</v>
      </c>
      <c r="L26" s="43">
        <v>27.327999999999999</v>
      </c>
      <c r="M26" s="43">
        <v>28.253599999999999</v>
      </c>
      <c r="N26" s="43">
        <v>29.179200000000002</v>
      </c>
      <c r="O26" s="43">
        <v>30.104800000000001</v>
      </c>
      <c r="P26" s="43">
        <v>31.0304</v>
      </c>
      <c r="Q26" s="43">
        <v>31.956</v>
      </c>
      <c r="R26" s="43">
        <v>32.339599999999997</v>
      </c>
      <c r="S26" s="43">
        <v>32.723199999999999</v>
      </c>
      <c r="T26" s="43">
        <v>33.1068</v>
      </c>
      <c r="U26" s="43">
        <v>33.490400000000001</v>
      </c>
      <c r="V26" s="43">
        <v>33.874000000000002</v>
      </c>
      <c r="W26" s="43">
        <v>34.205599999999997</v>
      </c>
      <c r="X26" s="43">
        <v>34.537199999999999</v>
      </c>
      <c r="Y26" s="43">
        <v>34.8688</v>
      </c>
      <c r="Z26" s="43">
        <v>35.200400000000002</v>
      </c>
      <c r="AA26" s="43">
        <v>35.531999999999996</v>
      </c>
      <c r="AB26" s="43">
        <v>35.790599999999998</v>
      </c>
      <c r="AC26" s="43">
        <v>36.049199999999999</v>
      </c>
      <c r="AD26" s="43">
        <v>36.3078</v>
      </c>
      <c r="AE26" s="43">
        <v>36.566400000000002</v>
      </c>
      <c r="AF26" s="43">
        <v>36.825000000000003</v>
      </c>
      <c r="AG26" s="43">
        <v>36.906199999999998</v>
      </c>
      <c r="AH26" s="43">
        <v>36.987400000000001</v>
      </c>
      <c r="AI26" s="43">
        <v>37.068600000000004</v>
      </c>
      <c r="AJ26" s="43">
        <v>37.149799999999999</v>
      </c>
      <c r="AK26" s="43">
        <v>37.231000000000002</v>
      </c>
      <c r="AL26" s="43">
        <v>37.312600000000003</v>
      </c>
      <c r="AM26" s="43">
        <v>37.394199999999998</v>
      </c>
      <c r="AN26" s="43">
        <v>37.4758</v>
      </c>
      <c r="AO26" s="43">
        <v>37.557400000000001</v>
      </c>
      <c r="AP26" s="43">
        <v>37.639000000000003</v>
      </c>
      <c r="AQ26" s="43">
        <v>37.724600000000002</v>
      </c>
      <c r="AR26" s="43">
        <v>37.810200000000002</v>
      </c>
      <c r="AS26" s="43">
        <v>37.895800000000001</v>
      </c>
      <c r="AT26" s="43">
        <v>37.981400000000001</v>
      </c>
      <c r="AU26" s="43">
        <v>38.067</v>
      </c>
      <c r="AV26" s="43">
        <v>38.223399999999998</v>
      </c>
      <c r="AW26" s="43">
        <v>38.379800000000003</v>
      </c>
      <c r="AX26" s="43">
        <v>38.536200000000001</v>
      </c>
      <c r="AY26" s="43">
        <v>38.692599999999999</v>
      </c>
      <c r="AZ26" s="43">
        <v>38.848999999999997</v>
      </c>
      <c r="BA26" s="43">
        <v>39.1006</v>
      </c>
      <c r="BB26" s="43">
        <v>39.352200000000003</v>
      </c>
      <c r="BC26" s="43"/>
      <c r="BD26" s="44">
        <f t="shared" si="0"/>
        <v>30.390666666666679</v>
      </c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</row>
    <row r="27" spans="1:91">
      <c r="A27" s="41">
        <v>43</v>
      </c>
      <c r="B27" s="41" t="s">
        <v>129</v>
      </c>
      <c r="C27" s="43">
        <v>7.0372000000000003</v>
      </c>
      <c r="D27" s="43">
        <v>7.3794000000000004</v>
      </c>
      <c r="E27" s="43">
        <v>7.7215999999999996</v>
      </c>
      <c r="F27" s="43">
        <v>8.0638000000000005</v>
      </c>
      <c r="G27" s="43">
        <v>8.4060000000000006</v>
      </c>
      <c r="H27" s="43">
        <v>9.0383999999999993</v>
      </c>
      <c r="I27" s="43">
        <v>9.6707999999999998</v>
      </c>
      <c r="J27" s="43">
        <v>10.3032</v>
      </c>
      <c r="K27" s="43">
        <v>10.935600000000001</v>
      </c>
      <c r="L27" s="43">
        <v>11.568</v>
      </c>
      <c r="M27" s="43">
        <v>12.367599999999999</v>
      </c>
      <c r="N27" s="43">
        <v>13.167199999999999</v>
      </c>
      <c r="O27" s="43">
        <v>13.966799999999999</v>
      </c>
      <c r="P27" s="43">
        <v>14.766400000000001</v>
      </c>
      <c r="Q27" s="43">
        <v>15.566000000000001</v>
      </c>
      <c r="R27" s="43">
        <v>16.2102</v>
      </c>
      <c r="S27" s="43">
        <v>16.854399999999998</v>
      </c>
      <c r="T27" s="43">
        <v>17.4986</v>
      </c>
      <c r="U27" s="43">
        <v>18.142800000000001</v>
      </c>
      <c r="V27" s="43">
        <v>18.786999999999999</v>
      </c>
      <c r="W27" s="43">
        <v>18.985399999999998</v>
      </c>
      <c r="X27" s="43">
        <v>19.183800000000002</v>
      </c>
      <c r="Y27" s="43">
        <v>19.382200000000001</v>
      </c>
      <c r="Z27" s="43">
        <v>19.5806</v>
      </c>
      <c r="AA27" s="43">
        <v>19.779</v>
      </c>
      <c r="AB27" s="43">
        <v>19.985399999999998</v>
      </c>
      <c r="AC27" s="43">
        <v>20.191800000000001</v>
      </c>
      <c r="AD27" s="43">
        <v>20.398199999999999</v>
      </c>
      <c r="AE27" s="43">
        <v>20.604600000000001</v>
      </c>
      <c r="AF27" s="43">
        <v>20.811</v>
      </c>
      <c r="AG27" s="43">
        <v>20.937000000000001</v>
      </c>
      <c r="AH27" s="43">
        <v>21.062999999999999</v>
      </c>
      <c r="AI27" s="43">
        <v>21.189</v>
      </c>
      <c r="AJ27" s="43">
        <v>21.315000000000001</v>
      </c>
      <c r="AK27" s="43">
        <v>21.440999999999999</v>
      </c>
      <c r="AL27" s="43">
        <v>21.459599999999998</v>
      </c>
      <c r="AM27" s="43">
        <v>21.478200000000001</v>
      </c>
      <c r="AN27" s="43">
        <v>21.4968</v>
      </c>
      <c r="AO27" s="43">
        <v>21.5154</v>
      </c>
      <c r="AP27" s="43">
        <v>21.533999999999999</v>
      </c>
      <c r="AQ27" s="43">
        <v>21.552600000000002</v>
      </c>
      <c r="AR27" s="43">
        <v>21.571200000000001</v>
      </c>
      <c r="AS27" s="43">
        <v>21.5898</v>
      </c>
      <c r="AT27" s="43">
        <v>21.6084</v>
      </c>
      <c r="AU27" s="43">
        <v>21.626999999999999</v>
      </c>
      <c r="AV27" s="43">
        <v>21.6494</v>
      </c>
      <c r="AW27" s="43">
        <v>21.671800000000001</v>
      </c>
      <c r="AX27" s="43">
        <v>21.694199999999999</v>
      </c>
      <c r="AY27" s="43">
        <v>21.7166</v>
      </c>
      <c r="AZ27" s="43">
        <v>21.739000000000001</v>
      </c>
      <c r="BA27" s="43">
        <v>21.8294</v>
      </c>
      <c r="BB27" s="43">
        <v>21.919799999999999</v>
      </c>
      <c r="BC27" s="43"/>
      <c r="BD27" s="44">
        <f t="shared" si="0"/>
        <v>14.878433333333335</v>
      </c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</row>
    <row r="28" spans="1:91">
      <c r="A28" s="41">
        <v>44</v>
      </c>
      <c r="B28" s="41" t="s">
        <v>128</v>
      </c>
      <c r="C28" s="43">
        <v>68.608000000000004</v>
      </c>
      <c r="D28" s="43">
        <v>69.38</v>
      </c>
      <c r="E28" s="43">
        <v>70.152000000000001</v>
      </c>
      <c r="F28" s="43">
        <v>70.924000000000007</v>
      </c>
      <c r="G28" s="43">
        <v>71.695999999999998</v>
      </c>
      <c r="H28" s="43">
        <v>72.402199999999993</v>
      </c>
      <c r="I28" s="43">
        <v>73.108400000000003</v>
      </c>
      <c r="J28" s="43">
        <v>73.814599999999999</v>
      </c>
      <c r="K28" s="43">
        <v>74.520799999999994</v>
      </c>
      <c r="L28" s="43">
        <v>75.227000000000004</v>
      </c>
      <c r="M28" s="43">
        <v>75.858800000000002</v>
      </c>
      <c r="N28" s="43">
        <v>76.490600000000001</v>
      </c>
      <c r="O28" s="43">
        <v>77.122399999999999</v>
      </c>
      <c r="P28" s="43">
        <v>77.754199999999997</v>
      </c>
      <c r="Q28" s="43">
        <v>78.385999999999996</v>
      </c>
      <c r="R28" s="43">
        <v>78.957400000000007</v>
      </c>
      <c r="S28" s="43">
        <v>79.528800000000004</v>
      </c>
      <c r="T28" s="43">
        <v>80.100200000000001</v>
      </c>
      <c r="U28" s="43">
        <v>80.671599999999998</v>
      </c>
      <c r="V28" s="43">
        <v>81.242999999999995</v>
      </c>
      <c r="W28" s="43">
        <v>81.519199999999998</v>
      </c>
      <c r="X28" s="43">
        <v>81.795400000000001</v>
      </c>
      <c r="Y28" s="43">
        <v>82.071600000000004</v>
      </c>
      <c r="Z28" s="43">
        <v>82.347800000000007</v>
      </c>
      <c r="AA28" s="43">
        <v>82.623999999999995</v>
      </c>
      <c r="AB28" s="43">
        <v>82.753399999999999</v>
      </c>
      <c r="AC28" s="43">
        <v>82.882800000000003</v>
      </c>
      <c r="AD28" s="43">
        <v>83.012200000000007</v>
      </c>
      <c r="AE28" s="43">
        <v>83.141599999999997</v>
      </c>
      <c r="AF28" s="43">
        <v>83.271000000000001</v>
      </c>
      <c r="AG28" s="43">
        <v>83.491200000000006</v>
      </c>
      <c r="AH28" s="43">
        <v>83.711399999999998</v>
      </c>
      <c r="AI28" s="43">
        <v>83.931600000000003</v>
      </c>
      <c r="AJ28" s="43">
        <v>84.151799999999994</v>
      </c>
      <c r="AK28" s="43">
        <v>84.372</v>
      </c>
      <c r="AL28" s="43">
        <v>84.686800000000005</v>
      </c>
      <c r="AM28" s="43">
        <v>85.001599999999996</v>
      </c>
      <c r="AN28" s="43">
        <v>85.316400000000002</v>
      </c>
      <c r="AO28" s="43">
        <v>85.631200000000007</v>
      </c>
      <c r="AP28" s="43">
        <v>85.945999999999998</v>
      </c>
      <c r="AQ28" s="43">
        <v>86.281400000000005</v>
      </c>
      <c r="AR28" s="43">
        <v>86.616799999999998</v>
      </c>
      <c r="AS28" s="43">
        <v>86.952200000000005</v>
      </c>
      <c r="AT28" s="43">
        <v>87.287599999999998</v>
      </c>
      <c r="AU28" s="43">
        <v>87.623000000000005</v>
      </c>
      <c r="AV28" s="43">
        <v>87.886799999999994</v>
      </c>
      <c r="AW28" s="43">
        <v>88.150599999999997</v>
      </c>
      <c r="AX28" s="43">
        <v>88.414400000000001</v>
      </c>
      <c r="AY28" s="43">
        <v>88.678200000000004</v>
      </c>
      <c r="AZ28" s="43">
        <v>88.941999999999993</v>
      </c>
      <c r="BA28" s="43">
        <v>89.145600000000002</v>
      </c>
      <c r="BB28" s="43">
        <v>89.349199999999996</v>
      </c>
      <c r="BC28" s="43"/>
      <c r="BD28" s="44">
        <f t="shared" si="0"/>
        <v>77.712166666666675</v>
      </c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</row>
    <row r="29" spans="1:91">
      <c r="A29" s="41">
        <v>45</v>
      </c>
      <c r="B29" s="41" t="s">
        <v>127</v>
      </c>
      <c r="C29" s="43">
        <v>16.579599999999999</v>
      </c>
      <c r="D29" s="43">
        <v>16.956199999999999</v>
      </c>
      <c r="E29" s="43">
        <v>17.332799999999999</v>
      </c>
      <c r="F29" s="43">
        <v>17.709399999999999</v>
      </c>
      <c r="G29" s="43">
        <v>18.085999999999999</v>
      </c>
      <c r="H29" s="43">
        <v>17.948799999999999</v>
      </c>
      <c r="I29" s="43">
        <v>17.811599999999999</v>
      </c>
      <c r="J29" s="43">
        <v>17.674399999999999</v>
      </c>
      <c r="K29" s="43">
        <v>17.537199999999999</v>
      </c>
      <c r="L29" s="43">
        <v>17.399999999999999</v>
      </c>
      <c r="M29" s="43">
        <v>17.399999999999999</v>
      </c>
      <c r="N29" s="43">
        <v>17.399999999999999</v>
      </c>
      <c r="O29" s="43">
        <v>17.399999999999999</v>
      </c>
      <c r="P29" s="43">
        <v>17.399999999999999</v>
      </c>
      <c r="Q29" s="43">
        <v>17.399999999999999</v>
      </c>
      <c r="R29" s="43">
        <v>17.791599999999999</v>
      </c>
      <c r="S29" s="43">
        <v>18.183199999999999</v>
      </c>
      <c r="T29" s="43">
        <v>18.5748</v>
      </c>
      <c r="U29" s="43">
        <v>18.9664</v>
      </c>
      <c r="V29" s="43">
        <v>19.358000000000001</v>
      </c>
      <c r="W29" s="43">
        <v>20.061199999999999</v>
      </c>
      <c r="X29" s="43">
        <v>20.764399999999998</v>
      </c>
      <c r="Y29" s="43">
        <v>21.467600000000001</v>
      </c>
      <c r="Z29" s="43">
        <v>22.1708</v>
      </c>
      <c r="AA29" s="43">
        <v>22.873999999999999</v>
      </c>
      <c r="AB29" s="43">
        <v>23.587599999999998</v>
      </c>
      <c r="AC29" s="43">
        <v>24.301200000000001</v>
      </c>
      <c r="AD29" s="43">
        <v>25.014800000000001</v>
      </c>
      <c r="AE29" s="43">
        <v>25.728400000000001</v>
      </c>
      <c r="AF29" s="43">
        <v>26.442</v>
      </c>
      <c r="AG29" s="43">
        <v>27.345800000000001</v>
      </c>
      <c r="AH29" s="43">
        <v>28.249600000000001</v>
      </c>
      <c r="AI29" s="43">
        <v>29.153400000000001</v>
      </c>
      <c r="AJ29" s="43">
        <v>30.057200000000002</v>
      </c>
      <c r="AK29" s="43">
        <v>30.960999999999999</v>
      </c>
      <c r="AL29" s="43">
        <v>31.944199999999999</v>
      </c>
      <c r="AM29" s="43">
        <v>32.927399999999999</v>
      </c>
      <c r="AN29" s="43">
        <v>33.910600000000002</v>
      </c>
      <c r="AO29" s="43">
        <v>34.893799999999999</v>
      </c>
      <c r="AP29" s="43">
        <v>35.877000000000002</v>
      </c>
      <c r="AQ29" s="43">
        <v>37.206000000000003</v>
      </c>
      <c r="AR29" s="43">
        <v>38.534999999999997</v>
      </c>
      <c r="AS29" s="43">
        <v>39.863999999999997</v>
      </c>
      <c r="AT29" s="43">
        <v>41.192999999999998</v>
      </c>
      <c r="AU29" s="43">
        <v>42.521999999999998</v>
      </c>
      <c r="AV29" s="43">
        <v>43.8628</v>
      </c>
      <c r="AW29" s="43">
        <v>45.203600000000002</v>
      </c>
      <c r="AX29" s="43">
        <v>46.544400000000003</v>
      </c>
      <c r="AY29" s="43">
        <v>47.885199999999998</v>
      </c>
      <c r="AZ29" s="43">
        <v>49.225999999999999</v>
      </c>
      <c r="BA29" s="43">
        <v>50.500799999999998</v>
      </c>
      <c r="BB29" s="43">
        <v>51.775599999999997</v>
      </c>
      <c r="BC29" s="43"/>
      <c r="BD29" s="44">
        <f t="shared" si="0"/>
        <v>19.577400000000001</v>
      </c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</row>
    <row r="30" spans="1:91">
      <c r="A30" s="41">
        <v>48</v>
      </c>
      <c r="B30" s="41" t="s">
        <v>126</v>
      </c>
      <c r="C30" s="43">
        <v>46.230800000000002</v>
      </c>
      <c r="D30" s="43">
        <v>47.428600000000003</v>
      </c>
      <c r="E30" s="43">
        <v>48.626399999999997</v>
      </c>
      <c r="F30" s="43">
        <v>49.824199999999998</v>
      </c>
      <c r="G30" s="43">
        <v>51.021999999999998</v>
      </c>
      <c r="H30" s="43">
        <v>51.781599999999997</v>
      </c>
      <c r="I30" s="43">
        <v>52.541200000000003</v>
      </c>
      <c r="J30" s="43">
        <v>53.300800000000002</v>
      </c>
      <c r="K30" s="43">
        <v>54.060400000000001</v>
      </c>
      <c r="L30" s="43">
        <v>54.82</v>
      </c>
      <c r="M30" s="43">
        <v>55.563800000000001</v>
      </c>
      <c r="N30" s="43">
        <v>56.307600000000001</v>
      </c>
      <c r="O30" s="43">
        <v>57.051400000000001</v>
      </c>
      <c r="P30" s="43">
        <v>57.795200000000001</v>
      </c>
      <c r="Q30" s="43">
        <v>58.539000000000001</v>
      </c>
      <c r="R30" s="43">
        <v>59.255400000000002</v>
      </c>
      <c r="S30" s="43">
        <v>59.971800000000002</v>
      </c>
      <c r="T30" s="43">
        <v>60.688200000000002</v>
      </c>
      <c r="U30" s="43">
        <v>61.404600000000002</v>
      </c>
      <c r="V30" s="43">
        <v>62.121000000000002</v>
      </c>
      <c r="W30" s="43">
        <v>62.811599999999999</v>
      </c>
      <c r="X30" s="43">
        <v>63.502200000000002</v>
      </c>
      <c r="Y30" s="43">
        <v>64.192800000000005</v>
      </c>
      <c r="Z30" s="43">
        <v>64.883399999999995</v>
      </c>
      <c r="AA30" s="43">
        <v>65.573999999999998</v>
      </c>
      <c r="AB30" s="43">
        <v>66.114400000000003</v>
      </c>
      <c r="AC30" s="43">
        <v>66.654799999999994</v>
      </c>
      <c r="AD30" s="43">
        <v>67.1952</v>
      </c>
      <c r="AE30" s="43">
        <v>67.735600000000005</v>
      </c>
      <c r="AF30" s="43">
        <v>68.275999999999996</v>
      </c>
      <c r="AG30" s="43">
        <v>68.724000000000004</v>
      </c>
      <c r="AH30" s="43">
        <v>69.171999999999997</v>
      </c>
      <c r="AI30" s="43">
        <v>69.62</v>
      </c>
      <c r="AJ30" s="43">
        <v>70.067999999999998</v>
      </c>
      <c r="AK30" s="43">
        <v>70.516000000000005</v>
      </c>
      <c r="AL30" s="43">
        <v>70.827799999999996</v>
      </c>
      <c r="AM30" s="43">
        <v>71.139600000000002</v>
      </c>
      <c r="AN30" s="43">
        <v>71.451400000000007</v>
      </c>
      <c r="AO30" s="43">
        <v>71.763199999999998</v>
      </c>
      <c r="AP30" s="43">
        <v>72.075000000000003</v>
      </c>
      <c r="AQ30" s="43">
        <v>72.376199999999997</v>
      </c>
      <c r="AR30" s="43">
        <v>72.677400000000006</v>
      </c>
      <c r="AS30" s="43">
        <v>72.9786</v>
      </c>
      <c r="AT30" s="43">
        <v>73.279799999999994</v>
      </c>
      <c r="AU30" s="43">
        <v>73.581000000000003</v>
      </c>
      <c r="AV30" s="43">
        <v>73.868799999999993</v>
      </c>
      <c r="AW30" s="43">
        <v>74.156599999999997</v>
      </c>
      <c r="AX30" s="43">
        <v>74.444400000000002</v>
      </c>
      <c r="AY30" s="43">
        <v>74.732200000000006</v>
      </c>
      <c r="AZ30" s="43">
        <v>75.02</v>
      </c>
      <c r="BA30" s="43">
        <v>75.2928</v>
      </c>
      <c r="BB30" s="43">
        <v>75.565600000000003</v>
      </c>
      <c r="BC30" s="43"/>
      <c r="BD30" s="44">
        <f t="shared" si="0"/>
        <v>58.509133333333338</v>
      </c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</row>
    <row r="31" spans="1:91">
      <c r="A31" s="41">
        <v>50</v>
      </c>
      <c r="B31" s="41" t="s">
        <v>125</v>
      </c>
      <c r="C31" s="43">
        <v>32.3354</v>
      </c>
      <c r="D31" s="43">
        <v>33.069800000000001</v>
      </c>
      <c r="E31" s="43">
        <v>33.804200000000002</v>
      </c>
      <c r="F31" s="43">
        <v>34.538600000000002</v>
      </c>
      <c r="G31" s="43">
        <v>35.273000000000003</v>
      </c>
      <c r="H31" s="43">
        <v>36.044199999999996</v>
      </c>
      <c r="I31" s="43">
        <v>36.815399999999997</v>
      </c>
      <c r="J31" s="43">
        <v>37.586599999999997</v>
      </c>
      <c r="K31" s="43">
        <v>38.357799999999997</v>
      </c>
      <c r="L31" s="43">
        <v>39.128999999999998</v>
      </c>
      <c r="M31" s="43">
        <v>39.956000000000003</v>
      </c>
      <c r="N31" s="43">
        <v>40.783000000000001</v>
      </c>
      <c r="O31" s="43">
        <v>41.61</v>
      </c>
      <c r="P31" s="43">
        <v>42.436999999999998</v>
      </c>
      <c r="Q31" s="43">
        <v>43.264000000000003</v>
      </c>
      <c r="R31" s="43">
        <v>44.182600000000001</v>
      </c>
      <c r="S31" s="43">
        <v>45.101199999999999</v>
      </c>
      <c r="T31" s="43">
        <v>46.019799999999996</v>
      </c>
      <c r="U31" s="43">
        <v>46.938400000000001</v>
      </c>
      <c r="V31" s="43">
        <v>47.856999999999999</v>
      </c>
      <c r="W31" s="43">
        <v>48.729799999999997</v>
      </c>
      <c r="X31" s="43">
        <v>49.602600000000002</v>
      </c>
      <c r="Y31" s="43">
        <v>50.4754</v>
      </c>
      <c r="Z31" s="43">
        <v>51.348199999999999</v>
      </c>
      <c r="AA31" s="43">
        <v>52.220999999999997</v>
      </c>
      <c r="AB31" s="43">
        <v>52.641599999999997</v>
      </c>
      <c r="AC31" s="43">
        <v>53.062199999999997</v>
      </c>
      <c r="AD31" s="43">
        <v>53.482799999999997</v>
      </c>
      <c r="AE31" s="43">
        <v>53.903399999999998</v>
      </c>
      <c r="AF31" s="43">
        <v>54.323999999999998</v>
      </c>
      <c r="AG31" s="43">
        <v>54.741799999999998</v>
      </c>
      <c r="AH31" s="43">
        <v>55.159599999999998</v>
      </c>
      <c r="AI31" s="43">
        <v>55.577399999999997</v>
      </c>
      <c r="AJ31" s="43">
        <v>55.995199999999997</v>
      </c>
      <c r="AK31" s="43">
        <v>56.412999999999997</v>
      </c>
      <c r="AL31" s="43">
        <v>56.869399999999999</v>
      </c>
      <c r="AM31" s="43">
        <v>57.325800000000001</v>
      </c>
      <c r="AN31" s="43">
        <v>57.782200000000003</v>
      </c>
      <c r="AO31" s="43">
        <v>58.238599999999998</v>
      </c>
      <c r="AP31" s="43">
        <v>58.695</v>
      </c>
      <c r="AQ31" s="43">
        <v>59.153599999999997</v>
      </c>
      <c r="AR31" s="43">
        <v>59.612200000000001</v>
      </c>
      <c r="AS31" s="43">
        <v>60.070799999999998</v>
      </c>
      <c r="AT31" s="43">
        <v>60.529400000000003</v>
      </c>
      <c r="AU31" s="43">
        <v>60.988</v>
      </c>
      <c r="AV31" s="43">
        <v>61.435000000000002</v>
      </c>
      <c r="AW31" s="43">
        <v>61.881999999999998</v>
      </c>
      <c r="AX31" s="43">
        <v>62.329000000000001</v>
      </c>
      <c r="AY31" s="43">
        <v>62.776000000000003</v>
      </c>
      <c r="AZ31" s="43">
        <v>63.222999999999999</v>
      </c>
      <c r="BA31" s="43">
        <v>63.6494</v>
      </c>
      <c r="BB31" s="43">
        <v>64.075800000000001</v>
      </c>
      <c r="BD31" s="44">
        <f t="shared" si="0"/>
        <v>43.829799999999999</v>
      </c>
    </row>
    <row r="32" spans="1:91">
      <c r="A32" s="41">
        <v>51</v>
      </c>
      <c r="B32" s="41" t="s">
        <v>124</v>
      </c>
      <c r="C32" s="43">
        <v>23.060400000000001</v>
      </c>
      <c r="D32" s="43">
        <v>23.820799999999998</v>
      </c>
      <c r="E32" s="43">
        <v>24.581199999999999</v>
      </c>
      <c r="F32" s="43">
        <v>25.3416</v>
      </c>
      <c r="G32" s="43">
        <v>26.102</v>
      </c>
      <c r="H32" s="43">
        <v>26.941600000000001</v>
      </c>
      <c r="I32" s="43">
        <v>27.781199999999998</v>
      </c>
      <c r="J32" s="43">
        <v>28.620799999999999</v>
      </c>
      <c r="K32" s="43">
        <v>29.4604</v>
      </c>
      <c r="L32" s="43">
        <v>30.3</v>
      </c>
      <c r="M32" s="43">
        <v>30.140599999999999</v>
      </c>
      <c r="N32" s="43">
        <v>29.981200000000001</v>
      </c>
      <c r="O32" s="43">
        <v>29.8218</v>
      </c>
      <c r="P32" s="43">
        <v>29.662400000000002</v>
      </c>
      <c r="Q32" s="43">
        <v>29.503</v>
      </c>
      <c r="R32" s="43">
        <v>29.3462</v>
      </c>
      <c r="S32" s="43">
        <v>29.189399999999999</v>
      </c>
      <c r="T32" s="43">
        <v>29.032599999999999</v>
      </c>
      <c r="U32" s="43">
        <v>28.875800000000002</v>
      </c>
      <c r="V32" s="43">
        <v>28.719000000000001</v>
      </c>
      <c r="W32" s="43">
        <v>28.57</v>
      </c>
      <c r="X32" s="43">
        <v>28.420999999999999</v>
      </c>
      <c r="Y32" s="43">
        <v>28.271999999999998</v>
      </c>
      <c r="Z32" s="43">
        <v>28.123000000000001</v>
      </c>
      <c r="AA32" s="43">
        <v>27.974</v>
      </c>
      <c r="AB32" s="43">
        <v>27.927800000000001</v>
      </c>
      <c r="AC32" s="43">
        <v>27.881599999999999</v>
      </c>
      <c r="AD32" s="43">
        <v>27.8354</v>
      </c>
      <c r="AE32" s="43">
        <v>27.789200000000001</v>
      </c>
      <c r="AF32" s="43">
        <v>27.742999999999999</v>
      </c>
      <c r="AG32" s="43">
        <v>27.830400000000001</v>
      </c>
      <c r="AH32" s="43">
        <v>27.9178</v>
      </c>
      <c r="AI32" s="43">
        <v>28.005199999999999</v>
      </c>
      <c r="AJ32" s="43">
        <v>28.092600000000001</v>
      </c>
      <c r="AK32" s="43">
        <v>28.18</v>
      </c>
      <c r="AL32" s="43">
        <v>28.404599999999999</v>
      </c>
      <c r="AM32" s="43">
        <v>28.629200000000001</v>
      </c>
      <c r="AN32" s="43">
        <v>28.8538</v>
      </c>
      <c r="AO32" s="43">
        <v>29.078399999999998</v>
      </c>
      <c r="AP32" s="43">
        <v>29.303000000000001</v>
      </c>
      <c r="AQ32" s="43">
        <v>29.674199999999999</v>
      </c>
      <c r="AR32" s="43">
        <v>30.045400000000001</v>
      </c>
      <c r="AS32" s="43">
        <v>30.416599999999999</v>
      </c>
      <c r="AT32" s="43">
        <v>30.787800000000001</v>
      </c>
      <c r="AU32" s="43">
        <v>31.158999999999999</v>
      </c>
      <c r="AV32" s="43">
        <v>31.672599999999999</v>
      </c>
      <c r="AW32" s="43">
        <v>32.186199999999999</v>
      </c>
      <c r="AX32" s="43">
        <v>32.699800000000003</v>
      </c>
      <c r="AY32" s="43">
        <v>33.2134</v>
      </c>
      <c r="AZ32" s="43">
        <v>33.726999999999997</v>
      </c>
      <c r="BA32" s="43">
        <v>34.279000000000003</v>
      </c>
      <c r="BB32" s="43">
        <v>34.831000000000003</v>
      </c>
      <c r="BD32" s="44">
        <f t="shared" si="0"/>
        <v>28.027300000000018</v>
      </c>
    </row>
    <row r="33" spans="1:91">
      <c r="A33" s="41">
        <v>53</v>
      </c>
      <c r="B33" s="41" t="s">
        <v>123</v>
      </c>
      <c r="C33" s="43">
        <v>34.561399999999999</v>
      </c>
      <c r="D33" s="43">
        <v>34.8688</v>
      </c>
      <c r="E33" s="43">
        <v>35.176200000000001</v>
      </c>
      <c r="F33" s="43">
        <v>35.483600000000003</v>
      </c>
      <c r="G33" s="43">
        <v>35.790999999999997</v>
      </c>
      <c r="H33" s="43">
        <v>36.398200000000003</v>
      </c>
      <c r="I33" s="43">
        <v>37.005400000000002</v>
      </c>
      <c r="J33" s="43">
        <v>37.6126</v>
      </c>
      <c r="K33" s="43">
        <v>38.219799999999999</v>
      </c>
      <c r="L33" s="43">
        <v>38.826999999999998</v>
      </c>
      <c r="M33" s="43">
        <v>39.331400000000002</v>
      </c>
      <c r="N33" s="43">
        <v>39.835799999999999</v>
      </c>
      <c r="O33" s="43">
        <v>40.340200000000003</v>
      </c>
      <c r="P33" s="43">
        <v>40.8446</v>
      </c>
      <c r="Q33" s="43">
        <v>41.348999999999997</v>
      </c>
      <c r="R33" s="43">
        <v>41.698999999999998</v>
      </c>
      <c r="S33" s="43">
        <v>42.048999999999999</v>
      </c>
      <c r="T33" s="43">
        <v>42.399000000000001</v>
      </c>
      <c r="U33" s="43">
        <v>42.749000000000002</v>
      </c>
      <c r="V33" s="43">
        <v>43.098999999999997</v>
      </c>
      <c r="W33" s="43">
        <v>43.591799999999999</v>
      </c>
      <c r="X33" s="43">
        <v>44.084600000000002</v>
      </c>
      <c r="Y33" s="43">
        <v>44.577399999999997</v>
      </c>
      <c r="Z33" s="43">
        <v>45.0702</v>
      </c>
      <c r="AA33" s="43">
        <v>45.563000000000002</v>
      </c>
      <c r="AB33" s="43">
        <v>46.587000000000003</v>
      </c>
      <c r="AC33" s="43">
        <v>47.610999999999997</v>
      </c>
      <c r="AD33" s="43">
        <v>48.634999999999998</v>
      </c>
      <c r="AE33" s="43">
        <v>49.658999999999999</v>
      </c>
      <c r="AF33" s="43">
        <v>50.683</v>
      </c>
      <c r="AG33" s="43">
        <v>51.7042</v>
      </c>
      <c r="AH33" s="43">
        <v>52.7254</v>
      </c>
      <c r="AI33" s="43">
        <v>53.746600000000001</v>
      </c>
      <c r="AJ33" s="43">
        <v>54.767800000000001</v>
      </c>
      <c r="AK33" s="43">
        <v>55.789000000000001</v>
      </c>
      <c r="AL33" s="43">
        <v>56.438800000000001</v>
      </c>
      <c r="AM33" s="43">
        <v>57.0886</v>
      </c>
      <c r="AN33" s="43">
        <v>57.738399999999999</v>
      </c>
      <c r="AO33" s="43">
        <v>58.388199999999998</v>
      </c>
      <c r="AP33" s="43">
        <v>59.037999999999997</v>
      </c>
      <c r="AQ33" s="43">
        <v>59.571599999999997</v>
      </c>
      <c r="AR33" s="43">
        <v>60.105200000000004</v>
      </c>
      <c r="AS33" s="43">
        <v>60.638800000000003</v>
      </c>
      <c r="AT33" s="43">
        <v>61.172400000000003</v>
      </c>
      <c r="AU33" s="43">
        <v>61.706000000000003</v>
      </c>
      <c r="AV33" s="43">
        <v>62.201999999999998</v>
      </c>
      <c r="AW33" s="43">
        <v>62.698</v>
      </c>
      <c r="AX33" s="43">
        <v>63.194000000000003</v>
      </c>
      <c r="AY33" s="43">
        <v>63.69</v>
      </c>
      <c r="AZ33" s="43">
        <v>64.186000000000007</v>
      </c>
      <c r="BA33" s="43">
        <v>64.643799999999999</v>
      </c>
      <c r="BB33" s="43">
        <v>65.101600000000005</v>
      </c>
      <c r="BC33" s="43"/>
      <c r="BD33" s="44">
        <f t="shared" si="0"/>
        <v>41.456733333333339</v>
      </c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</row>
    <row r="34" spans="1:91">
      <c r="A34" s="41">
        <v>54</v>
      </c>
      <c r="B34" s="41" t="s">
        <v>122</v>
      </c>
      <c r="C34" s="43">
        <v>19.043199999999999</v>
      </c>
      <c r="D34" s="43">
        <v>20.407399999999999</v>
      </c>
      <c r="E34" s="43">
        <v>21.771599999999999</v>
      </c>
      <c r="F34" s="43">
        <v>23.1358</v>
      </c>
      <c r="G34" s="43">
        <v>24.5</v>
      </c>
      <c r="H34" s="43">
        <v>25.232600000000001</v>
      </c>
      <c r="I34" s="43">
        <v>25.965199999999999</v>
      </c>
      <c r="J34" s="43">
        <v>26.697800000000001</v>
      </c>
      <c r="K34" s="43">
        <v>27.430399999999999</v>
      </c>
      <c r="L34" s="43">
        <v>28.163</v>
      </c>
      <c r="M34" s="43">
        <v>28.976199999999999</v>
      </c>
      <c r="N34" s="43">
        <v>29.789400000000001</v>
      </c>
      <c r="O34" s="43">
        <v>30.602599999999999</v>
      </c>
      <c r="P34" s="43">
        <v>31.415800000000001</v>
      </c>
      <c r="Q34" s="43">
        <v>32.228999999999999</v>
      </c>
      <c r="R34" s="43">
        <v>33.149000000000001</v>
      </c>
      <c r="S34" s="43">
        <v>34.069000000000003</v>
      </c>
      <c r="T34" s="43">
        <v>34.988999999999997</v>
      </c>
      <c r="U34" s="43">
        <v>35.908999999999999</v>
      </c>
      <c r="V34" s="43">
        <v>36.829000000000001</v>
      </c>
      <c r="W34" s="43">
        <v>37.045200000000001</v>
      </c>
      <c r="X34" s="43">
        <v>37.261400000000002</v>
      </c>
      <c r="Y34" s="43">
        <v>37.477600000000002</v>
      </c>
      <c r="Z34" s="43">
        <v>37.693800000000003</v>
      </c>
      <c r="AA34" s="43">
        <v>37.909999999999997</v>
      </c>
      <c r="AB34" s="43">
        <v>38.197000000000003</v>
      </c>
      <c r="AC34" s="43">
        <v>38.484000000000002</v>
      </c>
      <c r="AD34" s="43">
        <v>38.771000000000001</v>
      </c>
      <c r="AE34" s="43">
        <v>39.058</v>
      </c>
      <c r="AF34" s="43">
        <v>39.344999999999999</v>
      </c>
      <c r="AG34" s="43">
        <v>39.718000000000004</v>
      </c>
      <c r="AH34" s="43">
        <v>40.091000000000001</v>
      </c>
      <c r="AI34" s="43">
        <v>40.463999999999999</v>
      </c>
      <c r="AJ34" s="43">
        <v>40.837000000000003</v>
      </c>
      <c r="AK34" s="43">
        <v>41.21</v>
      </c>
      <c r="AL34" s="43">
        <v>41.676200000000001</v>
      </c>
      <c r="AM34" s="43">
        <v>42.142400000000002</v>
      </c>
      <c r="AN34" s="43">
        <v>42.608600000000003</v>
      </c>
      <c r="AO34" s="43">
        <v>43.074800000000003</v>
      </c>
      <c r="AP34" s="43">
        <v>43.540999999999997</v>
      </c>
      <c r="AQ34" s="43">
        <v>44.2</v>
      </c>
      <c r="AR34" s="43">
        <v>44.859000000000002</v>
      </c>
      <c r="AS34" s="43">
        <v>45.518000000000001</v>
      </c>
      <c r="AT34" s="43">
        <v>46.177</v>
      </c>
      <c r="AU34" s="43">
        <v>46.835999999999999</v>
      </c>
      <c r="AV34" s="43">
        <v>47.580199999999998</v>
      </c>
      <c r="AW34" s="43">
        <v>48.324399999999997</v>
      </c>
      <c r="AX34" s="43">
        <v>49.068600000000004</v>
      </c>
      <c r="AY34" s="43">
        <v>49.812800000000003</v>
      </c>
      <c r="AZ34" s="43">
        <v>50.557000000000002</v>
      </c>
      <c r="BA34" s="43">
        <v>51.279800000000002</v>
      </c>
      <c r="BB34" s="43">
        <v>52.002600000000001</v>
      </c>
      <c r="BC34" s="43"/>
      <c r="BD34" s="44">
        <f t="shared" si="0"/>
        <v>31.718266666666668</v>
      </c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</row>
    <row r="35" spans="1:91">
      <c r="A35" s="41">
        <v>55</v>
      </c>
      <c r="B35" s="41" t="s">
        <v>121</v>
      </c>
      <c r="C35" s="43">
        <v>31.118600000000001</v>
      </c>
      <c r="D35" s="43">
        <v>32.083199999999998</v>
      </c>
      <c r="E35" s="43">
        <v>33.047800000000002</v>
      </c>
      <c r="F35" s="43">
        <v>34.0124</v>
      </c>
      <c r="G35" s="43">
        <v>34.976999999999997</v>
      </c>
      <c r="H35" s="43">
        <v>36.020800000000001</v>
      </c>
      <c r="I35" s="43">
        <v>37.064599999999999</v>
      </c>
      <c r="J35" s="43">
        <v>38.108400000000003</v>
      </c>
      <c r="K35" s="43">
        <v>39.152200000000001</v>
      </c>
      <c r="L35" s="43">
        <v>40.195999999999998</v>
      </c>
      <c r="M35" s="43">
        <v>41.182000000000002</v>
      </c>
      <c r="N35" s="43">
        <v>42.167999999999999</v>
      </c>
      <c r="O35" s="43">
        <v>43.154000000000003</v>
      </c>
      <c r="P35" s="43">
        <v>44.14</v>
      </c>
      <c r="Q35" s="43">
        <v>45.125999999999998</v>
      </c>
      <c r="R35" s="43">
        <v>46.113</v>
      </c>
      <c r="S35" s="43">
        <v>47.1</v>
      </c>
      <c r="T35" s="43">
        <v>48.087000000000003</v>
      </c>
      <c r="U35" s="43">
        <v>49.073999999999998</v>
      </c>
      <c r="V35" s="43">
        <v>50.061</v>
      </c>
      <c r="W35" s="43">
        <v>50.506999999999998</v>
      </c>
      <c r="X35" s="43">
        <v>50.953000000000003</v>
      </c>
      <c r="Y35" s="43">
        <v>51.399000000000001</v>
      </c>
      <c r="Z35" s="43">
        <v>51.844999999999999</v>
      </c>
      <c r="AA35" s="43">
        <v>52.290999999999997</v>
      </c>
      <c r="AB35" s="43">
        <v>52.640599999999999</v>
      </c>
      <c r="AC35" s="43">
        <v>52.990200000000002</v>
      </c>
      <c r="AD35" s="43">
        <v>53.339799999999997</v>
      </c>
      <c r="AE35" s="43">
        <v>53.689399999999999</v>
      </c>
      <c r="AF35" s="43">
        <v>54.039000000000001</v>
      </c>
      <c r="AG35" s="43">
        <v>54.209600000000002</v>
      </c>
      <c r="AH35" s="43">
        <v>54.380200000000002</v>
      </c>
      <c r="AI35" s="43">
        <v>54.550800000000002</v>
      </c>
      <c r="AJ35" s="43">
        <v>54.721400000000003</v>
      </c>
      <c r="AK35" s="43">
        <v>54.892000000000003</v>
      </c>
      <c r="AL35" s="43">
        <v>55.030999999999999</v>
      </c>
      <c r="AM35" s="43">
        <v>55.17</v>
      </c>
      <c r="AN35" s="43">
        <v>55.308999999999997</v>
      </c>
      <c r="AO35" s="43">
        <v>55.448</v>
      </c>
      <c r="AP35" s="43">
        <v>55.587000000000003</v>
      </c>
      <c r="AQ35" s="43">
        <v>55.750799999999998</v>
      </c>
      <c r="AR35" s="43">
        <v>55.9146</v>
      </c>
      <c r="AS35" s="43">
        <v>56.078400000000002</v>
      </c>
      <c r="AT35" s="43">
        <v>56.242199999999997</v>
      </c>
      <c r="AU35" s="43">
        <v>56.405999999999999</v>
      </c>
      <c r="AV35" s="43">
        <v>56.632199999999997</v>
      </c>
      <c r="AW35" s="43">
        <v>56.858400000000003</v>
      </c>
      <c r="AX35" s="43">
        <v>57.084600000000002</v>
      </c>
      <c r="AY35" s="43">
        <v>57.3108</v>
      </c>
      <c r="AZ35" s="43">
        <v>57.536999999999999</v>
      </c>
      <c r="BA35" s="43">
        <v>57.824199999999998</v>
      </c>
      <c r="BB35" s="43">
        <v>58.111400000000003</v>
      </c>
      <c r="BC35" s="43"/>
      <c r="BD35" s="44">
        <f t="shared" si="0"/>
        <v>44.522666666666659</v>
      </c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</row>
    <row r="36" spans="1:91">
      <c r="A36" s="41">
        <v>56</v>
      </c>
      <c r="B36" s="41" t="s">
        <v>120</v>
      </c>
      <c r="C36" s="43">
        <v>58.588200000000001</v>
      </c>
      <c r="D36" s="43">
        <v>58.775399999999998</v>
      </c>
      <c r="E36" s="43">
        <v>58.962600000000002</v>
      </c>
      <c r="F36" s="43">
        <v>59.149799999999999</v>
      </c>
      <c r="G36" s="43">
        <v>59.337000000000003</v>
      </c>
      <c r="H36" s="43">
        <v>59.522799999999997</v>
      </c>
      <c r="I36" s="43">
        <v>59.708599999999997</v>
      </c>
      <c r="J36" s="43">
        <v>59.894399999999997</v>
      </c>
      <c r="K36" s="43">
        <v>60.080199999999998</v>
      </c>
      <c r="L36" s="43">
        <v>60.265999999999998</v>
      </c>
      <c r="M36" s="43">
        <v>61.057600000000001</v>
      </c>
      <c r="N36" s="43">
        <v>61.849200000000003</v>
      </c>
      <c r="O36" s="43">
        <v>62.640799999999999</v>
      </c>
      <c r="P36" s="43">
        <v>63.432400000000001</v>
      </c>
      <c r="Q36" s="43">
        <v>64.224000000000004</v>
      </c>
      <c r="R36" s="43">
        <v>65.000399999999999</v>
      </c>
      <c r="S36" s="43">
        <v>65.776799999999994</v>
      </c>
      <c r="T36" s="43">
        <v>66.553200000000004</v>
      </c>
      <c r="U36" s="43">
        <v>67.329599999999999</v>
      </c>
      <c r="V36" s="43">
        <v>68.105999999999995</v>
      </c>
      <c r="W36" s="43">
        <v>68.671400000000006</v>
      </c>
      <c r="X36" s="43">
        <v>69.236800000000002</v>
      </c>
      <c r="Y36" s="43">
        <v>69.802199999999999</v>
      </c>
      <c r="Z36" s="43">
        <v>70.367599999999996</v>
      </c>
      <c r="AA36" s="43">
        <v>70.933000000000007</v>
      </c>
      <c r="AB36" s="43">
        <v>71.419200000000004</v>
      </c>
      <c r="AC36" s="43">
        <v>71.9054</v>
      </c>
      <c r="AD36" s="43">
        <v>72.391599999999997</v>
      </c>
      <c r="AE36" s="43">
        <v>72.877799999999993</v>
      </c>
      <c r="AF36" s="43">
        <v>73.364000000000004</v>
      </c>
      <c r="AG36" s="43">
        <v>73.546599999999998</v>
      </c>
      <c r="AH36" s="43">
        <v>73.729200000000006</v>
      </c>
      <c r="AI36" s="43">
        <v>73.911799999999999</v>
      </c>
      <c r="AJ36" s="43">
        <v>74.094399999999993</v>
      </c>
      <c r="AK36" s="43">
        <v>74.277000000000001</v>
      </c>
      <c r="AL36" s="43">
        <v>74.541600000000003</v>
      </c>
      <c r="AM36" s="43">
        <v>74.806200000000004</v>
      </c>
      <c r="AN36" s="43">
        <v>75.070800000000006</v>
      </c>
      <c r="AO36" s="43">
        <v>75.335400000000007</v>
      </c>
      <c r="AP36" s="43">
        <v>75.599999999999994</v>
      </c>
      <c r="AQ36" s="43">
        <v>75.599999999999994</v>
      </c>
      <c r="AR36" s="43">
        <v>75.599999999999994</v>
      </c>
      <c r="AS36" s="43">
        <v>75.599999999999994</v>
      </c>
      <c r="AT36" s="43">
        <v>75.599999999999994</v>
      </c>
      <c r="AU36" s="43">
        <v>75.599999999999994</v>
      </c>
      <c r="AV36" s="43">
        <v>75.522999999999996</v>
      </c>
      <c r="AW36" s="43">
        <v>75.445999999999998</v>
      </c>
      <c r="AX36" s="43">
        <v>75.369</v>
      </c>
      <c r="AY36" s="43">
        <v>75.292000000000002</v>
      </c>
      <c r="AZ36" s="43">
        <v>75.215000000000003</v>
      </c>
      <c r="BA36" s="43">
        <v>75.192999999999998</v>
      </c>
      <c r="BB36" s="43">
        <v>75.171000000000006</v>
      </c>
      <c r="BC36" s="43"/>
      <c r="BD36" s="44">
        <f t="shared" si="0"/>
        <v>65.040800000000004</v>
      </c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</row>
    <row r="37" spans="1:91">
      <c r="A37" s="41">
        <v>57</v>
      </c>
      <c r="B37" s="41" t="s">
        <v>119</v>
      </c>
      <c r="C37" s="43">
        <v>36.14</v>
      </c>
      <c r="D37" s="43">
        <v>36.652000000000001</v>
      </c>
      <c r="E37" s="43">
        <v>37.164000000000001</v>
      </c>
      <c r="F37" s="43">
        <v>37.676000000000002</v>
      </c>
      <c r="G37" s="43">
        <v>38.188000000000002</v>
      </c>
      <c r="H37" s="43">
        <v>38.702599999999997</v>
      </c>
      <c r="I37" s="43">
        <v>39.217199999999998</v>
      </c>
      <c r="J37" s="43">
        <v>39.7318</v>
      </c>
      <c r="K37" s="43">
        <v>40.246400000000001</v>
      </c>
      <c r="L37" s="43">
        <v>40.761000000000003</v>
      </c>
      <c r="M37" s="43">
        <v>42.0642</v>
      </c>
      <c r="N37" s="43">
        <v>43.367400000000004</v>
      </c>
      <c r="O37" s="43">
        <v>44.6706</v>
      </c>
      <c r="P37" s="43">
        <v>45.973799999999997</v>
      </c>
      <c r="Q37" s="43">
        <v>47.277000000000001</v>
      </c>
      <c r="R37" s="43">
        <v>49.544400000000003</v>
      </c>
      <c r="S37" s="43">
        <v>51.811799999999998</v>
      </c>
      <c r="T37" s="43">
        <v>54.0792</v>
      </c>
      <c r="U37" s="43">
        <v>56.346600000000002</v>
      </c>
      <c r="V37" s="43">
        <v>58.613999999999997</v>
      </c>
      <c r="W37" s="43">
        <v>59.826799999999999</v>
      </c>
      <c r="X37" s="43">
        <v>61.0396</v>
      </c>
      <c r="Y37" s="43">
        <v>62.252400000000002</v>
      </c>
      <c r="Z37" s="43">
        <v>63.465200000000003</v>
      </c>
      <c r="AA37" s="43">
        <v>64.677999999999997</v>
      </c>
      <c r="AB37" s="43">
        <v>65.0976</v>
      </c>
      <c r="AC37" s="43">
        <v>65.517200000000003</v>
      </c>
      <c r="AD37" s="43">
        <v>65.936800000000005</v>
      </c>
      <c r="AE37" s="43">
        <v>66.356399999999994</v>
      </c>
      <c r="AF37" s="43">
        <v>66.775999999999996</v>
      </c>
      <c r="AG37" s="43">
        <v>67.028400000000005</v>
      </c>
      <c r="AH37" s="43">
        <v>67.280799999999999</v>
      </c>
      <c r="AI37" s="43">
        <v>67.533199999999994</v>
      </c>
      <c r="AJ37" s="43">
        <v>67.785600000000002</v>
      </c>
      <c r="AK37" s="43">
        <v>68.037999999999997</v>
      </c>
      <c r="AL37" s="43">
        <v>68.16</v>
      </c>
      <c r="AM37" s="43">
        <v>68.281999999999996</v>
      </c>
      <c r="AN37" s="43">
        <v>68.403999999999996</v>
      </c>
      <c r="AO37" s="43">
        <v>68.525999999999996</v>
      </c>
      <c r="AP37" s="43">
        <v>68.647999999999996</v>
      </c>
      <c r="AQ37" s="43">
        <v>68.807199999999995</v>
      </c>
      <c r="AR37" s="43">
        <v>68.966399999999993</v>
      </c>
      <c r="AS37" s="43">
        <v>69.125600000000006</v>
      </c>
      <c r="AT37" s="43">
        <v>69.284800000000004</v>
      </c>
      <c r="AU37" s="43">
        <v>69.444000000000003</v>
      </c>
      <c r="AV37" s="43">
        <v>69.617400000000004</v>
      </c>
      <c r="AW37" s="43">
        <v>69.790800000000004</v>
      </c>
      <c r="AX37" s="43">
        <v>69.964200000000005</v>
      </c>
      <c r="AY37" s="43">
        <v>70.137600000000006</v>
      </c>
      <c r="AZ37" s="43">
        <v>70.311000000000007</v>
      </c>
      <c r="BA37" s="43">
        <v>70.508600000000001</v>
      </c>
      <c r="BB37" s="43">
        <v>70.706199999999995</v>
      </c>
      <c r="BC37" s="43"/>
      <c r="BD37" s="44">
        <f t="shared" si="0"/>
        <v>50.639133333333341</v>
      </c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</row>
    <row r="38" spans="1:91">
      <c r="A38" s="41">
        <v>58</v>
      </c>
      <c r="B38" s="41" t="s">
        <v>118</v>
      </c>
      <c r="C38" s="43">
        <v>60.041600000000003</v>
      </c>
      <c r="D38" s="43">
        <v>60.535200000000003</v>
      </c>
      <c r="E38" s="43">
        <v>61.028799999999997</v>
      </c>
      <c r="F38" s="43">
        <v>61.522399999999998</v>
      </c>
      <c r="G38" s="43">
        <v>62.015999999999998</v>
      </c>
      <c r="H38" s="43">
        <v>62.493200000000002</v>
      </c>
      <c r="I38" s="43">
        <v>62.970399999999998</v>
      </c>
      <c r="J38" s="43">
        <v>63.447600000000001</v>
      </c>
      <c r="K38" s="43">
        <v>63.924799999999998</v>
      </c>
      <c r="L38" s="43">
        <v>64.402000000000001</v>
      </c>
      <c r="M38" s="43">
        <v>65.504999999999995</v>
      </c>
      <c r="N38" s="43">
        <v>66.608000000000004</v>
      </c>
      <c r="O38" s="43">
        <v>67.710999999999999</v>
      </c>
      <c r="P38" s="43">
        <v>68.813999999999993</v>
      </c>
      <c r="Q38" s="43">
        <v>69.917000000000002</v>
      </c>
      <c r="R38" s="43">
        <v>70.966999999999999</v>
      </c>
      <c r="S38" s="43">
        <v>72.016999999999996</v>
      </c>
      <c r="T38" s="43">
        <v>73.066999999999993</v>
      </c>
      <c r="U38" s="43">
        <v>74.117000000000004</v>
      </c>
      <c r="V38" s="43">
        <v>75.167000000000002</v>
      </c>
      <c r="W38" s="43">
        <v>75.206599999999995</v>
      </c>
      <c r="X38" s="43">
        <v>75.246200000000002</v>
      </c>
      <c r="Y38" s="43">
        <v>75.285799999999995</v>
      </c>
      <c r="Z38" s="43">
        <v>75.325400000000002</v>
      </c>
      <c r="AA38" s="43">
        <v>75.364999999999995</v>
      </c>
      <c r="AB38" s="43">
        <v>75.335999999999999</v>
      </c>
      <c r="AC38" s="43">
        <v>75.307000000000002</v>
      </c>
      <c r="AD38" s="43">
        <v>75.278000000000006</v>
      </c>
      <c r="AE38" s="43">
        <v>75.248999999999995</v>
      </c>
      <c r="AF38" s="43">
        <v>75.22</v>
      </c>
      <c r="AG38" s="43">
        <v>75.104600000000005</v>
      </c>
      <c r="AH38" s="43">
        <v>74.989199999999997</v>
      </c>
      <c r="AI38" s="43">
        <v>74.873800000000003</v>
      </c>
      <c r="AJ38" s="43">
        <v>74.758399999999995</v>
      </c>
      <c r="AK38" s="43">
        <v>74.643000000000001</v>
      </c>
      <c r="AL38" s="43">
        <v>74.512</v>
      </c>
      <c r="AM38" s="43">
        <v>74.381</v>
      </c>
      <c r="AN38" s="43">
        <v>74.25</v>
      </c>
      <c r="AO38" s="43">
        <v>74.119</v>
      </c>
      <c r="AP38" s="43">
        <v>73.988</v>
      </c>
      <c r="AQ38" s="43">
        <v>73.930000000000007</v>
      </c>
      <c r="AR38" s="43">
        <v>73.872</v>
      </c>
      <c r="AS38" s="43">
        <v>73.813999999999993</v>
      </c>
      <c r="AT38" s="43">
        <v>73.756</v>
      </c>
      <c r="AU38" s="43">
        <v>73.697999999999993</v>
      </c>
      <c r="AV38" s="43">
        <v>73.651200000000003</v>
      </c>
      <c r="AW38" s="43">
        <v>73.604399999999998</v>
      </c>
      <c r="AX38" s="43">
        <v>73.557599999999994</v>
      </c>
      <c r="AY38" s="43">
        <v>73.510800000000003</v>
      </c>
      <c r="AZ38" s="43">
        <v>73.463999999999999</v>
      </c>
      <c r="BA38" s="43">
        <v>73.442400000000006</v>
      </c>
      <c r="BB38" s="43">
        <v>73.4208</v>
      </c>
      <c r="BC38" s="43"/>
      <c r="BD38" s="44">
        <f t="shared" si="0"/>
        <v>69.303033333333332</v>
      </c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</row>
    <row r="39" spans="1:91">
      <c r="A39" s="41">
        <v>59</v>
      </c>
      <c r="B39" s="41" t="s">
        <v>117</v>
      </c>
      <c r="C39" s="43">
        <v>74.359200000000001</v>
      </c>
      <c r="D39" s="43">
        <v>75.031400000000005</v>
      </c>
      <c r="E39" s="43">
        <v>75.703599999999994</v>
      </c>
      <c r="F39" s="43">
        <v>76.375799999999998</v>
      </c>
      <c r="G39" s="43">
        <v>77.048000000000002</v>
      </c>
      <c r="H39" s="43">
        <v>77.585800000000006</v>
      </c>
      <c r="I39" s="43">
        <v>78.123599999999996</v>
      </c>
      <c r="J39" s="43">
        <v>78.6614</v>
      </c>
      <c r="K39" s="43">
        <v>79.199200000000005</v>
      </c>
      <c r="L39" s="43">
        <v>79.736999999999995</v>
      </c>
      <c r="M39" s="43">
        <v>80.218800000000002</v>
      </c>
      <c r="N39" s="43">
        <v>80.700599999999994</v>
      </c>
      <c r="O39" s="43">
        <v>81.182400000000001</v>
      </c>
      <c r="P39" s="43">
        <v>81.664199999999994</v>
      </c>
      <c r="Q39" s="43">
        <v>82.146000000000001</v>
      </c>
      <c r="R39" s="43">
        <v>82.461399999999998</v>
      </c>
      <c r="S39" s="43">
        <v>82.776799999999994</v>
      </c>
      <c r="T39" s="43">
        <v>83.092200000000005</v>
      </c>
      <c r="U39" s="43">
        <v>83.407600000000002</v>
      </c>
      <c r="V39" s="43">
        <v>83.722999999999999</v>
      </c>
      <c r="W39" s="43">
        <v>83.848600000000005</v>
      </c>
      <c r="X39" s="43">
        <v>83.974199999999996</v>
      </c>
      <c r="Y39" s="43">
        <v>84.099800000000002</v>
      </c>
      <c r="Z39" s="43">
        <v>84.225399999999993</v>
      </c>
      <c r="AA39" s="43">
        <v>84.350999999999999</v>
      </c>
      <c r="AB39" s="43">
        <v>84.449399999999997</v>
      </c>
      <c r="AC39" s="43">
        <v>84.547799999999995</v>
      </c>
      <c r="AD39" s="43">
        <v>84.646199999999993</v>
      </c>
      <c r="AE39" s="43">
        <v>84.744600000000005</v>
      </c>
      <c r="AF39" s="43">
        <v>84.843000000000004</v>
      </c>
      <c r="AG39" s="43">
        <v>84.870199999999997</v>
      </c>
      <c r="AH39" s="43">
        <v>84.897400000000005</v>
      </c>
      <c r="AI39" s="43">
        <v>84.924599999999998</v>
      </c>
      <c r="AJ39" s="43">
        <v>84.951800000000006</v>
      </c>
      <c r="AK39" s="43">
        <v>84.978999999999999</v>
      </c>
      <c r="AL39" s="43">
        <v>85.003200000000007</v>
      </c>
      <c r="AM39" s="43">
        <v>85.0274</v>
      </c>
      <c r="AN39" s="43">
        <v>85.051599999999993</v>
      </c>
      <c r="AO39" s="43">
        <v>85.075800000000001</v>
      </c>
      <c r="AP39" s="43">
        <v>85.1</v>
      </c>
      <c r="AQ39" s="43">
        <v>85.251199999999997</v>
      </c>
      <c r="AR39" s="43">
        <v>85.4024</v>
      </c>
      <c r="AS39" s="43">
        <v>85.553600000000003</v>
      </c>
      <c r="AT39" s="43">
        <v>85.704800000000006</v>
      </c>
      <c r="AU39" s="43">
        <v>85.855999999999995</v>
      </c>
      <c r="AV39" s="43">
        <v>86.043800000000005</v>
      </c>
      <c r="AW39" s="43">
        <v>86.2316</v>
      </c>
      <c r="AX39" s="43">
        <v>86.419399999999996</v>
      </c>
      <c r="AY39" s="43">
        <v>86.607200000000006</v>
      </c>
      <c r="AZ39" s="43">
        <v>86.795000000000002</v>
      </c>
      <c r="BA39" s="43">
        <v>86.930800000000005</v>
      </c>
      <c r="BB39" s="43">
        <v>87.066599999999994</v>
      </c>
      <c r="BC39" s="43"/>
      <c r="BD39" s="44">
        <f t="shared" si="0"/>
        <v>81.230933333333311</v>
      </c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</row>
    <row r="40" spans="1:91">
      <c r="A40" s="41">
        <v>62</v>
      </c>
      <c r="B40" s="41" t="s">
        <v>116</v>
      </c>
      <c r="C40" s="43">
        <v>31.190999999999999</v>
      </c>
      <c r="D40" s="43">
        <v>32.152999999999999</v>
      </c>
      <c r="E40" s="43">
        <v>33.115000000000002</v>
      </c>
      <c r="F40" s="43">
        <v>34.076999999999998</v>
      </c>
      <c r="G40" s="43">
        <v>35.039000000000001</v>
      </c>
      <c r="H40" s="43">
        <v>36.073</v>
      </c>
      <c r="I40" s="43">
        <v>37.106999999999999</v>
      </c>
      <c r="J40" s="43">
        <v>38.140999999999998</v>
      </c>
      <c r="K40" s="43">
        <v>39.174999999999997</v>
      </c>
      <c r="L40" s="43">
        <v>40.209000000000003</v>
      </c>
      <c r="M40" s="43">
        <v>41.305399999999999</v>
      </c>
      <c r="N40" s="43">
        <v>42.401800000000001</v>
      </c>
      <c r="O40" s="43">
        <v>43.498199999999997</v>
      </c>
      <c r="P40" s="43">
        <v>44.5946</v>
      </c>
      <c r="Q40" s="43">
        <v>45.691000000000003</v>
      </c>
      <c r="R40" s="43">
        <v>46.808999999999997</v>
      </c>
      <c r="S40" s="43">
        <v>47.927</v>
      </c>
      <c r="T40" s="43">
        <v>49.045000000000002</v>
      </c>
      <c r="U40" s="43">
        <v>50.162999999999997</v>
      </c>
      <c r="V40" s="43">
        <v>51.280999999999999</v>
      </c>
      <c r="W40" s="43">
        <v>51.798400000000001</v>
      </c>
      <c r="X40" s="43">
        <v>52.315800000000003</v>
      </c>
      <c r="Y40" s="43">
        <v>52.833199999999998</v>
      </c>
      <c r="Z40" s="43">
        <v>53.3506</v>
      </c>
      <c r="AA40" s="43">
        <v>53.868000000000002</v>
      </c>
      <c r="AB40" s="43">
        <v>54.139600000000002</v>
      </c>
      <c r="AC40" s="43">
        <v>54.411200000000001</v>
      </c>
      <c r="AD40" s="43">
        <v>54.6828</v>
      </c>
      <c r="AE40" s="43">
        <v>54.9544</v>
      </c>
      <c r="AF40" s="43">
        <v>55.225999999999999</v>
      </c>
      <c r="AG40" s="43">
        <v>55.7</v>
      </c>
      <c r="AH40" s="43">
        <v>56.173999999999999</v>
      </c>
      <c r="AI40" s="43">
        <v>56.648000000000003</v>
      </c>
      <c r="AJ40" s="43">
        <v>57.122</v>
      </c>
      <c r="AK40" s="43">
        <v>57.595999999999997</v>
      </c>
      <c r="AL40" s="43">
        <v>58.426000000000002</v>
      </c>
      <c r="AM40" s="43">
        <v>59.256</v>
      </c>
      <c r="AN40" s="43">
        <v>60.085999999999999</v>
      </c>
      <c r="AO40" s="43">
        <v>60.915999999999997</v>
      </c>
      <c r="AP40" s="43">
        <v>61.746000000000002</v>
      </c>
      <c r="AQ40" s="43">
        <v>62.533000000000001</v>
      </c>
      <c r="AR40" s="43">
        <v>63.32</v>
      </c>
      <c r="AS40" s="43">
        <v>64.106999999999999</v>
      </c>
      <c r="AT40" s="43">
        <v>64.894000000000005</v>
      </c>
      <c r="AU40" s="43">
        <v>65.680999999999997</v>
      </c>
      <c r="AV40" s="43">
        <v>66.359399999999994</v>
      </c>
      <c r="AW40" s="43">
        <v>67.037800000000004</v>
      </c>
      <c r="AX40" s="43">
        <v>67.716200000000001</v>
      </c>
      <c r="AY40" s="43">
        <v>68.394599999999997</v>
      </c>
      <c r="AZ40" s="43">
        <v>69.072999999999993</v>
      </c>
      <c r="BA40" s="43">
        <v>69.639600000000002</v>
      </c>
      <c r="BB40" s="43">
        <v>70.206199999999995</v>
      </c>
      <c r="BC40" s="43"/>
      <c r="BD40" s="44">
        <f t="shared" si="0"/>
        <v>45.219200000000001</v>
      </c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</row>
    <row r="41" spans="1:91">
      <c r="A41" s="41">
        <v>63</v>
      </c>
      <c r="B41" s="41" t="s">
        <v>115</v>
      </c>
      <c r="C41" s="43">
        <v>34.430399999999999</v>
      </c>
      <c r="D41" s="43">
        <v>34.982799999999997</v>
      </c>
      <c r="E41" s="43">
        <v>35.535200000000003</v>
      </c>
      <c r="F41" s="43">
        <v>36.087600000000002</v>
      </c>
      <c r="G41" s="43">
        <v>36.64</v>
      </c>
      <c r="H41" s="43">
        <v>37.1676</v>
      </c>
      <c r="I41" s="43">
        <v>37.6952</v>
      </c>
      <c r="J41" s="43">
        <v>38.222799999999999</v>
      </c>
      <c r="K41" s="43">
        <v>38.750399999999999</v>
      </c>
      <c r="L41" s="43">
        <v>39.277999999999999</v>
      </c>
      <c r="M41" s="43">
        <v>39.895000000000003</v>
      </c>
      <c r="N41" s="43">
        <v>40.512</v>
      </c>
      <c r="O41" s="43">
        <v>41.128999999999998</v>
      </c>
      <c r="P41" s="43">
        <v>41.746000000000002</v>
      </c>
      <c r="Q41" s="43">
        <v>42.363</v>
      </c>
      <c r="R41" s="43">
        <v>43.282600000000002</v>
      </c>
      <c r="S41" s="43">
        <v>44.202199999999998</v>
      </c>
      <c r="T41" s="43">
        <v>45.1218</v>
      </c>
      <c r="U41" s="43">
        <v>46.041400000000003</v>
      </c>
      <c r="V41" s="43">
        <v>46.960999999999999</v>
      </c>
      <c r="W41" s="43">
        <v>47.811799999999998</v>
      </c>
      <c r="X41" s="43">
        <v>48.662599999999998</v>
      </c>
      <c r="Y41" s="43">
        <v>49.513399999999997</v>
      </c>
      <c r="Z41" s="43">
        <v>50.364199999999997</v>
      </c>
      <c r="AA41" s="43">
        <v>51.215000000000003</v>
      </c>
      <c r="AB41" s="43">
        <v>51.99</v>
      </c>
      <c r="AC41" s="43">
        <v>52.765000000000001</v>
      </c>
      <c r="AD41" s="43">
        <v>53.54</v>
      </c>
      <c r="AE41" s="43">
        <v>54.314999999999998</v>
      </c>
      <c r="AF41" s="43">
        <v>55.09</v>
      </c>
      <c r="AG41" s="43">
        <v>55.6252</v>
      </c>
      <c r="AH41" s="43">
        <v>56.160400000000003</v>
      </c>
      <c r="AI41" s="43">
        <v>56.695599999999999</v>
      </c>
      <c r="AJ41" s="43">
        <v>57.230800000000002</v>
      </c>
      <c r="AK41" s="43">
        <v>57.765999999999998</v>
      </c>
      <c r="AL41" s="43">
        <v>58.272599999999997</v>
      </c>
      <c r="AM41" s="43">
        <v>58.779200000000003</v>
      </c>
      <c r="AN41" s="43">
        <v>59.285800000000002</v>
      </c>
      <c r="AO41" s="43">
        <v>59.792400000000001</v>
      </c>
      <c r="AP41" s="43">
        <v>60.298999999999999</v>
      </c>
      <c r="AQ41" s="43">
        <v>60.960599999999999</v>
      </c>
      <c r="AR41" s="43">
        <v>61.622199999999999</v>
      </c>
      <c r="AS41" s="43">
        <v>62.283799999999999</v>
      </c>
      <c r="AT41" s="43">
        <v>62.945399999999999</v>
      </c>
      <c r="AU41" s="43">
        <v>63.606999999999999</v>
      </c>
      <c r="AV41" s="43">
        <v>64.258200000000002</v>
      </c>
      <c r="AW41" s="43">
        <v>64.909400000000005</v>
      </c>
      <c r="AX41" s="43">
        <v>65.560599999999994</v>
      </c>
      <c r="AY41" s="43">
        <v>66.211799999999997</v>
      </c>
      <c r="AZ41" s="43">
        <v>66.863</v>
      </c>
      <c r="BA41" s="43">
        <v>67.423199999999994</v>
      </c>
      <c r="BB41" s="43">
        <v>67.983400000000003</v>
      </c>
      <c r="BC41" s="43"/>
      <c r="BD41" s="44">
        <f t="shared" si="0"/>
        <v>43.843699999999998</v>
      </c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</row>
    <row r="42" spans="1:91">
      <c r="A42" s="41">
        <v>64</v>
      </c>
      <c r="B42" s="41" t="s">
        <v>114</v>
      </c>
      <c r="C42" s="43">
        <v>38.427399999999999</v>
      </c>
      <c r="D42" s="43">
        <v>38.9908</v>
      </c>
      <c r="E42" s="43">
        <v>39.554200000000002</v>
      </c>
      <c r="F42" s="43">
        <v>40.117600000000003</v>
      </c>
      <c r="G42" s="43">
        <v>40.680999999999997</v>
      </c>
      <c r="H42" s="43">
        <v>40.986600000000003</v>
      </c>
      <c r="I42" s="43">
        <v>41.292200000000001</v>
      </c>
      <c r="J42" s="43">
        <v>41.597799999999999</v>
      </c>
      <c r="K42" s="43">
        <v>41.903399999999998</v>
      </c>
      <c r="L42" s="43">
        <v>42.209000000000003</v>
      </c>
      <c r="M42" s="43">
        <v>42.457599999999999</v>
      </c>
      <c r="N42" s="43">
        <v>42.706200000000003</v>
      </c>
      <c r="O42" s="43">
        <v>42.954799999999999</v>
      </c>
      <c r="P42" s="43">
        <v>43.203400000000002</v>
      </c>
      <c r="Q42" s="43">
        <v>43.451999999999998</v>
      </c>
      <c r="R42" s="43">
        <v>43.533200000000001</v>
      </c>
      <c r="S42" s="43">
        <v>43.614400000000003</v>
      </c>
      <c r="T42" s="43">
        <v>43.695599999999999</v>
      </c>
      <c r="U42" s="43">
        <v>43.776800000000001</v>
      </c>
      <c r="V42" s="43">
        <v>43.857999999999997</v>
      </c>
      <c r="W42" s="43">
        <v>43.874000000000002</v>
      </c>
      <c r="X42" s="43">
        <v>43.89</v>
      </c>
      <c r="Y42" s="43">
        <v>43.905999999999999</v>
      </c>
      <c r="Z42" s="43">
        <v>43.921999999999997</v>
      </c>
      <c r="AA42" s="43">
        <v>43.938000000000002</v>
      </c>
      <c r="AB42" s="43">
        <v>43.845999999999997</v>
      </c>
      <c r="AC42" s="43">
        <v>43.753999999999998</v>
      </c>
      <c r="AD42" s="43">
        <v>43.661999999999999</v>
      </c>
      <c r="AE42" s="43">
        <v>43.57</v>
      </c>
      <c r="AF42" s="43">
        <v>43.478000000000002</v>
      </c>
      <c r="AG42" s="43">
        <v>43.345199999999998</v>
      </c>
      <c r="AH42" s="43">
        <v>43.212400000000002</v>
      </c>
      <c r="AI42" s="43">
        <v>43.079599999999999</v>
      </c>
      <c r="AJ42" s="43">
        <v>42.946800000000003</v>
      </c>
      <c r="AK42" s="43">
        <v>42.814</v>
      </c>
      <c r="AL42" s="43">
        <v>42.810600000000001</v>
      </c>
      <c r="AM42" s="43">
        <v>42.807200000000002</v>
      </c>
      <c r="AN42" s="43">
        <v>42.803800000000003</v>
      </c>
      <c r="AO42" s="43">
        <v>42.800400000000003</v>
      </c>
      <c r="AP42" s="43">
        <v>42.796999999999997</v>
      </c>
      <c r="AQ42" s="43">
        <v>42.843000000000004</v>
      </c>
      <c r="AR42" s="43">
        <v>42.889000000000003</v>
      </c>
      <c r="AS42" s="43">
        <v>42.935000000000002</v>
      </c>
      <c r="AT42" s="43">
        <v>42.981000000000002</v>
      </c>
      <c r="AU42" s="43">
        <v>43.027000000000001</v>
      </c>
      <c r="AV42" s="43">
        <v>43.096600000000002</v>
      </c>
      <c r="AW42" s="43">
        <v>43.166200000000003</v>
      </c>
      <c r="AX42" s="43">
        <v>43.235799999999998</v>
      </c>
      <c r="AY42" s="43">
        <v>43.305399999999999</v>
      </c>
      <c r="AZ42" s="43">
        <v>43.375</v>
      </c>
      <c r="BA42" s="43">
        <v>43.538600000000002</v>
      </c>
      <c r="BB42" s="43">
        <v>43.702199999999998</v>
      </c>
      <c r="BD42" s="44">
        <f t="shared" si="0"/>
        <v>42.561733333333329</v>
      </c>
    </row>
    <row r="43" spans="1:91">
      <c r="A43" s="41">
        <v>65</v>
      </c>
      <c r="B43" s="41" t="s">
        <v>113</v>
      </c>
      <c r="C43" s="43">
        <v>38.457799999999999</v>
      </c>
      <c r="D43" s="43">
        <v>38.570599999999999</v>
      </c>
      <c r="E43" s="43">
        <v>38.683399999999999</v>
      </c>
      <c r="F43" s="43">
        <v>38.796199999999999</v>
      </c>
      <c r="G43" s="43">
        <v>38.908999999999999</v>
      </c>
      <c r="H43" s="43">
        <v>39.007599999999996</v>
      </c>
      <c r="I43" s="43">
        <v>39.106200000000001</v>
      </c>
      <c r="J43" s="43">
        <v>39.204799999999999</v>
      </c>
      <c r="K43" s="43">
        <v>39.303400000000003</v>
      </c>
      <c r="L43" s="43">
        <v>39.402000000000001</v>
      </c>
      <c r="M43" s="43">
        <v>39.823599999999999</v>
      </c>
      <c r="N43" s="43">
        <v>40.245199999999997</v>
      </c>
      <c r="O43" s="43">
        <v>40.666800000000002</v>
      </c>
      <c r="P43" s="43">
        <v>41.0884</v>
      </c>
      <c r="Q43" s="43">
        <v>41.51</v>
      </c>
      <c r="R43" s="43">
        <v>42.019599999999997</v>
      </c>
      <c r="S43" s="43">
        <v>42.529200000000003</v>
      </c>
      <c r="T43" s="43">
        <v>43.038800000000002</v>
      </c>
      <c r="U43" s="43">
        <v>43.548400000000001</v>
      </c>
      <c r="V43" s="43">
        <v>44.058</v>
      </c>
      <c r="W43" s="43">
        <v>44.573599999999999</v>
      </c>
      <c r="X43" s="43">
        <v>45.089199999999998</v>
      </c>
      <c r="Y43" s="43">
        <v>45.604799999999997</v>
      </c>
      <c r="Z43" s="43">
        <v>46.120399999999997</v>
      </c>
      <c r="AA43" s="43">
        <v>46.636000000000003</v>
      </c>
      <c r="AB43" s="43">
        <v>47.1554</v>
      </c>
      <c r="AC43" s="43">
        <v>47.674799999999998</v>
      </c>
      <c r="AD43" s="43">
        <v>48.194200000000002</v>
      </c>
      <c r="AE43" s="43">
        <v>48.7136</v>
      </c>
      <c r="AF43" s="43">
        <v>49.232999999999997</v>
      </c>
      <c r="AG43" s="43">
        <v>50.1798</v>
      </c>
      <c r="AH43" s="43">
        <v>51.126600000000003</v>
      </c>
      <c r="AI43" s="43">
        <v>52.073399999999999</v>
      </c>
      <c r="AJ43" s="43">
        <v>53.020200000000003</v>
      </c>
      <c r="AK43" s="43">
        <v>53.966999999999999</v>
      </c>
      <c r="AL43" s="43">
        <v>54.956000000000003</v>
      </c>
      <c r="AM43" s="43">
        <v>55.945</v>
      </c>
      <c r="AN43" s="43">
        <v>56.933999999999997</v>
      </c>
      <c r="AO43" s="43">
        <v>57.923000000000002</v>
      </c>
      <c r="AP43" s="43">
        <v>58.911999999999999</v>
      </c>
      <c r="AQ43" s="43">
        <v>59.459200000000003</v>
      </c>
      <c r="AR43" s="43">
        <v>60.006399999999999</v>
      </c>
      <c r="AS43" s="43">
        <v>60.553600000000003</v>
      </c>
      <c r="AT43" s="43">
        <v>61.1008</v>
      </c>
      <c r="AU43" s="43">
        <v>61.648000000000003</v>
      </c>
      <c r="AV43" s="43">
        <v>62.174399999999999</v>
      </c>
      <c r="AW43" s="43">
        <v>62.700800000000001</v>
      </c>
      <c r="AX43" s="43">
        <v>63.227200000000003</v>
      </c>
      <c r="AY43" s="43">
        <v>63.753599999999999</v>
      </c>
      <c r="AZ43" s="43">
        <v>64.28</v>
      </c>
      <c r="BA43" s="43">
        <v>64.763400000000004</v>
      </c>
      <c r="BB43" s="43">
        <v>65.246799999999993</v>
      </c>
      <c r="BC43" s="43"/>
      <c r="BD43" s="44">
        <f t="shared" si="0"/>
        <v>42.565466666666666</v>
      </c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</row>
    <row r="44" spans="1:91">
      <c r="A44" s="41">
        <v>67</v>
      </c>
      <c r="B44" s="41" t="s">
        <v>112</v>
      </c>
      <c r="C44" s="43">
        <v>10.077400000000001</v>
      </c>
      <c r="D44" s="43">
        <v>10.4038</v>
      </c>
      <c r="E44" s="43">
        <v>10.7302</v>
      </c>
      <c r="F44" s="43">
        <v>11.0566</v>
      </c>
      <c r="G44" s="43">
        <v>11.382999999999999</v>
      </c>
      <c r="H44" s="43">
        <v>11.625</v>
      </c>
      <c r="I44" s="43">
        <v>11.867000000000001</v>
      </c>
      <c r="J44" s="43">
        <v>12.109</v>
      </c>
      <c r="K44" s="43">
        <v>12.351000000000001</v>
      </c>
      <c r="L44" s="43">
        <v>12.593</v>
      </c>
      <c r="M44" s="43">
        <v>12.7652</v>
      </c>
      <c r="N44" s="43">
        <v>12.9374</v>
      </c>
      <c r="O44" s="43">
        <v>13.1096</v>
      </c>
      <c r="P44" s="43">
        <v>13.2818</v>
      </c>
      <c r="Q44" s="43">
        <v>13.454000000000001</v>
      </c>
      <c r="R44" s="43">
        <v>13.635999999999999</v>
      </c>
      <c r="S44" s="43">
        <v>13.818</v>
      </c>
      <c r="T44" s="43">
        <v>14</v>
      </c>
      <c r="U44" s="43">
        <v>14.182</v>
      </c>
      <c r="V44" s="43">
        <v>14.364000000000001</v>
      </c>
      <c r="W44" s="43">
        <v>14.536799999999999</v>
      </c>
      <c r="X44" s="43">
        <v>14.7096</v>
      </c>
      <c r="Y44" s="43">
        <v>14.882400000000001</v>
      </c>
      <c r="Z44" s="43">
        <v>15.055199999999999</v>
      </c>
      <c r="AA44" s="43">
        <v>15.228</v>
      </c>
      <c r="AB44" s="43">
        <v>15.3424</v>
      </c>
      <c r="AC44" s="43">
        <v>15.456799999999999</v>
      </c>
      <c r="AD44" s="43">
        <v>15.571199999999999</v>
      </c>
      <c r="AE44" s="43">
        <v>15.685600000000001</v>
      </c>
      <c r="AF44" s="43">
        <v>15.8</v>
      </c>
      <c r="AG44" s="43">
        <v>15.950799999999999</v>
      </c>
      <c r="AH44" s="43">
        <v>16.101600000000001</v>
      </c>
      <c r="AI44" s="43">
        <v>16.252400000000002</v>
      </c>
      <c r="AJ44" s="43">
        <v>16.403199999999998</v>
      </c>
      <c r="AK44" s="43">
        <v>16.553999999999998</v>
      </c>
      <c r="AL44" s="43">
        <v>16.768000000000001</v>
      </c>
      <c r="AM44" s="43">
        <v>16.981999999999999</v>
      </c>
      <c r="AN44" s="43">
        <v>17.196000000000002</v>
      </c>
      <c r="AO44" s="43">
        <v>17.41</v>
      </c>
      <c r="AP44" s="43">
        <v>17.623999999999999</v>
      </c>
      <c r="AQ44" s="43">
        <v>17.9102</v>
      </c>
      <c r="AR44" s="43">
        <v>18.196400000000001</v>
      </c>
      <c r="AS44" s="43">
        <v>18.482600000000001</v>
      </c>
      <c r="AT44" s="43">
        <v>18.768799999999999</v>
      </c>
      <c r="AU44" s="43">
        <v>19.055</v>
      </c>
      <c r="AV44" s="43">
        <v>19.423999999999999</v>
      </c>
      <c r="AW44" s="43">
        <v>19.792999999999999</v>
      </c>
      <c r="AX44" s="43">
        <v>20.161999999999999</v>
      </c>
      <c r="AY44" s="43">
        <v>20.530999999999999</v>
      </c>
      <c r="AZ44" s="43">
        <v>20.9</v>
      </c>
      <c r="BA44" s="43">
        <v>21.363</v>
      </c>
      <c r="BB44" s="43">
        <v>21.826000000000001</v>
      </c>
      <c r="BC44" s="43"/>
      <c r="BD44" s="44">
        <f t="shared" si="0"/>
        <v>13.400400000000001</v>
      </c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</row>
    <row r="45" spans="1:91">
      <c r="A45" s="41">
        <v>68</v>
      </c>
      <c r="B45" s="41" t="s">
        <v>111</v>
      </c>
      <c r="C45" s="43">
        <v>58.295999999999999</v>
      </c>
      <c r="D45" s="43">
        <v>59.058999999999997</v>
      </c>
      <c r="E45" s="43">
        <v>59.822000000000003</v>
      </c>
      <c r="F45" s="43">
        <v>60.585000000000001</v>
      </c>
      <c r="G45" s="43">
        <v>61.347999999999999</v>
      </c>
      <c r="H45" s="43">
        <v>62.067799999999998</v>
      </c>
      <c r="I45" s="43">
        <v>62.787599999999998</v>
      </c>
      <c r="J45" s="43">
        <v>63.507399999999997</v>
      </c>
      <c r="K45" s="43">
        <v>64.227199999999996</v>
      </c>
      <c r="L45" s="43">
        <v>64.947000000000003</v>
      </c>
      <c r="M45" s="43">
        <v>65.475399999999993</v>
      </c>
      <c r="N45" s="43">
        <v>66.003799999999998</v>
      </c>
      <c r="O45" s="43">
        <v>66.532200000000003</v>
      </c>
      <c r="P45" s="43">
        <v>67.060599999999994</v>
      </c>
      <c r="Q45" s="43">
        <v>67.588999999999999</v>
      </c>
      <c r="R45" s="43">
        <v>68.013400000000004</v>
      </c>
      <c r="S45" s="43">
        <v>68.437799999999996</v>
      </c>
      <c r="T45" s="43">
        <v>68.862200000000001</v>
      </c>
      <c r="U45" s="43">
        <v>69.286600000000007</v>
      </c>
      <c r="V45" s="43">
        <v>69.710999999999999</v>
      </c>
      <c r="W45" s="43">
        <v>69.922200000000004</v>
      </c>
      <c r="X45" s="43">
        <v>70.133399999999995</v>
      </c>
      <c r="Y45" s="43">
        <v>70.3446</v>
      </c>
      <c r="Z45" s="43">
        <v>70.555800000000005</v>
      </c>
      <c r="AA45" s="43">
        <v>70.766999999999996</v>
      </c>
      <c r="AB45" s="43">
        <v>70.839200000000005</v>
      </c>
      <c r="AC45" s="43">
        <v>70.9114</v>
      </c>
      <c r="AD45" s="43">
        <v>70.983599999999996</v>
      </c>
      <c r="AE45" s="43">
        <v>71.055800000000005</v>
      </c>
      <c r="AF45" s="43">
        <v>71.128</v>
      </c>
      <c r="AG45" s="43">
        <v>70.898200000000003</v>
      </c>
      <c r="AH45" s="43">
        <v>70.668400000000005</v>
      </c>
      <c r="AI45" s="43">
        <v>70.438599999999994</v>
      </c>
      <c r="AJ45" s="43">
        <v>70.208799999999997</v>
      </c>
      <c r="AK45" s="43">
        <v>69.978999999999999</v>
      </c>
      <c r="AL45" s="43">
        <v>69.863399999999999</v>
      </c>
      <c r="AM45" s="43">
        <v>69.747799999999998</v>
      </c>
      <c r="AN45" s="43">
        <v>69.632199999999997</v>
      </c>
      <c r="AO45" s="43">
        <v>69.516599999999997</v>
      </c>
      <c r="AP45" s="43">
        <v>69.400999999999996</v>
      </c>
      <c r="AQ45" s="43">
        <v>69.405799999999999</v>
      </c>
      <c r="AR45" s="43">
        <v>69.410600000000002</v>
      </c>
      <c r="AS45" s="43">
        <v>69.415400000000005</v>
      </c>
      <c r="AT45" s="43">
        <v>69.420199999999994</v>
      </c>
      <c r="AU45" s="43">
        <v>69.424999999999997</v>
      </c>
      <c r="AV45" s="43">
        <v>69.432199999999995</v>
      </c>
      <c r="AW45" s="43">
        <v>69.439400000000006</v>
      </c>
      <c r="AX45" s="43">
        <v>69.446600000000004</v>
      </c>
      <c r="AY45" s="43">
        <v>69.453800000000001</v>
      </c>
      <c r="AZ45" s="43">
        <v>69.460999999999999</v>
      </c>
      <c r="BA45" s="43">
        <v>69.517799999999994</v>
      </c>
      <c r="BB45" s="43">
        <v>69.574600000000004</v>
      </c>
      <c r="BC45" s="43"/>
      <c r="BD45" s="44">
        <f t="shared" si="0"/>
        <v>66.675333333333327</v>
      </c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</row>
    <row r="46" spans="1:91">
      <c r="A46" s="41">
        <v>69</v>
      </c>
      <c r="B46" s="41" t="s">
        <v>110</v>
      </c>
      <c r="C46" s="43">
        <v>6.6638000000000002</v>
      </c>
      <c r="D46" s="43">
        <v>6.8945999999999996</v>
      </c>
      <c r="E46" s="43">
        <v>7.1254</v>
      </c>
      <c r="F46" s="43">
        <v>7.3562000000000003</v>
      </c>
      <c r="G46" s="43">
        <v>7.5869999999999997</v>
      </c>
      <c r="H46" s="43">
        <v>7.7872000000000003</v>
      </c>
      <c r="I46" s="43">
        <v>7.9874000000000001</v>
      </c>
      <c r="J46" s="43">
        <v>8.1875999999999998</v>
      </c>
      <c r="K46" s="43">
        <v>8.3878000000000004</v>
      </c>
      <c r="L46" s="43">
        <v>8.5879999999999992</v>
      </c>
      <c r="M46" s="43">
        <v>8.7623999999999995</v>
      </c>
      <c r="N46" s="43">
        <v>8.9367999999999999</v>
      </c>
      <c r="O46" s="43">
        <v>9.1112000000000002</v>
      </c>
      <c r="P46" s="43">
        <v>9.2856000000000005</v>
      </c>
      <c r="Q46" s="43">
        <v>9.4600000000000009</v>
      </c>
      <c r="R46" s="43">
        <v>9.65</v>
      </c>
      <c r="S46" s="43">
        <v>9.84</v>
      </c>
      <c r="T46" s="43">
        <v>10.029999999999999</v>
      </c>
      <c r="U46" s="43">
        <v>10.220000000000001</v>
      </c>
      <c r="V46" s="43">
        <v>10.41</v>
      </c>
      <c r="W46" s="43">
        <v>10.618600000000001</v>
      </c>
      <c r="X46" s="43">
        <v>10.827199999999999</v>
      </c>
      <c r="Y46" s="43">
        <v>11.0358</v>
      </c>
      <c r="Z46" s="43">
        <v>11.244400000000001</v>
      </c>
      <c r="AA46" s="43">
        <v>11.452999999999999</v>
      </c>
      <c r="AB46" s="43">
        <v>11.6866</v>
      </c>
      <c r="AC46" s="43">
        <v>11.920199999999999</v>
      </c>
      <c r="AD46" s="43">
        <v>12.1538</v>
      </c>
      <c r="AE46" s="43">
        <v>12.3874</v>
      </c>
      <c r="AF46" s="43">
        <v>12.621</v>
      </c>
      <c r="AG46" s="43">
        <v>12.8622</v>
      </c>
      <c r="AH46" s="43">
        <v>13.103400000000001</v>
      </c>
      <c r="AI46" s="43">
        <v>13.3446</v>
      </c>
      <c r="AJ46" s="43">
        <v>13.585800000000001</v>
      </c>
      <c r="AK46" s="43">
        <v>13.827</v>
      </c>
      <c r="AL46" s="43">
        <v>14.009399999999999</v>
      </c>
      <c r="AM46" s="43">
        <v>14.191800000000001</v>
      </c>
      <c r="AN46" s="43">
        <v>14.3742</v>
      </c>
      <c r="AO46" s="43">
        <v>14.5566</v>
      </c>
      <c r="AP46" s="43">
        <v>14.739000000000001</v>
      </c>
      <c r="AQ46" s="43">
        <v>14.9312</v>
      </c>
      <c r="AR46" s="43">
        <v>15.1234</v>
      </c>
      <c r="AS46" s="43">
        <v>15.3156</v>
      </c>
      <c r="AT46" s="43">
        <v>15.5078</v>
      </c>
      <c r="AU46" s="43">
        <v>15.7</v>
      </c>
      <c r="AV46" s="43">
        <v>15.9114</v>
      </c>
      <c r="AW46" s="43">
        <v>16.122800000000002</v>
      </c>
      <c r="AX46" s="43">
        <v>16.334199999999999</v>
      </c>
      <c r="AY46" s="43">
        <v>16.5456</v>
      </c>
      <c r="AZ46" s="43">
        <v>16.757000000000001</v>
      </c>
      <c r="BA46" s="43">
        <v>17.0184</v>
      </c>
      <c r="BB46" s="43">
        <v>17.279800000000002</v>
      </c>
      <c r="BC46" s="43"/>
      <c r="BD46" s="44">
        <f t="shared" si="0"/>
        <v>9.6073000000000004</v>
      </c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</row>
    <row r="47" spans="1:91">
      <c r="A47" s="41">
        <v>73</v>
      </c>
      <c r="B47" s="41" t="s">
        <v>109</v>
      </c>
      <c r="C47" s="43">
        <v>56.163600000000002</v>
      </c>
      <c r="D47" s="43">
        <v>57.037199999999999</v>
      </c>
      <c r="E47" s="43">
        <v>57.910800000000002</v>
      </c>
      <c r="F47" s="43">
        <v>58.784399999999998</v>
      </c>
      <c r="G47" s="43">
        <v>59.658000000000001</v>
      </c>
      <c r="H47" s="43">
        <v>60.467199999999998</v>
      </c>
      <c r="I47" s="43">
        <v>61.276400000000002</v>
      </c>
      <c r="J47" s="43">
        <v>62.085599999999999</v>
      </c>
      <c r="K47" s="43">
        <v>62.894799999999996</v>
      </c>
      <c r="L47" s="43">
        <v>63.704000000000001</v>
      </c>
      <c r="M47" s="43">
        <v>64.529399999999995</v>
      </c>
      <c r="N47" s="43">
        <v>65.354799999999997</v>
      </c>
      <c r="O47" s="43">
        <v>66.180199999999999</v>
      </c>
      <c r="P47" s="43">
        <v>67.005600000000001</v>
      </c>
      <c r="Q47" s="43">
        <v>67.831000000000003</v>
      </c>
      <c r="R47" s="43">
        <v>68.610200000000006</v>
      </c>
      <c r="S47" s="43">
        <v>69.389399999999995</v>
      </c>
      <c r="T47" s="43">
        <v>70.168599999999998</v>
      </c>
      <c r="U47" s="43">
        <v>70.947800000000001</v>
      </c>
      <c r="V47" s="43">
        <v>71.727000000000004</v>
      </c>
      <c r="W47" s="43">
        <v>72.543199999999999</v>
      </c>
      <c r="X47" s="43">
        <v>73.359399999999994</v>
      </c>
      <c r="Y47" s="43">
        <v>74.175600000000003</v>
      </c>
      <c r="Z47" s="43">
        <v>74.991799999999998</v>
      </c>
      <c r="AA47" s="43">
        <v>75.808000000000007</v>
      </c>
      <c r="AB47" s="43">
        <v>76.519800000000004</v>
      </c>
      <c r="AC47" s="43">
        <v>77.2316</v>
      </c>
      <c r="AD47" s="43">
        <v>77.943399999999997</v>
      </c>
      <c r="AE47" s="43">
        <v>78.655199999999994</v>
      </c>
      <c r="AF47" s="43">
        <v>79.367000000000004</v>
      </c>
      <c r="AG47" s="43">
        <v>79.686199999999999</v>
      </c>
      <c r="AH47" s="43">
        <v>80.005399999999995</v>
      </c>
      <c r="AI47" s="43">
        <v>80.324600000000004</v>
      </c>
      <c r="AJ47" s="43">
        <v>80.643799999999999</v>
      </c>
      <c r="AK47" s="43">
        <v>80.962999999999994</v>
      </c>
      <c r="AL47" s="43">
        <v>81.206999999999994</v>
      </c>
      <c r="AM47" s="43">
        <v>81.450999999999993</v>
      </c>
      <c r="AN47" s="43">
        <v>81.694999999999993</v>
      </c>
      <c r="AO47" s="43">
        <v>81.938999999999993</v>
      </c>
      <c r="AP47" s="43">
        <v>82.183000000000007</v>
      </c>
      <c r="AQ47" s="43">
        <v>82.327399999999997</v>
      </c>
      <c r="AR47" s="43">
        <v>82.471800000000002</v>
      </c>
      <c r="AS47" s="43">
        <v>82.616200000000006</v>
      </c>
      <c r="AT47" s="43">
        <v>82.760599999999997</v>
      </c>
      <c r="AU47" s="43">
        <v>82.905000000000001</v>
      </c>
      <c r="AV47" s="43">
        <v>83.035600000000002</v>
      </c>
      <c r="AW47" s="43">
        <v>83.166200000000003</v>
      </c>
      <c r="AX47" s="43">
        <v>83.296800000000005</v>
      </c>
      <c r="AY47" s="43">
        <v>83.427400000000006</v>
      </c>
      <c r="AZ47" s="43">
        <v>83.558000000000007</v>
      </c>
      <c r="BA47" s="43">
        <v>83.687799999999996</v>
      </c>
      <c r="BB47" s="43">
        <v>83.817599999999999</v>
      </c>
      <c r="BC47" s="43"/>
      <c r="BD47" s="44">
        <f t="shared" si="0"/>
        <v>68.077366666666663</v>
      </c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</row>
    <row r="48" spans="1:91">
      <c r="A48" s="41">
        <v>74</v>
      </c>
      <c r="B48" s="41" t="s">
        <v>108</v>
      </c>
      <c r="C48" s="43">
        <v>62.918199999999999</v>
      </c>
      <c r="D48" s="43">
        <v>63.956400000000002</v>
      </c>
      <c r="E48" s="43">
        <v>64.994600000000005</v>
      </c>
      <c r="F48" s="43">
        <v>66.032799999999995</v>
      </c>
      <c r="G48" s="43">
        <v>67.070999999999998</v>
      </c>
      <c r="H48" s="43">
        <v>67.867800000000003</v>
      </c>
      <c r="I48" s="43">
        <v>68.664599999999993</v>
      </c>
      <c r="J48" s="43">
        <v>69.461399999999998</v>
      </c>
      <c r="K48" s="43">
        <v>70.258200000000002</v>
      </c>
      <c r="L48" s="43">
        <v>71.055000000000007</v>
      </c>
      <c r="M48" s="43">
        <v>71.429199999999994</v>
      </c>
      <c r="N48" s="43">
        <v>71.803399999999996</v>
      </c>
      <c r="O48" s="43">
        <v>72.177599999999998</v>
      </c>
      <c r="P48" s="43">
        <v>72.5518</v>
      </c>
      <c r="Q48" s="43">
        <v>72.926000000000002</v>
      </c>
      <c r="R48" s="43">
        <v>72.997200000000007</v>
      </c>
      <c r="S48" s="43">
        <v>73.068399999999997</v>
      </c>
      <c r="T48" s="43">
        <v>73.139600000000002</v>
      </c>
      <c r="U48" s="43">
        <v>73.210800000000006</v>
      </c>
      <c r="V48" s="43">
        <v>73.281999999999996</v>
      </c>
      <c r="W48" s="43">
        <v>73.355599999999995</v>
      </c>
      <c r="X48" s="43">
        <v>73.429199999999994</v>
      </c>
      <c r="Y48" s="43">
        <v>73.502799999999993</v>
      </c>
      <c r="Z48" s="43">
        <v>73.576400000000007</v>
      </c>
      <c r="AA48" s="43">
        <v>73.650000000000006</v>
      </c>
      <c r="AB48" s="43">
        <v>73.731200000000001</v>
      </c>
      <c r="AC48" s="43">
        <v>73.812399999999997</v>
      </c>
      <c r="AD48" s="43">
        <v>73.893600000000006</v>
      </c>
      <c r="AE48" s="43">
        <v>73.974800000000002</v>
      </c>
      <c r="AF48" s="43">
        <v>74.055999999999997</v>
      </c>
      <c r="AG48" s="43">
        <v>74.227199999999996</v>
      </c>
      <c r="AH48" s="43">
        <v>74.398399999999995</v>
      </c>
      <c r="AI48" s="43">
        <v>74.569599999999994</v>
      </c>
      <c r="AJ48" s="43">
        <v>74.740799999999993</v>
      </c>
      <c r="AK48" s="43">
        <v>74.912000000000006</v>
      </c>
      <c r="AL48" s="43">
        <v>75.308599999999998</v>
      </c>
      <c r="AM48" s="43">
        <v>75.705200000000005</v>
      </c>
      <c r="AN48" s="43">
        <v>76.101799999999997</v>
      </c>
      <c r="AO48" s="43">
        <v>76.498400000000004</v>
      </c>
      <c r="AP48" s="43">
        <v>76.894999999999996</v>
      </c>
      <c r="AQ48" s="43">
        <v>77.826999999999998</v>
      </c>
      <c r="AR48" s="43">
        <v>78.759</v>
      </c>
      <c r="AS48" s="43">
        <v>79.691000000000003</v>
      </c>
      <c r="AT48" s="43">
        <v>80.623000000000005</v>
      </c>
      <c r="AU48" s="43">
        <v>81.555000000000007</v>
      </c>
      <c r="AV48" s="43">
        <v>82.2898</v>
      </c>
      <c r="AW48" s="43">
        <v>83.024600000000007</v>
      </c>
      <c r="AX48" s="43">
        <v>83.759399999999999</v>
      </c>
      <c r="AY48" s="43">
        <v>84.494200000000006</v>
      </c>
      <c r="AZ48" s="43">
        <v>85.228999999999999</v>
      </c>
      <c r="BA48" s="43">
        <v>85.743399999999994</v>
      </c>
      <c r="BB48" s="43">
        <v>86.257800000000003</v>
      </c>
      <c r="BC48" s="43"/>
      <c r="BD48" s="44">
        <f t="shared" si="0"/>
        <v>71.194933333333353</v>
      </c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2"/>
      <c r="CC48" s="42"/>
      <c r="CD48" s="42"/>
      <c r="CE48" s="42"/>
      <c r="CF48" s="42"/>
      <c r="CG48" s="42"/>
      <c r="CH48" s="42"/>
      <c r="CI48" s="42"/>
      <c r="CJ48" s="42"/>
      <c r="CK48" s="42"/>
      <c r="CL48" s="42"/>
      <c r="CM48" s="42"/>
    </row>
    <row r="49" spans="1:91">
      <c r="A49" s="41">
        <v>78</v>
      </c>
      <c r="B49" s="41" t="s">
        <v>107</v>
      </c>
      <c r="C49" s="43">
        <v>18.673400000000001</v>
      </c>
      <c r="D49" s="43">
        <v>19.948799999999999</v>
      </c>
      <c r="E49" s="43">
        <v>21.2242</v>
      </c>
      <c r="F49" s="43">
        <v>22.499600000000001</v>
      </c>
      <c r="G49" s="43">
        <v>23.774999999999999</v>
      </c>
      <c r="H49" s="43">
        <v>25.42</v>
      </c>
      <c r="I49" s="43">
        <v>27.065000000000001</v>
      </c>
      <c r="J49" s="43">
        <v>28.71</v>
      </c>
      <c r="K49" s="43">
        <v>30.355</v>
      </c>
      <c r="L49" s="43">
        <v>32</v>
      </c>
      <c r="M49" s="43">
        <v>34.194200000000002</v>
      </c>
      <c r="N49" s="43">
        <v>36.388399999999997</v>
      </c>
      <c r="O49" s="43">
        <v>38.582599999999999</v>
      </c>
      <c r="P49" s="43">
        <v>40.776800000000001</v>
      </c>
      <c r="Q49" s="43">
        <v>42.970999999999997</v>
      </c>
      <c r="R49" s="43">
        <v>45.313200000000002</v>
      </c>
      <c r="S49" s="43">
        <v>47.6554</v>
      </c>
      <c r="T49" s="43">
        <v>49.997599999999998</v>
      </c>
      <c r="U49" s="43">
        <v>52.339799999999997</v>
      </c>
      <c r="V49" s="43">
        <v>54.682000000000002</v>
      </c>
      <c r="W49" s="43">
        <v>56.225999999999999</v>
      </c>
      <c r="X49" s="43">
        <v>57.77</v>
      </c>
      <c r="Y49" s="43">
        <v>59.314</v>
      </c>
      <c r="Z49" s="43">
        <v>60.857999999999997</v>
      </c>
      <c r="AA49" s="43">
        <v>62.402000000000001</v>
      </c>
      <c r="AB49" s="43">
        <v>63.7502</v>
      </c>
      <c r="AC49" s="43">
        <v>65.098399999999998</v>
      </c>
      <c r="AD49" s="43">
        <v>66.446600000000004</v>
      </c>
      <c r="AE49" s="43">
        <v>67.794799999999995</v>
      </c>
      <c r="AF49" s="43">
        <v>69.143000000000001</v>
      </c>
      <c r="AG49" s="43">
        <v>70.386200000000002</v>
      </c>
      <c r="AH49" s="43">
        <v>71.629400000000004</v>
      </c>
      <c r="AI49" s="43">
        <v>72.872600000000006</v>
      </c>
      <c r="AJ49" s="43">
        <v>74.115799999999993</v>
      </c>
      <c r="AK49" s="43">
        <v>75.358999999999995</v>
      </c>
      <c r="AL49" s="43">
        <v>76.308800000000005</v>
      </c>
      <c r="AM49" s="43">
        <v>77.258600000000001</v>
      </c>
      <c r="AN49" s="43">
        <v>78.208399999999997</v>
      </c>
      <c r="AO49" s="43">
        <v>79.158199999999994</v>
      </c>
      <c r="AP49" s="43">
        <v>80.108000000000004</v>
      </c>
      <c r="AQ49" s="43">
        <v>80.785200000000003</v>
      </c>
      <c r="AR49" s="43">
        <v>81.462400000000002</v>
      </c>
      <c r="AS49" s="43">
        <v>82.139600000000002</v>
      </c>
      <c r="AT49" s="43">
        <v>82.816800000000001</v>
      </c>
      <c r="AU49" s="43">
        <v>83.494</v>
      </c>
      <c r="AV49" s="43">
        <v>83.962800000000001</v>
      </c>
      <c r="AW49" s="43">
        <v>84.431600000000003</v>
      </c>
      <c r="AX49" s="43">
        <v>84.900400000000005</v>
      </c>
      <c r="AY49" s="43">
        <v>85.369200000000006</v>
      </c>
      <c r="AZ49" s="43">
        <v>85.837999999999994</v>
      </c>
      <c r="BA49" s="43">
        <v>86.147800000000004</v>
      </c>
      <c r="BB49" s="43">
        <v>86.457599999999999</v>
      </c>
      <c r="BC49" s="43"/>
      <c r="BD49" s="44">
        <f t="shared" si="0"/>
        <v>44.045833333333334</v>
      </c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</row>
    <row r="50" spans="1:91">
      <c r="A50" s="41">
        <v>79</v>
      </c>
      <c r="B50" s="41" t="s">
        <v>106</v>
      </c>
      <c r="C50" s="43">
        <v>12.6098</v>
      </c>
      <c r="D50" s="43">
        <v>13.0906</v>
      </c>
      <c r="E50" s="43">
        <v>13.571400000000001</v>
      </c>
      <c r="F50" s="43">
        <v>14.052199999999999</v>
      </c>
      <c r="G50" s="43">
        <v>14.532999999999999</v>
      </c>
      <c r="H50" s="43">
        <v>15.525600000000001</v>
      </c>
      <c r="I50" s="43">
        <v>16.5182</v>
      </c>
      <c r="J50" s="43">
        <v>17.5108</v>
      </c>
      <c r="K50" s="43">
        <v>18.503399999999999</v>
      </c>
      <c r="L50" s="43">
        <v>19.495999999999999</v>
      </c>
      <c r="M50" s="43">
        <v>20.481999999999999</v>
      </c>
      <c r="N50" s="43">
        <v>21.468</v>
      </c>
      <c r="O50" s="43">
        <v>22.454000000000001</v>
      </c>
      <c r="P50" s="43">
        <v>23.44</v>
      </c>
      <c r="Q50" s="43">
        <v>24.425999999999998</v>
      </c>
      <c r="R50" s="43">
        <v>25.223600000000001</v>
      </c>
      <c r="S50" s="43">
        <v>26.0212</v>
      </c>
      <c r="T50" s="43">
        <v>26.8188</v>
      </c>
      <c r="U50" s="43">
        <v>27.616399999999999</v>
      </c>
      <c r="V50" s="43">
        <v>28.414000000000001</v>
      </c>
      <c r="W50" s="43">
        <v>29.335000000000001</v>
      </c>
      <c r="X50" s="43">
        <v>30.256</v>
      </c>
      <c r="Y50" s="43">
        <v>31.177</v>
      </c>
      <c r="Z50" s="43">
        <v>32.097999999999999</v>
      </c>
      <c r="AA50" s="43">
        <v>33.018999999999998</v>
      </c>
      <c r="AB50" s="43">
        <v>34.077599999999997</v>
      </c>
      <c r="AC50" s="43">
        <v>35.136200000000002</v>
      </c>
      <c r="AD50" s="43">
        <v>36.194800000000001</v>
      </c>
      <c r="AE50" s="43">
        <v>37.253399999999999</v>
      </c>
      <c r="AF50" s="43">
        <v>38.311999999999998</v>
      </c>
      <c r="AG50" s="43">
        <v>39.411799999999999</v>
      </c>
      <c r="AH50" s="43">
        <v>40.511600000000001</v>
      </c>
      <c r="AI50" s="43">
        <v>41.611400000000003</v>
      </c>
      <c r="AJ50" s="43">
        <v>42.711199999999998</v>
      </c>
      <c r="AK50" s="43">
        <v>43.811</v>
      </c>
      <c r="AL50" s="43">
        <v>44.812800000000003</v>
      </c>
      <c r="AM50" s="43">
        <v>45.814599999999999</v>
      </c>
      <c r="AN50" s="43">
        <v>46.816400000000002</v>
      </c>
      <c r="AO50" s="43">
        <v>47.818199999999997</v>
      </c>
      <c r="AP50" s="43">
        <v>48.82</v>
      </c>
      <c r="AQ50" s="43">
        <v>49.680199999999999</v>
      </c>
      <c r="AR50" s="43">
        <v>50.540399999999998</v>
      </c>
      <c r="AS50" s="43">
        <v>51.400599999999997</v>
      </c>
      <c r="AT50" s="43">
        <v>52.260800000000003</v>
      </c>
      <c r="AU50" s="43">
        <v>53.121000000000002</v>
      </c>
      <c r="AV50" s="43">
        <v>53.828000000000003</v>
      </c>
      <c r="AW50" s="43">
        <v>54.534999999999997</v>
      </c>
      <c r="AX50" s="43">
        <v>55.241999999999997</v>
      </c>
      <c r="AY50" s="43">
        <v>55.948999999999998</v>
      </c>
      <c r="AZ50" s="43">
        <v>56.655999999999999</v>
      </c>
      <c r="BA50" s="43">
        <v>57.208399999999997</v>
      </c>
      <c r="BB50" s="43">
        <v>57.760800000000003</v>
      </c>
      <c r="BD50" s="44">
        <f t="shared" si="0"/>
        <v>24.621133333333329</v>
      </c>
    </row>
    <row r="51" spans="1:91">
      <c r="A51" s="41">
        <v>80</v>
      </c>
      <c r="B51" s="41" t="s">
        <v>105</v>
      </c>
      <c r="C51" s="43">
        <v>43.561999999999998</v>
      </c>
      <c r="D51" s="43">
        <v>44.055</v>
      </c>
      <c r="E51" s="43">
        <v>44.548000000000002</v>
      </c>
      <c r="F51" s="43">
        <v>45.040999999999997</v>
      </c>
      <c r="G51" s="43">
        <v>45.533999999999999</v>
      </c>
      <c r="H51" s="43">
        <v>46.028399999999998</v>
      </c>
      <c r="I51" s="43">
        <v>46.522799999999997</v>
      </c>
      <c r="J51" s="43">
        <v>47.017200000000003</v>
      </c>
      <c r="K51" s="43">
        <v>47.511600000000001</v>
      </c>
      <c r="L51" s="43">
        <v>48.006</v>
      </c>
      <c r="M51" s="43">
        <v>48.473599999999998</v>
      </c>
      <c r="N51" s="43">
        <v>48.941200000000002</v>
      </c>
      <c r="O51" s="43">
        <v>49.408799999999999</v>
      </c>
      <c r="P51" s="43">
        <v>49.876399999999997</v>
      </c>
      <c r="Q51" s="43">
        <v>50.344000000000001</v>
      </c>
      <c r="R51" s="43">
        <v>50.7746</v>
      </c>
      <c r="S51" s="43">
        <v>51.205199999999998</v>
      </c>
      <c r="T51" s="43">
        <v>51.635800000000003</v>
      </c>
      <c r="U51" s="43">
        <v>52.066400000000002</v>
      </c>
      <c r="V51" s="43">
        <v>52.497</v>
      </c>
      <c r="W51" s="43">
        <v>52.836399999999998</v>
      </c>
      <c r="X51" s="43">
        <v>53.175800000000002</v>
      </c>
      <c r="Y51" s="43">
        <v>53.5152</v>
      </c>
      <c r="Z51" s="43">
        <v>53.854599999999998</v>
      </c>
      <c r="AA51" s="43">
        <v>54.194000000000003</v>
      </c>
      <c r="AB51" s="43">
        <v>54.3628</v>
      </c>
      <c r="AC51" s="43">
        <v>54.531599999999997</v>
      </c>
      <c r="AD51" s="43">
        <v>54.700400000000002</v>
      </c>
      <c r="AE51" s="43">
        <v>54.869199999999999</v>
      </c>
      <c r="AF51" s="43">
        <v>55.037999999999997</v>
      </c>
      <c r="AG51" s="43">
        <v>54.7986</v>
      </c>
      <c r="AH51" s="43">
        <v>54.559199999999997</v>
      </c>
      <c r="AI51" s="43">
        <v>54.319800000000001</v>
      </c>
      <c r="AJ51" s="43">
        <v>54.080399999999997</v>
      </c>
      <c r="AK51" s="43">
        <v>53.841000000000001</v>
      </c>
      <c r="AL51" s="43">
        <v>53.6004</v>
      </c>
      <c r="AM51" s="43">
        <v>53.3598</v>
      </c>
      <c r="AN51" s="43">
        <v>53.119199999999999</v>
      </c>
      <c r="AO51" s="43">
        <v>52.878599999999999</v>
      </c>
      <c r="AP51" s="43">
        <v>52.637999999999998</v>
      </c>
      <c r="AQ51" s="43">
        <v>52.604399999999998</v>
      </c>
      <c r="AR51" s="43">
        <v>52.570799999999998</v>
      </c>
      <c r="AS51" s="43">
        <v>52.537199999999999</v>
      </c>
      <c r="AT51" s="43">
        <v>52.503599999999999</v>
      </c>
      <c r="AU51" s="43">
        <v>52.47</v>
      </c>
      <c r="AV51" s="43">
        <v>52.5244</v>
      </c>
      <c r="AW51" s="43">
        <v>52.578800000000001</v>
      </c>
      <c r="AX51" s="43">
        <v>52.633200000000002</v>
      </c>
      <c r="AY51" s="43">
        <v>52.687600000000003</v>
      </c>
      <c r="AZ51" s="43">
        <v>52.741999999999997</v>
      </c>
      <c r="BA51" s="43">
        <v>52.860799999999998</v>
      </c>
      <c r="BB51" s="43">
        <v>52.979599999999998</v>
      </c>
      <c r="BC51" s="43"/>
      <c r="BD51" s="44">
        <f t="shared" si="0"/>
        <v>50.137566666666672</v>
      </c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2"/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</row>
    <row r="52" spans="1:91">
      <c r="A52" s="41">
        <v>81</v>
      </c>
      <c r="B52" s="41" t="s">
        <v>104</v>
      </c>
      <c r="C52" s="43">
        <v>71.498199999999997</v>
      </c>
      <c r="D52" s="43">
        <v>71.612399999999994</v>
      </c>
      <c r="E52" s="43">
        <v>71.726600000000005</v>
      </c>
      <c r="F52" s="43">
        <v>71.840800000000002</v>
      </c>
      <c r="G52" s="43">
        <v>71.954999999999998</v>
      </c>
      <c r="H52" s="43">
        <v>72.018799999999999</v>
      </c>
      <c r="I52" s="43">
        <v>72.082599999999999</v>
      </c>
      <c r="J52" s="43">
        <v>72.1464</v>
      </c>
      <c r="K52" s="43">
        <v>72.2102</v>
      </c>
      <c r="L52" s="43">
        <v>72.274000000000001</v>
      </c>
      <c r="M52" s="43">
        <v>72.331199999999995</v>
      </c>
      <c r="N52" s="43">
        <v>72.388400000000004</v>
      </c>
      <c r="O52" s="43">
        <v>72.445599999999999</v>
      </c>
      <c r="P52" s="43">
        <v>72.502799999999993</v>
      </c>
      <c r="Q52" s="43">
        <v>72.56</v>
      </c>
      <c r="R52" s="43">
        <v>72.616799999999998</v>
      </c>
      <c r="S52" s="43">
        <v>72.673599999999993</v>
      </c>
      <c r="T52" s="43">
        <v>72.730400000000003</v>
      </c>
      <c r="U52" s="43">
        <v>72.787199999999999</v>
      </c>
      <c r="V52" s="43">
        <v>72.843999999999994</v>
      </c>
      <c r="W52" s="43">
        <v>72.817400000000006</v>
      </c>
      <c r="X52" s="43">
        <v>72.790800000000004</v>
      </c>
      <c r="Y52" s="43">
        <v>72.764200000000002</v>
      </c>
      <c r="Z52" s="43">
        <v>72.7376</v>
      </c>
      <c r="AA52" s="43">
        <v>72.710999999999999</v>
      </c>
      <c r="AB52" s="43">
        <v>72.792400000000001</v>
      </c>
      <c r="AC52" s="43">
        <v>72.873800000000003</v>
      </c>
      <c r="AD52" s="43">
        <v>72.955200000000005</v>
      </c>
      <c r="AE52" s="43">
        <v>73.036600000000007</v>
      </c>
      <c r="AF52" s="43">
        <v>73.117999999999995</v>
      </c>
      <c r="AG52" s="43">
        <v>73.151600000000002</v>
      </c>
      <c r="AH52" s="43">
        <v>73.185199999999995</v>
      </c>
      <c r="AI52" s="43">
        <v>73.218800000000002</v>
      </c>
      <c r="AJ52" s="43">
        <v>73.252399999999994</v>
      </c>
      <c r="AK52" s="43">
        <v>73.286000000000001</v>
      </c>
      <c r="AL52" s="43">
        <v>73.242199999999997</v>
      </c>
      <c r="AM52" s="43">
        <v>73.198400000000007</v>
      </c>
      <c r="AN52" s="43">
        <v>73.154600000000002</v>
      </c>
      <c r="AO52" s="43">
        <v>73.110799999999998</v>
      </c>
      <c r="AP52" s="43">
        <v>73.066999999999993</v>
      </c>
      <c r="AQ52" s="43">
        <v>73.124600000000001</v>
      </c>
      <c r="AR52" s="43">
        <v>73.182199999999995</v>
      </c>
      <c r="AS52" s="43">
        <v>73.239800000000002</v>
      </c>
      <c r="AT52" s="43">
        <v>73.297399999999996</v>
      </c>
      <c r="AU52" s="43">
        <v>73.355000000000004</v>
      </c>
      <c r="AV52" s="43">
        <v>73.447000000000003</v>
      </c>
      <c r="AW52" s="43">
        <v>73.539000000000001</v>
      </c>
      <c r="AX52" s="43">
        <v>73.631</v>
      </c>
      <c r="AY52" s="43">
        <v>73.722999999999999</v>
      </c>
      <c r="AZ52" s="43">
        <v>73.814999999999998</v>
      </c>
      <c r="BA52" s="43">
        <v>73.944400000000002</v>
      </c>
      <c r="BB52" s="43">
        <v>74.073800000000006</v>
      </c>
      <c r="BC52" s="43"/>
      <c r="BD52" s="44">
        <f t="shared" si="0"/>
        <v>72.461399999999998</v>
      </c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</row>
    <row r="53" spans="1:91">
      <c r="A53" s="41">
        <v>82</v>
      </c>
      <c r="B53" s="41" t="s">
        <v>103</v>
      </c>
      <c r="C53" s="43">
        <v>23.816400000000002</v>
      </c>
      <c r="D53" s="43">
        <v>24.380800000000001</v>
      </c>
      <c r="E53" s="43">
        <v>24.9452</v>
      </c>
      <c r="F53" s="43">
        <v>25.509599999999999</v>
      </c>
      <c r="G53" s="43">
        <v>26.074000000000002</v>
      </c>
      <c r="H53" s="43">
        <v>26.653600000000001</v>
      </c>
      <c r="I53" s="43">
        <v>27.2332</v>
      </c>
      <c r="J53" s="43">
        <v>27.812799999999999</v>
      </c>
      <c r="K53" s="43">
        <v>28.392399999999999</v>
      </c>
      <c r="L53" s="43">
        <v>28.972000000000001</v>
      </c>
      <c r="M53" s="43">
        <v>29.1892</v>
      </c>
      <c r="N53" s="43">
        <v>29.406400000000001</v>
      </c>
      <c r="O53" s="43">
        <v>29.6236</v>
      </c>
      <c r="P53" s="43">
        <v>29.840800000000002</v>
      </c>
      <c r="Q53" s="43">
        <v>30.058</v>
      </c>
      <c r="R53" s="43">
        <v>30.279800000000002</v>
      </c>
      <c r="S53" s="43">
        <v>30.5016</v>
      </c>
      <c r="T53" s="43">
        <v>30.723400000000002</v>
      </c>
      <c r="U53" s="43">
        <v>30.9452</v>
      </c>
      <c r="V53" s="43">
        <v>31.167000000000002</v>
      </c>
      <c r="W53" s="43">
        <v>31.512799999999999</v>
      </c>
      <c r="X53" s="43">
        <v>31.858599999999999</v>
      </c>
      <c r="Y53" s="43">
        <v>32.2044</v>
      </c>
      <c r="Z53" s="43">
        <v>32.550199999999997</v>
      </c>
      <c r="AA53" s="43">
        <v>32.896000000000001</v>
      </c>
      <c r="AB53" s="43">
        <v>33.604999999999997</v>
      </c>
      <c r="AC53" s="43">
        <v>34.314</v>
      </c>
      <c r="AD53" s="43">
        <v>35.023000000000003</v>
      </c>
      <c r="AE53" s="43">
        <v>35.731999999999999</v>
      </c>
      <c r="AF53" s="43">
        <v>36.441000000000003</v>
      </c>
      <c r="AG53" s="43">
        <v>37.180599999999998</v>
      </c>
      <c r="AH53" s="43">
        <v>37.920200000000001</v>
      </c>
      <c r="AI53" s="43">
        <v>38.659799999999997</v>
      </c>
      <c r="AJ53" s="43">
        <v>39.3994</v>
      </c>
      <c r="AK53" s="43">
        <v>40.139000000000003</v>
      </c>
      <c r="AL53" s="43">
        <v>40.902000000000001</v>
      </c>
      <c r="AM53" s="43">
        <v>41.664999999999999</v>
      </c>
      <c r="AN53" s="43">
        <v>42.427999999999997</v>
      </c>
      <c r="AO53" s="43">
        <v>43.191000000000003</v>
      </c>
      <c r="AP53" s="43">
        <v>43.954000000000001</v>
      </c>
      <c r="AQ53" s="43">
        <v>44.701999999999998</v>
      </c>
      <c r="AR53" s="43">
        <v>45.45</v>
      </c>
      <c r="AS53" s="43">
        <v>46.198</v>
      </c>
      <c r="AT53" s="43">
        <v>46.945999999999998</v>
      </c>
      <c r="AU53" s="43">
        <v>47.694000000000003</v>
      </c>
      <c r="AV53" s="43">
        <v>48.398200000000003</v>
      </c>
      <c r="AW53" s="43">
        <v>49.102400000000003</v>
      </c>
      <c r="AX53" s="43">
        <v>49.806600000000003</v>
      </c>
      <c r="AY53" s="43">
        <v>50.510800000000003</v>
      </c>
      <c r="AZ53" s="43">
        <v>51.215000000000003</v>
      </c>
      <c r="BA53" s="43">
        <v>51.868400000000001</v>
      </c>
      <c r="BB53" s="43">
        <v>52.521799999999999</v>
      </c>
      <c r="BC53" s="43"/>
      <c r="BD53" s="44">
        <f t="shared" si="0"/>
        <v>30.055400000000002</v>
      </c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</row>
    <row r="54" spans="1:91">
      <c r="A54" s="41">
        <v>84</v>
      </c>
      <c r="B54" s="41" t="s">
        <v>102</v>
      </c>
      <c r="C54" s="43">
        <v>43.818600000000004</v>
      </c>
      <c r="D54" s="43">
        <v>44.746200000000002</v>
      </c>
      <c r="E54" s="43">
        <v>45.6738</v>
      </c>
      <c r="F54" s="43">
        <v>46.601399999999998</v>
      </c>
      <c r="G54" s="43">
        <v>47.529000000000003</v>
      </c>
      <c r="H54" s="43">
        <v>48.524000000000001</v>
      </c>
      <c r="I54" s="43">
        <v>49.518999999999998</v>
      </c>
      <c r="J54" s="43">
        <v>50.514000000000003</v>
      </c>
      <c r="K54" s="43">
        <v>51.509</v>
      </c>
      <c r="L54" s="43">
        <v>52.503999999999998</v>
      </c>
      <c r="M54" s="43">
        <v>53.064599999999999</v>
      </c>
      <c r="N54" s="43">
        <v>53.6252</v>
      </c>
      <c r="O54" s="43">
        <v>54.1858</v>
      </c>
      <c r="P54" s="43">
        <v>54.746400000000001</v>
      </c>
      <c r="Q54" s="43">
        <v>55.307000000000002</v>
      </c>
      <c r="R54" s="43">
        <v>55.792400000000001</v>
      </c>
      <c r="S54" s="43">
        <v>56.277799999999999</v>
      </c>
      <c r="T54" s="43">
        <v>56.763199999999998</v>
      </c>
      <c r="U54" s="43">
        <v>57.248600000000003</v>
      </c>
      <c r="V54" s="43">
        <v>57.734000000000002</v>
      </c>
      <c r="W54" s="43">
        <v>57.875399999999999</v>
      </c>
      <c r="X54" s="43">
        <v>58.016800000000003</v>
      </c>
      <c r="Y54" s="43">
        <v>58.158200000000001</v>
      </c>
      <c r="Z54" s="43">
        <v>58.299599999999998</v>
      </c>
      <c r="AA54" s="43">
        <v>58.441000000000003</v>
      </c>
      <c r="AB54" s="43">
        <v>58.5214</v>
      </c>
      <c r="AC54" s="43">
        <v>58.601799999999997</v>
      </c>
      <c r="AD54" s="43">
        <v>58.682200000000002</v>
      </c>
      <c r="AE54" s="43">
        <v>58.762599999999999</v>
      </c>
      <c r="AF54" s="43">
        <v>58.843000000000004</v>
      </c>
      <c r="AG54" s="43">
        <v>58.931800000000003</v>
      </c>
      <c r="AH54" s="43">
        <v>59.020600000000002</v>
      </c>
      <c r="AI54" s="43">
        <v>59.109400000000001</v>
      </c>
      <c r="AJ54" s="43">
        <v>59.1982</v>
      </c>
      <c r="AK54" s="43">
        <v>59.286999999999999</v>
      </c>
      <c r="AL54" s="43">
        <v>59.376800000000003</v>
      </c>
      <c r="AM54" s="43">
        <v>59.4666</v>
      </c>
      <c r="AN54" s="43">
        <v>59.556399999999996</v>
      </c>
      <c r="AO54" s="43">
        <v>59.6462</v>
      </c>
      <c r="AP54" s="43">
        <v>59.735999999999997</v>
      </c>
      <c r="AQ54" s="43">
        <v>59.851999999999997</v>
      </c>
      <c r="AR54" s="43">
        <v>59.968000000000004</v>
      </c>
      <c r="AS54" s="43">
        <v>60.084000000000003</v>
      </c>
      <c r="AT54" s="43">
        <v>60.2</v>
      </c>
      <c r="AU54" s="43">
        <v>60.316000000000003</v>
      </c>
      <c r="AV54" s="43">
        <v>60.496600000000001</v>
      </c>
      <c r="AW54" s="43">
        <v>60.677199999999999</v>
      </c>
      <c r="AX54" s="43">
        <v>60.857799999999997</v>
      </c>
      <c r="AY54" s="43">
        <v>61.038400000000003</v>
      </c>
      <c r="AZ54" s="43">
        <v>61.219000000000001</v>
      </c>
      <c r="BA54" s="43">
        <v>61.462800000000001</v>
      </c>
      <c r="BB54" s="43">
        <v>61.706600000000002</v>
      </c>
      <c r="BC54" s="43"/>
      <c r="BD54" s="44">
        <f t="shared" si="0"/>
        <v>53.996200000000009</v>
      </c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</row>
    <row r="55" spans="1:91">
      <c r="A55" s="41">
        <v>89</v>
      </c>
      <c r="B55" s="41" t="s">
        <v>101</v>
      </c>
      <c r="C55" s="43">
        <v>31.694600000000001</v>
      </c>
      <c r="D55" s="43">
        <v>32.2682</v>
      </c>
      <c r="E55" s="43">
        <v>32.841799999999999</v>
      </c>
      <c r="F55" s="43">
        <v>33.415399999999998</v>
      </c>
      <c r="G55" s="43">
        <v>33.988999999999997</v>
      </c>
      <c r="H55" s="43">
        <v>34.300199999999997</v>
      </c>
      <c r="I55" s="43">
        <v>34.611400000000003</v>
      </c>
      <c r="J55" s="43">
        <v>34.922600000000003</v>
      </c>
      <c r="K55" s="43">
        <v>35.233800000000002</v>
      </c>
      <c r="L55" s="43">
        <v>35.545000000000002</v>
      </c>
      <c r="M55" s="43">
        <v>35.779600000000002</v>
      </c>
      <c r="N55" s="43">
        <v>36.014200000000002</v>
      </c>
      <c r="O55" s="43">
        <v>36.248800000000003</v>
      </c>
      <c r="P55" s="43">
        <v>36.483400000000003</v>
      </c>
      <c r="Q55" s="43">
        <v>36.718000000000004</v>
      </c>
      <c r="R55" s="43">
        <v>36.854599999999998</v>
      </c>
      <c r="S55" s="43">
        <v>36.991199999999999</v>
      </c>
      <c r="T55" s="43">
        <v>37.127800000000001</v>
      </c>
      <c r="U55" s="43">
        <v>37.264400000000002</v>
      </c>
      <c r="V55" s="43">
        <v>37.401000000000003</v>
      </c>
      <c r="W55" s="43">
        <v>37.751199999999997</v>
      </c>
      <c r="X55" s="43">
        <v>38.101399999999998</v>
      </c>
      <c r="Y55" s="43">
        <v>38.451599999999999</v>
      </c>
      <c r="Z55" s="43">
        <v>38.8018</v>
      </c>
      <c r="AA55" s="43">
        <v>39.152000000000001</v>
      </c>
      <c r="AB55" s="43">
        <v>39.545000000000002</v>
      </c>
      <c r="AC55" s="43">
        <v>39.938000000000002</v>
      </c>
      <c r="AD55" s="43">
        <v>40.331000000000003</v>
      </c>
      <c r="AE55" s="43">
        <v>40.723999999999997</v>
      </c>
      <c r="AF55" s="43">
        <v>41.116999999999997</v>
      </c>
      <c r="AG55" s="43">
        <v>41.515599999999999</v>
      </c>
      <c r="AH55" s="43">
        <v>41.914200000000001</v>
      </c>
      <c r="AI55" s="43">
        <v>42.312800000000003</v>
      </c>
      <c r="AJ55" s="43">
        <v>42.711399999999998</v>
      </c>
      <c r="AK55" s="43">
        <v>43.11</v>
      </c>
      <c r="AL55" s="43">
        <v>43.513399999999997</v>
      </c>
      <c r="AM55" s="43">
        <v>43.916800000000002</v>
      </c>
      <c r="AN55" s="43">
        <v>44.3202</v>
      </c>
      <c r="AO55" s="43">
        <v>44.723599999999998</v>
      </c>
      <c r="AP55" s="43">
        <v>45.127000000000002</v>
      </c>
      <c r="AQ55" s="43">
        <v>45.536000000000001</v>
      </c>
      <c r="AR55" s="43">
        <v>45.945</v>
      </c>
      <c r="AS55" s="43">
        <v>46.353999999999999</v>
      </c>
      <c r="AT55" s="43">
        <v>46.762999999999998</v>
      </c>
      <c r="AU55" s="43">
        <v>47.171999999999997</v>
      </c>
      <c r="AV55" s="43">
        <v>47.603200000000001</v>
      </c>
      <c r="AW55" s="43">
        <v>48.034399999999998</v>
      </c>
      <c r="AX55" s="43">
        <v>48.465600000000002</v>
      </c>
      <c r="AY55" s="43">
        <v>48.896799999999999</v>
      </c>
      <c r="AZ55" s="43">
        <v>49.328000000000003</v>
      </c>
      <c r="BA55" s="43">
        <v>49.782400000000003</v>
      </c>
      <c r="BB55" s="43">
        <v>50.236800000000002</v>
      </c>
      <c r="BC55" s="43"/>
      <c r="BD55" s="44">
        <f t="shared" si="0"/>
        <v>36.653933333333342</v>
      </c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</row>
    <row r="56" spans="1:91">
      <c r="A56" s="41">
        <v>91</v>
      </c>
      <c r="B56" s="41" t="s">
        <v>100</v>
      </c>
      <c r="C56" s="43">
        <v>10.9732</v>
      </c>
      <c r="D56" s="43">
        <v>11.474399999999999</v>
      </c>
      <c r="E56" s="43">
        <v>11.9756</v>
      </c>
      <c r="F56" s="43">
        <v>12.476800000000001</v>
      </c>
      <c r="G56" s="43">
        <v>12.978</v>
      </c>
      <c r="H56" s="43">
        <v>13.5778</v>
      </c>
      <c r="I56" s="43">
        <v>14.1776</v>
      </c>
      <c r="J56" s="43">
        <v>14.7774</v>
      </c>
      <c r="K56" s="43">
        <v>15.3772</v>
      </c>
      <c r="L56" s="43">
        <v>15.977</v>
      </c>
      <c r="M56" s="43">
        <v>16.6846</v>
      </c>
      <c r="N56" s="43">
        <v>17.392199999999999</v>
      </c>
      <c r="O56" s="43">
        <v>18.099799999999998</v>
      </c>
      <c r="P56" s="43">
        <v>18.807400000000001</v>
      </c>
      <c r="Q56" s="43">
        <v>19.515000000000001</v>
      </c>
      <c r="R56" s="43">
        <v>20.3354</v>
      </c>
      <c r="S56" s="43">
        <v>21.155799999999999</v>
      </c>
      <c r="T56" s="43">
        <v>21.976199999999999</v>
      </c>
      <c r="U56" s="43">
        <v>22.796600000000002</v>
      </c>
      <c r="V56" s="43">
        <v>23.617000000000001</v>
      </c>
      <c r="W56" s="43">
        <v>24.2178</v>
      </c>
      <c r="X56" s="43">
        <v>24.8186</v>
      </c>
      <c r="Y56" s="43">
        <v>25.4194</v>
      </c>
      <c r="Z56" s="43">
        <v>26.020199999999999</v>
      </c>
      <c r="AA56" s="43">
        <v>26.620999999999999</v>
      </c>
      <c r="AB56" s="43">
        <v>26.902000000000001</v>
      </c>
      <c r="AC56" s="43">
        <v>27.183</v>
      </c>
      <c r="AD56" s="43">
        <v>27.463999999999999</v>
      </c>
      <c r="AE56" s="43">
        <v>27.745000000000001</v>
      </c>
      <c r="AF56" s="43">
        <v>28.026</v>
      </c>
      <c r="AG56" s="43">
        <v>28.315799999999999</v>
      </c>
      <c r="AH56" s="43">
        <v>28.605599999999999</v>
      </c>
      <c r="AI56" s="43">
        <v>28.895399999999999</v>
      </c>
      <c r="AJ56" s="43">
        <v>29.185199999999998</v>
      </c>
      <c r="AK56" s="43">
        <v>29.475000000000001</v>
      </c>
      <c r="AL56" s="43">
        <v>29.784600000000001</v>
      </c>
      <c r="AM56" s="43">
        <v>30.094200000000001</v>
      </c>
      <c r="AN56" s="43">
        <v>30.4038</v>
      </c>
      <c r="AO56" s="43">
        <v>30.7134</v>
      </c>
      <c r="AP56" s="43">
        <v>31.023</v>
      </c>
      <c r="AQ56" s="43">
        <v>31.3874</v>
      </c>
      <c r="AR56" s="43">
        <v>31.751799999999999</v>
      </c>
      <c r="AS56" s="43">
        <v>32.116199999999999</v>
      </c>
      <c r="AT56" s="43">
        <v>32.480600000000003</v>
      </c>
      <c r="AU56" s="43">
        <v>32.844999999999999</v>
      </c>
      <c r="AV56" s="43">
        <v>33.269599999999997</v>
      </c>
      <c r="AW56" s="43">
        <v>33.694200000000002</v>
      </c>
      <c r="AX56" s="43">
        <v>34.1188</v>
      </c>
      <c r="AY56" s="43">
        <v>34.543399999999998</v>
      </c>
      <c r="AZ56" s="43">
        <v>34.968000000000004</v>
      </c>
      <c r="BA56" s="43">
        <v>35.456000000000003</v>
      </c>
      <c r="BB56" s="43">
        <v>35.944000000000003</v>
      </c>
      <c r="BC56" s="43"/>
      <c r="BD56" s="44">
        <f t="shared" si="0"/>
        <v>19.952066666666664</v>
      </c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</row>
    <row r="57" spans="1:91">
      <c r="A57" s="41">
        <v>92</v>
      </c>
      <c r="B57" s="41" t="s">
        <v>99</v>
      </c>
      <c r="C57" s="43">
        <v>13.7498</v>
      </c>
      <c r="D57" s="43">
        <v>13.8996</v>
      </c>
      <c r="E57" s="43">
        <v>14.0494</v>
      </c>
      <c r="F57" s="43">
        <v>14.199199999999999</v>
      </c>
      <c r="G57" s="43">
        <v>14.349</v>
      </c>
      <c r="H57" s="43">
        <v>14.505599999999999</v>
      </c>
      <c r="I57" s="43">
        <v>14.6622</v>
      </c>
      <c r="J57" s="43">
        <v>14.8188</v>
      </c>
      <c r="K57" s="43">
        <v>14.9754</v>
      </c>
      <c r="L57" s="43">
        <v>15.132</v>
      </c>
      <c r="M57" s="43">
        <v>15.2956</v>
      </c>
      <c r="N57" s="43">
        <v>15.459199999999999</v>
      </c>
      <c r="O57" s="43">
        <v>15.6228</v>
      </c>
      <c r="P57" s="43">
        <v>15.7864</v>
      </c>
      <c r="Q57" s="43">
        <v>15.95</v>
      </c>
      <c r="R57" s="43">
        <v>16.280999999999999</v>
      </c>
      <c r="S57" s="43">
        <v>16.611999999999998</v>
      </c>
      <c r="T57" s="43">
        <v>16.943000000000001</v>
      </c>
      <c r="U57" s="43">
        <v>17.274000000000001</v>
      </c>
      <c r="V57" s="43">
        <v>17.605</v>
      </c>
      <c r="W57" s="43">
        <v>18.5702</v>
      </c>
      <c r="X57" s="43">
        <v>19.535399999999999</v>
      </c>
      <c r="Y57" s="43">
        <v>20.500599999999999</v>
      </c>
      <c r="Z57" s="43">
        <v>21.465800000000002</v>
      </c>
      <c r="AA57" s="43">
        <v>22.431000000000001</v>
      </c>
      <c r="AB57" s="43">
        <v>23.571000000000002</v>
      </c>
      <c r="AC57" s="43">
        <v>24.710999999999999</v>
      </c>
      <c r="AD57" s="43">
        <v>25.850999999999999</v>
      </c>
      <c r="AE57" s="43">
        <v>26.991</v>
      </c>
      <c r="AF57" s="43">
        <v>28.131</v>
      </c>
      <c r="AG57" s="43">
        <v>28.9678</v>
      </c>
      <c r="AH57" s="43">
        <v>29.804600000000001</v>
      </c>
      <c r="AI57" s="43">
        <v>30.641400000000001</v>
      </c>
      <c r="AJ57" s="43">
        <v>31.478200000000001</v>
      </c>
      <c r="AK57" s="43">
        <v>32.314999999999998</v>
      </c>
      <c r="AL57" s="43">
        <v>33.022199999999998</v>
      </c>
      <c r="AM57" s="43">
        <v>33.729399999999998</v>
      </c>
      <c r="AN57" s="43">
        <v>34.436599999999999</v>
      </c>
      <c r="AO57" s="43">
        <v>35.143799999999999</v>
      </c>
      <c r="AP57" s="43">
        <v>35.850999999999999</v>
      </c>
      <c r="AQ57" s="43">
        <v>36.589799999999997</v>
      </c>
      <c r="AR57" s="43">
        <v>37.328600000000002</v>
      </c>
      <c r="AS57" s="43">
        <v>38.067399999999999</v>
      </c>
      <c r="AT57" s="43">
        <v>38.806199999999997</v>
      </c>
      <c r="AU57" s="43">
        <v>39.545000000000002</v>
      </c>
      <c r="AV57" s="43">
        <v>40.28</v>
      </c>
      <c r="AW57" s="43">
        <v>41.015000000000001</v>
      </c>
      <c r="AX57" s="43">
        <v>41.75</v>
      </c>
      <c r="AY57" s="43">
        <v>42.484999999999999</v>
      </c>
      <c r="AZ57" s="43">
        <v>43.22</v>
      </c>
      <c r="BA57" s="43">
        <v>43.897399999999998</v>
      </c>
      <c r="BB57" s="43">
        <v>44.574800000000003</v>
      </c>
      <c r="BC57" s="43"/>
      <c r="BD57" s="44">
        <f t="shared" si="0"/>
        <v>17.964266666666671</v>
      </c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</row>
    <row r="58" spans="1:91">
      <c r="A58" s="41">
        <v>94</v>
      </c>
      <c r="B58" s="41" t="s">
        <v>98</v>
      </c>
      <c r="C58" s="43">
        <v>15.990399999999999</v>
      </c>
      <c r="D58" s="43">
        <v>16.387799999999999</v>
      </c>
      <c r="E58" s="43">
        <v>16.7852</v>
      </c>
      <c r="F58" s="43">
        <v>17.182600000000001</v>
      </c>
      <c r="G58" s="43">
        <v>17.579999999999998</v>
      </c>
      <c r="H58" s="43">
        <v>18.016400000000001</v>
      </c>
      <c r="I58" s="43">
        <v>18.4528</v>
      </c>
      <c r="J58" s="43">
        <v>18.889199999999999</v>
      </c>
      <c r="K58" s="43">
        <v>19.325600000000001</v>
      </c>
      <c r="L58" s="43">
        <v>19.762</v>
      </c>
      <c r="M58" s="43">
        <v>19.8904</v>
      </c>
      <c r="N58" s="43">
        <v>20.018799999999999</v>
      </c>
      <c r="O58" s="43">
        <v>20.147200000000002</v>
      </c>
      <c r="P58" s="43">
        <v>20.275600000000001</v>
      </c>
      <c r="Q58" s="43">
        <v>20.404</v>
      </c>
      <c r="R58" s="43">
        <v>20.4314</v>
      </c>
      <c r="S58" s="43">
        <v>20.4588</v>
      </c>
      <c r="T58" s="43">
        <v>20.4862</v>
      </c>
      <c r="U58" s="43">
        <v>20.5136</v>
      </c>
      <c r="V58" s="43">
        <v>20.541</v>
      </c>
      <c r="W58" s="43">
        <v>21.085000000000001</v>
      </c>
      <c r="X58" s="43">
        <v>21.629000000000001</v>
      </c>
      <c r="Y58" s="43">
        <v>22.172999999999998</v>
      </c>
      <c r="Z58" s="43">
        <v>22.716999999999999</v>
      </c>
      <c r="AA58" s="43">
        <v>23.260999999999999</v>
      </c>
      <c r="AB58" s="43">
        <v>24.3108</v>
      </c>
      <c r="AC58" s="43">
        <v>25.360600000000002</v>
      </c>
      <c r="AD58" s="43">
        <v>26.410399999999999</v>
      </c>
      <c r="AE58" s="43">
        <v>27.4602</v>
      </c>
      <c r="AF58" s="43">
        <v>28.51</v>
      </c>
      <c r="AG58" s="43">
        <v>29.326000000000001</v>
      </c>
      <c r="AH58" s="43">
        <v>30.141999999999999</v>
      </c>
      <c r="AI58" s="43">
        <v>30.957999999999998</v>
      </c>
      <c r="AJ58" s="43">
        <v>31.774000000000001</v>
      </c>
      <c r="AK58" s="43">
        <v>32.590000000000003</v>
      </c>
      <c r="AL58" s="43">
        <v>33.192</v>
      </c>
      <c r="AM58" s="43">
        <v>33.793999999999997</v>
      </c>
      <c r="AN58" s="43">
        <v>34.396000000000001</v>
      </c>
      <c r="AO58" s="43">
        <v>34.997999999999998</v>
      </c>
      <c r="AP58" s="43">
        <v>35.6</v>
      </c>
      <c r="AQ58" s="43">
        <v>37.296399999999998</v>
      </c>
      <c r="AR58" s="43">
        <v>38.992800000000003</v>
      </c>
      <c r="AS58" s="43">
        <v>40.6892</v>
      </c>
      <c r="AT58" s="43">
        <v>42.385599999999997</v>
      </c>
      <c r="AU58" s="43">
        <v>44.082000000000001</v>
      </c>
      <c r="AV58" s="43">
        <v>45.663600000000002</v>
      </c>
      <c r="AW58" s="43">
        <v>47.245199999999997</v>
      </c>
      <c r="AX58" s="43">
        <v>48.826799999999999</v>
      </c>
      <c r="AY58" s="43">
        <v>50.4084</v>
      </c>
      <c r="AZ58" s="43">
        <v>51.99</v>
      </c>
      <c r="BA58" s="43">
        <v>53.312600000000003</v>
      </c>
      <c r="BB58" s="43">
        <v>54.635199999999998</v>
      </c>
      <c r="BC58" s="43"/>
      <c r="BD58" s="44">
        <f t="shared" si="0"/>
        <v>20.815199999999997</v>
      </c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</row>
    <row r="59" spans="1:91">
      <c r="A59" s="41">
        <v>97</v>
      </c>
      <c r="B59" s="41" t="s">
        <v>97</v>
      </c>
      <c r="C59" s="43">
        <v>23.3384</v>
      </c>
      <c r="D59" s="43">
        <v>23.9298</v>
      </c>
      <c r="E59" s="43">
        <v>24.5212</v>
      </c>
      <c r="F59" s="43">
        <v>25.1126</v>
      </c>
      <c r="G59" s="43">
        <v>25.704000000000001</v>
      </c>
      <c r="H59" s="43">
        <v>26.343599999999999</v>
      </c>
      <c r="I59" s="43">
        <v>26.9832</v>
      </c>
      <c r="J59" s="43">
        <v>27.622800000000002</v>
      </c>
      <c r="K59" s="43">
        <v>28.2624</v>
      </c>
      <c r="L59" s="43">
        <v>28.902000000000001</v>
      </c>
      <c r="M59" s="43">
        <v>29.543600000000001</v>
      </c>
      <c r="N59" s="43">
        <v>30.185199999999998</v>
      </c>
      <c r="O59" s="43">
        <v>30.826799999999999</v>
      </c>
      <c r="P59" s="43">
        <v>31.468399999999999</v>
      </c>
      <c r="Q59" s="43">
        <v>32.11</v>
      </c>
      <c r="R59" s="43">
        <v>32.661999999999999</v>
      </c>
      <c r="S59" s="43">
        <v>33.213999999999999</v>
      </c>
      <c r="T59" s="43">
        <v>33.765999999999998</v>
      </c>
      <c r="U59" s="43">
        <v>34.317999999999998</v>
      </c>
      <c r="V59" s="43">
        <v>34.869999999999997</v>
      </c>
      <c r="W59" s="43">
        <v>35.442999999999998</v>
      </c>
      <c r="X59" s="43">
        <v>36.015999999999998</v>
      </c>
      <c r="Y59" s="43">
        <v>36.588999999999999</v>
      </c>
      <c r="Z59" s="43">
        <v>37.161999999999999</v>
      </c>
      <c r="AA59" s="43">
        <v>37.734999999999999</v>
      </c>
      <c r="AB59" s="43">
        <v>38.28</v>
      </c>
      <c r="AC59" s="43">
        <v>38.825000000000003</v>
      </c>
      <c r="AD59" s="43">
        <v>39.369999999999997</v>
      </c>
      <c r="AE59" s="43">
        <v>39.914999999999999</v>
      </c>
      <c r="AF59" s="43">
        <v>40.46</v>
      </c>
      <c r="AG59" s="43">
        <v>40.956200000000003</v>
      </c>
      <c r="AH59" s="43">
        <v>41.452399999999997</v>
      </c>
      <c r="AI59" s="43">
        <v>41.948599999999999</v>
      </c>
      <c r="AJ59" s="43">
        <v>42.444800000000001</v>
      </c>
      <c r="AK59" s="43">
        <v>42.941000000000003</v>
      </c>
      <c r="AL59" s="43">
        <v>43.444400000000002</v>
      </c>
      <c r="AM59" s="43">
        <v>43.947800000000001</v>
      </c>
      <c r="AN59" s="43">
        <v>44.4512</v>
      </c>
      <c r="AO59" s="43">
        <v>44.954599999999999</v>
      </c>
      <c r="AP59" s="43">
        <v>45.457999999999998</v>
      </c>
      <c r="AQ59" s="43">
        <v>46.096200000000003</v>
      </c>
      <c r="AR59" s="43">
        <v>46.734400000000001</v>
      </c>
      <c r="AS59" s="43">
        <v>47.372599999999998</v>
      </c>
      <c r="AT59" s="43">
        <v>48.010800000000003</v>
      </c>
      <c r="AU59" s="43">
        <v>48.649000000000001</v>
      </c>
      <c r="AV59" s="43">
        <v>49.2346</v>
      </c>
      <c r="AW59" s="43">
        <v>49.8202</v>
      </c>
      <c r="AX59" s="43">
        <v>50.405799999999999</v>
      </c>
      <c r="AY59" s="43">
        <v>50.991399999999999</v>
      </c>
      <c r="AZ59" s="43">
        <v>51.576999999999998</v>
      </c>
      <c r="BA59" s="43">
        <v>52.151000000000003</v>
      </c>
      <c r="BB59" s="43">
        <v>52.725000000000001</v>
      </c>
      <c r="BC59" s="43"/>
      <c r="BD59" s="44">
        <f t="shared" si="0"/>
        <v>32.115966666666665</v>
      </c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</row>
    <row r="60" spans="1:91">
      <c r="A60" s="41">
        <v>98</v>
      </c>
      <c r="B60" s="41" t="s">
        <v>96</v>
      </c>
      <c r="BD60" s="44" t="e">
        <f t="shared" si="0"/>
        <v>#DIV/0!</v>
      </c>
    </row>
    <row r="61" spans="1:91">
      <c r="A61" s="41">
        <v>99</v>
      </c>
      <c r="B61" s="41" t="s">
        <v>95</v>
      </c>
      <c r="C61" s="43">
        <v>56.333199999999998</v>
      </c>
      <c r="D61" s="43">
        <v>56.755400000000002</v>
      </c>
      <c r="E61" s="43">
        <v>57.177599999999998</v>
      </c>
      <c r="F61" s="43">
        <v>57.599800000000002</v>
      </c>
      <c r="G61" s="43">
        <v>58.021999999999998</v>
      </c>
      <c r="H61" s="43">
        <v>58.44</v>
      </c>
      <c r="I61" s="43">
        <v>58.857999999999997</v>
      </c>
      <c r="J61" s="43">
        <v>59.276000000000003</v>
      </c>
      <c r="K61" s="43">
        <v>59.694000000000003</v>
      </c>
      <c r="L61" s="43">
        <v>60.112000000000002</v>
      </c>
      <c r="M61" s="43">
        <v>60.535800000000002</v>
      </c>
      <c r="N61" s="43">
        <v>60.959600000000002</v>
      </c>
      <c r="O61" s="43">
        <v>61.383400000000002</v>
      </c>
      <c r="P61" s="43">
        <v>61.807200000000002</v>
      </c>
      <c r="Q61" s="43">
        <v>62.231000000000002</v>
      </c>
      <c r="R61" s="43">
        <v>62.622999999999998</v>
      </c>
      <c r="S61" s="43">
        <v>63.015000000000001</v>
      </c>
      <c r="T61" s="43">
        <v>63.406999999999996</v>
      </c>
      <c r="U61" s="43">
        <v>63.798999999999999</v>
      </c>
      <c r="V61" s="43">
        <v>64.191000000000003</v>
      </c>
      <c r="W61" s="43">
        <v>64.371799999999993</v>
      </c>
      <c r="X61" s="43">
        <v>64.552599999999998</v>
      </c>
      <c r="Y61" s="43">
        <v>64.733400000000003</v>
      </c>
      <c r="Z61" s="43">
        <v>64.914199999999994</v>
      </c>
      <c r="AA61" s="43">
        <v>65.094999999999999</v>
      </c>
      <c r="AB61" s="43">
        <v>65.243600000000001</v>
      </c>
      <c r="AC61" s="43">
        <v>65.392200000000003</v>
      </c>
      <c r="AD61" s="43">
        <v>65.540800000000004</v>
      </c>
      <c r="AE61" s="43">
        <v>65.689400000000006</v>
      </c>
      <c r="AF61" s="43">
        <v>65.837999999999994</v>
      </c>
      <c r="AG61" s="43">
        <v>65.712199999999996</v>
      </c>
      <c r="AH61" s="43">
        <v>65.586399999999998</v>
      </c>
      <c r="AI61" s="43">
        <v>65.460599999999999</v>
      </c>
      <c r="AJ61" s="43">
        <v>65.334800000000001</v>
      </c>
      <c r="AK61" s="43">
        <v>65.209000000000003</v>
      </c>
      <c r="AL61" s="43">
        <v>65.0822</v>
      </c>
      <c r="AM61" s="43">
        <v>64.955399999999997</v>
      </c>
      <c r="AN61" s="43">
        <v>64.828599999999994</v>
      </c>
      <c r="AO61" s="43">
        <v>64.701800000000006</v>
      </c>
      <c r="AP61" s="43">
        <v>64.575000000000003</v>
      </c>
      <c r="AQ61" s="43">
        <v>64.933000000000007</v>
      </c>
      <c r="AR61" s="43">
        <v>65.290999999999997</v>
      </c>
      <c r="AS61" s="43">
        <v>65.649000000000001</v>
      </c>
      <c r="AT61" s="43">
        <v>66.007000000000005</v>
      </c>
      <c r="AU61" s="43">
        <v>66.364999999999995</v>
      </c>
      <c r="AV61" s="43">
        <v>66.885000000000005</v>
      </c>
      <c r="AW61" s="43">
        <v>67.405000000000001</v>
      </c>
      <c r="AX61" s="43">
        <v>67.924999999999997</v>
      </c>
      <c r="AY61" s="43">
        <v>68.444999999999993</v>
      </c>
      <c r="AZ61" s="43">
        <v>68.965000000000003</v>
      </c>
      <c r="BA61" s="43">
        <v>69.4358</v>
      </c>
      <c r="BB61" s="43">
        <v>69.906599999999997</v>
      </c>
      <c r="BC61" s="43"/>
      <c r="BD61" s="44">
        <f t="shared" si="0"/>
        <v>61.919699999999999</v>
      </c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</row>
    <row r="62" spans="1:91">
      <c r="A62" s="41">
        <v>101</v>
      </c>
      <c r="B62" s="41" t="s">
        <v>94</v>
      </c>
      <c r="C62" s="43">
        <v>18.0962</v>
      </c>
      <c r="D62" s="43">
        <v>18.2684</v>
      </c>
      <c r="E62" s="43">
        <v>18.4406</v>
      </c>
      <c r="F62" s="43">
        <v>18.6128</v>
      </c>
      <c r="G62" s="43">
        <v>18.785</v>
      </c>
      <c r="H62" s="43">
        <v>18.98</v>
      </c>
      <c r="I62" s="43">
        <v>19.175000000000001</v>
      </c>
      <c r="J62" s="43">
        <v>19.37</v>
      </c>
      <c r="K62" s="43">
        <v>19.565000000000001</v>
      </c>
      <c r="L62" s="43">
        <v>19.760000000000002</v>
      </c>
      <c r="M62" s="43">
        <v>20.074400000000001</v>
      </c>
      <c r="N62" s="43">
        <v>20.3888</v>
      </c>
      <c r="O62" s="43">
        <v>20.703199999999999</v>
      </c>
      <c r="P62" s="43">
        <v>21.017600000000002</v>
      </c>
      <c r="Q62" s="43">
        <v>21.332000000000001</v>
      </c>
      <c r="R62" s="43">
        <v>21.685199999999998</v>
      </c>
      <c r="S62" s="43">
        <v>22.038399999999999</v>
      </c>
      <c r="T62" s="43">
        <v>22.3916</v>
      </c>
      <c r="U62" s="43">
        <v>22.744800000000001</v>
      </c>
      <c r="V62" s="43">
        <v>23.097999999999999</v>
      </c>
      <c r="W62" s="43">
        <v>23.347999999999999</v>
      </c>
      <c r="X62" s="43">
        <v>23.597999999999999</v>
      </c>
      <c r="Y62" s="43">
        <v>23.847999999999999</v>
      </c>
      <c r="Z62" s="43">
        <v>24.097999999999999</v>
      </c>
      <c r="AA62" s="43">
        <v>24.347999999999999</v>
      </c>
      <c r="AB62" s="43">
        <v>24.587800000000001</v>
      </c>
      <c r="AC62" s="43">
        <v>24.8276</v>
      </c>
      <c r="AD62" s="43">
        <v>25.067399999999999</v>
      </c>
      <c r="AE62" s="43">
        <v>25.307200000000002</v>
      </c>
      <c r="AF62" s="43">
        <v>25.547000000000001</v>
      </c>
      <c r="AG62" s="43">
        <v>25.759</v>
      </c>
      <c r="AH62" s="43">
        <v>25.971</v>
      </c>
      <c r="AI62" s="43">
        <v>26.183</v>
      </c>
      <c r="AJ62" s="43">
        <v>26.395</v>
      </c>
      <c r="AK62" s="43">
        <v>26.606999999999999</v>
      </c>
      <c r="AL62" s="43">
        <v>26.818999999999999</v>
      </c>
      <c r="AM62" s="43">
        <v>27.030999999999999</v>
      </c>
      <c r="AN62" s="43">
        <v>27.242999999999999</v>
      </c>
      <c r="AO62" s="43">
        <v>27.454999999999998</v>
      </c>
      <c r="AP62" s="43">
        <v>27.667000000000002</v>
      </c>
      <c r="AQ62" s="43">
        <v>27.980599999999999</v>
      </c>
      <c r="AR62" s="43">
        <v>28.2942</v>
      </c>
      <c r="AS62" s="43">
        <v>28.607800000000001</v>
      </c>
      <c r="AT62" s="43">
        <v>28.921399999999998</v>
      </c>
      <c r="AU62" s="43">
        <v>29.234999999999999</v>
      </c>
      <c r="AV62" s="43">
        <v>29.574000000000002</v>
      </c>
      <c r="AW62" s="43">
        <v>29.913</v>
      </c>
      <c r="AX62" s="43">
        <v>30.251999999999999</v>
      </c>
      <c r="AY62" s="43">
        <v>30.591000000000001</v>
      </c>
      <c r="AZ62" s="43">
        <v>30.93</v>
      </c>
      <c r="BA62" s="43">
        <v>31.295000000000002</v>
      </c>
      <c r="BB62" s="43">
        <v>31.66</v>
      </c>
      <c r="BC62" s="43"/>
      <c r="BD62" s="44">
        <f t="shared" si="0"/>
        <v>21.636800000000001</v>
      </c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</row>
    <row r="63" spans="1:91">
      <c r="A63" s="41">
        <v>102</v>
      </c>
      <c r="B63" s="41" t="s">
        <v>93</v>
      </c>
      <c r="C63" s="43">
        <v>14.826599999999999</v>
      </c>
      <c r="D63" s="43">
        <v>15.0672</v>
      </c>
      <c r="E63" s="43">
        <v>15.3078</v>
      </c>
      <c r="F63" s="43">
        <v>15.548400000000001</v>
      </c>
      <c r="G63" s="43">
        <v>15.789</v>
      </c>
      <c r="H63" s="43">
        <v>16.045400000000001</v>
      </c>
      <c r="I63" s="43">
        <v>16.3018</v>
      </c>
      <c r="J63" s="43">
        <v>16.558199999999999</v>
      </c>
      <c r="K63" s="43">
        <v>16.814599999999999</v>
      </c>
      <c r="L63" s="43">
        <v>17.071000000000002</v>
      </c>
      <c r="M63" s="43">
        <v>17.520199999999999</v>
      </c>
      <c r="N63" s="43">
        <v>17.9694</v>
      </c>
      <c r="O63" s="43">
        <v>18.418600000000001</v>
      </c>
      <c r="P63" s="43">
        <v>18.867799999999999</v>
      </c>
      <c r="Q63" s="43">
        <v>19.317</v>
      </c>
      <c r="R63" s="43">
        <v>19.874400000000001</v>
      </c>
      <c r="S63" s="43">
        <v>20.431799999999999</v>
      </c>
      <c r="T63" s="43">
        <v>20.9892</v>
      </c>
      <c r="U63" s="43">
        <v>21.546600000000002</v>
      </c>
      <c r="V63" s="43">
        <v>22.103999999999999</v>
      </c>
      <c r="W63" s="43">
        <v>22.901</v>
      </c>
      <c r="X63" s="43">
        <v>23.698</v>
      </c>
      <c r="Y63" s="43">
        <v>24.495000000000001</v>
      </c>
      <c r="Z63" s="43">
        <v>25.292000000000002</v>
      </c>
      <c r="AA63" s="43">
        <v>26.088999999999999</v>
      </c>
      <c r="AB63" s="43">
        <v>26.988</v>
      </c>
      <c r="AC63" s="43">
        <v>27.887</v>
      </c>
      <c r="AD63" s="43">
        <v>28.786000000000001</v>
      </c>
      <c r="AE63" s="43">
        <v>29.684999999999999</v>
      </c>
      <c r="AF63" s="43">
        <v>30.584</v>
      </c>
      <c r="AG63" s="43">
        <v>31.577999999999999</v>
      </c>
      <c r="AH63" s="43">
        <v>32.572000000000003</v>
      </c>
      <c r="AI63" s="43">
        <v>33.566000000000003</v>
      </c>
      <c r="AJ63" s="43">
        <v>34.56</v>
      </c>
      <c r="AK63" s="43">
        <v>35.554000000000002</v>
      </c>
      <c r="AL63" s="43">
        <v>36.843600000000002</v>
      </c>
      <c r="AM63" s="43">
        <v>38.133200000000002</v>
      </c>
      <c r="AN63" s="43">
        <v>39.422800000000002</v>
      </c>
      <c r="AO63" s="43">
        <v>40.712400000000002</v>
      </c>
      <c r="AP63" s="43">
        <v>42.002000000000002</v>
      </c>
      <c r="AQ63" s="43">
        <v>42.789000000000001</v>
      </c>
      <c r="AR63" s="43">
        <v>43.576000000000001</v>
      </c>
      <c r="AS63" s="43">
        <v>44.363</v>
      </c>
      <c r="AT63" s="43">
        <v>45.15</v>
      </c>
      <c r="AU63" s="43">
        <v>45.936999999999998</v>
      </c>
      <c r="AV63" s="43">
        <v>46.734400000000001</v>
      </c>
      <c r="AW63" s="43">
        <v>47.531799999999997</v>
      </c>
      <c r="AX63" s="43">
        <v>48.3292</v>
      </c>
      <c r="AY63" s="43">
        <v>49.126600000000003</v>
      </c>
      <c r="AZ63" s="43">
        <v>49.923999999999999</v>
      </c>
      <c r="BA63" s="43">
        <v>50.6858</v>
      </c>
      <c r="BB63" s="43">
        <v>51.447600000000001</v>
      </c>
      <c r="BC63" s="43"/>
      <c r="BD63" s="44">
        <f t="shared" si="0"/>
        <v>20.759133333333335</v>
      </c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</row>
    <row r="64" spans="1:91">
      <c r="A64" s="41">
        <v>103</v>
      </c>
      <c r="B64" s="41" t="s">
        <v>92</v>
      </c>
      <c r="C64" s="43">
        <v>34.401600000000002</v>
      </c>
      <c r="D64" s="43">
        <v>35.068199999999997</v>
      </c>
      <c r="E64" s="43">
        <v>35.7348</v>
      </c>
      <c r="F64" s="43">
        <v>36.401400000000002</v>
      </c>
      <c r="G64" s="43">
        <v>37.067999999999998</v>
      </c>
      <c r="H64" s="43">
        <v>37.896799999999999</v>
      </c>
      <c r="I64" s="43">
        <v>38.7256</v>
      </c>
      <c r="J64" s="43">
        <v>39.554400000000001</v>
      </c>
      <c r="K64" s="43">
        <v>40.383200000000002</v>
      </c>
      <c r="L64" s="43">
        <v>41.212000000000003</v>
      </c>
      <c r="M64" s="43">
        <v>42.119</v>
      </c>
      <c r="N64" s="43">
        <v>43.026000000000003</v>
      </c>
      <c r="O64" s="43">
        <v>43.933</v>
      </c>
      <c r="P64" s="43">
        <v>44.84</v>
      </c>
      <c r="Q64" s="43">
        <v>45.747</v>
      </c>
      <c r="R64" s="43">
        <v>46.536200000000001</v>
      </c>
      <c r="S64" s="43">
        <v>47.325400000000002</v>
      </c>
      <c r="T64" s="43">
        <v>48.114600000000003</v>
      </c>
      <c r="U64" s="43">
        <v>48.903799999999997</v>
      </c>
      <c r="V64" s="43">
        <v>49.692999999999998</v>
      </c>
      <c r="W64" s="43">
        <v>50.433399999999999</v>
      </c>
      <c r="X64" s="43">
        <v>51.1738</v>
      </c>
      <c r="Y64" s="43">
        <v>51.914200000000001</v>
      </c>
      <c r="Z64" s="43">
        <v>52.654600000000002</v>
      </c>
      <c r="AA64" s="43">
        <v>53.395000000000003</v>
      </c>
      <c r="AB64" s="43">
        <v>53.981999999999999</v>
      </c>
      <c r="AC64" s="43">
        <v>54.569000000000003</v>
      </c>
      <c r="AD64" s="43">
        <v>55.155999999999999</v>
      </c>
      <c r="AE64" s="43">
        <v>55.743000000000002</v>
      </c>
      <c r="AF64" s="43">
        <v>56.33</v>
      </c>
      <c r="AG64" s="43">
        <v>57.111199999999997</v>
      </c>
      <c r="AH64" s="43">
        <v>57.892400000000002</v>
      </c>
      <c r="AI64" s="43">
        <v>58.6736</v>
      </c>
      <c r="AJ64" s="43">
        <v>59.454799999999999</v>
      </c>
      <c r="AK64" s="43">
        <v>60.235999999999997</v>
      </c>
      <c r="AL64" s="43">
        <v>60.997199999999999</v>
      </c>
      <c r="AM64" s="43">
        <v>61.758400000000002</v>
      </c>
      <c r="AN64" s="43">
        <v>62.519599999999997</v>
      </c>
      <c r="AO64" s="43">
        <v>63.280799999999999</v>
      </c>
      <c r="AP64" s="43">
        <v>64.042000000000002</v>
      </c>
      <c r="AQ64" s="43">
        <v>64.745199999999997</v>
      </c>
      <c r="AR64" s="43">
        <v>65.448400000000007</v>
      </c>
      <c r="AS64" s="43">
        <v>66.151600000000002</v>
      </c>
      <c r="AT64" s="43">
        <v>66.854799999999997</v>
      </c>
      <c r="AU64" s="43">
        <v>67.558000000000007</v>
      </c>
      <c r="AV64" s="43">
        <v>67.834000000000003</v>
      </c>
      <c r="AW64" s="43">
        <v>68.11</v>
      </c>
      <c r="AX64" s="43">
        <v>68.385999999999996</v>
      </c>
      <c r="AY64" s="43">
        <v>68.662000000000006</v>
      </c>
      <c r="AZ64" s="43">
        <v>68.938000000000002</v>
      </c>
      <c r="BA64" s="43">
        <v>69.0822</v>
      </c>
      <c r="BB64" s="43">
        <v>69.226399999999998</v>
      </c>
      <c r="BD64" s="44">
        <f t="shared" si="0"/>
        <v>45.73449999999999</v>
      </c>
    </row>
    <row r="65" spans="1:91">
      <c r="A65" s="41">
        <v>104</v>
      </c>
      <c r="B65" s="41" t="s">
        <v>91</v>
      </c>
      <c r="C65" s="43">
        <v>44.449399999999997</v>
      </c>
      <c r="D65" s="43">
        <v>45.9998</v>
      </c>
      <c r="E65" s="43">
        <v>47.550199999999997</v>
      </c>
      <c r="F65" s="43">
        <v>49.1006</v>
      </c>
      <c r="G65" s="43">
        <v>50.651000000000003</v>
      </c>
      <c r="H65" s="43">
        <v>51.751600000000003</v>
      </c>
      <c r="I65" s="43">
        <v>52.852200000000003</v>
      </c>
      <c r="J65" s="43">
        <v>53.952800000000003</v>
      </c>
      <c r="K65" s="43">
        <v>55.053400000000003</v>
      </c>
      <c r="L65" s="43">
        <v>56.154000000000003</v>
      </c>
      <c r="M65" s="43">
        <v>57.198999999999998</v>
      </c>
      <c r="N65" s="43">
        <v>58.244</v>
      </c>
      <c r="O65" s="43">
        <v>59.289000000000001</v>
      </c>
      <c r="P65" s="43">
        <v>60.334000000000003</v>
      </c>
      <c r="Q65" s="43">
        <v>61.378999999999998</v>
      </c>
      <c r="R65" s="43">
        <v>62.2074</v>
      </c>
      <c r="S65" s="43">
        <v>63.035800000000002</v>
      </c>
      <c r="T65" s="43">
        <v>63.864199999999997</v>
      </c>
      <c r="U65" s="43">
        <v>64.692599999999999</v>
      </c>
      <c r="V65" s="43">
        <v>65.521000000000001</v>
      </c>
      <c r="W65" s="43">
        <v>66.170199999999994</v>
      </c>
      <c r="X65" s="43">
        <v>66.819400000000002</v>
      </c>
      <c r="Y65" s="43">
        <v>67.468599999999995</v>
      </c>
      <c r="Z65" s="43">
        <v>68.117800000000003</v>
      </c>
      <c r="AA65" s="43">
        <v>68.766999999999996</v>
      </c>
      <c r="AB65" s="43">
        <v>68.954800000000006</v>
      </c>
      <c r="AC65" s="43">
        <v>69.142600000000002</v>
      </c>
      <c r="AD65" s="43">
        <v>69.330399999999997</v>
      </c>
      <c r="AE65" s="43">
        <v>69.518199999999993</v>
      </c>
      <c r="AF65" s="43">
        <v>69.706000000000003</v>
      </c>
      <c r="AG65" s="43">
        <v>69.520799999999994</v>
      </c>
      <c r="AH65" s="43">
        <v>69.335599999999999</v>
      </c>
      <c r="AI65" s="43">
        <v>69.150400000000005</v>
      </c>
      <c r="AJ65" s="43">
        <v>68.965199999999996</v>
      </c>
      <c r="AK65" s="43">
        <v>68.78</v>
      </c>
      <c r="AL65" s="43">
        <v>68.59</v>
      </c>
      <c r="AM65" s="43">
        <v>68.400000000000006</v>
      </c>
      <c r="AN65" s="43">
        <v>68.209999999999994</v>
      </c>
      <c r="AO65" s="43">
        <v>68.02</v>
      </c>
      <c r="AP65" s="43">
        <v>67.83</v>
      </c>
      <c r="AQ65" s="43">
        <v>67.672399999999996</v>
      </c>
      <c r="AR65" s="43">
        <v>67.514799999999994</v>
      </c>
      <c r="AS65" s="43">
        <v>67.357200000000006</v>
      </c>
      <c r="AT65" s="43">
        <v>67.199600000000004</v>
      </c>
      <c r="AU65" s="43">
        <v>67.042000000000002</v>
      </c>
      <c r="AV65" s="43">
        <v>66.940799999999996</v>
      </c>
      <c r="AW65" s="43">
        <v>66.839600000000004</v>
      </c>
      <c r="AX65" s="43">
        <v>66.738399999999999</v>
      </c>
      <c r="AY65" s="43">
        <v>66.637200000000007</v>
      </c>
      <c r="AZ65" s="43">
        <v>66.536000000000001</v>
      </c>
      <c r="BA65" s="43">
        <v>66.503799999999998</v>
      </c>
      <c r="BB65" s="43">
        <v>66.471599999999995</v>
      </c>
      <c r="BC65" s="43"/>
      <c r="BD65" s="44">
        <f t="shared" si="0"/>
        <v>60.242533333333327</v>
      </c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</row>
    <row r="66" spans="1:91">
      <c r="A66" s="41">
        <v>105</v>
      </c>
      <c r="B66" s="41" t="s">
        <v>90</v>
      </c>
      <c r="C66" s="43">
        <v>46.3994</v>
      </c>
      <c r="D66" s="43">
        <v>46.976799999999997</v>
      </c>
      <c r="E66" s="43">
        <v>47.554200000000002</v>
      </c>
      <c r="F66" s="43">
        <v>48.131599999999999</v>
      </c>
      <c r="G66" s="43">
        <v>48.709000000000003</v>
      </c>
      <c r="H66" s="43">
        <v>49.311599999999999</v>
      </c>
      <c r="I66" s="43">
        <v>49.914200000000001</v>
      </c>
      <c r="J66" s="43">
        <v>50.516800000000003</v>
      </c>
      <c r="K66" s="43">
        <v>51.119399999999999</v>
      </c>
      <c r="L66" s="43">
        <v>51.722000000000001</v>
      </c>
      <c r="M66" s="43">
        <v>52.104399999999998</v>
      </c>
      <c r="N66" s="43">
        <v>52.486800000000002</v>
      </c>
      <c r="O66" s="43">
        <v>52.869199999999999</v>
      </c>
      <c r="P66" s="43">
        <v>53.251600000000003</v>
      </c>
      <c r="Q66" s="43">
        <v>53.634</v>
      </c>
      <c r="R66" s="43">
        <v>53.973799999999997</v>
      </c>
      <c r="S66" s="43">
        <v>54.313600000000001</v>
      </c>
      <c r="T66" s="43">
        <v>54.653399999999998</v>
      </c>
      <c r="U66" s="43">
        <v>54.993200000000002</v>
      </c>
      <c r="V66" s="43">
        <v>55.332999999999998</v>
      </c>
      <c r="W66" s="43">
        <v>55.5214</v>
      </c>
      <c r="X66" s="43">
        <v>55.709800000000001</v>
      </c>
      <c r="Y66" s="43">
        <v>55.898200000000003</v>
      </c>
      <c r="Z66" s="43">
        <v>56.086599999999997</v>
      </c>
      <c r="AA66" s="43">
        <v>56.274999999999999</v>
      </c>
      <c r="AB66" s="43">
        <v>56.401200000000003</v>
      </c>
      <c r="AC66" s="43">
        <v>56.5274</v>
      </c>
      <c r="AD66" s="43">
        <v>56.653599999999997</v>
      </c>
      <c r="AE66" s="43">
        <v>56.779800000000002</v>
      </c>
      <c r="AF66" s="43">
        <v>56.905999999999999</v>
      </c>
      <c r="AG66" s="43">
        <v>57.108800000000002</v>
      </c>
      <c r="AH66" s="43">
        <v>57.311599999999999</v>
      </c>
      <c r="AI66" s="43">
        <v>57.514400000000002</v>
      </c>
      <c r="AJ66" s="43">
        <v>57.717199999999998</v>
      </c>
      <c r="AK66" s="43">
        <v>57.92</v>
      </c>
      <c r="AL66" s="43">
        <v>58.165199999999999</v>
      </c>
      <c r="AM66" s="43">
        <v>58.410400000000003</v>
      </c>
      <c r="AN66" s="43">
        <v>58.6556</v>
      </c>
      <c r="AO66" s="43">
        <v>58.900799999999997</v>
      </c>
      <c r="AP66" s="43">
        <v>59.146000000000001</v>
      </c>
      <c r="AQ66" s="43">
        <v>59.412199999999999</v>
      </c>
      <c r="AR66" s="43">
        <v>59.678400000000003</v>
      </c>
      <c r="AS66" s="43">
        <v>59.944600000000001</v>
      </c>
      <c r="AT66" s="43">
        <v>60.210799999999999</v>
      </c>
      <c r="AU66" s="43">
        <v>60.476999999999997</v>
      </c>
      <c r="AV66" s="43">
        <v>60.761200000000002</v>
      </c>
      <c r="AW66" s="43">
        <v>61.045400000000001</v>
      </c>
      <c r="AX66" s="43">
        <v>61.329599999999999</v>
      </c>
      <c r="AY66" s="43">
        <v>61.613799999999998</v>
      </c>
      <c r="AZ66" s="43">
        <v>61.898000000000003</v>
      </c>
      <c r="BA66" s="43">
        <v>62.204999999999998</v>
      </c>
      <c r="BB66" s="43">
        <v>62.512</v>
      </c>
      <c r="BC66" s="43"/>
      <c r="BD66" s="44">
        <f t="shared" si="0"/>
        <v>53.024233333333349</v>
      </c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</row>
    <row r="67" spans="1:91">
      <c r="A67" s="41">
        <v>107</v>
      </c>
      <c r="B67" s="41" t="s">
        <v>89</v>
      </c>
      <c r="C67" s="43">
        <v>77.666399999999996</v>
      </c>
      <c r="D67" s="43">
        <v>78.484800000000007</v>
      </c>
      <c r="E67" s="43">
        <v>79.303200000000004</v>
      </c>
      <c r="F67" s="43">
        <v>80.121600000000001</v>
      </c>
      <c r="G67" s="43">
        <v>80.94</v>
      </c>
      <c r="H67" s="43">
        <v>81.590999999999994</v>
      </c>
      <c r="I67" s="43">
        <v>82.242000000000004</v>
      </c>
      <c r="J67" s="43">
        <v>82.893000000000001</v>
      </c>
      <c r="K67" s="43">
        <v>83.543999999999997</v>
      </c>
      <c r="L67" s="43">
        <v>84.194999999999993</v>
      </c>
      <c r="M67" s="43">
        <v>84.684600000000003</v>
      </c>
      <c r="N67" s="43">
        <v>85.174199999999999</v>
      </c>
      <c r="O67" s="43">
        <v>85.663799999999995</v>
      </c>
      <c r="P67" s="43">
        <v>86.153400000000005</v>
      </c>
      <c r="Q67" s="43">
        <v>86.643000000000001</v>
      </c>
      <c r="R67" s="43">
        <v>87.031000000000006</v>
      </c>
      <c r="S67" s="43">
        <v>87.418999999999997</v>
      </c>
      <c r="T67" s="43">
        <v>87.807000000000002</v>
      </c>
      <c r="U67" s="43">
        <v>88.194999999999993</v>
      </c>
      <c r="V67" s="43">
        <v>88.582999999999998</v>
      </c>
      <c r="W67" s="43">
        <v>88.831999999999994</v>
      </c>
      <c r="X67" s="43">
        <v>89.081000000000003</v>
      </c>
      <c r="Y67" s="43">
        <v>89.33</v>
      </c>
      <c r="Z67" s="43">
        <v>89.578999999999994</v>
      </c>
      <c r="AA67" s="43">
        <v>89.828000000000003</v>
      </c>
      <c r="AB67" s="43">
        <v>89.934200000000004</v>
      </c>
      <c r="AC67" s="43">
        <v>90.040400000000005</v>
      </c>
      <c r="AD67" s="43">
        <v>90.146600000000007</v>
      </c>
      <c r="AE67" s="43">
        <v>90.252799999999993</v>
      </c>
      <c r="AF67" s="43">
        <v>90.358999999999995</v>
      </c>
      <c r="AG67" s="43">
        <v>90.460400000000007</v>
      </c>
      <c r="AH67" s="43">
        <v>90.561800000000005</v>
      </c>
      <c r="AI67" s="43">
        <v>90.663200000000003</v>
      </c>
      <c r="AJ67" s="43">
        <v>90.764600000000002</v>
      </c>
      <c r="AK67" s="43">
        <v>90.866</v>
      </c>
      <c r="AL67" s="43">
        <v>90.933400000000006</v>
      </c>
      <c r="AM67" s="43">
        <v>91.000799999999998</v>
      </c>
      <c r="AN67" s="43">
        <v>91.068200000000004</v>
      </c>
      <c r="AO67" s="43">
        <v>91.135599999999997</v>
      </c>
      <c r="AP67" s="43">
        <v>91.203000000000003</v>
      </c>
      <c r="AQ67" s="43">
        <v>91.266000000000005</v>
      </c>
      <c r="AR67" s="43">
        <v>91.328999999999994</v>
      </c>
      <c r="AS67" s="43">
        <v>91.391999999999996</v>
      </c>
      <c r="AT67" s="43">
        <v>91.454999999999998</v>
      </c>
      <c r="AU67" s="43">
        <v>91.518000000000001</v>
      </c>
      <c r="AV67" s="43">
        <v>91.578999999999994</v>
      </c>
      <c r="AW67" s="43">
        <v>91.64</v>
      </c>
      <c r="AX67" s="43">
        <v>91.700999999999993</v>
      </c>
      <c r="AY67" s="43">
        <v>91.762</v>
      </c>
      <c r="AZ67" s="43">
        <v>91.822999999999993</v>
      </c>
      <c r="BA67" s="43">
        <v>91.883600000000001</v>
      </c>
      <c r="BB67" s="43">
        <v>91.944199999999995</v>
      </c>
      <c r="BC67" s="43"/>
      <c r="BD67" s="44">
        <f t="shared" ref="BD67:BD130" si="1">AVERAGE(C67:AF67)</f>
        <v>85.857266666666661</v>
      </c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2"/>
      <c r="CC67" s="42"/>
      <c r="CD67" s="42"/>
      <c r="CE67" s="42"/>
      <c r="CF67" s="42"/>
      <c r="CG67" s="42"/>
      <c r="CH67" s="42"/>
      <c r="CI67" s="42"/>
      <c r="CJ67" s="42"/>
      <c r="CK67" s="42"/>
      <c r="CL67" s="42"/>
      <c r="CM67" s="42"/>
    </row>
    <row r="68" spans="1:91">
      <c r="A68" s="41">
        <v>108</v>
      </c>
      <c r="B68" s="41" t="s">
        <v>88</v>
      </c>
      <c r="C68" s="43">
        <v>59.857399999999998</v>
      </c>
      <c r="D68" s="43">
        <v>60.3538</v>
      </c>
      <c r="E68" s="43">
        <v>60.850200000000001</v>
      </c>
      <c r="F68" s="43">
        <v>61.346600000000002</v>
      </c>
      <c r="G68" s="43">
        <v>61.843000000000004</v>
      </c>
      <c r="H68" s="43">
        <v>62.328800000000001</v>
      </c>
      <c r="I68" s="43">
        <v>62.814599999999999</v>
      </c>
      <c r="J68" s="43">
        <v>63.300400000000003</v>
      </c>
      <c r="K68" s="43">
        <v>63.786200000000001</v>
      </c>
      <c r="L68" s="43">
        <v>64.272000000000006</v>
      </c>
      <c r="M68" s="43">
        <v>64.546199999999999</v>
      </c>
      <c r="N68" s="43">
        <v>64.820400000000006</v>
      </c>
      <c r="O68" s="43">
        <v>65.0946</v>
      </c>
      <c r="P68" s="43">
        <v>65.368799999999993</v>
      </c>
      <c r="Q68" s="43">
        <v>65.643000000000001</v>
      </c>
      <c r="R68" s="43">
        <v>65.842399999999998</v>
      </c>
      <c r="S68" s="43">
        <v>66.041799999999995</v>
      </c>
      <c r="T68" s="43">
        <v>66.241200000000006</v>
      </c>
      <c r="U68" s="43">
        <v>66.440600000000003</v>
      </c>
      <c r="V68" s="43">
        <v>66.64</v>
      </c>
      <c r="W68" s="43">
        <v>66.677199999999999</v>
      </c>
      <c r="X68" s="43">
        <v>66.714399999999998</v>
      </c>
      <c r="Y68" s="43">
        <v>66.751599999999996</v>
      </c>
      <c r="Z68" s="43">
        <v>66.788799999999995</v>
      </c>
      <c r="AA68" s="43">
        <v>66.825999999999993</v>
      </c>
      <c r="AB68" s="43">
        <v>66.805999999999997</v>
      </c>
      <c r="AC68" s="43">
        <v>66.786000000000001</v>
      </c>
      <c r="AD68" s="43">
        <v>66.766000000000005</v>
      </c>
      <c r="AE68" s="43">
        <v>66.745999999999995</v>
      </c>
      <c r="AF68" s="43">
        <v>66.725999999999999</v>
      </c>
      <c r="AG68" s="43">
        <v>66.765199999999993</v>
      </c>
      <c r="AH68" s="43">
        <v>66.804400000000001</v>
      </c>
      <c r="AI68" s="43">
        <v>66.843599999999995</v>
      </c>
      <c r="AJ68" s="43">
        <v>66.882800000000003</v>
      </c>
      <c r="AK68" s="43">
        <v>66.921999999999997</v>
      </c>
      <c r="AL68" s="43">
        <v>66.981999999999999</v>
      </c>
      <c r="AM68" s="43">
        <v>67.042000000000002</v>
      </c>
      <c r="AN68" s="43">
        <v>67.102000000000004</v>
      </c>
      <c r="AO68" s="43">
        <v>67.162000000000006</v>
      </c>
      <c r="AP68" s="43">
        <v>67.221999999999994</v>
      </c>
      <c r="AQ68" s="43">
        <v>67.295199999999994</v>
      </c>
      <c r="AR68" s="43">
        <v>67.368399999999994</v>
      </c>
      <c r="AS68" s="43">
        <v>67.441599999999994</v>
      </c>
      <c r="AT68" s="43">
        <v>67.514799999999994</v>
      </c>
      <c r="AU68" s="43">
        <v>67.587999999999994</v>
      </c>
      <c r="AV68" s="43">
        <v>67.714399999999998</v>
      </c>
      <c r="AW68" s="43">
        <v>67.840800000000002</v>
      </c>
      <c r="AX68" s="43">
        <v>67.967200000000005</v>
      </c>
      <c r="AY68" s="43">
        <v>68.093599999999995</v>
      </c>
      <c r="AZ68" s="43">
        <v>68.22</v>
      </c>
      <c r="BA68" s="43">
        <v>68.400000000000006</v>
      </c>
      <c r="BB68" s="43">
        <v>68.58</v>
      </c>
      <c r="BC68" s="43"/>
      <c r="BD68" s="44">
        <f t="shared" si="1"/>
        <v>64.834000000000017</v>
      </c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</row>
    <row r="69" spans="1:91">
      <c r="A69" s="41">
        <v>109</v>
      </c>
      <c r="B69" s="41" t="s">
        <v>87</v>
      </c>
      <c r="C69" s="43">
        <v>34.515000000000001</v>
      </c>
      <c r="D69" s="43">
        <v>35.261000000000003</v>
      </c>
      <c r="E69" s="43">
        <v>36.006999999999998</v>
      </c>
      <c r="F69" s="43">
        <v>36.753</v>
      </c>
      <c r="G69" s="43">
        <v>37.499000000000002</v>
      </c>
      <c r="H69" s="43">
        <v>38.264000000000003</v>
      </c>
      <c r="I69" s="43">
        <v>39.029000000000003</v>
      </c>
      <c r="J69" s="43">
        <v>39.793999999999997</v>
      </c>
      <c r="K69" s="43">
        <v>40.558999999999997</v>
      </c>
      <c r="L69" s="43">
        <v>41.323999999999998</v>
      </c>
      <c r="M69" s="43">
        <v>41.861800000000002</v>
      </c>
      <c r="N69" s="43">
        <v>42.3996</v>
      </c>
      <c r="O69" s="43">
        <v>42.937399999999997</v>
      </c>
      <c r="P69" s="43">
        <v>43.475200000000001</v>
      </c>
      <c r="Q69" s="43">
        <v>44.012999999999998</v>
      </c>
      <c r="R69" s="43">
        <v>44.558199999999999</v>
      </c>
      <c r="S69" s="43">
        <v>45.103400000000001</v>
      </c>
      <c r="T69" s="43">
        <v>45.648600000000002</v>
      </c>
      <c r="U69" s="43">
        <v>46.193800000000003</v>
      </c>
      <c r="V69" s="43">
        <v>46.738999999999997</v>
      </c>
      <c r="W69" s="43">
        <v>47.076000000000001</v>
      </c>
      <c r="X69" s="43">
        <v>47.412999999999997</v>
      </c>
      <c r="Y69" s="43">
        <v>47.75</v>
      </c>
      <c r="Z69" s="43">
        <v>48.087000000000003</v>
      </c>
      <c r="AA69" s="43">
        <v>48.423999999999999</v>
      </c>
      <c r="AB69" s="43">
        <v>48.628</v>
      </c>
      <c r="AC69" s="43">
        <v>48.832000000000001</v>
      </c>
      <c r="AD69" s="43">
        <v>49.036000000000001</v>
      </c>
      <c r="AE69" s="43">
        <v>49.24</v>
      </c>
      <c r="AF69" s="43">
        <v>49.444000000000003</v>
      </c>
      <c r="AG69" s="43">
        <v>49.678199999999997</v>
      </c>
      <c r="AH69" s="43">
        <v>49.912399999999998</v>
      </c>
      <c r="AI69" s="43">
        <v>50.146599999999999</v>
      </c>
      <c r="AJ69" s="43">
        <v>50.380800000000001</v>
      </c>
      <c r="AK69" s="43">
        <v>50.615000000000002</v>
      </c>
      <c r="AL69" s="43">
        <v>50.854799999999997</v>
      </c>
      <c r="AM69" s="43">
        <v>51.0946</v>
      </c>
      <c r="AN69" s="43">
        <v>51.334400000000002</v>
      </c>
      <c r="AO69" s="43">
        <v>51.574199999999998</v>
      </c>
      <c r="AP69" s="43">
        <v>51.814</v>
      </c>
      <c r="AQ69" s="43">
        <v>51.8566</v>
      </c>
      <c r="AR69" s="43">
        <v>51.8992</v>
      </c>
      <c r="AS69" s="43">
        <v>51.941800000000001</v>
      </c>
      <c r="AT69" s="43">
        <v>51.984400000000001</v>
      </c>
      <c r="AU69" s="43">
        <v>52.027000000000001</v>
      </c>
      <c r="AV69" s="43">
        <v>52.02</v>
      </c>
      <c r="AW69" s="43">
        <v>52.012999999999998</v>
      </c>
      <c r="AX69" s="43">
        <v>52.006</v>
      </c>
      <c r="AY69" s="43">
        <v>51.999000000000002</v>
      </c>
      <c r="AZ69" s="43">
        <v>51.991999999999997</v>
      </c>
      <c r="BA69" s="43">
        <v>52.073999999999998</v>
      </c>
      <c r="BB69" s="43">
        <v>52.155999999999999</v>
      </c>
      <c r="BC69" s="43"/>
      <c r="BD69" s="44">
        <f t="shared" si="1"/>
        <v>43.528833333333338</v>
      </c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2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42"/>
    </row>
    <row r="70" spans="1:91">
      <c r="A70" s="41">
        <v>110</v>
      </c>
      <c r="B70" s="41" t="s">
        <v>86</v>
      </c>
      <c r="C70" s="43">
        <v>64.190799999999996</v>
      </c>
      <c r="D70" s="43">
        <v>65.1096</v>
      </c>
      <c r="E70" s="43">
        <v>66.028400000000005</v>
      </c>
      <c r="F70" s="43">
        <v>66.947199999999995</v>
      </c>
      <c r="G70" s="43">
        <v>67.866</v>
      </c>
      <c r="H70" s="43">
        <v>68.668199999999999</v>
      </c>
      <c r="I70" s="43">
        <v>69.470399999999998</v>
      </c>
      <c r="J70" s="43">
        <v>70.272599999999997</v>
      </c>
      <c r="K70" s="43">
        <v>71.074799999999996</v>
      </c>
      <c r="L70" s="43">
        <v>71.876999999999995</v>
      </c>
      <c r="M70" s="43">
        <v>72.644800000000004</v>
      </c>
      <c r="N70" s="43">
        <v>73.412599999999998</v>
      </c>
      <c r="O70" s="43">
        <v>74.180400000000006</v>
      </c>
      <c r="P70" s="43">
        <v>74.9482</v>
      </c>
      <c r="Q70" s="43">
        <v>75.715999999999994</v>
      </c>
      <c r="R70" s="43">
        <v>75.8078</v>
      </c>
      <c r="S70" s="43">
        <v>75.899600000000007</v>
      </c>
      <c r="T70" s="43">
        <v>75.991399999999999</v>
      </c>
      <c r="U70" s="43">
        <v>76.083200000000005</v>
      </c>
      <c r="V70" s="43">
        <v>76.174999999999997</v>
      </c>
      <c r="W70" s="43">
        <v>76.282399999999996</v>
      </c>
      <c r="X70" s="43">
        <v>76.389799999999994</v>
      </c>
      <c r="Y70" s="43">
        <v>76.497200000000007</v>
      </c>
      <c r="Z70" s="43">
        <v>76.604600000000005</v>
      </c>
      <c r="AA70" s="43">
        <v>76.712000000000003</v>
      </c>
      <c r="AB70" s="43">
        <v>76.837400000000002</v>
      </c>
      <c r="AC70" s="43">
        <v>76.962800000000001</v>
      </c>
      <c r="AD70" s="43">
        <v>77.088200000000001</v>
      </c>
      <c r="AE70" s="43">
        <v>77.2136</v>
      </c>
      <c r="AF70" s="43">
        <v>77.338999999999999</v>
      </c>
      <c r="AG70" s="43">
        <v>77.474400000000003</v>
      </c>
      <c r="AH70" s="43">
        <v>77.609800000000007</v>
      </c>
      <c r="AI70" s="43">
        <v>77.745199999999997</v>
      </c>
      <c r="AJ70" s="43">
        <v>77.880600000000001</v>
      </c>
      <c r="AK70" s="43">
        <v>78.016000000000005</v>
      </c>
      <c r="AL70" s="43">
        <v>78.142600000000002</v>
      </c>
      <c r="AM70" s="43">
        <v>78.269199999999998</v>
      </c>
      <c r="AN70" s="43">
        <v>78.395799999999994</v>
      </c>
      <c r="AO70" s="43">
        <v>78.522400000000005</v>
      </c>
      <c r="AP70" s="43">
        <v>78.649000000000001</v>
      </c>
      <c r="AQ70" s="43">
        <v>80.114800000000002</v>
      </c>
      <c r="AR70" s="43">
        <v>81.580600000000004</v>
      </c>
      <c r="AS70" s="43">
        <v>83.046400000000006</v>
      </c>
      <c r="AT70" s="43">
        <v>84.512200000000007</v>
      </c>
      <c r="AU70" s="43">
        <v>85.977999999999994</v>
      </c>
      <c r="AV70" s="43">
        <v>86.890600000000006</v>
      </c>
      <c r="AW70" s="43">
        <v>87.803200000000004</v>
      </c>
      <c r="AX70" s="43">
        <v>88.715800000000002</v>
      </c>
      <c r="AY70" s="43">
        <v>89.628399999999999</v>
      </c>
      <c r="AZ70" s="43">
        <v>90.540999999999997</v>
      </c>
      <c r="BA70" s="43">
        <v>91.135199999999998</v>
      </c>
      <c r="BB70" s="43">
        <v>91.729399999999998</v>
      </c>
      <c r="BC70" s="43"/>
      <c r="BD70" s="44">
        <f t="shared" si="1"/>
        <v>73.343033333333324</v>
      </c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</row>
    <row r="71" spans="1:91">
      <c r="A71" s="41">
        <v>112</v>
      </c>
      <c r="B71" s="41" t="s">
        <v>85</v>
      </c>
      <c r="C71" s="43">
        <v>51.555599999999998</v>
      </c>
      <c r="D71" s="43">
        <v>52.232199999999999</v>
      </c>
      <c r="E71" s="43">
        <v>52.908799999999999</v>
      </c>
      <c r="F71" s="43">
        <v>53.5854</v>
      </c>
      <c r="G71" s="43">
        <v>54.262</v>
      </c>
      <c r="H71" s="43">
        <v>54.6038</v>
      </c>
      <c r="I71" s="43">
        <v>54.945599999999999</v>
      </c>
      <c r="J71" s="43">
        <v>55.287399999999998</v>
      </c>
      <c r="K71" s="43">
        <v>55.629199999999997</v>
      </c>
      <c r="L71" s="43">
        <v>55.970999999999997</v>
      </c>
      <c r="M71" s="43">
        <v>56.306800000000003</v>
      </c>
      <c r="N71" s="43">
        <v>56.642600000000002</v>
      </c>
      <c r="O71" s="43">
        <v>56.978400000000001</v>
      </c>
      <c r="P71" s="43">
        <v>57.3142</v>
      </c>
      <c r="Q71" s="43">
        <v>57.65</v>
      </c>
      <c r="R71" s="43">
        <v>58.107799999999997</v>
      </c>
      <c r="S71" s="43">
        <v>58.565600000000003</v>
      </c>
      <c r="T71" s="43">
        <v>59.023400000000002</v>
      </c>
      <c r="U71" s="43">
        <v>59.481200000000001</v>
      </c>
      <c r="V71" s="43">
        <v>59.939</v>
      </c>
      <c r="W71" s="43">
        <v>61.203000000000003</v>
      </c>
      <c r="X71" s="43">
        <v>62.466999999999999</v>
      </c>
      <c r="Y71" s="43">
        <v>63.731000000000002</v>
      </c>
      <c r="Z71" s="43">
        <v>64.995000000000005</v>
      </c>
      <c r="AA71" s="43">
        <v>66.259</v>
      </c>
      <c r="AB71" s="43">
        <v>67.453000000000003</v>
      </c>
      <c r="AC71" s="43">
        <v>68.647000000000006</v>
      </c>
      <c r="AD71" s="43">
        <v>69.840999999999994</v>
      </c>
      <c r="AE71" s="43">
        <v>71.034999999999997</v>
      </c>
      <c r="AF71" s="43">
        <v>72.228999999999999</v>
      </c>
      <c r="AG71" s="43">
        <v>73.456199999999995</v>
      </c>
      <c r="AH71" s="43">
        <v>74.683400000000006</v>
      </c>
      <c r="AI71" s="43">
        <v>75.910600000000002</v>
      </c>
      <c r="AJ71" s="43">
        <v>77.137799999999999</v>
      </c>
      <c r="AK71" s="43">
        <v>78.364999999999995</v>
      </c>
      <c r="AL71" s="43">
        <v>78.653599999999997</v>
      </c>
      <c r="AM71" s="43">
        <v>78.9422</v>
      </c>
      <c r="AN71" s="43">
        <v>79.230800000000002</v>
      </c>
      <c r="AO71" s="43">
        <v>79.519400000000005</v>
      </c>
      <c r="AP71" s="43">
        <v>79.808000000000007</v>
      </c>
      <c r="AQ71" s="43">
        <v>80.081800000000001</v>
      </c>
      <c r="AR71" s="43">
        <v>80.355599999999995</v>
      </c>
      <c r="AS71" s="43">
        <v>80.629400000000004</v>
      </c>
      <c r="AT71" s="43">
        <v>80.903199999999998</v>
      </c>
      <c r="AU71" s="43">
        <v>81.177000000000007</v>
      </c>
      <c r="AV71" s="43">
        <v>81.436199999999999</v>
      </c>
      <c r="AW71" s="43">
        <v>81.695400000000006</v>
      </c>
      <c r="AX71" s="43">
        <v>81.954599999999999</v>
      </c>
      <c r="AY71" s="43">
        <v>82.213800000000006</v>
      </c>
      <c r="AZ71" s="43">
        <v>82.472999999999999</v>
      </c>
      <c r="BA71" s="43">
        <v>82.711799999999997</v>
      </c>
      <c r="BB71" s="43">
        <v>82.950599999999994</v>
      </c>
      <c r="BC71" s="43"/>
      <c r="BD71" s="44">
        <f t="shared" si="1"/>
        <v>59.62833333333333</v>
      </c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2"/>
      <c r="CC71" s="42"/>
      <c r="CD71" s="42"/>
      <c r="CE71" s="42"/>
      <c r="CF71" s="42"/>
      <c r="CG71" s="42"/>
      <c r="CH71" s="42"/>
      <c r="CI71" s="42"/>
      <c r="CJ71" s="42"/>
      <c r="CK71" s="42"/>
      <c r="CL71" s="42"/>
      <c r="CM71" s="42"/>
    </row>
    <row r="72" spans="1:91">
      <c r="A72" s="41">
        <v>113</v>
      </c>
      <c r="B72" s="41" t="s">
        <v>84</v>
      </c>
      <c r="C72" s="43">
        <v>44.767800000000001</v>
      </c>
      <c r="D72" s="43">
        <v>45.337600000000002</v>
      </c>
      <c r="E72" s="43">
        <v>45.907400000000003</v>
      </c>
      <c r="F72" s="43">
        <v>46.477200000000003</v>
      </c>
      <c r="G72" s="43">
        <v>47.046999999999997</v>
      </c>
      <c r="H72" s="43">
        <v>47.684800000000003</v>
      </c>
      <c r="I72" s="43">
        <v>48.322600000000001</v>
      </c>
      <c r="J72" s="43">
        <v>48.9604</v>
      </c>
      <c r="K72" s="43">
        <v>49.598199999999999</v>
      </c>
      <c r="L72" s="43">
        <v>50.235999999999997</v>
      </c>
      <c r="M72" s="43">
        <v>50.701599999999999</v>
      </c>
      <c r="N72" s="43">
        <v>51.167200000000001</v>
      </c>
      <c r="O72" s="43">
        <v>51.632800000000003</v>
      </c>
      <c r="P72" s="43">
        <v>52.098399999999998</v>
      </c>
      <c r="Q72" s="43">
        <v>52.564</v>
      </c>
      <c r="R72" s="43">
        <v>52.879600000000003</v>
      </c>
      <c r="S72" s="43">
        <v>53.1952</v>
      </c>
      <c r="T72" s="43">
        <v>53.510800000000003</v>
      </c>
      <c r="U72" s="43">
        <v>53.8264</v>
      </c>
      <c r="V72" s="43">
        <v>54.142000000000003</v>
      </c>
      <c r="W72" s="43">
        <v>54.515599999999999</v>
      </c>
      <c r="X72" s="43">
        <v>54.889200000000002</v>
      </c>
      <c r="Y72" s="43">
        <v>55.262799999999999</v>
      </c>
      <c r="Z72" s="43">
        <v>55.636400000000002</v>
      </c>
      <c r="AA72" s="43">
        <v>56.01</v>
      </c>
      <c r="AB72" s="43">
        <v>56.061199999999999</v>
      </c>
      <c r="AC72" s="43">
        <v>56.112400000000001</v>
      </c>
      <c r="AD72" s="43">
        <v>56.163600000000002</v>
      </c>
      <c r="AE72" s="43">
        <v>56.214799999999997</v>
      </c>
      <c r="AF72" s="43">
        <v>56.265999999999998</v>
      </c>
      <c r="AG72" s="43">
        <v>56.197000000000003</v>
      </c>
      <c r="AH72" s="43">
        <v>56.128</v>
      </c>
      <c r="AI72" s="43">
        <v>56.058999999999997</v>
      </c>
      <c r="AJ72" s="43">
        <v>55.99</v>
      </c>
      <c r="AK72" s="43">
        <v>55.920999999999999</v>
      </c>
      <c r="AL72" s="43">
        <v>55.882599999999996</v>
      </c>
      <c r="AM72" s="43">
        <v>55.844200000000001</v>
      </c>
      <c r="AN72" s="43">
        <v>55.805799999999998</v>
      </c>
      <c r="AO72" s="43">
        <v>55.767400000000002</v>
      </c>
      <c r="AP72" s="43">
        <v>55.728999999999999</v>
      </c>
      <c r="AQ72" s="43">
        <v>55.527000000000001</v>
      </c>
      <c r="AR72" s="43">
        <v>55.325000000000003</v>
      </c>
      <c r="AS72" s="43">
        <v>55.122999999999998</v>
      </c>
      <c r="AT72" s="43">
        <v>54.920999999999999</v>
      </c>
      <c r="AU72" s="43">
        <v>54.719000000000001</v>
      </c>
      <c r="AV72" s="43">
        <v>54.521599999999999</v>
      </c>
      <c r="AW72" s="43">
        <v>54.324199999999998</v>
      </c>
      <c r="AX72" s="43">
        <v>54.126800000000003</v>
      </c>
      <c r="AY72" s="43">
        <v>53.929400000000001</v>
      </c>
      <c r="AZ72" s="43">
        <v>53.731999999999999</v>
      </c>
      <c r="BA72" s="43">
        <v>53.636800000000001</v>
      </c>
      <c r="BB72" s="43">
        <v>53.541600000000003</v>
      </c>
      <c r="BC72" s="43"/>
      <c r="BD72" s="44">
        <f t="shared" si="1"/>
        <v>51.906300000000009</v>
      </c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</row>
    <row r="73" spans="1:91">
      <c r="A73" s="41">
        <v>114</v>
      </c>
      <c r="B73" s="41" t="s">
        <v>83</v>
      </c>
      <c r="C73" s="43">
        <v>7.6105999999999998</v>
      </c>
      <c r="D73" s="43">
        <v>7.8592000000000004</v>
      </c>
      <c r="E73" s="43">
        <v>8.1077999999999992</v>
      </c>
      <c r="F73" s="43">
        <v>8.3564000000000007</v>
      </c>
      <c r="G73" s="43">
        <v>8.6050000000000004</v>
      </c>
      <c r="H73" s="43">
        <v>8.9429999999999996</v>
      </c>
      <c r="I73" s="43">
        <v>9.2810000000000006</v>
      </c>
      <c r="J73" s="43">
        <v>9.6189999999999998</v>
      </c>
      <c r="K73" s="43">
        <v>9.9570000000000007</v>
      </c>
      <c r="L73" s="43">
        <v>10.295</v>
      </c>
      <c r="M73" s="43">
        <v>10.8188</v>
      </c>
      <c r="N73" s="43">
        <v>11.342599999999999</v>
      </c>
      <c r="O73" s="43">
        <v>11.866400000000001</v>
      </c>
      <c r="P73" s="43">
        <v>12.3902</v>
      </c>
      <c r="Q73" s="43">
        <v>12.914</v>
      </c>
      <c r="R73" s="43">
        <v>13.447800000000001</v>
      </c>
      <c r="S73" s="43">
        <v>13.9816</v>
      </c>
      <c r="T73" s="43">
        <v>14.5154</v>
      </c>
      <c r="U73" s="43">
        <v>15.049200000000001</v>
      </c>
      <c r="V73" s="43">
        <v>15.583</v>
      </c>
      <c r="W73" s="43">
        <v>15.6822</v>
      </c>
      <c r="X73" s="43">
        <v>15.7814</v>
      </c>
      <c r="Y73" s="43">
        <v>15.880599999999999</v>
      </c>
      <c r="Z73" s="43">
        <v>15.979799999999999</v>
      </c>
      <c r="AA73" s="43">
        <v>16.079000000000001</v>
      </c>
      <c r="AB73" s="43">
        <v>16.212800000000001</v>
      </c>
      <c r="AC73" s="43">
        <v>16.346599999999999</v>
      </c>
      <c r="AD73" s="43">
        <v>16.480399999999999</v>
      </c>
      <c r="AE73" s="43">
        <v>16.6142</v>
      </c>
      <c r="AF73" s="43">
        <v>16.748000000000001</v>
      </c>
      <c r="AG73" s="43">
        <v>17.050999999999998</v>
      </c>
      <c r="AH73" s="43">
        <v>17.353999999999999</v>
      </c>
      <c r="AI73" s="43">
        <v>17.657</v>
      </c>
      <c r="AJ73" s="43">
        <v>17.96</v>
      </c>
      <c r="AK73" s="43">
        <v>18.263000000000002</v>
      </c>
      <c r="AL73" s="43">
        <v>18.588799999999999</v>
      </c>
      <c r="AM73" s="43">
        <v>18.9146</v>
      </c>
      <c r="AN73" s="43">
        <v>19.240400000000001</v>
      </c>
      <c r="AO73" s="43">
        <v>19.566199999999998</v>
      </c>
      <c r="AP73" s="43">
        <v>19.891999999999999</v>
      </c>
      <c r="AQ73" s="43">
        <v>20.2486</v>
      </c>
      <c r="AR73" s="43">
        <v>20.6052</v>
      </c>
      <c r="AS73" s="43">
        <v>20.9618</v>
      </c>
      <c r="AT73" s="43">
        <v>21.3184</v>
      </c>
      <c r="AU73" s="43">
        <v>21.675000000000001</v>
      </c>
      <c r="AV73" s="43">
        <v>22.054200000000002</v>
      </c>
      <c r="AW73" s="43">
        <v>22.433399999999999</v>
      </c>
      <c r="AX73" s="43">
        <v>22.8126</v>
      </c>
      <c r="AY73" s="43">
        <v>23.191800000000001</v>
      </c>
      <c r="AZ73" s="43">
        <v>23.571000000000002</v>
      </c>
      <c r="BA73" s="43">
        <v>23.984200000000001</v>
      </c>
      <c r="BB73" s="43">
        <v>24.397400000000001</v>
      </c>
      <c r="BC73" s="43"/>
      <c r="BD73" s="44">
        <f t="shared" si="1"/>
        <v>12.744933333333334</v>
      </c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2"/>
      <c r="CC73" s="42"/>
      <c r="CD73" s="42"/>
      <c r="CE73" s="42"/>
      <c r="CF73" s="42"/>
      <c r="CG73" s="42"/>
      <c r="CH73" s="42"/>
      <c r="CI73" s="42"/>
      <c r="CJ73" s="42"/>
      <c r="CK73" s="42"/>
      <c r="CL73" s="42"/>
      <c r="CM73" s="42"/>
    </row>
    <row r="74" spans="1:91">
      <c r="A74" s="41">
        <v>116</v>
      </c>
      <c r="B74" s="41" t="s">
        <v>82</v>
      </c>
      <c r="C74" s="43">
        <v>41.174199999999999</v>
      </c>
      <c r="D74" s="43">
        <v>42.153399999999998</v>
      </c>
      <c r="E74" s="43">
        <v>43.132599999999996</v>
      </c>
      <c r="F74" s="43">
        <v>44.111800000000002</v>
      </c>
      <c r="G74" s="43">
        <v>45.091000000000001</v>
      </c>
      <c r="H74" s="43">
        <v>46.912799999999997</v>
      </c>
      <c r="I74" s="43">
        <v>48.7346</v>
      </c>
      <c r="J74" s="43">
        <v>50.556399999999996</v>
      </c>
      <c r="K74" s="43">
        <v>52.3782</v>
      </c>
      <c r="L74" s="43">
        <v>54.2</v>
      </c>
      <c r="M74" s="43">
        <v>54.7</v>
      </c>
      <c r="N74" s="43">
        <v>55.2</v>
      </c>
      <c r="O74" s="43">
        <v>55.7</v>
      </c>
      <c r="P74" s="43">
        <v>56.2</v>
      </c>
      <c r="Q74" s="43">
        <v>56.7</v>
      </c>
      <c r="R74" s="43">
        <v>56.74</v>
      </c>
      <c r="S74" s="43">
        <v>56.78</v>
      </c>
      <c r="T74" s="43">
        <v>56.82</v>
      </c>
      <c r="U74" s="43">
        <v>56.86</v>
      </c>
      <c r="V74" s="43">
        <v>56.9</v>
      </c>
      <c r="W74" s="43">
        <v>57.0488</v>
      </c>
      <c r="X74" s="43">
        <v>57.197600000000001</v>
      </c>
      <c r="Y74" s="43">
        <v>57.346400000000003</v>
      </c>
      <c r="Z74" s="43">
        <v>57.495199999999997</v>
      </c>
      <c r="AA74" s="43">
        <v>57.643999999999998</v>
      </c>
      <c r="AB74" s="43">
        <v>57.792000000000002</v>
      </c>
      <c r="AC74" s="43">
        <v>57.94</v>
      </c>
      <c r="AD74" s="43">
        <v>58.088000000000001</v>
      </c>
      <c r="AE74" s="43">
        <v>58.235999999999997</v>
      </c>
      <c r="AF74" s="43">
        <v>58.384</v>
      </c>
      <c r="AG74" s="43">
        <v>58.510800000000003</v>
      </c>
      <c r="AH74" s="43">
        <v>58.637599999999999</v>
      </c>
      <c r="AI74" s="43">
        <v>58.764400000000002</v>
      </c>
      <c r="AJ74" s="43">
        <v>58.891199999999998</v>
      </c>
      <c r="AK74" s="43">
        <v>59.018000000000001</v>
      </c>
      <c r="AL74" s="43">
        <v>59.096800000000002</v>
      </c>
      <c r="AM74" s="43">
        <v>59.175600000000003</v>
      </c>
      <c r="AN74" s="43">
        <v>59.254399999999997</v>
      </c>
      <c r="AO74" s="43">
        <v>59.333199999999998</v>
      </c>
      <c r="AP74" s="43">
        <v>59.411999999999999</v>
      </c>
      <c r="AQ74" s="43">
        <v>59.490600000000001</v>
      </c>
      <c r="AR74" s="43">
        <v>59.569200000000002</v>
      </c>
      <c r="AS74" s="43">
        <v>59.647799999999997</v>
      </c>
      <c r="AT74" s="43">
        <v>59.726399999999998</v>
      </c>
      <c r="AU74" s="43">
        <v>59.805</v>
      </c>
      <c r="AV74" s="43">
        <v>59.886000000000003</v>
      </c>
      <c r="AW74" s="43">
        <v>59.966999999999999</v>
      </c>
      <c r="AX74" s="43">
        <v>60.048000000000002</v>
      </c>
      <c r="AY74" s="43">
        <v>60.128999999999998</v>
      </c>
      <c r="AZ74" s="43">
        <v>60.21</v>
      </c>
      <c r="BA74" s="43">
        <v>60.341999999999999</v>
      </c>
      <c r="BB74" s="43">
        <v>60.473999999999997</v>
      </c>
      <c r="BD74" s="44">
        <f t="shared" si="1"/>
        <v>53.607233333333348</v>
      </c>
    </row>
    <row r="75" spans="1:91">
      <c r="A75" s="41">
        <v>117</v>
      </c>
      <c r="B75" s="41" t="s">
        <v>81</v>
      </c>
      <c r="C75" s="43">
        <v>28.638200000000001</v>
      </c>
      <c r="D75" s="43">
        <v>29.566400000000002</v>
      </c>
      <c r="E75" s="43">
        <v>30.494599999999998</v>
      </c>
      <c r="F75" s="43">
        <v>31.422799999999999</v>
      </c>
      <c r="G75" s="43">
        <v>32.350999999999999</v>
      </c>
      <c r="H75" s="43">
        <v>34.021599999999999</v>
      </c>
      <c r="I75" s="43">
        <v>35.6922</v>
      </c>
      <c r="J75" s="43">
        <v>37.3628</v>
      </c>
      <c r="K75" s="43">
        <v>39.0334</v>
      </c>
      <c r="L75" s="43">
        <v>40.704000000000001</v>
      </c>
      <c r="M75" s="43">
        <v>42.169800000000002</v>
      </c>
      <c r="N75" s="43">
        <v>43.635599999999997</v>
      </c>
      <c r="O75" s="43">
        <v>45.101399999999998</v>
      </c>
      <c r="P75" s="43">
        <v>46.5672</v>
      </c>
      <c r="Q75" s="43">
        <v>48.033000000000001</v>
      </c>
      <c r="R75" s="43">
        <v>49.770400000000002</v>
      </c>
      <c r="S75" s="43">
        <v>51.507800000000003</v>
      </c>
      <c r="T75" s="43">
        <v>53.245199999999997</v>
      </c>
      <c r="U75" s="43">
        <v>54.982599999999998</v>
      </c>
      <c r="V75" s="43">
        <v>56.72</v>
      </c>
      <c r="W75" s="43">
        <v>58.351199999999999</v>
      </c>
      <c r="X75" s="43">
        <v>59.982399999999998</v>
      </c>
      <c r="Y75" s="43">
        <v>61.613599999999998</v>
      </c>
      <c r="Z75" s="43">
        <v>63.244799999999998</v>
      </c>
      <c r="AA75" s="43">
        <v>64.876000000000005</v>
      </c>
      <c r="AB75" s="43">
        <v>66.669600000000003</v>
      </c>
      <c r="AC75" s="43">
        <v>68.463200000000001</v>
      </c>
      <c r="AD75" s="43">
        <v>70.256799999999998</v>
      </c>
      <c r="AE75" s="43">
        <v>72.050399999999996</v>
      </c>
      <c r="AF75" s="43">
        <v>73.843999999999994</v>
      </c>
      <c r="AG75" s="43">
        <v>74.722999999999999</v>
      </c>
      <c r="AH75" s="43">
        <v>75.602000000000004</v>
      </c>
      <c r="AI75" s="43">
        <v>76.480999999999995</v>
      </c>
      <c r="AJ75" s="43">
        <v>77.36</v>
      </c>
      <c r="AK75" s="43">
        <v>78.239000000000004</v>
      </c>
      <c r="AL75" s="43">
        <v>78.5154</v>
      </c>
      <c r="AM75" s="43">
        <v>78.791799999999995</v>
      </c>
      <c r="AN75" s="43">
        <v>79.068200000000004</v>
      </c>
      <c r="AO75" s="43">
        <v>79.3446</v>
      </c>
      <c r="AP75" s="43">
        <v>79.620999999999995</v>
      </c>
      <c r="AQ75" s="43">
        <v>79.965800000000002</v>
      </c>
      <c r="AR75" s="43">
        <v>80.310599999999994</v>
      </c>
      <c r="AS75" s="43">
        <v>80.6554</v>
      </c>
      <c r="AT75" s="43">
        <v>81.000200000000007</v>
      </c>
      <c r="AU75" s="43">
        <v>81.344999999999999</v>
      </c>
      <c r="AV75" s="43">
        <v>81.662599999999998</v>
      </c>
      <c r="AW75" s="43">
        <v>81.980199999999996</v>
      </c>
      <c r="AX75" s="43">
        <v>82.297799999999995</v>
      </c>
      <c r="AY75" s="43">
        <v>82.615399999999994</v>
      </c>
      <c r="AZ75" s="43">
        <v>82.933000000000007</v>
      </c>
      <c r="BA75" s="43">
        <v>83.200800000000001</v>
      </c>
      <c r="BB75" s="43">
        <v>83.468599999999995</v>
      </c>
      <c r="BD75" s="44">
        <f t="shared" si="1"/>
        <v>49.679066666666664</v>
      </c>
    </row>
    <row r="76" spans="1:91">
      <c r="A76" s="41">
        <v>118</v>
      </c>
      <c r="B76" s="41" t="s">
        <v>80</v>
      </c>
      <c r="C76" s="43">
        <v>75.769000000000005</v>
      </c>
      <c r="D76" s="43">
        <v>76.644999999999996</v>
      </c>
      <c r="E76" s="43">
        <v>77.521000000000001</v>
      </c>
      <c r="F76" s="43">
        <v>78.397000000000006</v>
      </c>
      <c r="G76" s="43">
        <v>79.272999999999996</v>
      </c>
      <c r="H76" s="43">
        <v>80.550600000000003</v>
      </c>
      <c r="I76" s="43">
        <v>81.828199999999995</v>
      </c>
      <c r="J76" s="43">
        <v>83.105800000000002</v>
      </c>
      <c r="K76" s="43">
        <v>84.383399999999995</v>
      </c>
      <c r="L76" s="43">
        <v>85.661000000000001</v>
      </c>
      <c r="M76" s="43">
        <v>86.405600000000007</v>
      </c>
      <c r="N76" s="43">
        <v>87.150199999999998</v>
      </c>
      <c r="O76" s="43">
        <v>87.894800000000004</v>
      </c>
      <c r="P76" s="43">
        <v>88.639399999999995</v>
      </c>
      <c r="Q76" s="43">
        <v>89.384</v>
      </c>
      <c r="R76" s="43">
        <v>90.463399999999993</v>
      </c>
      <c r="S76" s="43">
        <v>91.5428</v>
      </c>
      <c r="T76" s="43">
        <v>92.622200000000007</v>
      </c>
      <c r="U76" s="43">
        <v>93.701599999999999</v>
      </c>
      <c r="V76" s="43">
        <v>94.781000000000006</v>
      </c>
      <c r="W76" s="43">
        <v>95.4054</v>
      </c>
      <c r="X76" s="43">
        <v>96.029799999999994</v>
      </c>
      <c r="Y76" s="43">
        <v>96.654200000000003</v>
      </c>
      <c r="Z76" s="43">
        <v>97.278599999999997</v>
      </c>
      <c r="AA76" s="43">
        <v>97.903000000000006</v>
      </c>
      <c r="AB76" s="43">
        <v>97.917199999999994</v>
      </c>
      <c r="AC76" s="43">
        <v>97.931399999999996</v>
      </c>
      <c r="AD76" s="43">
        <v>97.945599999999999</v>
      </c>
      <c r="AE76" s="43">
        <v>97.959800000000001</v>
      </c>
      <c r="AF76" s="43">
        <v>97.974000000000004</v>
      </c>
      <c r="AG76" s="43">
        <v>97.987799999999993</v>
      </c>
      <c r="AH76" s="43">
        <v>98.001599999999996</v>
      </c>
      <c r="AI76" s="43">
        <v>98.0154</v>
      </c>
      <c r="AJ76" s="43">
        <v>98.029200000000003</v>
      </c>
      <c r="AK76" s="43">
        <v>98.043000000000006</v>
      </c>
      <c r="AL76" s="43">
        <v>98.056399999999996</v>
      </c>
      <c r="AM76" s="43">
        <v>98.069800000000001</v>
      </c>
      <c r="AN76" s="43">
        <v>98.083200000000005</v>
      </c>
      <c r="AO76" s="43">
        <v>98.096599999999995</v>
      </c>
      <c r="AP76" s="43">
        <v>98.11</v>
      </c>
      <c r="AQ76" s="43">
        <v>98.123400000000004</v>
      </c>
      <c r="AR76" s="43">
        <v>98.136799999999994</v>
      </c>
      <c r="AS76" s="43">
        <v>98.150199999999998</v>
      </c>
      <c r="AT76" s="43">
        <v>98.163600000000002</v>
      </c>
      <c r="AU76" s="43">
        <v>98.177000000000007</v>
      </c>
      <c r="AV76" s="43">
        <v>98.19</v>
      </c>
      <c r="AW76" s="43">
        <v>98.203000000000003</v>
      </c>
      <c r="AX76" s="43">
        <v>98.215999999999994</v>
      </c>
      <c r="AY76" s="43">
        <v>98.228999999999999</v>
      </c>
      <c r="AZ76" s="43">
        <v>98.242000000000004</v>
      </c>
      <c r="BA76" s="43">
        <v>98.254800000000003</v>
      </c>
      <c r="BB76" s="43">
        <v>98.267600000000002</v>
      </c>
      <c r="BC76" s="43"/>
      <c r="BD76" s="44">
        <f t="shared" si="1"/>
        <v>89.290600000000012</v>
      </c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2"/>
      <c r="CC76" s="42"/>
      <c r="CD76" s="42"/>
      <c r="CE76" s="42"/>
      <c r="CF76" s="42"/>
      <c r="CG76" s="42"/>
      <c r="CH76" s="42"/>
      <c r="CI76" s="42"/>
      <c r="CJ76" s="42"/>
      <c r="CK76" s="42"/>
      <c r="CL76" s="42"/>
      <c r="CM76" s="42"/>
    </row>
    <row r="77" spans="1:91">
      <c r="A77" s="41">
        <v>119</v>
      </c>
      <c r="B77" s="41" t="s">
        <v>79</v>
      </c>
      <c r="C77" s="43">
        <v>34.515000000000001</v>
      </c>
      <c r="D77" s="43">
        <v>34.848999999999997</v>
      </c>
      <c r="E77" s="43">
        <v>35.183</v>
      </c>
      <c r="F77" s="43">
        <v>35.517000000000003</v>
      </c>
      <c r="G77" s="43">
        <v>35.850999999999999</v>
      </c>
      <c r="H77" s="43">
        <v>36.173999999999999</v>
      </c>
      <c r="I77" s="43">
        <v>36.497</v>
      </c>
      <c r="J77" s="43">
        <v>36.82</v>
      </c>
      <c r="K77" s="43">
        <v>37.143000000000001</v>
      </c>
      <c r="L77" s="43">
        <v>37.466000000000001</v>
      </c>
      <c r="M77" s="43">
        <v>37.61</v>
      </c>
      <c r="N77" s="43">
        <v>37.753999999999998</v>
      </c>
      <c r="O77" s="43">
        <v>37.898000000000003</v>
      </c>
      <c r="P77" s="43">
        <v>38.042000000000002</v>
      </c>
      <c r="Q77" s="43">
        <v>38.186</v>
      </c>
      <c r="R77" s="43">
        <v>38.2742</v>
      </c>
      <c r="S77" s="43">
        <v>38.362400000000001</v>
      </c>
      <c r="T77" s="43">
        <v>38.450600000000001</v>
      </c>
      <c r="U77" s="43">
        <v>38.538800000000002</v>
      </c>
      <c r="V77" s="43">
        <v>38.627000000000002</v>
      </c>
      <c r="W77" s="43">
        <v>38.576999999999998</v>
      </c>
      <c r="X77" s="43">
        <v>38.527000000000001</v>
      </c>
      <c r="Y77" s="43">
        <v>38.476999999999997</v>
      </c>
      <c r="Z77" s="43">
        <v>38.427</v>
      </c>
      <c r="AA77" s="43">
        <v>38.377000000000002</v>
      </c>
      <c r="AB77" s="43">
        <v>38.256999999999998</v>
      </c>
      <c r="AC77" s="43">
        <v>38.137</v>
      </c>
      <c r="AD77" s="43">
        <v>38.017000000000003</v>
      </c>
      <c r="AE77" s="43">
        <v>37.896999999999998</v>
      </c>
      <c r="AF77" s="43">
        <v>37.777000000000001</v>
      </c>
      <c r="AG77" s="43">
        <v>37.491399999999999</v>
      </c>
      <c r="AH77" s="43">
        <v>37.205800000000004</v>
      </c>
      <c r="AI77" s="43">
        <v>36.920200000000001</v>
      </c>
      <c r="AJ77" s="43">
        <v>36.634599999999999</v>
      </c>
      <c r="AK77" s="43">
        <v>36.348999999999997</v>
      </c>
      <c r="AL77" s="43">
        <v>36.138800000000003</v>
      </c>
      <c r="AM77" s="43">
        <v>35.928600000000003</v>
      </c>
      <c r="AN77" s="43">
        <v>35.718400000000003</v>
      </c>
      <c r="AO77" s="43">
        <v>35.508200000000002</v>
      </c>
      <c r="AP77" s="43">
        <v>35.298000000000002</v>
      </c>
      <c r="AQ77" s="43">
        <v>35.296399999999998</v>
      </c>
      <c r="AR77" s="43">
        <v>35.294800000000002</v>
      </c>
      <c r="AS77" s="43">
        <v>35.293199999999999</v>
      </c>
      <c r="AT77" s="43">
        <v>35.291600000000003</v>
      </c>
      <c r="AU77" s="43">
        <v>35.29</v>
      </c>
      <c r="AV77" s="43">
        <v>35.2928</v>
      </c>
      <c r="AW77" s="43">
        <v>35.2956</v>
      </c>
      <c r="AX77" s="43">
        <v>35.298400000000001</v>
      </c>
      <c r="AY77" s="43">
        <v>35.301200000000001</v>
      </c>
      <c r="AZ77" s="43">
        <v>35.304000000000002</v>
      </c>
      <c r="BA77" s="43">
        <v>35.389600000000002</v>
      </c>
      <c r="BB77" s="43">
        <v>35.475200000000001</v>
      </c>
      <c r="BC77" s="43"/>
      <c r="BD77" s="44">
        <f t="shared" si="1"/>
        <v>37.474266666666672</v>
      </c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2"/>
      <c r="CC77" s="42"/>
      <c r="CD77" s="42"/>
      <c r="CE77" s="42"/>
      <c r="CF77" s="42"/>
      <c r="CG77" s="42"/>
      <c r="CH77" s="42"/>
      <c r="CI77" s="42"/>
      <c r="CJ77" s="42"/>
      <c r="CK77" s="42"/>
      <c r="CL77" s="42"/>
      <c r="CM77" s="42"/>
    </row>
    <row r="78" spans="1:91">
      <c r="A78" s="41">
        <v>120</v>
      </c>
      <c r="B78" s="41" t="s">
        <v>78</v>
      </c>
      <c r="C78" s="43">
        <v>8.0213999999999999</v>
      </c>
      <c r="D78" s="43">
        <v>8.0968</v>
      </c>
      <c r="E78" s="43">
        <v>8.1722000000000001</v>
      </c>
      <c r="F78" s="43">
        <v>8.2476000000000003</v>
      </c>
      <c r="G78" s="43">
        <v>8.3230000000000004</v>
      </c>
      <c r="H78" s="43">
        <v>8.5833999999999993</v>
      </c>
      <c r="I78" s="43">
        <v>8.8437999999999999</v>
      </c>
      <c r="J78" s="43">
        <v>9.1042000000000005</v>
      </c>
      <c r="K78" s="43">
        <v>9.3645999999999994</v>
      </c>
      <c r="L78" s="43">
        <v>9.625</v>
      </c>
      <c r="M78" s="43">
        <v>9.9161999999999999</v>
      </c>
      <c r="N78" s="43">
        <v>10.2074</v>
      </c>
      <c r="O78" s="43">
        <v>10.4986</v>
      </c>
      <c r="P78" s="43">
        <v>10.7898</v>
      </c>
      <c r="Q78" s="43">
        <v>11.081</v>
      </c>
      <c r="R78" s="43">
        <v>11.340199999999999</v>
      </c>
      <c r="S78" s="43">
        <v>11.599399999999999</v>
      </c>
      <c r="T78" s="43">
        <v>11.858599999999999</v>
      </c>
      <c r="U78" s="43">
        <v>12.117800000000001</v>
      </c>
      <c r="V78" s="43">
        <v>12.377000000000001</v>
      </c>
      <c r="W78" s="43">
        <v>12.6624</v>
      </c>
      <c r="X78" s="43">
        <v>12.947800000000001</v>
      </c>
      <c r="Y78" s="43">
        <v>13.2332</v>
      </c>
      <c r="Z78" s="43">
        <v>13.518599999999999</v>
      </c>
      <c r="AA78" s="43">
        <v>13.804</v>
      </c>
      <c r="AB78" s="43">
        <v>14.130599999999999</v>
      </c>
      <c r="AC78" s="43">
        <v>14.4572</v>
      </c>
      <c r="AD78" s="43">
        <v>14.783799999999999</v>
      </c>
      <c r="AE78" s="43">
        <v>15.1104</v>
      </c>
      <c r="AF78" s="43">
        <v>15.436999999999999</v>
      </c>
      <c r="AG78" s="43">
        <v>15.825200000000001</v>
      </c>
      <c r="AH78" s="43">
        <v>16.2134</v>
      </c>
      <c r="AI78" s="43">
        <v>16.601600000000001</v>
      </c>
      <c r="AJ78" s="43">
        <v>16.989799999999999</v>
      </c>
      <c r="AK78" s="43">
        <v>17.378</v>
      </c>
      <c r="AL78" s="43">
        <v>18.297799999999999</v>
      </c>
      <c r="AM78" s="43">
        <v>19.217600000000001</v>
      </c>
      <c r="AN78" s="43">
        <v>20.1374</v>
      </c>
      <c r="AO78" s="43">
        <v>21.057200000000002</v>
      </c>
      <c r="AP78" s="43">
        <v>21.977</v>
      </c>
      <c r="AQ78" s="43">
        <v>23.058800000000002</v>
      </c>
      <c r="AR78" s="43">
        <v>24.140599999999999</v>
      </c>
      <c r="AS78" s="43">
        <v>25.2224</v>
      </c>
      <c r="AT78" s="43">
        <v>26.304200000000002</v>
      </c>
      <c r="AU78" s="43">
        <v>27.385999999999999</v>
      </c>
      <c r="AV78" s="43">
        <v>28.533000000000001</v>
      </c>
      <c r="AW78" s="43">
        <v>29.68</v>
      </c>
      <c r="AX78" s="43">
        <v>30.827000000000002</v>
      </c>
      <c r="AY78" s="43">
        <v>31.974</v>
      </c>
      <c r="AZ78" s="43">
        <v>33.121000000000002</v>
      </c>
      <c r="BA78" s="43">
        <v>34.2224</v>
      </c>
      <c r="BB78" s="43">
        <v>35.323799999999999</v>
      </c>
      <c r="BD78" s="44">
        <f t="shared" si="1"/>
        <v>11.275100000000002</v>
      </c>
    </row>
    <row r="79" spans="1:91">
      <c r="A79" s="41">
        <v>121</v>
      </c>
      <c r="B79" s="41" t="s">
        <v>77</v>
      </c>
      <c r="C79" s="43">
        <v>53.66</v>
      </c>
      <c r="D79" s="43">
        <v>54.453000000000003</v>
      </c>
      <c r="E79" s="43">
        <v>55.246000000000002</v>
      </c>
      <c r="F79" s="43">
        <v>56.039000000000001</v>
      </c>
      <c r="G79" s="43">
        <v>56.832000000000001</v>
      </c>
      <c r="H79" s="43">
        <v>57.608199999999997</v>
      </c>
      <c r="I79" s="43">
        <v>58.384399999999999</v>
      </c>
      <c r="J79" s="43">
        <v>59.160600000000002</v>
      </c>
      <c r="K79" s="43">
        <v>59.936799999999998</v>
      </c>
      <c r="L79" s="43">
        <v>60.713000000000001</v>
      </c>
      <c r="M79" s="43">
        <v>61.401800000000001</v>
      </c>
      <c r="N79" s="43">
        <v>62.090600000000002</v>
      </c>
      <c r="O79" s="43">
        <v>62.779400000000003</v>
      </c>
      <c r="P79" s="43">
        <v>63.468200000000003</v>
      </c>
      <c r="Q79" s="43">
        <v>64.156999999999996</v>
      </c>
      <c r="R79" s="43">
        <v>64.744600000000005</v>
      </c>
      <c r="S79" s="43">
        <v>65.3322</v>
      </c>
      <c r="T79" s="43">
        <v>65.919799999999995</v>
      </c>
      <c r="U79" s="43">
        <v>66.507400000000004</v>
      </c>
      <c r="V79" s="43">
        <v>67.094999999999999</v>
      </c>
      <c r="W79" s="43">
        <v>67.388000000000005</v>
      </c>
      <c r="X79" s="43">
        <v>67.680999999999997</v>
      </c>
      <c r="Y79" s="43">
        <v>67.974000000000004</v>
      </c>
      <c r="Z79" s="43">
        <v>68.266999999999996</v>
      </c>
      <c r="AA79" s="43">
        <v>68.56</v>
      </c>
      <c r="AB79" s="43">
        <v>68.697999999999993</v>
      </c>
      <c r="AC79" s="43">
        <v>68.835999999999999</v>
      </c>
      <c r="AD79" s="43">
        <v>68.974000000000004</v>
      </c>
      <c r="AE79" s="43">
        <v>69.111999999999995</v>
      </c>
      <c r="AF79" s="43">
        <v>69.25</v>
      </c>
      <c r="AG79" s="43">
        <v>69.150000000000006</v>
      </c>
      <c r="AH79" s="43">
        <v>69.05</v>
      </c>
      <c r="AI79" s="43">
        <v>68.95</v>
      </c>
      <c r="AJ79" s="43">
        <v>68.849999999999994</v>
      </c>
      <c r="AK79" s="43">
        <v>68.75</v>
      </c>
      <c r="AL79" s="43">
        <v>68.613399999999999</v>
      </c>
      <c r="AM79" s="43">
        <v>68.476799999999997</v>
      </c>
      <c r="AN79" s="43">
        <v>68.340199999999996</v>
      </c>
      <c r="AO79" s="43">
        <v>68.203599999999994</v>
      </c>
      <c r="AP79" s="43">
        <v>68.066999999999993</v>
      </c>
      <c r="AQ79" s="43">
        <v>68.053600000000003</v>
      </c>
      <c r="AR79" s="43">
        <v>68.040199999999999</v>
      </c>
      <c r="AS79" s="43">
        <v>68.026799999999994</v>
      </c>
      <c r="AT79" s="43">
        <v>68.013400000000004</v>
      </c>
      <c r="AU79" s="43">
        <v>68</v>
      </c>
      <c r="AV79" s="43">
        <v>67.943200000000004</v>
      </c>
      <c r="AW79" s="43">
        <v>67.886399999999995</v>
      </c>
      <c r="AX79" s="43">
        <v>67.829599999999999</v>
      </c>
      <c r="AY79" s="43">
        <v>67.772800000000004</v>
      </c>
      <c r="AZ79" s="43">
        <v>67.715999999999994</v>
      </c>
      <c r="BA79" s="43">
        <v>67.713999999999999</v>
      </c>
      <c r="BB79" s="43">
        <v>67.712000000000003</v>
      </c>
      <c r="BC79" s="43"/>
      <c r="BD79" s="44">
        <f t="shared" si="1"/>
        <v>63.342300000000002</v>
      </c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2"/>
      <c r="CC79" s="42"/>
      <c r="CD79" s="42"/>
      <c r="CE79" s="42"/>
      <c r="CF79" s="42"/>
      <c r="CG79" s="42"/>
      <c r="CH79" s="42"/>
      <c r="CI79" s="42"/>
      <c r="CJ79" s="42"/>
      <c r="CK79" s="42"/>
      <c r="CL79" s="42"/>
      <c r="CM79" s="42"/>
    </row>
    <row r="80" spans="1:91">
      <c r="A80" s="41">
        <v>122</v>
      </c>
      <c r="B80" s="41" t="s">
        <v>76</v>
      </c>
      <c r="C80" s="43">
        <v>44.061399999999999</v>
      </c>
      <c r="D80" s="43">
        <v>45.779800000000002</v>
      </c>
      <c r="E80" s="43">
        <v>47.498199999999997</v>
      </c>
      <c r="F80" s="43">
        <v>49.2166</v>
      </c>
      <c r="G80" s="43">
        <v>50.935000000000002</v>
      </c>
      <c r="H80" s="43">
        <v>52.643000000000001</v>
      </c>
      <c r="I80" s="43">
        <v>54.350999999999999</v>
      </c>
      <c r="J80" s="43">
        <v>56.058999999999997</v>
      </c>
      <c r="K80" s="43">
        <v>57.767000000000003</v>
      </c>
      <c r="L80" s="43">
        <v>59.475000000000001</v>
      </c>
      <c r="M80" s="43">
        <v>60.9756</v>
      </c>
      <c r="N80" s="43">
        <v>62.476199999999999</v>
      </c>
      <c r="O80" s="43">
        <v>63.976799999999997</v>
      </c>
      <c r="P80" s="43">
        <v>65.477400000000003</v>
      </c>
      <c r="Q80" s="43">
        <v>66.977999999999994</v>
      </c>
      <c r="R80" s="43">
        <v>68.316800000000001</v>
      </c>
      <c r="S80" s="43">
        <v>69.655600000000007</v>
      </c>
      <c r="T80" s="43">
        <v>70.994399999999999</v>
      </c>
      <c r="U80" s="43">
        <v>72.333200000000005</v>
      </c>
      <c r="V80" s="43">
        <v>73.671999999999997</v>
      </c>
      <c r="W80" s="43">
        <v>74.822000000000003</v>
      </c>
      <c r="X80" s="43">
        <v>75.971999999999994</v>
      </c>
      <c r="Y80" s="43">
        <v>77.122</v>
      </c>
      <c r="Z80" s="43">
        <v>78.272000000000006</v>
      </c>
      <c r="AA80" s="43">
        <v>79.421999999999997</v>
      </c>
      <c r="AB80" s="43">
        <v>80.161600000000007</v>
      </c>
      <c r="AC80" s="43">
        <v>80.901200000000003</v>
      </c>
      <c r="AD80" s="43">
        <v>81.640799999999999</v>
      </c>
      <c r="AE80" s="43">
        <v>82.380399999999995</v>
      </c>
      <c r="AF80" s="43">
        <v>83.12</v>
      </c>
      <c r="AG80" s="43">
        <v>83.46</v>
      </c>
      <c r="AH80" s="43">
        <v>83.8</v>
      </c>
      <c r="AI80" s="43">
        <v>84.14</v>
      </c>
      <c r="AJ80" s="43">
        <v>84.48</v>
      </c>
      <c r="AK80" s="43">
        <v>84.82</v>
      </c>
      <c r="AL80" s="43">
        <v>85.055999999999997</v>
      </c>
      <c r="AM80" s="43">
        <v>85.292000000000002</v>
      </c>
      <c r="AN80" s="43">
        <v>85.528000000000006</v>
      </c>
      <c r="AO80" s="43">
        <v>85.763999999999996</v>
      </c>
      <c r="AP80" s="43">
        <v>86</v>
      </c>
      <c r="AQ80" s="43">
        <v>86.114000000000004</v>
      </c>
      <c r="AR80" s="43">
        <v>86.227999999999994</v>
      </c>
      <c r="AS80" s="43">
        <v>86.341999999999999</v>
      </c>
      <c r="AT80" s="43">
        <v>86.456000000000003</v>
      </c>
      <c r="AU80" s="43">
        <v>86.57</v>
      </c>
      <c r="AV80" s="43">
        <v>86.683199999999999</v>
      </c>
      <c r="AW80" s="43">
        <v>86.796400000000006</v>
      </c>
      <c r="AX80" s="43">
        <v>86.909599999999998</v>
      </c>
      <c r="AY80" s="43">
        <v>87.022800000000004</v>
      </c>
      <c r="AZ80" s="43">
        <v>87.135999999999996</v>
      </c>
      <c r="BA80" s="43">
        <v>87.247799999999998</v>
      </c>
      <c r="BB80" s="43">
        <v>87.3596</v>
      </c>
      <c r="BC80" s="43"/>
      <c r="BD80" s="44">
        <f t="shared" si="1"/>
        <v>66.215199999999996</v>
      </c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2"/>
      <c r="CC80" s="42"/>
      <c r="CD80" s="42"/>
      <c r="CE80" s="42"/>
      <c r="CF80" s="42"/>
      <c r="CG80" s="42"/>
      <c r="CH80" s="42"/>
      <c r="CI80" s="42"/>
      <c r="CJ80" s="42"/>
      <c r="CK80" s="42"/>
      <c r="CL80" s="42"/>
      <c r="CM80" s="42"/>
    </row>
    <row r="81" spans="1:91">
      <c r="A81" s="41">
        <v>123</v>
      </c>
      <c r="B81" s="41" t="s">
        <v>75</v>
      </c>
      <c r="C81" s="43">
        <v>4.0004</v>
      </c>
      <c r="D81" s="43">
        <v>4.5857999999999999</v>
      </c>
      <c r="E81" s="43">
        <v>5.1711999999999998</v>
      </c>
      <c r="F81" s="43">
        <v>5.7565999999999997</v>
      </c>
      <c r="G81" s="43">
        <v>6.3419999999999996</v>
      </c>
      <c r="H81" s="43">
        <v>6.7952000000000004</v>
      </c>
      <c r="I81" s="43">
        <v>7.2484000000000002</v>
      </c>
      <c r="J81" s="43">
        <v>7.7016</v>
      </c>
      <c r="K81" s="43">
        <v>8.1547999999999998</v>
      </c>
      <c r="L81" s="43">
        <v>8.6080000000000005</v>
      </c>
      <c r="M81" s="43">
        <v>9.0508000000000006</v>
      </c>
      <c r="N81" s="43">
        <v>9.4936000000000007</v>
      </c>
      <c r="O81" s="43">
        <v>9.9364000000000008</v>
      </c>
      <c r="P81" s="43">
        <v>10.379200000000001</v>
      </c>
      <c r="Q81" s="43">
        <v>10.821999999999999</v>
      </c>
      <c r="R81" s="43">
        <v>10.9476</v>
      </c>
      <c r="S81" s="43">
        <v>11.0732</v>
      </c>
      <c r="T81" s="43">
        <v>11.1988</v>
      </c>
      <c r="U81" s="43">
        <v>11.324400000000001</v>
      </c>
      <c r="V81" s="43">
        <v>11.45</v>
      </c>
      <c r="W81" s="43">
        <v>11.510400000000001</v>
      </c>
      <c r="X81" s="43">
        <v>11.5708</v>
      </c>
      <c r="Y81" s="43">
        <v>11.6312</v>
      </c>
      <c r="Z81" s="43">
        <v>11.691599999999999</v>
      </c>
      <c r="AA81" s="43">
        <v>11.752000000000001</v>
      </c>
      <c r="AB81" s="43">
        <v>12.195</v>
      </c>
      <c r="AC81" s="43">
        <v>12.638</v>
      </c>
      <c r="AD81" s="43">
        <v>13.081</v>
      </c>
      <c r="AE81" s="43">
        <v>13.523999999999999</v>
      </c>
      <c r="AF81" s="43">
        <v>13.967000000000001</v>
      </c>
      <c r="AG81" s="43">
        <v>14.5646</v>
      </c>
      <c r="AH81" s="43">
        <v>15.1622</v>
      </c>
      <c r="AI81" s="43">
        <v>15.7598</v>
      </c>
      <c r="AJ81" s="43">
        <v>16.357399999999998</v>
      </c>
      <c r="AK81" s="43">
        <v>16.954999999999998</v>
      </c>
      <c r="AL81" s="43">
        <v>17.558399999999999</v>
      </c>
      <c r="AM81" s="43">
        <v>18.161799999999999</v>
      </c>
      <c r="AN81" s="43">
        <v>18.7652</v>
      </c>
      <c r="AO81" s="43">
        <v>19.368600000000001</v>
      </c>
      <c r="AP81" s="43">
        <v>19.972000000000001</v>
      </c>
      <c r="AQ81" s="43">
        <v>20.6328</v>
      </c>
      <c r="AR81" s="43">
        <v>21.293600000000001</v>
      </c>
      <c r="AS81" s="43">
        <v>21.9544</v>
      </c>
      <c r="AT81" s="43">
        <v>22.615200000000002</v>
      </c>
      <c r="AU81" s="43">
        <v>23.276</v>
      </c>
      <c r="AV81" s="43">
        <v>23.990200000000002</v>
      </c>
      <c r="AW81" s="43">
        <v>24.7044</v>
      </c>
      <c r="AX81" s="43">
        <v>25.418600000000001</v>
      </c>
      <c r="AY81" s="43">
        <v>26.1328</v>
      </c>
      <c r="AZ81" s="43">
        <v>26.847000000000001</v>
      </c>
      <c r="BA81" s="43">
        <v>27.573799999999999</v>
      </c>
      <c r="BB81" s="43">
        <v>28.300599999999999</v>
      </c>
      <c r="BC81" s="43"/>
      <c r="BD81" s="44">
        <f t="shared" si="1"/>
        <v>9.7866999999999997</v>
      </c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2"/>
      <c r="CC81" s="42"/>
      <c r="CD81" s="42"/>
      <c r="CE81" s="42"/>
      <c r="CF81" s="42"/>
      <c r="CG81" s="42"/>
      <c r="CH81" s="42"/>
      <c r="CI81" s="42"/>
      <c r="CJ81" s="42"/>
      <c r="CK81" s="42"/>
      <c r="CL81" s="42"/>
      <c r="CM81" s="42"/>
    </row>
    <row r="82" spans="1:91">
      <c r="A82" s="41">
        <v>124</v>
      </c>
      <c r="B82" s="41" t="s">
        <v>74</v>
      </c>
      <c r="C82" s="43">
        <v>19.327200000000001</v>
      </c>
      <c r="D82" s="43">
        <v>20.022400000000001</v>
      </c>
      <c r="E82" s="43">
        <v>20.717600000000001</v>
      </c>
      <c r="F82" s="43">
        <v>21.412800000000001</v>
      </c>
      <c r="G82" s="43">
        <v>22.108000000000001</v>
      </c>
      <c r="H82" s="43">
        <v>22.891400000000001</v>
      </c>
      <c r="I82" s="43">
        <v>23.674800000000001</v>
      </c>
      <c r="J82" s="43">
        <v>24.458200000000001</v>
      </c>
      <c r="K82" s="43">
        <v>25.241599999999998</v>
      </c>
      <c r="L82" s="43">
        <v>26.024999999999999</v>
      </c>
      <c r="M82" s="43">
        <v>26.8964</v>
      </c>
      <c r="N82" s="43">
        <v>27.767800000000001</v>
      </c>
      <c r="O82" s="43">
        <v>28.639199999999999</v>
      </c>
      <c r="P82" s="43">
        <v>29.5106</v>
      </c>
      <c r="Q82" s="43">
        <v>30.382000000000001</v>
      </c>
      <c r="R82" s="43">
        <v>31.338999999999999</v>
      </c>
      <c r="S82" s="43">
        <v>32.295999999999999</v>
      </c>
      <c r="T82" s="43">
        <v>33.253</v>
      </c>
      <c r="U82" s="43">
        <v>34.21</v>
      </c>
      <c r="V82" s="43">
        <v>35.167000000000002</v>
      </c>
      <c r="W82" s="43">
        <v>35.987000000000002</v>
      </c>
      <c r="X82" s="43">
        <v>36.807000000000002</v>
      </c>
      <c r="Y82" s="43">
        <v>37.627000000000002</v>
      </c>
      <c r="Z82" s="43">
        <v>38.447000000000003</v>
      </c>
      <c r="AA82" s="43">
        <v>39.267000000000003</v>
      </c>
      <c r="AB82" s="43">
        <v>39.6006</v>
      </c>
      <c r="AC82" s="43">
        <v>39.934199999999997</v>
      </c>
      <c r="AD82" s="43">
        <v>40.267800000000001</v>
      </c>
      <c r="AE82" s="43">
        <v>40.601399999999998</v>
      </c>
      <c r="AF82" s="43">
        <v>40.935000000000002</v>
      </c>
      <c r="AG82" s="43">
        <v>41.272799999999997</v>
      </c>
      <c r="AH82" s="43">
        <v>41.610599999999998</v>
      </c>
      <c r="AI82" s="43">
        <v>41.948399999999999</v>
      </c>
      <c r="AJ82" s="43">
        <v>42.286200000000001</v>
      </c>
      <c r="AK82" s="43">
        <v>42.624000000000002</v>
      </c>
      <c r="AL82" s="43">
        <v>42.965400000000002</v>
      </c>
      <c r="AM82" s="43">
        <v>43.306800000000003</v>
      </c>
      <c r="AN82" s="43">
        <v>43.648200000000003</v>
      </c>
      <c r="AO82" s="43">
        <v>43.989600000000003</v>
      </c>
      <c r="AP82" s="43">
        <v>44.331000000000003</v>
      </c>
      <c r="AQ82" s="43">
        <v>44.674999999999997</v>
      </c>
      <c r="AR82" s="43">
        <v>45.018999999999998</v>
      </c>
      <c r="AS82" s="43">
        <v>45.363</v>
      </c>
      <c r="AT82" s="43">
        <v>45.707000000000001</v>
      </c>
      <c r="AU82" s="43">
        <v>46.051000000000002</v>
      </c>
      <c r="AV82" s="43">
        <v>46.401000000000003</v>
      </c>
      <c r="AW82" s="43">
        <v>46.750999999999998</v>
      </c>
      <c r="AX82" s="43">
        <v>47.100999999999999</v>
      </c>
      <c r="AY82" s="43">
        <v>47.451000000000001</v>
      </c>
      <c r="AZ82" s="43">
        <v>47.801000000000002</v>
      </c>
      <c r="BA82" s="43">
        <v>48.182200000000002</v>
      </c>
      <c r="BB82" s="43">
        <v>48.563400000000001</v>
      </c>
      <c r="BC82" s="43"/>
      <c r="BD82" s="44">
        <f t="shared" si="1"/>
        <v>30.827133333333336</v>
      </c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2"/>
      <c r="CC82" s="42"/>
      <c r="CD82" s="42"/>
      <c r="CE82" s="42"/>
      <c r="CF82" s="42"/>
      <c r="CG82" s="42"/>
      <c r="CH82" s="42"/>
      <c r="CI82" s="42"/>
      <c r="CJ82" s="42"/>
      <c r="CK82" s="42"/>
      <c r="CL82" s="42"/>
      <c r="CM82" s="42"/>
    </row>
    <row r="83" spans="1:91">
      <c r="A83" s="41">
        <v>125</v>
      </c>
      <c r="B83" s="41" t="s">
        <v>73</v>
      </c>
      <c r="C83" s="43">
        <v>28.5916</v>
      </c>
      <c r="D83" s="43">
        <v>29.860199999999999</v>
      </c>
      <c r="E83" s="43">
        <v>31.128799999999998</v>
      </c>
      <c r="F83" s="43">
        <v>32.397399999999998</v>
      </c>
      <c r="G83" s="43">
        <v>33.665999999999997</v>
      </c>
      <c r="H83" s="43">
        <v>36.866999999999997</v>
      </c>
      <c r="I83" s="43">
        <v>40.067999999999998</v>
      </c>
      <c r="J83" s="43">
        <v>43.268999999999998</v>
      </c>
      <c r="K83" s="43">
        <v>46.47</v>
      </c>
      <c r="L83" s="43">
        <v>49.670999999999999</v>
      </c>
      <c r="M83" s="43">
        <v>52.293799999999997</v>
      </c>
      <c r="N83" s="43">
        <v>54.916600000000003</v>
      </c>
      <c r="O83" s="43">
        <v>57.539400000000001</v>
      </c>
      <c r="P83" s="43">
        <v>60.162199999999999</v>
      </c>
      <c r="Q83" s="43">
        <v>62.784999999999997</v>
      </c>
      <c r="R83" s="43">
        <v>64.246799999999993</v>
      </c>
      <c r="S83" s="43">
        <v>65.708600000000004</v>
      </c>
      <c r="T83" s="43">
        <v>67.170400000000001</v>
      </c>
      <c r="U83" s="43">
        <v>68.632199999999997</v>
      </c>
      <c r="V83" s="43">
        <v>70.093999999999994</v>
      </c>
      <c r="W83" s="43">
        <v>71.165199999999999</v>
      </c>
      <c r="X83" s="43">
        <v>72.236400000000003</v>
      </c>
      <c r="Y83" s="43">
        <v>73.307599999999994</v>
      </c>
      <c r="Z83" s="43">
        <v>74.378799999999998</v>
      </c>
      <c r="AA83" s="43">
        <v>75.45</v>
      </c>
      <c r="AB83" s="43">
        <v>75.504599999999996</v>
      </c>
      <c r="AC83" s="43">
        <v>75.559200000000004</v>
      </c>
      <c r="AD83" s="43">
        <v>75.613799999999998</v>
      </c>
      <c r="AE83" s="43">
        <v>75.668400000000005</v>
      </c>
      <c r="AF83" s="43">
        <v>75.722999999999999</v>
      </c>
      <c r="AG83" s="43">
        <v>75.777199999999993</v>
      </c>
      <c r="AH83" s="43">
        <v>75.831400000000002</v>
      </c>
      <c r="AI83" s="43">
        <v>75.885599999999997</v>
      </c>
      <c r="AJ83" s="43">
        <v>75.939800000000005</v>
      </c>
      <c r="AK83" s="43">
        <v>75.994</v>
      </c>
      <c r="AL83" s="43">
        <v>76.062799999999996</v>
      </c>
      <c r="AM83" s="43">
        <v>76.131600000000006</v>
      </c>
      <c r="AN83" s="43">
        <v>76.200400000000002</v>
      </c>
      <c r="AO83" s="43">
        <v>76.269199999999998</v>
      </c>
      <c r="AP83" s="43">
        <v>76.337999999999994</v>
      </c>
      <c r="AQ83" s="43">
        <v>76.443200000000004</v>
      </c>
      <c r="AR83" s="43">
        <v>76.548400000000001</v>
      </c>
      <c r="AS83" s="43">
        <v>76.653599999999997</v>
      </c>
      <c r="AT83" s="43">
        <v>76.758799999999994</v>
      </c>
      <c r="AU83" s="43">
        <v>76.864000000000004</v>
      </c>
      <c r="AV83" s="43">
        <v>77.003799999999998</v>
      </c>
      <c r="AW83" s="43">
        <v>77.143600000000006</v>
      </c>
      <c r="AX83" s="43">
        <v>77.2834</v>
      </c>
      <c r="AY83" s="43">
        <v>77.423199999999994</v>
      </c>
      <c r="AZ83" s="43">
        <v>77.563000000000002</v>
      </c>
      <c r="BA83" s="43">
        <v>77.734999999999999</v>
      </c>
      <c r="BB83" s="43">
        <v>77.906999999999996</v>
      </c>
      <c r="BC83" s="43"/>
      <c r="BD83" s="44">
        <f t="shared" si="1"/>
        <v>58.00483333333333</v>
      </c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2"/>
      <c r="CC83" s="42"/>
      <c r="CD83" s="42"/>
      <c r="CE83" s="42"/>
      <c r="CF83" s="42"/>
      <c r="CG83" s="42"/>
      <c r="CH83" s="42"/>
      <c r="CI83" s="42"/>
      <c r="CJ83" s="42"/>
      <c r="CK83" s="42"/>
      <c r="CL83" s="42"/>
      <c r="CM83" s="42"/>
    </row>
    <row r="84" spans="1:91">
      <c r="A84" s="41">
        <v>127</v>
      </c>
      <c r="B84" s="41" t="s">
        <v>72</v>
      </c>
      <c r="C84" s="43">
        <v>40.457999999999998</v>
      </c>
      <c r="D84" s="43">
        <v>41.456000000000003</v>
      </c>
      <c r="E84" s="43">
        <v>42.454000000000001</v>
      </c>
      <c r="F84" s="43">
        <v>43.451999999999998</v>
      </c>
      <c r="G84" s="43">
        <v>44.45</v>
      </c>
      <c r="H84" s="43">
        <v>45.470999999999997</v>
      </c>
      <c r="I84" s="43">
        <v>46.491999999999997</v>
      </c>
      <c r="J84" s="43">
        <v>47.512999999999998</v>
      </c>
      <c r="K84" s="43">
        <v>48.533999999999999</v>
      </c>
      <c r="L84" s="43">
        <v>49.555</v>
      </c>
      <c r="M84" s="43">
        <v>50.780999999999999</v>
      </c>
      <c r="N84" s="43">
        <v>52.006999999999998</v>
      </c>
      <c r="O84" s="43">
        <v>53.232999999999997</v>
      </c>
      <c r="P84" s="43">
        <v>54.459000000000003</v>
      </c>
      <c r="Q84" s="43">
        <v>55.685000000000002</v>
      </c>
      <c r="R84" s="43">
        <v>56.779600000000002</v>
      </c>
      <c r="S84" s="43">
        <v>57.874200000000002</v>
      </c>
      <c r="T84" s="43">
        <v>58.968800000000002</v>
      </c>
      <c r="U84" s="43">
        <v>60.063400000000001</v>
      </c>
      <c r="V84" s="43">
        <v>61.158000000000001</v>
      </c>
      <c r="W84" s="43">
        <v>61.933999999999997</v>
      </c>
      <c r="X84" s="43">
        <v>62.71</v>
      </c>
      <c r="Y84" s="43">
        <v>63.485999999999997</v>
      </c>
      <c r="Z84" s="43">
        <v>64.262</v>
      </c>
      <c r="AA84" s="43">
        <v>65.037999999999997</v>
      </c>
      <c r="AB84" s="43">
        <v>65.546999999999997</v>
      </c>
      <c r="AC84" s="43">
        <v>66.055999999999997</v>
      </c>
      <c r="AD84" s="43">
        <v>66.564999999999998</v>
      </c>
      <c r="AE84" s="43">
        <v>67.073999999999998</v>
      </c>
      <c r="AF84" s="43">
        <v>67.582999999999998</v>
      </c>
      <c r="AG84" s="43">
        <v>67.523399999999995</v>
      </c>
      <c r="AH84" s="43">
        <v>67.463800000000006</v>
      </c>
      <c r="AI84" s="43">
        <v>67.404200000000003</v>
      </c>
      <c r="AJ84" s="43">
        <v>67.3446</v>
      </c>
      <c r="AK84" s="43">
        <v>67.284999999999997</v>
      </c>
      <c r="AL84" s="43">
        <v>67.225200000000001</v>
      </c>
      <c r="AM84" s="43">
        <v>67.165400000000005</v>
      </c>
      <c r="AN84" s="43">
        <v>67.105599999999995</v>
      </c>
      <c r="AO84" s="43">
        <v>67.0458</v>
      </c>
      <c r="AP84" s="43">
        <v>66.986000000000004</v>
      </c>
      <c r="AQ84" s="43">
        <v>66.915800000000004</v>
      </c>
      <c r="AR84" s="43">
        <v>66.845600000000005</v>
      </c>
      <c r="AS84" s="43">
        <v>66.775400000000005</v>
      </c>
      <c r="AT84" s="43">
        <v>66.705200000000005</v>
      </c>
      <c r="AU84" s="43">
        <v>66.635000000000005</v>
      </c>
      <c r="AV84" s="43">
        <v>66.708200000000005</v>
      </c>
      <c r="AW84" s="43">
        <v>66.781400000000005</v>
      </c>
      <c r="AX84" s="43">
        <v>66.854600000000005</v>
      </c>
      <c r="AY84" s="43">
        <v>66.927800000000005</v>
      </c>
      <c r="AZ84" s="43">
        <v>67.001000000000005</v>
      </c>
      <c r="BA84" s="43">
        <v>67.115200000000002</v>
      </c>
      <c r="BB84" s="43">
        <v>67.229399999999998</v>
      </c>
      <c r="BC84" s="43"/>
      <c r="BD84" s="44">
        <f t="shared" si="1"/>
        <v>55.36996666666667</v>
      </c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2"/>
      <c r="CC84" s="42"/>
      <c r="CD84" s="42"/>
      <c r="CE84" s="42"/>
      <c r="CF84" s="42"/>
      <c r="CG84" s="42"/>
      <c r="CH84" s="42"/>
      <c r="CI84" s="42"/>
      <c r="CJ84" s="42"/>
      <c r="CK84" s="42"/>
      <c r="CL84" s="42"/>
      <c r="CM84" s="42"/>
    </row>
    <row r="85" spans="1:91">
      <c r="A85" s="41">
        <v>130</v>
      </c>
      <c r="B85" s="41" t="s">
        <v>71</v>
      </c>
      <c r="C85" s="43">
        <v>35.286999999999999</v>
      </c>
      <c r="D85" s="43">
        <v>36.554000000000002</v>
      </c>
      <c r="E85" s="43">
        <v>37.820999999999998</v>
      </c>
      <c r="F85" s="43">
        <v>39.088000000000001</v>
      </c>
      <c r="G85" s="43">
        <v>40.354999999999997</v>
      </c>
      <c r="H85" s="43">
        <v>41.699800000000003</v>
      </c>
      <c r="I85" s="43">
        <v>43.044600000000003</v>
      </c>
      <c r="J85" s="43">
        <v>44.389400000000002</v>
      </c>
      <c r="K85" s="43">
        <v>45.734200000000001</v>
      </c>
      <c r="L85" s="43">
        <v>47.079000000000001</v>
      </c>
      <c r="M85" s="43">
        <v>47.777000000000001</v>
      </c>
      <c r="N85" s="43">
        <v>48.475000000000001</v>
      </c>
      <c r="O85" s="43">
        <v>49.173000000000002</v>
      </c>
      <c r="P85" s="43">
        <v>49.871000000000002</v>
      </c>
      <c r="Q85" s="43">
        <v>50.569000000000003</v>
      </c>
      <c r="R85" s="43">
        <v>51.149000000000001</v>
      </c>
      <c r="S85" s="43">
        <v>51.728999999999999</v>
      </c>
      <c r="T85" s="43">
        <v>52.308999999999997</v>
      </c>
      <c r="U85" s="43">
        <v>52.889000000000003</v>
      </c>
      <c r="V85" s="43">
        <v>53.469000000000001</v>
      </c>
      <c r="W85" s="43">
        <v>53.914400000000001</v>
      </c>
      <c r="X85" s="43">
        <v>54.3598</v>
      </c>
      <c r="Y85" s="43">
        <v>54.805199999999999</v>
      </c>
      <c r="Z85" s="43">
        <v>55.250599999999999</v>
      </c>
      <c r="AA85" s="43">
        <v>55.695999999999998</v>
      </c>
      <c r="AB85" s="43">
        <v>56.114600000000003</v>
      </c>
      <c r="AC85" s="43">
        <v>56.533200000000001</v>
      </c>
      <c r="AD85" s="43">
        <v>56.951799999999999</v>
      </c>
      <c r="AE85" s="43">
        <v>57.370399999999997</v>
      </c>
      <c r="AF85" s="43">
        <v>57.789000000000001</v>
      </c>
      <c r="AG85" s="43">
        <v>58.176200000000001</v>
      </c>
      <c r="AH85" s="43">
        <v>58.563400000000001</v>
      </c>
      <c r="AI85" s="43">
        <v>58.950600000000001</v>
      </c>
      <c r="AJ85" s="43">
        <v>59.337800000000001</v>
      </c>
      <c r="AK85" s="43">
        <v>59.725000000000001</v>
      </c>
      <c r="AL85" s="43">
        <v>59.652200000000001</v>
      </c>
      <c r="AM85" s="43">
        <v>59.5794</v>
      </c>
      <c r="AN85" s="43">
        <v>59.506599999999999</v>
      </c>
      <c r="AO85" s="43">
        <v>59.433799999999998</v>
      </c>
      <c r="AP85" s="43">
        <v>59.360999999999997</v>
      </c>
      <c r="AQ85" s="43">
        <v>59.299799999999998</v>
      </c>
      <c r="AR85" s="43">
        <v>59.238599999999998</v>
      </c>
      <c r="AS85" s="43">
        <v>59.177399999999999</v>
      </c>
      <c r="AT85" s="43">
        <v>59.116199999999999</v>
      </c>
      <c r="AU85" s="43">
        <v>59.055</v>
      </c>
      <c r="AV85" s="43">
        <v>59.081800000000001</v>
      </c>
      <c r="AW85" s="43">
        <v>59.108600000000003</v>
      </c>
      <c r="AX85" s="43">
        <v>59.135399999999997</v>
      </c>
      <c r="AY85" s="43">
        <v>59.162199999999999</v>
      </c>
      <c r="AZ85" s="43">
        <v>59.189</v>
      </c>
      <c r="BA85" s="43">
        <v>59.315600000000003</v>
      </c>
      <c r="BB85" s="43">
        <v>59.4422</v>
      </c>
      <c r="BD85" s="44">
        <f t="shared" si="1"/>
        <v>49.241566666666678</v>
      </c>
    </row>
    <row r="86" spans="1:91">
      <c r="A86" s="41">
        <v>131</v>
      </c>
      <c r="B86" s="41" t="s">
        <v>70</v>
      </c>
      <c r="C86" s="43">
        <v>10.9894</v>
      </c>
      <c r="D86" s="43">
        <v>11.3368</v>
      </c>
      <c r="E86" s="43">
        <v>11.684200000000001</v>
      </c>
      <c r="F86" s="43">
        <v>12.031599999999999</v>
      </c>
      <c r="G86" s="43">
        <v>12.379</v>
      </c>
      <c r="H86" s="43">
        <v>12.7232</v>
      </c>
      <c r="I86" s="43">
        <v>13.067399999999999</v>
      </c>
      <c r="J86" s="43">
        <v>13.4116</v>
      </c>
      <c r="K86" s="43">
        <v>13.755800000000001</v>
      </c>
      <c r="L86" s="43">
        <v>14.1</v>
      </c>
      <c r="M86" s="43">
        <v>14.546799999999999</v>
      </c>
      <c r="N86" s="43">
        <v>14.993600000000001</v>
      </c>
      <c r="O86" s="43">
        <v>15.4404</v>
      </c>
      <c r="P86" s="43">
        <v>15.8872</v>
      </c>
      <c r="Q86" s="43">
        <v>16.334</v>
      </c>
      <c r="R86" s="43">
        <v>16.771999999999998</v>
      </c>
      <c r="S86" s="43">
        <v>17.21</v>
      </c>
      <c r="T86" s="43">
        <v>17.648</v>
      </c>
      <c r="U86" s="43">
        <v>18.085999999999999</v>
      </c>
      <c r="V86" s="43">
        <v>18.524000000000001</v>
      </c>
      <c r="W86" s="43">
        <v>19.005800000000001</v>
      </c>
      <c r="X86" s="43">
        <v>19.4876</v>
      </c>
      <c r="Y86" s="43">
        <v>19.9694</v>
      </c>
      <c r="Z86" s="43">
        <v>20.4512</v>
      </c>
      <c r="AA86" s="43">
        <v>20.933</v>
      </c>
      <c r="AB86" s="43">
        <v>21.459599999999998</v>
      </c>
      <c r="AC86" s="43">
        <v>21.9862</v>
      </c>
      <c r="AD86" s="43">
        <v>22.512799999999999</v>
      </c>
      <c r="AE86" s="43">
        <v>23.039400000000001</v>
      </c>
      <c r="AF86" s="43">
        <v>23.565999999999999</v>
      </c>
      <c r="AG86" s="43">
        <v>24.012</v>
      </c>
      <c r="AH86" s="43">
        <v>24.457999999999998</v>
      </c>
      <c r="AI86" s="43">
        <v>24.904</v>
      </c>
      <c r="AJ86" s="43">
        <v>25.35</v>
      </c>
      <c r="AK86" s="43">
        <v>25.795999999999999</v>
      </c>
      <c r="AL86" s="43">
        <v>26.061</v>
      </c>
      <c r="AM86" s="43">
        <v>26.326000000000001</v>
      </c>
      <c r="AN86" s="43">
        <v>26.591000000000001</v>
      </c>
      <c r="AO86" s="43">
        <v>26.856000000000002</v>
      </c>
      <c r="AP86" s="43">
        <v>27.120999999999999</v>
      </c>
      <c r="AQ86" s="43">
        <v>27.459599999999998</v>
      </c>
      <c r="AR86" s="43">
        <v>27.798200000000001</v>
      </c>
      <c r="AS86" s="43">
        <v>28.136800000000001</v>
      </c>
      <c r="AT86" s="43">
        <v>28.4754</v>
      </c>
      <c r="AU86" s="43">
        <v>28.814</v>
      </c>
      <c r="AV86" s="43">
        <v>29.437200000000001</v>
      </c>
      <c r="AW86" s="43">
        <v>30.060400000000001</v>
      </c>
      <c r="AX86" s="43">
        <v>30.683599999999998</v>
      </c>
      <c r="AY86" s="43">
        <v>31.306799999999999</v>
      </c>
      <c r="AZ86" s="43">
        <v>31.93</v>
      </c>
      <c r="BA86" s="43">
        <v>32.568399999999997</v>
      </c>
      <c r="BB86" s="43">
        <v>33.206800000000001</v>
      </c>
      <c r="BC86" s="43"/>
      <c r="BD86" s="44">
        <f t="shared" si="1"/>
        <v>16.777733333333334</v>
      </c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2"/>
      <c r="CC86" s="42"/>
      <c r="CD86" s="42"/>
      <c r="CE86" s="42"/>
      <c r="CF86" s="42"/>
      <c r="CG86" s="42"/>
      <c r="CH86" s="42"/>
      <c r="CI86" s="42"/>
      <c r="CJ86" s="42"/>
      <c r="CK86" s="42"/>
      <c r="CL86" s="42"/>
      <c r="CM86" s="42"/>
    </row>
    <row r="87" spans="1:91">
      <c r="A87" s="41">
        <v>132</v>
      </c>
      <c r="B87" s="41" t="s">
        <v>69</v>
      </c>
      <c r="C87" s="43">
        <v>4.4935999999999998</v>
      </c>
      <c r="D87" s="43">
        <v>4.5972</v>
      </c>
      <c r="E87" s="43">
        <v>4.7008000000000001</v>
      </c>
      <c r="F87" s="43">
        <v>4.8044000000000002</v>
      </c>
      <c r="G87" s="43">
        <v>4.9080000000000004</v>
      </c>
      <c r="H87" s="43">
        <v>5.1369999999999996</v>
      </c>
      <c r="I87" s="43">
        <v>5.3659999999999997</v>
      </c>
      <c r="J87" s="43">
        <v>5.5949999999999998</v>
      </c>
      <c r="K87" s="43">
        <v>5.8239999999999998</v>
      </c>
      <c r="L87" s="43">
        <v>6.0529999999999999</v>
      </c>
      <c r="M87" s="43">
        <v>6.3727999999999998</v>
      </c>
      <c r="N87" s="43">
        <v>6.6925999999999997</v>
      </c>
      <c r="O87" s="43">
        <v>7.0124000000000004</v>
      </c>
      <c r="P87" s="43">
        <v>7.3322000000000003</v>
      </c>
      <c r="Q87" s="43">
        <v>7.6520000000000001</v>
      </c>
      <c r="R87" s="43">
        <v>7.9316000000000004</v>
      </c>
      <c r="S87" s="43">
        <v>8.2111999999999998</v>
      </c>
      <c r="T87" s="43">
        <v>8.4908000000000001</v>
      </c>
      <c r="U87" s="43">
        <v>8.7704000000000004</v>
      </c>
      <c r="V87" s="43">
        <v>9.0500000000000007</v>
      </c>
      <c r="W87" s="43">
        <v>9.2726000000000006</v>
      </c>
      <c r="X87" s="43">
        <v>9.4952000000000005</v>
      </c>
      <c r="Y87" s="43">
        <v>9.7178000000000004</v>
      </c>
      <c r="Z87" s="43">
        <v>9.9404000000000003</v>
      </c>
      <c r="AA87" s="43">
        <v>10.163</v>
      </c>
      <c r="AB87" s="43">
        <v>10.442399999999999</v>
      </c>
      <c r="AC87" s="43">
        <v>10.7218</v>
      </c>
      <c r="AD87" s="43">
        <v>11.001200000000001</v>
      </c>
      <c r="AE87" s="43">
        <v>11.2806</v>
      </c>
      <c r="AF87" s="43">
        <v>11.56</v>
      </c>
      <c r="AG87" s="43">
        <v>11.900600000000001</v>
      </c>
      <c r="AH87" s="43">
        <v>12.241199999999999</v>
      </c>
      <c r="AI87" s="43">
        <v>12.581799999999999</v>
      </c>
      <c r="AJ87" s="43">
        <v>12.9224</v>
      </c>
      <c r="AK87" s="43">
        <v>13.263</v>
      </c>
      <c r="AL87" s="43">
        <v>13.532400000000001</v>
      </c>
      <c r="AM87" s="43">
        <v>13.8018</v>
      </c>
      <c r="AN87" s="43">
        <v>14.071199999999999</v>
      </c>
      <c r="AO87" s="43">
        <v>14.3406</v>
      </c>
      <c r="AP87" s="43">
        <v>14.61</v>
      </c>
      <c r="AQ87" s="43">
        <v>14.6988</v>
      </c>
      <c r="AR87" s="43">
        <v>14.787599999999999</v>
      </c>
      <c r="AS87" s="43">
        <v>14.8764</v>
      </c>
      <c r="AT87" s="43">
        <v>14.965199999999999</v>
      </c>
      <c r="AU87" s="43">
        <v>15.054</v>
      </c>
      <c r="AV87" s="43">
        <v>15.1518</v>
      </c>
      <c r="AW87" s="43">
        <v>15.249599999999999</v>
      </c>
      <c r="AX87" s="43">
        <v>15.3474</v>
      </c>
      <c r="AY87" s="43">
        <v>15.4452</v>
      </c>
      <c r="AZ87" s="43">
        <v>15.542999999999999</v>
      </c>
      <c r="BA87" s="43">
        <v>15.695600000000001</v>
      </c>
      <c r="BB87" s="43">
        <v>15.8482</v>
      </c>
      <c r="BC87" s="43"/>
      <c r="BD87" s="44">
        <f t="shared" si="1"/>
        <v>7.7530000000000019</v>
      </c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2"/>
      <c r="CC87" s="42"/>
      <c r="CD87" s="42"/>
      <c r="CE87" s="42"/>
      <c r="CF87" s="42"/>
      <c r="CG87" s="42"/>
      <c r="CH87" s="42"/>
      <c r="CI87" s="42"/>
      <c r="CJ87" s="42"/>
      <c r="CK87" s="42"/>
      <c r="CL87" s="42"/>
      <c r="CM87" s="42"/>
    </row>
    <row r="88" spans="1:91">
      <c r="A88" s="41">
        <v>133</v>
      </c>
      <c r="B88" s="41" t="s">
        <v>68</v>
      </c>
      <c r="C88" s="43">
        <v>27.260999999999999</v>
      </c>
      <c r="D88" s="43">
        <v>27.923999999999999</v>
      </c>
      <c r="E88" s="43">
        <v>28.587</v>
      </c>
      <c r="F88" s="43">
        <v>29.25</v>
      </c>
      <c r="G88" s="43">
        <v>29.913</v>
      </c>
      <c r="H88" s="43">
        <v>30.621200000000002</v>
      </c>
      <c r="I88" s="43">
        <v>31.3294</v>
      </c>
      <c r="J88" s="43">
        <v>32.037599999999998</v>
      </c>
      <c r="K88" s="43">
        <v>32.745800000000003</v>
      </c>
      <c r="L88" s="43">
        <v>33.454000000000001</v>
      </c>
      <c r="M88" s="43">
        <v>34.293599999999998</v>
      </c>
      <c r="N88" s="43">
        <v>35.133200000000002</v>
      </c>
      <c r="O88" s="43">
        <v>35.972799999999999</v>
      </c>
      <c r="P88" s="43">
        <v>36.812399999999997</v>
      </c>
      <c r="Q88" s="43">
        <v>37.652000000000001</v>
      </c>
      <c r="R88" s="43">
        <v>38.5304</v>
      </c>
      <c r="S88" s="43">
        <v>39.408799999999999</v>
      </c>
      <c r="T88" s="43">
        <v>40.287199999999999</v>
      </c>
      <c r="U88" s="43">
        <v>41.165599999999998</v>
      </c>
      <c r="V88" s="43">
        <v>42.043999999999997</v>
      </c>
      <c r="W88" s="43">
        <v>42.813800000000001</v>
      </c>
      <c r="X88" s="43">
        <v>43.583599999999997</v>
      </c>
      <c r="Y88" s="43">
        <v>44.353400000000001</v>
      </c>
      <c r="Z88" s="43">
        <v>45.123199999999997</v>
      </c>
      <c r="AA88" s="43">
        <v>45.893000000000001</v>
      </c>
      <c r="AB88" s="43">
        <v>46.673200000000001</v>
      </c>
      <c r="AC88" s="43">
        <v>47.453400000000002</v>
      </c>
      <c r="AD88" s="43">
        <v>48.233600000000003</v>
      </c>
      <c r="AE88" s="43">
        <v>49.013800000000003</v>
      </c>
      <c r="AF88" s="43">
        <v>49.793999999999997</v>
      </c>
      <c r="AG88" s="43">
        <v>50.972799999999999</v>
      </c>
      <c r="AH88" s="43">
        <v>52.151600000000002</v>
      </c>
      <c r="AI88" s="43">
        <v>53.330399999999997</v>
      </c>
      <c r="AJ88" s="43">
        <v>54.5092</v>
      </c>
      <c r="AK88" s="43">
        <v>55.688000000000002</v>
      </c>
      <c r="AL88" s="43">
        <v>56.945799999999998</v>
      </c>
      <c r="AM88" s="43">
        <v>58.203600000000002</v>
      </c>
      <c r="AN88" s="43">
        <v>59.461399999999998</v>
      </c>
      <c r="AO88" s="43">
        <v>60.719200000000001</v>
      </c>
      <c r="AP88" s="43">
        <v>61.976999999999997</v>
      </c>
      <c r="AQ88" s="43">
        <v>63.096600000000002</v>
      </c>
      <c r="AR88" s="43">
        <v>64.216200000000001</v>
      </c>
      <c r="AS88" s="43">
        <v>65.335800000000006</v>
      </c>
      <c r="AT88" s="43">
        <v>66.455399999999997</v>
      </c>
      <c r="AU88" s="43">
        <v>67.575000000000003</v>
      </c>
      <c r="AV88" s="43">
        <v>68.461200000000005</v>
      </c>
      <c r="AW88" s="43">
        <v>69.347399999999993</v>
      </c>
      <c r="AX88" s="43">
        <v>70.233599999999996</v>
      </c>
      <c r="AY88" s="43">
        <v>71.119799999999998</v>
      </c>
      <c r="AZ88" s="43">
        <v>72.006</v>
      </c>
      <c r="BA88" s="43">
        <v>72.683999999999997</v>
      </c>
      <c r="BB88" s="43">
        <v>73.361999999999995</v>
      </c>
      <c r="BC88" s="43"/>
      <c r="BD88" s="44">
        <f t="shared" si="1"/>
        <v>38.245266666666673</v>
      </c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2"/>
      <c r="CC88" s="42"/>
      <c r="CD88" s="42"/>
      <c r="CE88" s="42"/>
      <c r="CF88" s="42"/>
      <c r="CG88" s="42"/>
      <c r="CH88" s="42"/>
      <c r="CI88" s="42"/>
      <c r="CJ88" s="42"/>
      <c r="CK88" s="42"/>
      <c r="CL88" s="42"/>
      <c r="CM88" s="42"/>
    </row>
    <row r="89" spans="1:91">
      <c r="A89" s="41">
        <v>135</v>
      </c>
      <c r="B89" s="41" t="s">
        <v>67</v>
      </c>
      <c r="C89" s="43">
        <v>11.3744</v>
      </c>
      <c r="D89" s="43">
        <v>11.6828</v>
      </c>
      <c r="E89" s="43">
        <v>11.991199999999999</v>
      </c>
      <c r="F89" s="43">
        <v>12.2996</v>
      </c>
      <c r="G89" s="43">
        <v>12.608000000000001</v>
      </c>
      <c r="H89" s="43">
        <v>12.952400000000001</v>
      </c>
      <c r="I89" s="43">
        <v>13.296799999999999</v>
      </c>
      <c r="J89" s="43">
        <v>13.6412</v>
      </c>
      <c r="K89" s="43">
        <v>13.9856</v>
      </c>
      <c r="L89" s="43">
        <v>14.33</v>
      </c>
      <c r="M89" s="43">
        <v>14.7128</v>
      </c>
      <c r="N89" s="43">
        <v>15.095599999999999</v>
      </c>
      <c r="O89" s="43">
        <v>15.478400000000001</v>
      </c>
      <c r="P89" s="43">
        <v>15.8612</v>
      </c>
      <c r="Q89" s="43">
        <v>16.244</v>
      </c>
      <c r="R89" s="43">
        <v>16.692</v>
      </c>
      <c r="S89" s="43">
        <v>17.14</v>
      </c>
      <c r="T89" s="43">
        <v>17.588000000000001</v>
      </c>
      <c r="U89" s="43">
        <v>18.036000000000001</v>
      </c>
      <c r="V89" s="43">
        <v>18.484000000000002</v>
      </c>
      <c r="W89" s="43">
        <v>18.989799999999999</v>
      </c>
      <c r="X89" s="43">
        <v>19.4956</v>
      </c>
      <c r="Y89" s="43">
        <v>20.0014</v>
      </c>
      <c r="Z89" s="43">
        <v>20.507200000000001</v>
      </c>
      <c r="AA89" s="43">
        <v>21.013000000000002</v>
      </c>
      <c r="AB89" s="43">
        <v>21.474799999999998</v>
      </c>
      <c r="AC89" s="43">
        <v>21.936599999999999</v>
      </c>
      <c r="AD89" s="43">
        <v>22.398399999999999</v>
      </c>
      <c r="AE89" s="43">
        <v>22.860199999999999</v>
      </c>
      <c r="AF89" s="43">
        <v>23.321999999999999</v>
      </c>
      <c r="AG89" s="43">
        <v>23.761399999999998</v>
      </c>
      <c r="AH89" s="43">
        <v>24.200800000000001</v>
      </c>
      <c r="AI89" s="43">
        <v>24.6402</v>
      </c>
      <c r="AJ89" s="43">
        <v>25.079599999999999</v>
      </c>
      <c r="AK89" s="43">
        <v>25.518999999999998</v>
      </c>
      <c r="AL89" s="43">
        <v>26.030799999999999</v>
      </c>
      <c r="AM89" s="43">
        <v>26.5426</v>
      </c>
      <c r="AN89" s="43">
        <v>27.054400000000001</v>
      </c>
      <c r="AO89" s="43">
        <v>27.566199999999998</v>
      </c>
      <c r="AP89" s="43">
        <v>28.077999999999999</v>
      </c>
      <c r="AQ89" s="43">
        <v>28.6812</v>
      </c>
      <c r="AR89" s="43">
        <v>29.284400000000002</v>
      </c>
      <c r="AS89" s="43">
        <v>29.887599999999999</v>
      </c>
      <c r="AT89" s="43">
        <v>30.4908</v>
      </c>
      <c r="AU89" s="43">
        <v>31.094000000000001</v>
      </c>
      <c r="AV89" s="43">
        <v>31.730599999999999</v>
      </c>
      <c r="AW89" s="43">
        <v>32.367199999999997</v>
      </c>
      <c r="AX89" s="43">
        <v>33.003799999999998</v>
      </c>
      <c r="AY89" s="43">
        <v>33.6404</v>
      </c>
      <c r="AZ89" s="43">
        <v>34.277000000000001</v>
      </c>
      <c r="BA89" s="43">
        <v>34.925800000000002</v>
      </c>
      <c r="BB89" s="43">
        <v>35.574599999999997</v>
      </c>
      <c r="BC89" s="43"/>
      <c r="BD89" s="44">
        <f t="shared" si="1"/>
        <v>16.849766666666667</v>
      </c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2"/>
      <c r="CC89" s="42"/>
      <c r="CD89" s="42"/>
      <c r="CE89" s="42"/>
      <c r="CF89" s="42"/>
      <c r="CG89" s="42"/>
      <c r="CH89" s="42"/>
      <c r="CI89" s="42"/>
      <c r="CJ89" s="42"/>
      <c r="CK89" s="42"/>
      <c r="CL89" s="42"/>
      <c r="CM89" s="42"/>
    </row>
    <row r="90" spans="1:91">
      <c r="A90" s="41">
        <v>139</v>
      </c>
      <c r="B90" s="41" t="s">
        <v>66</v>
      </c>
      <c r="C90" s="43">
        <v>7.5220000000000002</v>
      </c>
      <c r="D90" s="43">
        <v>8.1639999999999997</v>
      </c>
      <c r="E90" s="43">
        <v>8.8059999999999992</v>
      </c>
      <c r="F90" s="43">
        <v>9.4480000000000004</v>
      </c>
      <c r="G90" s="43">
        <v>10.09</v>
      </c>
      <c r="H90" s="43">
        <v>10.9848</v>
      </c>
      <c r="I90" s="43">
        <v>11.8796</v>
      </c>
      <c r="J90" s="43">
        <v>12.7744</v>
      </c>
      <c r="K90" s="43">
        <v>13.6692</v>
      </c>
      <c r="L90" s="43">
        <v>14.564</v>
      </c>
      <c r="M90" s="43">
        <v>15.765000000000001</v>
      </c>
      <c r="N90" s="43">
        <v>16.966000000000001</v>
      </c>
      <c r="O90" s="43">
        <v>18.167000000000002</v>
      </c>
      <c r="P90" s="43">
        <v>19.367999999999999</v>
      </c>
      <c r="Q90" s="43">
        <v>20.568999999999999</v>
      </c>
      <c r="R90" s="43">
        <v>21.929400000000001</v>
      </c>
      <c r="S90" s="43">
        <v>23.2898</v>
      </c>
      <c r="T90" s="43">
        <v>24.650200000000002</v>
      </c>
      <c r="U90" s="43">
        <v>26.0106</v>
      </c>
      <c r="V90" s="43">
        <v>27.370999999999999</v>
      </c>
      <c r="W90" s="43">
        <v>28.895600000000002</v>
      </c>
      <c r="X90" s="43">
        <v>30.420200000000001</v>
      </c>
      <c r="Y90" s="43">
        <v>31.944800000000001</v>
      </c>
      <c r="Z90" s="43">
        <v>33.4694</v>
      </c>
      <c r="AA90" s="43">
        <v>34.994</v>
      </c>
      <c r="AB90" s="43">
        <v>35.929400000000001</v>
      </c>
      <c r="AC90" s="43">
        <v>36.864800000000002</v>
      </c>
      <c r="AD90" s="43">
        <v>37.800199999999997</v>
      </c>
      <c r="AE90" s="43">
        <v>38.735599999999998</v>
      </c>
      <c r="AF90" s="43">
        <v>39.670999999999999</v>
      </c>
      <c r="AG90" s="43">
        <v>39.702800000000003</v>
      </c>
      <c r="AH90" s="43">
        <v>39.7346</v>
      </c>
      <c r="AI90" s="43">
        <v>39.766399999999997</v>
      </c>
      <c r="AJ90" s="43">
        <v>39.798200000000001</v>
      </c>
      <c r="AK90" s="43">
        <v>39.83</v>
      </c>
      <c r="AL90" s="43">
        <v>39.861800000000002</v>
      </c>
      <c r="AM90" s="43">
        <v>39.893599999999999</v>
      </c>
      <c r="AN90" s="43">
        <v>39.925400000000003</v>
      </c>
      <c r="AO90" s="43">
        <v>39.9572</v>
      </c>
      <c r="AP90" s="43">
        <v>39.988999999999997</v>
      </c>
      <c r="AQ90" s="43">
        <v>40.061799999999998</v>
      </c>
      <c r="AR90" s="43">
        <v>40.134599999999999</v>
      </c>
      <c r="AS90" s="43">
        <v>40.2074</v>
      </c>
      <c r="AT90" s="43">
        <v>40.280200000000001</v>
      </c>
      <c r="AU90" s="43">
        <v>40.353000000000002</v>
      </c>
      <c r="AV90" s="43">
        <v>40.528399999999998</v>
      </c>
      <c r="AW90" s="43">
        <v>40.703800000000001</v>
      </c>
      <c r="AX90" s="43">
        <v>40.879199999999997</v>
      </c>
      <c r="AY90" s="43">
        <v>41.054600000000001</v>
      </c>
      <c r="AZ90" s="43">
        <v>41.23</v>
      </c>
      <c r="BA90" s="43">
        <v>41.51</v>
      </c>
      <c r="BB90" s="43">
        <v>41.79</v>
      </c>
      <c r="BC90" s="43"/>
      <c r="BD90" s="44">
        <f t="shared" si="1"/>
        <v>22.357100000000003</v>
      </c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2"/>
      <c r="CC90" s="42"/>
      <c r="CD90" s="42"/>
      <c r="CE90" s="42"/>
      <c r="CF90" s="42"/>
      <c r="CG90" s="42"/>
      <c r="CH90" s="42"/>
      <c r="CI90" s="42"/>
      <c r="CJ90" s="42"/>
      <c r="CK90" s="42"/>
      <c r="CL90" s="42"/>
      <c r="CM90" s="42"/>
    </row>
    <row r="91" spans="1:91">
      <c r="A91" s="41">
        <v>140</v>
      </c>
      <c r="B91" s="41" t="s">
        <v>65</v>
      </c>
      <c r="C91" s="43">
        <v>33.941400000000002</v>
      </c>
      <c r="D91" s="43">
        <v>34.705800000000004</v>
      </c>
      <c r="E91" s="43">
        <v>35.470199999999998</v>
      </c>
      <c r="F91" s="43">
        <v>36.2346</v>
      </c>
      <c r="G91" s="43">
        <v>36.999000000000002</v>
      </c>
      <c r="H91" s="43">
        <v>38.005600000000001</v>
      </c>
      <c r="I91" s="43">
        <v>39.0122</v>
      </c>
      <c r="J91" s="43">
        <v>40.018799999999999</v>
      </c>
      <c r="K91" s="43">
        <v>41.025399999999998</v>
      </c>
      <c r="L91" s="43">
        <v>42.031999999999996</v>
      </c>
      <c r="M91" s="43">
        <v>42.3142</v>
      </c>
      <c r="N91" s="43">
        <v>42.596400000000003</v>
      </c>
      <c r="O91" s="43">
        <v>42.878599999999999</v>
      </c>
      <c r="P91" s="43">
        <v>43.160800000000002</v>
      </c>
      <c r="Q91" s="43">
        <v>43.442999999999998</v>
      </c>
      <c r="R91" s="43">
        <v>43.224600000000002</v>
      </c>
      <c r="S91" s="43">
        <v>43.0062</v>
      </c>
      <c r="T91" s="43">
        <v>42.787799999999997</v>
      </c>
      <c r="U91" s="43">
        <v>42.569400000000002</v>
      </c>
      <c r="V91" s="43">
        <v>42.350999999999999</v>
      </c>
      <c r="W91" s="43">
        <v>42.345799999999997</v>
      </c>
      <c r="X91" s="43">
        <v>42.340600000000002</v>
      </c>
      <c r="Y91" s="43">
        <v>42.3354</v>
      </c>
      <c r="Z91" s="43">
        <v>42.330199999999998</v>
      </c>
      <c r="AA91" s="43">
        <v>42.325000000000003</v>
      </c>
      <c r="AB91" s="43">
        <v>42.64</v>
      </c>
      <c r="AC91" s="43">
        <v>42.954999999999998</v>
      </c>
      <c r="AD91" s="43">
        <v>43.27</v>
      </c>
      <c r="AE91" s="43">
        <v>43.585000000000001</v>
      </c>
      <c r="AF91" s="43">
        <v>43.9</v>
      </c>
      <c r="AG91" s="43">
        <v>43.776800000000001</v>
      </c>
      <c r="AH91" s="43">
        <v>43.653599999999997</v>
      </c>
      <c r="AI91" s="43">
        <v>43.5304</v>
      </c>
      <c r="AJ91" s="43">
        <v>43.407200000000003</v>
      </c>
      <c r="AK91" s="43">
        <v>43.283999999999999</v>
      </c>
      <c r="AL91" s="43">
        <v>43.161200000000001</v>
      </c>
      <c r="AM91" s="43">
        <v>43.038400000000003</v>
      </c>
      <c r="AN91" s="43">
        <v>42.915599999999998</v>
      </c>
      <c r="AO91" s="43">
        <v>42.7928</v>
      </c>
      <c r="AP91" s="43">
        <v>42.67</v>
      </c>
      <c r="AQ91" s="43">
        <v>42.572000000000003</v>
      </c>
      <c r="AR91" s="43">
        <v>42.473999999999997</v>
      </c>
      <c r="AS91" s="43">
        <v>42.375999999999998</v>
      </c>
      <c r="AT91" s="43">
        <v>42.277999999999999</v>
      </c>
      <c r="AU91" s="43">
        <v>42.18</v>
      </c>
      <c r="AV91" s="43">
        <v>42.099800000000002</v>
      </c>
      <c r="AW91" s="43">
        <v>42.019599999999997</v>
      </c>
      <c r="AX91" s="43">
        <v>41.939399999999999</v>
      </c>
      <c r="AY91" s="43">
        <v>41.859200000000001</v>
      </c>
      <c r="AZ91" s="43">
        <v>41.779000000000003</v>
      </c>
      <c r="BA91" s="43">
        <v>41.797400000000003</v>
      </c>
      <c r="BB91" s="43">
        <v>41.815800000000003</v>
      </c>
      <c r="BC91" s="43"/>
      <c r="BD91" s="44">
        <f t="shared" si="1"/>
        <v>41.126800000000003</v>
      </c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2"/>
      <c r="CC91" s="42"/>
      <c r="CD91" s="42"/>
      <c r="CE91" s="42"/>
      <c r="CF91" s="42"/>
      <c r="CG91" s="42"/>
      <c r="CH91" s="42"/>
      <c r="CI91" s="42"/>
      <c r="CJ91" s="42"/>
      <c r="CK91" s="42"/>
      <c r="CL91" s="42"/>
      <c r="CM91" s="42"/>
    </row>
    <row r="92" spans="1:91">
      <c r="A92" s="41">
        <v>142</v>
      </c>
      <c r="B92" s="41" t="s">
        <v>64</v>
      </c>
      <c r="C92" s="43">
        <v>51.5886</v>
      </c>
      <c r="D92" s="43">
        <v>52.424199999999999</v>
      </c>
      <c r="E92" s="43">
        <v>53.259799999999998</v>
      </c>
      <c r="F92" s="43">
        <v>54.095399999999998</v>
      </c>
      <c r="G92" s="43">
        <v>54.930999999999997</v>
      </c>
      <c r="H92" s="43">
        <v>55.749000000000002</v>
      </c>
      <c r="I92" s="43">
        <v>56.567</v>
      </c>
      <c r="J92" s="43">
        <v>57.384999999999998</v>
      </c>
      <c r="K92" s="43">
        <v>58.203000000000003</v>
      </c>
      <c r="L92" s="43">
        <v>59.021000000000001</v>
      </c>
      <c r="M92" s="43">
        <v>59.768599999999999</v>
      </c>
      <c r="N92" s="43">
        <v>60.516199999999998</v>
      </c>
      <c r="O92" s="43">
        <v>61.263800000000003</v>
      </c>
      <c r="P92" s="43">
        <v>62.011400000000002</v>
      </c>
      <c r="Q92" s="43">
        <v>62.759</v>
      </c>
      <c r="R92" s="43">
        <v>63.475000000000001</v>
      </c>
      <c r="S92" s="43">
        <v>64.191000000000003</v>
      </c>
      <c r="T92" s="43">
        <v>64.906999999999996</v>
      </c>
      <c r="U92" s="43">
        <v>65.623000000000005</v>
      </c>
      <c r="V92" s="43">
        <v>66.338999999999999</v>
      </c>
      <c r="W92" s="43">
        <v>66.861199999999997</v>
      </c>
      <c r="X92" s="43">
        <v>67.383399999999995</v>
      </c>
      <c r="Y92" s="43">
        <v>67.905600000000007</v>
      </c>
      <c r="Z92" s="43">
        <v>68.427800000000005</v>
      </c>
      <c r="AA92" s="43">
        <v>68.95</v>
      </c>
      <c r="AB92" s="43">
        <v>69.443799999999996</v>
      </c>
      <c r="AC92" s="43">
        <v>69.937600000000003</v>
      </c>
      <c r="AD92" s="43">
        <v>70.431399999999996</v>
      </c>
      <c r="AE92" s="43">
        <v>70.925200000000004</v>
      </c>
      <c r="AF92" s="43">
        <v>71.418999999999997</v>
      </c>
      <c r="AG92" s="43">
        <v>71.808800000000005</v>
      </c>
      <c r="AH92" s="43">
        <v>72.198599999999999</v>
      </c>
      <c r="AI92" s="43">
        <v>72.588399999999993</v>
      </c>
      <c r="AJ92" s="43">
        <v>72.978200000000001</v>
      </c>
      <c r="AK92" s="43">
        <v>73.367999999999995</v>
      </c>
      <c r="AL92" s="43">
        <v>73.638800000000003</v>
      </c>
      <c r="AM92" s="43">
        <v>73.909599999999998</v>
      </c>
      <c r="AN92" s="43">
        <v>74.180400000000006</v>
      </c>
      <c r="AO92" s="43">
        <v>74.4512</v>
      </c>
      <c r="AP92" s="43">
        <v>74.721999999999994</v>
      </c>
      <c r="AQ92" s="43">
        <v>75.039199999999994</v>
      </c>
      <c r="AR92" s="43">
        <v>75.356399999999994</v>
      </c>
      <c r="AS92" s="43">
        <v>75.673599999999993</v>
      </c>
      <c r="AT92" s="43">
        <v>75.990799999999993</v>
      </c>
      <c r="AU92" s="43">
        <v>76.308000000000007</v>
      </c>
      <c r="AV92" s="43">
        <v>76.611400000000003</v>
      </c>
      <c r="AW92" s="43">
        <v>76.9148</v>
      </c>
      <c r="AX92" s="43">
        <v>77.218199999999996</v>
      </c>
      <c r="AY92" s="43">
        <v>77.521600000000007</v>
      </c>
      <c r="AZ92" s="43">
        <v>77.825000000000003</v>
      </c>
      <c r="BA92" s="43">
        <v>78.105800000000002</v>
      </c>
      <c r="BB92" s="43">
        <v>78.386600000000001</v>
      </c>
      <c r="BC92" s="43"/>
      <c r="BD92" s="44">
        <f t="shared" si="1"/>
        <v>62.525433333333332</v>
      </c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2"/>
      <c r="CC92" s="42"/>
      <c r="CD92" s="42"/>
      <c r="CE92" s="42"/>
      <c r="CF92" s="42"/>
      <c r="CG92" s="42"/>
      <c r="CH92" s="42"/>
      <c r="CI92" s="42"/>
      <c r="CJ92" s="42"/>
      <c r="CK92" s="42"/>
      <c r="CL92" s="42"/>
      <c r="CM92" s="42"/>
    </row>
    <row r="93" spans="1:91">
      <c r="A93" s="41">
        <v>144</v>
      </c>
      <c r="B93" s="41" t="s">
        <v>63</v>
      </c>
      <c r="C93" s="43">
        <v>24.252400000000002</v>
      </c>
      <c r="D93" s="43">
        <v>25.0808</v>
      </c>
      <c r="E93" s="43">
        <v>25.909199999999998</v>
      </c>
      <c r="F93" s="43">
        <v>26.7376</v>
      </c>
      <c r="G93" s="43">
        <v>27.565999999999999</v>
      </c>
      <c r="H93" s="43">
        <v>28.4664</v>
      </c>
      <c r="I93" s="43">
        <v>29.366800000000001</v>
      </c>
      <c r="J93" s="43">
        <v>30.267199999999999</v>
      </c>
      <c r="K93" s="43">
        <v>31.1676</v>
      </c>
      <c r="L93" s="43">
        <v>32.067999999999998</v>
      </c>
      <c r="M93" s="43">
        <v>32.898800000000001</v>
      </c>
      <c r="N93" s="43">
        <v>33.729599999999998</v>
      </c>
      <c r="O93" s="43">
        <v>34.560400000000001</v>
      </c>
      <c r="P93" s="43">
        <v>35.391199999999998</v>
      </c>
      <c r="Q93" s="43">
        <v>36.222000000000001</v>
      </c>
      <c r="R93" s="43">
        <v>37.055</v>
      </c>
      <c r="S93" s="43">
        <v>37.887999999999998</v>
      </c>
      <c r="T93" s="43">
        <v>38.720999999999997</v>
      </c>
      <c r="U93" s="43">
        <v>39.554000000000002</v>
      </c>
      <c r="V93" s="43">
        <v>40.387</v>
      </c>
      <c r="W93" s="43">
        <v>41.144799999999996</v>
      </c>
      <c r="X93" s="43">
        <v>41.9026</v>
      </c>
      <c r="Y93" s="43">
        <v>42.660400000000003</v>
      </c>
      <c r="Z93" s="43">
        <v>43.418199999999999</v>
      </c>
      <c r="AA93" s="43">
        <v>44.176000000000002</v>
      </c>
      <c r="AB93" s="43">
        <v>44.693199999999997</v>
      </c>
      <c r="AC93" s="43">
        <v>45.2104</v>
      </c>
      <c r="AD93" s="43">
        <v>45.727600000000002</v>
      </c>
      <c r="AE93" s="43">
        <v>46.244799999999998</v>
      </c>
      <c r="AF93" s="43">
        <v>46.762</v>
      </c>
      <c r="AG93" s="43">
        <v>46.668399999999998</v>
      </c>
      <c r="AH93" s="43">
        <v>46.574800000000003</v>
      </c>
      <c r="AI93" s="43">
        <v>46.481200000000001</v>
      </c>
      <c r="AJ93" s="43">
        <v>46.387599999999999</v>
      </c>
      <c r="AK93" s="43">
        <v>46.293999999999997</v>
      </c>
      <c r="AL93" s="43">
        <v>45.953000000000003</v>
      </c>
      <c r="AM93" s="43">
        <v>45.612000000000002</v>
      </c>
      <c r="AN93" s="43">
        <v>45.271000000000001</v>
      </c>
      <c r="AO93" s="43">
        <v>44.93</v>
      </c>
      <c r="AP93" s="43">
        <v>44.588999999999999</v>
      </c>
      <c r="AQ93" s="43">
        <v>44.303800000000003</v>
      </c>
      <c r="AR93" s="43">
        <v>44.018599999999999</v>
      </c>
      <c r="AS93" s="43">
        <v>43.733400000000003</v>
      </c>
      <c r="AT93" s="43">
        <v>43.4482</v>
      </c>
      <c r="AU93" s="43">
        <v>43.162999999999997</v>
      </c>
      <c r="AV93" s="43">
        <v>43.9176</v>
      </c>
      <c r="AW93" s="43">
        <v>44.672199999999997</v>
      </c>
      <c r="AX93" s="43">
        <v>45.4268</v>
      </c>
      <c r="AY93" s="43">
        <v>46.181399999999996</v>
      </c>
      <c r="AZ93" s="43">
        <v>46.936</v>
      </c>
      <c r="BA93" s="43">
        <v>47.6556</v>
      </c>
      <c r="BB93" s="43">
        <v>48.3752</v>
      </c>
      <c r="BC93" s="43"/>
      <c r="BD93" s="44">
        <f t="shared" si="1"/>
        <v>36.307633333333335</v>
      </c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2"/>
      <c r="CC93" s="42"/>
      <c r="CD93" s="42"/>
      <c r="CE93" s="42"/>
      <c r="CF93" s="42"/>
      <c r="CG93" s="42"/>
      <c r="CH93" s="42"/>
      <c r="CI93" s="42"/>
      <c r="CJ93" s="42"/>
      <c r="CK93" s="42"/>
      <c r="CL93" s="42"/>
      <c r="CM93" s="42"/>
    </row>
    <row r="94" spans="1:91">
      <c r="A94" s="41">
        <v>146</v>
      </c>
      <c r="B94" s="41" t="s">
        <v>62</v>
      </c>
      <c r="C94" s="43">
        <v>36.966000000000001</v>
      </c>
      <c r="D94" s="43">
        <v>38.253</v>
      </c>
      <c r="E94" s="43">
        <v>39.54</v>
      </c>
      <c r="F94" s="43">
        <v>40.826999999999998</v>
      </c>
      <c r="G94" s="43">
        <v>42.113999999999997</v>
      </c>
      <c r="H94" s="43">
        <v>42.701599999999999</v>
      </c>
      <c r="I94" s="43">
        <v>43.289200000000001</v>
      </c>
      <c r="J94" s="43">
        <v>43.876800000000003</v>
      </c>
      <c r="K94" s="43">
        <v>44.464399999999998</v>
      </c>
      <c r="L94" s="43">
        <v>45.052</v>
      </c>
      <c r="M94" s="43">
        <v>45.772799999999997</v>
      </c>
      <c r="N94" s="43">
        <v>46.493600000000001</v>
      </c>
      <c r="O94" s="43">
        <v>47.214399999999998</v>
      </c>
      <c r="P94" s="43">
        <v>47.935200000000002</v>
      </c>
      <c r="Q94" s="43">
        <v>48.655999999999999</v>
      </c>
      <c r="R94" s="43">
        <v>49.3414</v>
      </c>
      <c r="S94" s="43">
        <v>50.026800000000001</v>
      </c>
      <c r="T94" s="43">
        <v>50.712200000000003</v>
      </c>
      <c r="U94" s="43">
        <v>51.397599999999997</v>
      </c>
      <c r="V94" s="43">
        <v>52.082999999999998</v>
      </c>
      <c r="W94" s="43">
        <v>52.674399999999999</v>
      </c>
      <c r="X94" s="43">
        <v>53.265799999999999</v>
      </c>
      <c r="Y94" s="43">
        <v>53.857199999999999</v>
      </c>
      <c r="Z94" s="43">
        <v>54.448599999999999</v>
      </c>
      <c r="AA94" s="43">
        <v>55.04</v>
      </c>
      <c r="AB94" s="43">
        <v>55.438600000000001</v>
      </c>
      <c r="AC94" s="43">
        <v>55.837200000000003</v>
      </c>
      <c r="AD94" s="43">
        <v>56.235799999999998</v>
      </c>
      <c r="AE94" s="43">
        <v>56.634399999999999</v>
      </c>
      <c r="AF94" s="43">
        <v>57.033000000000001</v>
      </c>
      <c r="AG94" s="43">
        <v>56.987400000000001</v>
      </c>
      <c r="AH94" s="43">
        <v>56.941800000000001</v>
      </c>
      <c r="AI94" s="43">
        <v>56.8962</v>
      </c>
      <c r="AJ94" s="43">
        <v>56.8506</v>
      </c>
      <c r="AK94" s="43">
        <v>56.805</v>
      </c>
      <c r="AL94" s="43">
        <v>56.870600000000003</v>
      </c>
      <c r="AM94" s="43">
        <v>56.936199999999999</v>
      </c>
      <c r="AN94" s="43">
        <v>57.001800000000003</v>
      </c>
      <c r="AO94" s="43">
        <v>57.067399999999999</v>
      </c>
      <c r="AP94" s="43">
        <v>57.133000000000003</v>
      </c>
      <c r="AQ94" s="43">
        <v>58.205199999999998</v>
      </c>
      <c r="AR94" s="43">
        <v>59.2774</v>
      </c>
      <c r="AS94" s="43">
        <v>60.349600000000002</v>
      </c>
      <c r="AT94" s="43">
        <v>61.421799999999998</v>
      </c>
      <c r="AU94" s="43">
        <v>62.494</v>
      </c>
      <c r="AV94" s="43">
        <v>63.508600000000001</v>
      </c>
      <c r="AW94" s="43">
        <v>64.523200000000003</v>
      </c>
      <c r="AX94" s="43">
        <v>65.537800000000004</v>
      </c>
      <c r="AY94" s="43">
        <v>66.552400000000006</v>
      </c>
      <c r="AZ94" s="43">
        <v>67.566999999999993</v>
      </c>
      <c r="BA94" s="43">
        <v>68.458200000000005</v>
      </c>
      <c r="BB94" s="43">
        <v>69.349400000000003</v>
      </c>
      <c r="BC94" s="43"/>
      <c r="BD94" s="44">
        <f t="shared" si="1"/>
        <v>48.572733333333318</v>
      </c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</row>
    <row r="95" spans="1:91">
      <c r="A95" s="41">
        <v>148</v>
      </c>
      <c r="B95" s="41" t="s">
        <v>61</v>
      </c>
      <c r="C95" s="43">
        <v>29.858000000000001</v>
      </c>
      <c r="D95" s="43">
        <v>30.359000000000002</v>
      </c>
      <c r="E95" s="43">
        <v>30.86</v>
      </c>
      <c r="F95" s="43">
        <v>31.361000000000001</v>
      </c>
      <c r="G95" s="43">
        <v>31.861999999999998</v>
      </c>
      <c r="H95" s="43">
        <v>32.384999999999998</v>
      </c>
      <c r="I95" s="43">
        <v>32.908000000000001</v>
      </c>
      <c r="J95" s="43">
        <v>33.430999999999997</v>
      </c>
      <c r="K95" s="43">
        <v>33.954000000000001</v>
      </c>
      <c r="L95" s="43">
        <v>34.476999999999997</v>
      </c>
      <c r="M95" s="43">
        <v>35.124400000000001</v>
      </c>
      <c r="N95" s="43">
        <v>35.771799999999999</v>
      </c>
      <c r="O95" s="43">
        <v>36.419199999999996</v>
      </c>
      <c r="P95" s="43">
        <v>37.066600000000001</v>
      </c>
      <c r="Q95" s="43">
        <v>37.713999999999999</v>
      </c>
      <c r="R95" s="43">
        <v>38.413200000000003</v>
      </c>
      <c r="S95" s="43">
        <v>39.112400000000001</v>
      </c>
      <c r="T95" s="43">
        <v>39.811599999999999</v>
      </c>
      <c r="U95" s="43">
        <v>40.510800000000003</v>
      </c>
      <c r="V95" s="43">
        <v>41.21</v>
      </c>
      <c r="W95" s="43">
        <v>41.9238</v>
      </c>
      <c r="X95" s="43">
        <v>42.637599999999999</v>
      </c>
      <c r="Y95" s="43">
        <v>43.351399999999998</v>
      </c>
      <c r="Z95" s="43">
        <v>44.065199999999997</v>
      </c>
      <c r="AA95" s="43">
        <v>44.779000000000003</v>
      </c>
      <c r="AB95" s="43">
        <v>45.501399999999997</v>
      </c>
      <c r="AC95" s="43">
        <v>46.223799999999997</v>
      </c>
      <c r="AD95" s="43">
        <v>46.946199999999997</v>
      </c>
      <c r="AE95" s="43">
        <v>47.668599999999998</v>
      </c>
      <c r="AF95" s="43">
        <v>48.390999999999998</v>
      </c>
      <c r="AG95" s="43">
        <v>49.051200000000001</v>
      </c>
      <c r="AH95" s="43">
        <v>49.711399999999998</v>
      </c>
      <c r="AI95" s="43">
        <v>50.371600000000001</v>
      </c>
      <c r="AJ95" s="43">
        <v>51.031799999999997</v>
      </c>
      <c r="AK95" s="43">
        <v>51.692</v>
      </c>
      <c r="AL95" s="43">
        <v>52.020600000000002</v>
      </c>
      <c r="AM95" s="43">
        <v>52.349200000000003</v>
      </c>
      <c r="AN95" s="43">
        <v>52.677799999999998</v>
      </c>
      <c r="AO95" s="43">
        <v>53.006399999999999</v>
      </c>
      <c r="AP95" s="43">
        <v>53.335000000000001</v>
      </c>
      <c r="AQ95" s="43">
        <v>53.661999999999999</v>
      </c>
      <c r="AR95" s="43">
        <v>53.988999999999997</v>
      </c>
      <c r="AS95" s="43">
        <v>54.316000000000003</v>
      </c>
      <c r="AT95" s="43">
        <v>54.643000000000001</v>
      </c>
      <c r="AU95" s="43">
        <v>54.97</v>
      </c>
      <c r="AV95" s="43">
        <v>55.311199999999999</v>
      </c>
      <c r="AW95" s="43">
        <v>55.6524</v>
      </c>
      <c r="AX95" s="43">
        <v>55.993600000000001</v>
      </c>
      <c r="AY95" s="43">
        <v>56.334800000000001</v>
      </c>
      <c r="AZ95" s="43">
        <v>56.676000000000002</v>
      </c>
      <c r="BA95" s="43">
        <v>57.040999999999997</v>
      </c>
      <c r="BB95" s="43">
        <v>57.405999999999999</v>
      </c>
      <c r="BC95" s="43"/>
      <c r="BD95" s="44">
        <f t="shared" si="1"/>
        <v>38.469900000000003</v>
      </c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2"/>
      <c r="CC95" s="42"/>
      <c r="CD95" s="42"/>
      <c r="CE95" s="42"/>
      <c r="CF95" s="42"/>
      <c r="CG95" s="42"/>
      <c r="CH95" s="42"/>
      <c r="CI95" s="42"/>
      <c r="CJ95" s="42"/>
      <c r="CK95" s="42"/>
      <c r="CL95" s="42"/>
      <c r="CM95" s="42"/>
    </row>
    <row r="96" spans="1:91">
      <c r="A96" s="41">
        <v>149</v>
      </c>
      <c r="B96" s="41" t="s">
        <v>60</v>
      </c>
      <c r="C96" s="43">
        <v>3.8552</v>
      </c>
      <c r="D96" s="43">
        <v>4.0434000000000001</v>
      </c>
      <c r="E96" s="43">
        <v>4.2316000000000003</v>
      </c>
      <c r="F96" s="43">
        <v>4.4198000000000004</v>
      </c>
      <c r="G96" s="43">
        <v>4.6079999999999997</v>
      </c>
      <c r="H96" s="43">
        <v>4.8423999999999996</v>
      </c>
      <c r="I96" s="43">
        <v>5.0768000000000004</v>
      </c>
      <c r="J96" s="43">
        <v>5.3112000000000004</v>
      </c>
      <c r="K96" s="43">
        <v>5.5456000000000003</v>
      </c>
      <c r="L96" s="43">
        <v>5.78</v>
      </c>
      <c r="M96" s="43">
        <v>6.3630000000000004</v>
      </c>
      <c r="N96" s="43">
        <v>6.9459999999999997</v>
      </c>
      <c r="O96" s="43">
        <v>7.5289999999999999</v>
      </c>
      <c r="P96" s="43">
        <v>8.1120000000000001</v>
      </c>
      <c r="Q96" s="43">
        <v>8.6950000000000003</v>
      </c>
      <c r="R96" s="43">
        <v>9.5782000000000007</v>
      </c>
      <c r="S96" s="43">
        <v>10.461399999999999</v>
      </c>
      <c r="T96" s="43">
        <v>11.3446</v>
      </c>
      <c r="U96" s="43">
        <v>12.2278</v>
      </c>
      <c r="V96" s="43">
        <v>13.111000000000001</v>
      </c>
      <c r="W96" s="43">
        <v>13.837999999999999</v>
      </c>
      <c r="X96" s="43">
        <v>14.565</v>
      </c>
      <c r="Y96" s="43">
        <v>15.292</v>
      </c>
      <c r="Z96" s="43">
        <v>16.018999999999998</v>
      </c>
      <c r="AA96" s="43">
        <v>16.745999999999999</v>
      </c>
      <c r="AB96" s="43">
        <v>17.616</v>
      </c>
      <c r="AC96" s="43">
        <v>18.486000000000001</v>
      </c>
      <c r="AD96" s="43">
        <v>19.356000000000002</v>
      </c>
      <c r="AE96" s="43">
        <v>20.225999999999999</v>
      </c>
      <c r="AF96" s="43">
        <v>21.096</v>
      </c>
      <c r="AG96" s="43">
        <v>22.120999999999999</v>
      </c>
      <c r="AH96" s="43">
        <v>23.146000000000001</v>
      </c>
      <c r="AI96" s="43">
        <v>24.170999999999999</v>
      </c>
      <c r="AJ96" s="43">
        <v>25.196000000000002</v>
      </c>
      <c r="AK96" s="43">
        <v>26.221</v>
      </c>
      <c r="AL96" s="43">
        <v>26.796399999999998</v>
      </c>
      <c r="AM96" s="43">
        <v>27.3718</v>
      </c>
      <c r="AN96" s="43">
        <v>27.947199999999999</v>
      </c>
      <c r="AO96" s="43">
        <v>28.522600000000001</v>
      </c>
      <c r="AP96" s="43">
        <v>29.097999999999999</v>
      </c>
      <c r="AQ96" s="43">
        <v>29.278199999999998</v>
      </c>
      <c r="AR96" s="43">
        <v>29.458400000000001</v>
      </c>
      <c r="AS96" s="43">
        <v>29.6386</v>
      </c>
      <c r="AT96" s="43">
        <v>29.8188</v>
      </c>
      <c r="AU96" s="43">
        <v>29.998999999999999</v>
      </c>
      <c r="AV96" s="43">
        <v>30.190799999999999</v>
      </c>
      <c r="AW96" s="43">
        <v>30.3826</v>
      </c>
      <c r="AX96" s="43">
        <v>30.574400000000001</v>
      </c>
      <c r="AY96" s="43">
        <v>30.766200000000001</v>
      </c>
      <c r="AZ96" s="43">
        <v>30.957999999999998</v>
      </c>
      <c r="BA96" s="43">
        <v>31.215599999999998</v>
      </c>
      <c r="BB96" s="43">
        <v>31.473199999999999</v>
      </c>
      <c r="BC96" s="43"/>
      <c r="BD96" s="44">
        <f t="shared" si="1"/>
        <v>10.510733333333331</v>
      </c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2"/>
      <c r="CC96" s="42"/>
      <c r="CD96" s="42"/>
      <c r="CE96" s="42"/>
      <c r="CF96" s="42"/>
      <c r="CG96" s="42"/>
      <c r="CH96" s="42"/>
      <c r="CI96" s="42"/>
      <c r="CJ96" s="42"/>
      <c r="CK96" s="42"/>
      <c r="CL96" s="42"/>
      <c r="CM96" s="42"/>
    </row>
    <row r="97" spans="1:91">
      <c r="A97" s="41">
        <v>150</v>
      </c>
      <c r="B97" s="41" t="s">
        <v>59</v>
      </c>
      <c r="C97" s="43">
        <v>19.574999999999999</v>
      </c>
      <c r="D97" s="43">
        <v>19.923999999999999</v>
      </c>
      <c r="E97" s="43">
        <v>20.273</v>
      </c>
      <c r="F97" s="43">
        <v>20.622</v>
      </c>
      <c r="G97" s="43">
        <v>20.971</v>
      </c>
      <c r="H97" s="43">
        <v>21.3428</v>
      </c>
      <c r="I97" s="43">
        <v>21.714600000000001</v>
      </c>
      <c r="J97" s="43">
        <v>22.086400000000001</v>
      </c>
      <c r="K97" s="43">
        <v>22.458200000000001</v>
      </c>
      <c r="L97" s="43">
        <v>22.83</v>
      </c>
      <c r="M97" s="43">
        <v>23.048400000000001</v>
      </c>
      <c r="N97" s="43">
        <v>23.2668</v>
      </c>
      <c r="O97" s="43">
        <v>23.485199999999999</v>
      </c>
      <c r="P97" s="43">
        <v>23.703600000000002</v>
      </c>
      <c r="Q97" s="43">
        <v>23.922000000000001</v>
      </c>
      <c r="R97" s="43">
        <v>23.932200000000002</v>
      </c>
      <c r="S97" s="43">
        <v>23.942399999999999</v>
      </c>
      <c r="T97" s="43">
        <v>23.9526</v>
      </c>
      <c r="U97" s="43">
        <v>23.962800000000001</v>
      </c>
      <c r="V97" s="43">
        <v>23.972999999999999</v>
      </c>
      <c r="W97" s="43">
        <v>23.994399999999999</v>
      </c>
      <c r="X97" s="43">
        <v>24.015799999999999</v>
      </c>
      <c r="Y97" s="43">
        <v>24.037199999999999</v>
      </c>
      <c r="Z97" s="43">
        <v>24.058599999999998</v>
      </c>
      <c r="AA97" s="43">
        <v>24.08</v>
      </c>
      <c r="AB97" s="43">
        <v>24.186</v>
      </c>
      <c r="AC97" s="43">
        <v>24.292000000000002</v>
      </c>
      <c r="AD97" s="43">
        <v>24.398</v>
      </c>
      <c r="AE97" s="43">
        <v>24.504000000000001</v>
      </c>
      <c r="AF97" s="43">
        <v>24.61</v>
      </c>
      <c r="AG97" s="43">
        <v>24.816400000000002</v>
      </c>
      <c r="AH97" s="43">
        <v>25.0228</v>
      </c>
      <c r="AI97" s="43">
        <v>25.229199999999999</v>
      </c>
      <c r="AJ97" s="43">
        <v>25.435600000000001</v>
      </c>
      <c r="AK97" s="43">
        <v>25.641999999999999</v>
      </c>
      <c r="AL97" s="43">
        <v>25.956600000000002</v>
      </c>
      <c r="AM97" s="43">
        <v>26.2712</v>
      </c>
      <c r="AN97" s="43">
        <v>26.585799999999999</v>
      </c>
      <c r="AO97" s="43">
        <v>26.900400000000001</v>
      </c>
      <c r="AP97" s="43">
        <v>27.215</v>
      </c>
      <c r="AQ97" s="43">
        <v>27.649000000000001</v>
      </c>
      <c r="AR97" s="43">
        <v>28.082999999999998</v>
      </c>
      <c r="AS97" s="43">
        <v>28.516999999999999</v>
      </c>
      <c r="AT97" s="43">
        <v>28.951000000000001</v>
      </c>
      <c r="AU97" s="43">
        <v>29.385000000000002</v>
      </c>
      <c r="AV97" s="43">
        <v>29.924600000000002</v>
      </c>
      <c r="AW97" s="43">
        <v>30.464200000000002</v>
      </c>
      <c r="AX97" s="43">
        <v>31.003799999999998</v>
      </c>
      <c r="AY97" s="43">
        <v>31.543399999999998</v>
      </c>
      <c r="AZ97" s="43">
        <v>32.082999999999998</v>
      </c>
      <c r="BA97" s="43">
        <v>32.6524</v>
      </c>
      <c r="BB97" s="43">
        <v>33.221800000000002</v>
      </c>
      <c r="BC97" s="43"/>
      <c r="BD97" s="44">
        <f t="shared" si="1"/>
        <v>23.038733333333344</v>
      </c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2"/>
      <c r="CC97" s="42"/>
      <c r="CD97" s="42"/>
      <c r="CE97" s="42"/>
      <c r="CF97" s="42"/>
      <c r="CG97" s="42"/>
      <c r="CH97" s="42"/>
      <c r="CI97" s="42"/>
      <c r="CJ97" s="42"/>
      <c r="CK97" s="42"/>
      <c r="CL97" s="42"/>
      <c r="CM97" s="42"/>
    </row>
    <row r="98" spans="1:91">
      <c r="A98" s="41">
        <v>151</v>
      </c>
      <c r="B98" s="41" t="s">
        <v>58</v>
      </c>
      <c r="C98" s="43">
        <v>18.334199999999999</v>
      </c>
      <c r="D98" s="43">
        <v>18.759399999999999</v>
      </c>
      <c r="E98" s="43">
        <v>19.1846</v>
      </c>
      <c r="F98" s="43">
        <v>19.6098</v>
      </c>
      <c r="G98" s="43">
        <v>20.035</v>
      </c>
      <c r="H98" s="43">
        <v>20.4864</v>
      </c>
      <c r="I98" s="43">
        <v>20.937799999999999</v>
      </c>
      <c r="J98" s="43">
        <v>21.389199999999999</v>
      </c>
      <c r="K98" s="43">
        <v>21.840599999999998</v>
      </c>
      <c r="L98" s="43">
        <v>22.292000000000002</v>
      </c>
      <c r="M98" s="43">
        <v>22.563800000000001</v>
      </c>
      <c r="N98" s="43">
        <v>22.835599999999999</v>
      </c>
      <c r="O98" s="43">
        <v>23.107399999999998</v>
      </c>
      <c r="P98" s="43">
        <v>23.379200000000001</v>
      </c>
      <c r="Q98" s="43">
        <v>23.651</v>
      </c>
      <c r="R98" s="43">
        <v>23.934000000000001</v>
      </c>
      <c r="S98" s="43">
        <v>24.216999999999999</v>
      </c>
      <c r="T98" s="43">
        <v>24.5</v>
      </c>
      <c r="U98" s="43">
        <v>24.783000000000001</v>
      </c>
      <c r="V98" s="43">
        <v>25.065999999999999</v>
      </c>
      <c r="W98" s="43">
        <v>25.326000000000001</v>
      </c>
      <c r="X98" s="43">
        <v>25.585999999999999</v>
      </c>
      <c r="Y98" s="43">
        <v>25.846</v>
      </c>
      <c r="Z98" s="43">
        <v>26.106000000000002</v>
      </c>
      <c r="AA98" s="43">
        <v>26.366</v>
      </c>
      <c r="AB98" s="43">
        <v>26.623999999999999</v>
      </c>
      <c r="AC98" s="43">
        <v>26.882000000000001</v>
      </c>
      <c r="AD98" s="43">
        <v>27.14</v>
      </c>
      <c r="AE98" s="43">
        <v>27.398</v>
      </c>
      <c r="AF98" s="43">
        <v>27.655999999999999</v>
      </c>
      <c r="AG98" s="43">
        <v>28.087399999999999</v>
      </c>
      <c r="AH98" s="43">
        <v>28.518799999999999</v>
      </c>
      <c r="AI98" s="43">
        <v>28.950199999999999</v>
      </c>
      <c r="AJ98" s="43">
        <v>29.381599999999999</v>
      </c>
      <c r="AK98" s="43">
        <v>29.812999999999999</v>
      </c>
      <c r="AL98" s="43">
        <v>30.324999999999999</v>
      </c>
      <c r="AM98" s="43">
        <v>30.837</v>
      </c>
      <c r="AN98" s="43">
        <v>31.349</v>
      </c>
      <c r="AO98" s="43">
        <v>31.861000000000001</v>
      </c>
      <c r="AP98" s="43">
        <v>32.372999999999998</v>
      </c>
      <c r="AQ98" s="43">
        <v>32.906999999999996</v>
      </c>
      <c r="AR98" s="43">
        <v>33.441000000000003</v>
      </c>
      <c r="AS98" s="43">
        <v>33.975000000000001</v>
      </c>
      <c r="AT98" s="43">
        <v>34.509</v>
      </c>
      <c r="AU98" s="43">
        <v>35.042999999999999</v>
      </c>
      <c r="AV98" s="43">
        <v>35.597999999999999</v>
      </c>
      <c r="AW98" s="43">
        <v>36.152999999999999</v>
      </c>
      <c r="AX98" s="43">
        <v>36.707999999999998</v>
      </c>
      <c r="AY98" s="43">
        <v>37.262999999999998</v>
      </c>
      <c r="AZ98" s="43">
        <v>37.817999999999998</v>
      </c>
      <c r="BA98" s="43">
        <v>38.390799999999999</v>
      </c>
      <c r="BB98" s="43">
        <v>38.9636</v>
      </c>
      <c r="BC98" s="43"/>
      <c r="BD98" s="44">
        <f t="shared" si="1"/>
        <v>23.527866666666664</v>
      </c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2"/>
      <c r="CC98" s="42"/>
      <c r="CD98" s="42"/>
      <c r="CE98" s="42"/>
      <c r="CF98" s="42"/>
      <c r="CG98" s="42"/>
      <c r="CH98" s="42"/>
      <c r="CI98" s="42"/>
      <c r="CJ98" s="42"/>
      <c r="CK98" s="42"/>
      <c r="CL98" s="42"/>
      <c r="CM98" s="42"/>
    </row>
    <row r="99" spans="1:91">
      <c r="A99" s="41">
        <v>153</v>
      </c>
      <c r="B99" s="41" t="s">
        <v>57</v>
      </c>
      <c r="C99" s="43">
        <v>3.5314000000000001</v>
      </c>
      <c r="D99" s="43">
        <v>3.5828000000000002</v>
      </c>
      <c r="E99" s="43">
        <v>3.6341999999999999</v>
      </c>
      <c r="F99" s="43">
        <v>3.6856</v>
      </c>
      <c r="G99" s="43">
        <v>3.7370000000000001</v>
      </c>
      <c r="H99" s="43">
        <v>3.7808000000000002</v>
      </c>
      <c r="I99" s="43">
        <v>3.8246000000000002</v>
      </c>
      <c r="J99" s="43">
        <v>3.8683999999999998</v>
      </c>
      <c r="K99" s="43">
        <v>3.9121999999999999</v>
      </c>
      <c r="L99" s="43">
        <v>3.956</v>
      </c>
      <c r="M99" s="43">
        <v>4.1307999999999998</v>
      </c>
      <c r="N99" s="43">
        <v>4.3056000000000001</v>
      </c>
      <c r="O99" s="43">
        <v>4.4804000000000004</v>
      </c>
      <c r="P99" s="43">
        <v>4.6551999999999998</v>
      </c>
      <c r="Q99" s="43">
        <v>4.83</v>
      </c>
      <c r="R99" s="43">
        <v>5.0822000000000003</v>
      </c>
      <c r="S99" s="43">
        <v>5.3343999999999996</v>
      </c>
      <c r="T99" s="43">
        <v>5.5865999999999998</v>
      </c>
      <c r="U99" s="43">
        <v>5.8388</v>
      </c>
      <c r="V99" s="43">
        <v>6.0910000000000002</v>
      </c>
      <c r="W99" s="43">
        <v>6.35</v>
      </c>
      <c r="X99" s="43">
        <v>6.609</v>
      </c>
      <c r="Y99" s="43">
        <v>6.8680000000000003</v>
      </c>
      <c r="Z99" s="43">
        <v>7.1269999999999998</v>
      </c>
      <c r="AA99" s="43">
        <v>7.3860000000000001</v>
      </c>
      <c r="AB99" s="43">
        <v>7.6795999999999998</v>
      </c>
      <c r="AC99" s="43">
        <v>7.9732000000000003</v>
      </c>
      <c r="AD99" s="43">
        <v>8.2667999999999999</v>
      </c>
      <c r="AE99" s="43">
        <v>8.5603999999999996</v>
      </c>
      <c r="AF99" s="43">
        <v>8.8539999999999992</v>
      </c>
      <c r="AG99" s="43">
        <v>9.2622</v>
      </c>
      <c r="AH99" s="43">
        <v>9.6704000000000008</v>
      </c>
      <c r="AI99" s="43">
        <v>10.0786</v>
      </c>
      <c r="AJ99" s="43">
        <v>10.486800000000001</v>
      </c>
      <c r="AK99" s="43">
        <v>10.895</v>
      </c>
      <c r="AL99" s="43">
        <v>11.402200000000001</v>
      </c>
      <c r="AM99" s="43">
        <v>11.9094</v>
      </c>
      <c r="AN99" s="43">
        <v>12.416600000000001</v>
      </c>
      <c r="AO99" s="43">
        <v>12.9238</v>
      </c>
      <c r="AP99" s="43">
        <v>13.430999999999999</v>
      </c>
      <c r="AQ99" s="43">
        <v>13.7676</v>
      </c>
      <c r="AR99" s="43">
        <v>14.104200000000001</v>
      </c>
      <c r="AS99" s="43">
        <v>14.440799999999999</v>
      </c>
      <c r="AT99" s="43">
        <v>14.7774</v>
      </c>
      <c r="AU99" s="43">
        <v>15.114000000000001</v>
      </c>
      <c r="AV99" s="43">
        <v>15.4224</v>
      </c>
      <c r="AW99" s="43">
        <v>15.7308</v>
      </c>
      <c r="AX99" s="43">
        <v>16.039200000000001</v>
      </c>
      <c r="AY99" s="43">
        <v>16.3476</v>
      </c>
      <c r="AZ99" s="43">
        <v>16.655999999999999</v>
      </c>
      <c r="BA99" s="43">
        <v>16.995799999999999</v>
      </c>
      <c r="BB99" s="43">
        <v>17.335599999999999</v>
      </c>
      <c r="BC99" s="43"/>
      <c r="BD99" s="44">
        <f t="shared" si="1"/>
        <v>5.4507333333333312</v>
      </c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2"/>
      <c r="CC99" s="42"/>
      <c r="CD99" s="42"/>
      <c r="CE99" s="42"/>
      <c r="CF99" s="42"/>
      <c r="CG99" s="42"/>
      <c r="CH99" s="42"/>
      <c r="CI99" s="42"/>
      <c r="CJ99" s="42"/>
      <c r="CK99" s="42"/>
      <c r="CL99" s="42"/>
      <c r="CM99" s="42"/>
    </row>
    <row r="100" spans="1:91">
      <c r="A100" s="41">
        <v>154</v>
      </c>
      <c r="B100" s="41" t="s">
        <v>56</v>
      </c>
      <c r="C100" s="43">
        <v>59.952199999999998</v>
      </c>
      <c r="D100" s="43">
        <v>60.1524</v>
      </c>
      <c r="E100" s="43">
        <v>60.352600000000002</v>
      </c>
      <c r="F100" s="43">
        <v>60.552799999999998</v>
      </c>
      <c r="G100" s="43">
        <v>60.753</v>
      </c>
      <c r="H100" s="43">
        <v>60.935000000000002</v>
      </c>
      <c r="I100" s="43">
        <v>61.116999999999997</v>
      </c>
      <c r="J100" s="43">
        <v>61.298999999999999</v>
      </c>
      <c r="K100" s="43">
        <v>61.481000000000002</v>
      </c>
      <c r="L100" s="43">
        <v>61.662999999999997</v>
      </c>
      <c r="M100" s="43">
        <v>61.966999999999999</v>
      </c>
      <c r="N100" s="43">
        <v>62.271000000000001</v>
      </c>
      <c r="O100" s="43">
        <v>62.575000000000003</v>
      </c>
      <c r="P100" s="43">
        <v>62.878999999999998</v>
      </c>
      <c r="Q100" s="43">
        <v>63.183</v>
      </c>
      <c r="R100" s="43">
        <v>63.495399999999997</v>
      </c>
      <c r="S100" s="43">
        <v>63.8078</v>
      </c>
      <c r="T100" s="43">
        <v>64.120199999999997</v>
      </c>
      <c r="U100" s="43">
        <v>64.432599999999994</v>
      </c>
      <c r="V100" s="43">
        <v>64.745000000000005</v>
      </c>
      <c r="W100" s="43">
        <v>65.139799999999994</v>
      </c>
      <c r="X100" s="43">
        <v>65.534599999999998</v>
      </c>
      <c r="Y100" s="43">
        <v>65.929400000000001</v>
      </c>
      <c r="Z100" s="43">
        <v>66.324200000000005</v>
      </c>
      <c r="AA100" s="43">
        <v>66.718999999999994</v>
      </c>
      <c r="AB100" s="43">
        <v>67.111999999999995</v>
      </c>
      <c r="AC100" s="43">
        <v>67.504999999999995</v>
      </c>
      <c r="AD100" s="43">
        <v>67.897999999999996</v>
      </c>
      <c r="AE100" s="43">
        <v>68.290999999999997</v>
      </c>
      <c r="AF100" s="43">
        <v>68.683999999999997</v>
      </c>
      <c r="AG100" s="43">
        <v>69.509399999999999</v>
      </c>
      <c r="AH100" s="43">
        <v>70.334800000000001</v>
      </c>
      <c r="AI100" s="43">
        <v>71.160200000000003</v>
      </c>
      <c r="AJ100" s="43">
        <v>71.985600000000005</v>
      </c>
      <c r="AK100" s="43">
        <v>72.811000000000007</v>
      </c>
      <c r="AL100" s="43">
        <v>73.608599999999996</v>
      </c>
      <c r="AM100" s="43">
        <v>74.406199999999998</v>
      </c>
      <c r="AN100" s="43">
        <v>75.203800000000001</v>
      </c>
      <c r="AO100" s="43">
        <v>76.001400000000004</v>
      </c>
      <c r="AP100" s="43">
        <v>76.799000000000007</v>
      </c>
      <c r="AQ100" s="43">
        <v>77.473600000000005</v>
      </c>
      <c r="AR100" s="43">
        <v>78.148200000000003</v>
      </c>
      <c r="AS100" s="43">
        <v>78.822800000000001</v>
      </c>
      <c r="AT100" s="43">
        <v>79.497399999999999</v>
      </c>
      <c r="AU100" s="43">
        <v>80.171999999999997</v>
      </c>
      <c r="AV100" s="43">
        <v>80.686999999999998</v>
      </c>
      <c r="AW100" s="43">
        <v>81.201999999999998</v>
      </c>
      <c r="AX100" s="43">
        <v>81.716999999999999</v>
      </c>
      <c r="AY100" s="43">
        <v>82.231999999999999</v>
      </c>
      <c r="AZ100" s="43">
        <v>82.747</v>
      </c>
      <c r="BA100" s="43">
        <v>83.132000000000005</v>
      </c>
      <c r="BB100" s="43">
        <v>83.516999999999996</v>
      </c>
      <c r="BC100" s="43"/>
      <c r="BD100" s="44">
        <f t="shared" si="1"/>
        <v>63.695700000000009</v>
      </c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  <c r="BR100" s="44"/>
      <c r="BS100" s="44"/>
      <c r="BT100" s="44"/>
      <c r="BU100" s="44"/>
      <c r="BV100" s="44"/>
      <c r="BW100" s="44"/>
      <c r="BX100" s="44"/>
      <c r="BY100" s="44"/>
      <c r="BZ100" s="44"/>
      <c r="CA100" s="44"/>
      <c r="CB100" s="42"/>
      <c r="CC100" s="42"/>
      <c r="CD100" s="42"/>
      <c r="CE100" s="42"/>
      <c r="CF100" s="42"/>
      <c r="CG100" s="42"/>
      <c r="CH100" s="42"/>
      <c r="CI100" s="42"/>
      <c r="CJ100" s="42"/>
      <c r="CK100" s="42"/>
      <c r="CL100" s="42"/>
      <c r="CM100" s="42"/>
    </row>
    <row r="101" spans="1:91">
      <c r="A101" s="41">
        <v>157</v>
      </c>
      <c r="B101" s="41" t="s">
        <v>55</v>
      </c>
      <c r="C101" s="43">
        <v>76.576599999999999</v>
      </c>
      <c r="D101" s="43">
        <v>77.155199999999994</v>
      </c>
      <c r="E101" s="43">
        <v>77.733800000000002</v>
      </c>
      <c r="F101" s="43">
        <v>78.312399999999997</v>
      </c>
      <c r="G101" s="43">
        <v>78.891000000000005</v>
      </c>
      <c r="H101" s="43">
        <v>79.334000000000003</v>
      </c>
      <c r="I101" s="43">
        <v>79.777000000000001</v>
      </c>
      <c r="J101" s="43">
        <v>80.22</v>
      </c>
      <c r="K101" s="43">
        <v>80.662999999999997</v>
      </c>
      <c r="L101" s="43">
        <v>81.105999999999995</v>
      </c>
      <c r="M101" s="43">
        <v>81.439599999999999</v>
      </c>
      <c r="N101" s="43">
        <v>81.773200000000003</v>
      </c>
      <c r="O101" s="43">
        <v>82.106800000000007</v>
      </c>
      <c r="P101" s="43">
        <v>82.440399999999997</v>
      </c>
      <c r="Q101" s="43">
        <v>82.774000000000001</v>
      </c>
      <c r="R101" s="43">
        <v>82.904799999999994</v>
      </c>
      <c r="S101" s="43">
        <v>83.035600000000002</v>
      </c>
      <c r="T101" s="43">
        <v>83.166399999999996</v>
      </c>
      <c r="U101" s="43">
        <v>83.297200000000004</v>
      </c>
      <c r="V101" s="43">
        <v>83.427999999999997</v>
      </c>
      <c r="W101" s="43">
        <v>83.477000000000004</v>
      </c>
      <c r="X101" s="43">
        <v>83.525999999999996</v>
      </c>
      <c r="Y101" s="43">
        <v>83.575000000000003</v>
      </c>
      <c r="Z101" s="43">
        <v>83.623999999999995</v>
      </c>
      <c r="AA101" s="43">
        <v>83.673000000000002</v>
      </c>
      <c r="AB101" s="43">
        <v>83.886799999999994</v>
      </c>
      <c r="AC101" s="43">
        <v>84.1006</v>
      </c>
      <c r="AD101" s="43">
        <v>84.314400000000006</v>
      </c>
      <c r="AE101" s="43">
        <v>84.528199999999998</v>
      </c>
      <c r="AF101" s="43">
        <v>84.742000000000004</v>
      </c>
      <c r="AG101" s="43">
        <v>84.860200000000006</v>
      </c>
      <c r="AH101" s="43">
        <v>84.978399999999993</v>
      </c>
      <c r="AI101" s="43">
        <v>85.096599999999995</v>
      </c>
      <c r="AJ101" s="43">
        <v>85.214799999999997</v>
      </c>
      <c r="AK101" s="43">
        <v>85.332999999999998</v>
      </c>
      <c r="AL101" s="43">
        <v>85.401799999999994</v>
      </c>
      <c r="AM101" s="43">
        <v>85.470600000000005</v>
      </c>
      <c r="AN101" s="43">
        <v>85.539400000000001</v>
      </c>
      <c r="AO101" s="43">
        <v>85.608199999999997</v>
      </c>
      <c r="AP101" s="43">
        <v>85.677000000000007</v>
      </c>
      <c r="AQ101" s="43">
        <v>85.751999999999995</v>
      </c>
      <c r="AR101" s="43">
        <v>85.826999999999998</v>
      </c>
      <c r="AS101" s="43">
        <v>85.902000000000001</v>
      </c>
      <c r="AT101" s="43">
        <v>85.977000000000004</v>
      </c>
      <c r="AU101" s="43">
        <v>86.052000000000007</v>
      </c>
      <c r="AV101" s="43">
        <v>86.080399999999997</v>
      </c>
      <c r="AW101" s="43">
        <v>86.108800000000002</v>
      </c>
      <c r="AX101" s="43">
        <v>86.137200000000007</v>
      </c>
      <c r="AY101" s="43">
        <v>86.165599999999998</v>
      </c>
      <c r="AZ101" s="43">
        <v>86.194000000000003</v>
      </c>
      <c r="BA101" s="43">
        <v>86.24</v>
      </c>
      <c r="BB101" s="43">
        <v>86.286000000000001</v>
      </c>
      <c r="BC101" s="43"/>
      <c r="BD101" s="44">
        <f t="shared" si="1"/>
        <v>81.852733333333362</v>
      </c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44"/>
      <c r="BR101" s="44"/>
      <c r="BS101" s="44"/>
      <c r="BT101" s="44"/>
      <c r="BU101" s="44"/>
      <c r="BV101" s="44"/>
      <c r="BW101" s="44"/>
      <c r="BX101" s="44"/>
      <c r="BY101" s="44"/>
      <c r="BZ101" s="44"/>
      <c r="CA101" s="44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</row>
    <row r="102" spans="1:91">
      <c r="A102" s="41">
        <v>158</v>
      </c>
      <c r="B102" s="41" t="s">
        <v>54</v>
      </c>
      <c r="C102" s="43">
        <v>40.206200000000003</v>
      </c>
      <c r="D102" s="43">
        <v>40.831400000000002</v>
      </c>
      <c r="E102" s="43">
        <v>41.456600000000002</v>
      </c>
      <c r="F102" s="43">
        <v>42.081800000000001</v>
      </c>
      <c r="G102" s="43">
        <v>42.707000000000001</v>
      </c>
      <c r="H102" s="43">
        <v>43.571599999999997</v>
      </c>
      <c r="I102" s="43">
        <v>44.436199999999999</v>
      </c>
      <c r="J102" s="43">
        <v>45.300800000000002</v>
      </c>
      <c r="K102" s="43">
        <v>46.165399999999998</v>
      </c>
      <c r="L102" s="43">
        <v>47.03</v>
      </c>
      <c r="M102" s="43">
        <v>47.371400000000001</v>
      </c>
      <c r="N102" s="43">
        <v>47.712800000000001</v>
      </c>
      <c r="O102" s="43">
        <v>48.054200000000002</v>
      </c>
      <c r="P102" s="43">
        <v>48.395600000000002</v>
      </c>
      <c r="Q102" s="43">
        <v>48.737000000000002</v>
      </c>
      <c r="R102" s="43">
        <v>48.977200000000003</v>
      </c>
      <c r="S102" s="43">
        <v>49.217399999999998</v>
      </c>
      <c r="T102" s="43">
        <v>49.457599999999999</v>
      </c>
      <c r="U102" s="43">
        <v>49.697800000000001</v>
      </c>
      <c r="V102" s="43">
        <v>49.938000000000002</v>
      </c>
      <c r="W102" s="43">
        <v>50.177999999999997</v>
      </c>
      <c r="X102" s="43">
        <v>50.417999999999999</v>
      </c>
      <c r="Y102" s="43">
        <v>50.658000000000001</v>
      </c>
      <c r="Z102" s="43">
        <v>50.898000000000003</v>
      </c>
      <c r="AA102" s="43">
        <v>51.137999999999998</v>
      </c>
      <c r="AB102" s="43">
        <v>51.377800000000001</v>
      </c>
      <c r="AC102" s="43">
        <v>51.617600000000003</v>
      </c>
      <c r="AD102" s="43">
        <v>51.857399999999998</v>
      </c>
      <c r="AE102" s="43">
        <v>52.097200000000001</v>
      </c>
      <c r="AF102" s="43">
        <v>52.337000000000003</v>
      </c>
      <c r="AG102" s="43">
        <v>52.5764</v>
      </c>
      <c r="AH102" s="43">
        <v>52.815800000000003</v>
      </c>
      <c r="AI102" s="43">
        <v>53.055199999999999</v>
      </c>
      <c r="AJ102" s="43">
        <v>53.294600000000003</v>
      </c>
      <c r="AK102" s="43">
        <v>53.533999999999999</v>
      </c>
      <c r="AL102" s="43">
        <v>53.7746</v>
      </c>
      <c r="AM102" s="43">
        <v>54.0152</v>
      </c>
      <c r="AN102" s="43">
        <v>54.255800000000001</v>
      </c>
      <c r="AO102" s="43">
        <v>54.496400000000001</v>
      </c>
      <c r="AP102" s="43">
        <v>54.737000000000002</v>
      </c>
      <c r="AQ102" s="43">
        <v>54.976199999999999</v>
      </c>
      <c r="AR102" s="43">
        <v>55.215400000000002</v>
      </c>
      <c r="AS102" s="43">
        <v>55.454599999999999</v>
      </c>
      <c r="AT102" s="43">
        <v>55.693800000000003</v>
      </c>
      <c r="AU102" s="43">
        <v>55.933</v>
      </c>
      <c r="AV102" s="43">
        <v>56.196800000000003</v>
      </c>
      <c r="AW102" s="43">
        <v>56.460599999999999</v>
      </c>
      <c r="AX102" s="43">
        <v>56.724400000000003</v>
      </c>
      <c r="AY102" s="43">
        <v>56.988199999999999</v>
      </c>
      <c r="AZ102" s="43">
        <v>57.252000000000002</v>
      </c>
      <c r="BA102" s="43">
        <v>57.556399999999996</v>
      </c>
      <c r="BB102" s="43">
        <v>57.860799999999998</v>
      </c>
      <c r="BC102" s="43"/>
      <c r="BD102" s="44">
        <f t="shared" si="1"/>
        <v>47.797433333333323</v>
      </c>
      <c r="BE102" s="44"/>
      <c r="BF102" s="44"/>
      <c r="BG102" s="44"/>
      <c r="BH102" s="44"/>
      <c r="BI102" s="44"/>
      <c r="BJ102" s="44"/>
      <c r="BK102" s="44"/>
      <c r="BL102" s="44"/>
      <c r="BM102" s="44"/>
      <c r="BN102" s="44"/>
      <c r="BO102" s="44"/>
      <c r="BP102" s="44"/>
      <c r="BQ102" s="44"/>
      <c r="BR102" s="44"/>
      <c r="BS102" s="44"/>
      <c r="BT102" s="44"/>
      <c r="BU102" s="44"/>
      <c r="BV102" s="44"/>
      <c r="BW102" s="44"/>
      <c r="BX102" s="44"/>
      <c r="BY102" s="44"/>
      <c r="BZ102" s="44"/>
      <c r="CA102" s="44"/>
      <c r="CB102" s="42"/>
      <c r="CC102" s="42"/>
      <c r="CD102" s="42"/>
      <c r="CE102" s="42"/>
      <c r="CF102" s="42"/>
      <c r="CG102" s="42"/>
      <c r="CH102" s="42"/>
      <c r="CI102" s="42"/>
      <c r="CJ102" s="42"/>
      <c r="CK102" s="42"/>
      <c r="CL102" s="42"/>
      <c r="CM102" s="42"/>
    </row>
    <row r="103" spans="1:91">
      <c r="A103" s="41">
        <v>159</v>
      </c>
      <c r="B103" s="41" t="s">
        <v>53</v>
      </c>
      <c r="C103" s="43">
        <v>5.9962</v>
      </c>
      <c r="D103" s="43">
        <v>6.1993999999999998</v>
      </c>
      <c r="E103" s="43">
        <v>6.4025999999999996</v>
      </c>
      <c r="F103" s="43">
        <v>6.6058000000000003</v>
      </c>
      <c r="G103" s="43">
        <v>6.8090000000000002</v>
      </c>
      <c r="H103" s="43">
        <v>7.2060000000000004</v>
      </c>
      <c r="I103" s="43">
        <v>7.6029999999999998</v>
      </c>
      <c r="J103" s="43">
        <v>8</v>
      </c>
      <c r="K103" s="43">
        <v>8.3970000000000002</v>
      </c>
      <c r="L103" s="43">
        <v>8.7940000000000005</v>
      </c>
      <c r="M103" s="43">
        <v>9.3190000000000008</v>
      </c>
      <c r="N103" s="43">
        <v>9.8439999999999994</v>
      </c>
      <c r="O103" s="43">
        <v>10.369</v>
      </c>
      <c r="P103" s="43">
        <v>10.894</v>
      </c>
      <c r="Q103" s="43">
        <v>11.419</v>
      </c>
      <c r="R103" s="43">
        <v>11.8238</v>
      </c>
      <c r="S103" s="43">
        <v>12.2286</v>
      </c>
      <c r="T103" s="43">
        <v>12.6334</v>
      </c>
      <c r="U103" s="43">
        <v>13.0382</v>
      </c>
      <c r="V103" s="43">
        <v>13.443</v>
      </c>
      <c r="W103" s="43">
        <v>13.6616</v>
      </c>
      <c r="X103" s="43">
        <v>13.8802</v>
      </c>
      <c r="Y103" s="43">
        <v>14.098800000000001</v>
      </c>
      <c r="Z103" s="43">
        <v>14.317399999999999</v>
      </c>
      <c r="AA103" s="43">
        <v>14.536</v>
      </c>
      <c r="AB103" s="43">
        <v>14.702400000000001</v>
      </c>
      <c r="AC103" s="43">
        <v>14.8688</v>
      </c>
      <c r="AD103" s="43">
        <v>15.0352</v>
      </c>
      <c r="AE103" s="43">
        <v>15.201599999999999</v>
      </c>
      <c r="AF103" s="43">
        <v>15.368</v>
      </c>
      <c r="AG103" s="43">
        <v>15.449</v>
      </c>
      <c r="AH103" s="43">
        <v>15.53</v>
      </c>
      <c r="AI103" s="43">
        <v>15.611000000000001</v>
      </c>
      <c r="AJ103" s="43">
        <v>15.692</v>
      </c>
      <c r="AK103" s="43">
        <v>15.773</v>
      </c>
      <c r="AL103" s="43">
        <v>15.855600000000001</v>
      </c>
      <c r="AM103" s="43">
        <v>15.9382</v>
      </c>
      <c r="AN103" s="43">
        <v>16.020800000000001</v>
      </c>
      <c r="AO103" s="43">
        <v>16.103400000000001</v>
      </c>
      <c r="AP103" s="43">
        <v>16.186</v>
      </c>
      <c r="AQ103" s="43">
        <v>16.295200000000001</v>
      </c>
      <c r="AR103" s="43">
        <v>16.404399999999999</v>
      </c>
      <c r="AS103" s="43">
        <v>16.5136</v>
      </c>
      <c r="AT103" s="43">
        <v>16.622800000000002</v>
      </c>
      <c r="AU103" s="43">
        <v>16.731999999999999</v>
      </c>
      <c r="AV103" s="43">
        <v>16.908799999999999</v>
      </c>
      <c r="AW103" s="43">
        <v>17.085599999999999</v>
      </c>
      <c r="AX103" s="43">
        <v>17.2624</v>
      </c>
      <c r="AY103" s="43">
        <v>17.4392</v>
      </c>
      <c r="AZ103" s="43">
        <v>17.616</v>
      </c>
      <c r="BA103" s="43">
        <v>17.868400000000001</v>
      </c>
      <c r="BB103" s="43">
        <v>18.120799999999999</v>
      </c>
      <c r="BC103" s="43"/>
      <c r="BD103" s="44">
        <f t="shared" si="1"/>
        <v>11.089833333333333</v>
      </c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44"/>
      <c r="BR103" s="44"/>
      <c r="BS103" s="44"/>
      <c r="BT103" s="44"/>
      <c r="BU103" s="44"/>
      <c r="BV103" s="44"/>
      <c r="BW103" s="44"/>
      <c r="BX103" s="44"/>
      <c r="BY103" s="44"/>
      <c r="BZ103" s="44"/>
      <c r="CA103" s="44"/>
      <c r="CB103" s="42"/>
      <c r="CC103" s="42"/>
      <c r="CD103" s="42"/>
      <c r="CE103" s="42"/>
      <c r="CF103" s="42"/>
      <c r="CG103" s="42"/>
      <c r="CH103" s="42"/>
      <c r="CI103" s="42"/>
      <c r="CJ103" s="42"/>
      <c r="CK103" s="42"/>
      <c r="CL103" s="42"/>
      <c r="CM103" s="42"/>
    </row>
    <row r="104" spans="1:91">
      <c r="A104" s="41">
        <v>160</v>
      </c>
      <c r="B104" s="41" t="s">
        <v>52</v>
      </c>
      <c r="C104" s="43">
        <v>16.950399999999998</v>
      </c>
      <c r="D104" s="43">
        <v>17.739799999999999</v>
      </c>
      <c r="E104" s="43">
        <v>18.529199999999999</v>
      </c>
      <c r="F104" s="43">
        <v>19.3186</v>
      </c>
      <c r="G104" s="43">
        <v>20.108000000000001</v>
      </c>
      <c r="H104" s="43">
        <v>20.627600000000001</v>
      </c>
      <c r="I104" s="43">
        <v>21.147200000000002</v>
      </c>
      <c r="J104" s="43">
        <v>21.666799999999999</v>
      </c>
      <c r="K104" s="43">
        <v>22.186399999999999</v>
      </c>
      <c r="L104" s="43">
        <v>22.706</v>
      </c>
      <c r="M104" s="43">
        <v>23.2714</v>
      </c>
      <c r="N104" s="43">
        <v>23.8368</v>
      </c>
      <c r="O104" s="43">
        <v>24.402200000000001</v>
      </c>
      <c r="P104" s="43">
        <v>24.967600000000001</v>
      </c>
      <c r="Q104" s="43">
        <v>25.533000000000001</v>
      </c>
      <c r="R104" s="43">
        <v>26.142800000000001</v>
      </c>
      <c r="S104" s="43">
        <v>26.752600000000001</v>
      </c>
      <c r="T104" s="43">
        <v>27.362400000000001</v>
      </c>
      <c r="U104" s="43">
        <v>27.972200000000001</v>
      </c>
      <c r="V104" s="43">
        <v>28.582000000000001</v>
      </c>
      <c r="W104" s="43">
        <v>29.233000000000001</v>
      </c>
      <c r="X104" s="43">
        <v>29.884</v>
      </c>
      <c r="Y104" s="43">
        <v>30.535</v>
      </c>
      <c r="Z104" s="43">
        <v>31.186</v>
      </c>
      <c r="AA104" s="43">
        <v>31.837</v>
      </c>
      <c r="AB104" s="43">
        <v>32.526000000000003</v>
      </c>
      <c r="AC104" s="43">
        <v>33.215000000000003</v>
      </c>
      <c r="AD104" s="43">
        <v>33.904000000000003</v>
      </c>
      <c r="AE104" s="43">
        <v>34.593000000000004</v>
      </c>
      <c r="AF104" s="43">
        <v>35.281999999999996</v>
      </c>
      <c r="AG104" s="43">
        <v>35.994199999999999</v>
      </c>
      <c r="AH104" s="43">
        <v>36.706400000000002</v>
      </c>
      <c r="AI104" s="43">
        <v>37.418599999999998</v>
      </c>
      <c r="AJ104" s="43">
        <v>38.130800000000001</v>
      </c>
      <c r="AK104" s="43">
        <v>38.843000000000004</v>
      </c>
      <c r="AL104" s="43">
        <v>39.544600000000003</v>
      </c>
      <c r="AM104" s="43">
        <v>40.246200000000002</v>
      </c>
      <c r="AN104" s="43">
        <v>40.947800000000001</v>
      </c>
      <c r="AO104" s="43">
        <v>41.6494</v>
      </c>
      <c r="AP104" s="43">
        <v>42.350999999999999</v>
      </c>
      <c r="AQ104" s="43">
        <v>43.030799999999999</v>
      </c>
      <c r="AR104" s="43">
        <v>43.710599999999999</v>
      </c>
      <c r="AS104" s="43">
        <v>44.3904</v>
      </c>
      <c r="AT104" s="43">
        <v>45.0702</v>
      </c>
      <c r="AU104" s="43">
        <v>45.75</v>
      </c>
      <c r="AV104" s="43">
        <v>46.400199999999998</v>
      </c>
      <c r="AW104" s="43">
        <v>47.050400000000003</v>
      </c>
      <c r="AX104" s="43">
        <v>47.700600000000001</v>
      </c>
      <c r="AY104" s="43">
        <v>48.3508</v>
      </c>
      <c r="AZ104" s="43">
        <v>49.000999999999998</v>
      </c>
      <c r="BA104" s="43">
        <v>49.615200000000002</v>
      </c>
      <c r="BB104" s="43">
        <v>50.229399999999998</v>
      </c>
      <c r="BC104" s="43"/>
      <c r="BD104" s="44">
        <f t="shared" si="1"/>
        <v>26.066600000000001</v>
      </c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  <c r="BO104" s="44"/>
      <c r="BP104" s="44"/>
      <c r="BQ104" s="44"/>
      <c r="BR104" s="44"/>
      <c r="BS104" s="44"/>
      <c r="BT104" s="44"/>
      <c r="BU104" s="44"/>
      <c r="BV104" s="44"/>
      <c r="BW104" s="44"/>
      <c r="BX104" s="44"/>
      <c r="BY104" s="44"/>
      <c r="BZ104" s="44"/>
      <c r="CA104" s="44"/>
      <c r="CB104" s="42"/>
      <c r="CC104" s="42"/>
      <c r="CD104" s="42"/>
      <c r="CE104" s="42"/>
      <c r="CF104" s="42"/>
      <c r="CG104" s="42"/>
      <c r="CH104" s="42"/>
      <c r="CI104" s="42"/>
      <c r="CJ104" s="42"/>
      <c r="CK104" s="42"/>
      <c r="CL104" s="42"/>
      <c r="CM104" s="42"/>
    </row>
    <row r="105" spans="1:91">
      <c r="A105" s="41">
        <v>164</v>
      </c>
      <c r="B105" s="41" t="s">
        <v>51</v>
      </c>
      <c r="C105" s="43">
        <v>51.449599999999997</v>
      </c>
      <c r="D105" s="43">
        <v>52.979199999999999</v>
      </c>
      <c r="E105" s="43">
        <v>54.508800000000001</v>
      </c>
      <c r="F105" s="43">
        <v>56.038400000000003</v>
      </c>
      <c r="G105" s="43">
        <v>57.567999999999998</v>
      </c>
      <c r="H105" s="43">
        <v>59.133600000000001</v>
      </c>
      <c r="I105" s="43">
        <v>60.699199999999998</v>
      </c>
      <c r="J105" s="43">
        <v>62.264800000000001</v>
      </c>
      <c r="K105" s="43">
        <v>63.830399999999997</v>
      </c>
      <c r="L105" s="43">
        <v>65.396000000000001</v>
      </c>
      <c r="M105" s="43">
        <v>65.9542</v>
      </c>
      <c r="N105" s="43">
        <v>66.5124</v>
      </c>
      <c r="O105" s="43">
        <v>67.070599999999999</v>
      </c>
      <c r="P105" s="43">
        <v>67.628799999999998</v>
      </c>
      <c r="Q105" s="43">
        <v>68.186999999999998</v>
      </c>
      <c r="R105" s="43">
        <v>68.658600000000007</v>
      </c>
      <c r="S105" s="43">
        <v>69.130200000000002</v>
      </c>
      <c r="T105" s="43">
        <v>69.601799999999997</v>
      </c>
      <c r="U105" s="43">
        <v>70.073400000000007</v>
      </c>
      <c r="V105" s="43">
        <v>70.545000000000002</v>
      </c>
      <c r="W105" s="43">
        <v>70.697999999999993</v>
      </c>
      <c r="X105" s="43">
        <v>70.850999999999999</v>
      </c>
      <c r="Y105" s="43">
        <v>71.004000000000005</v>
      </c>
      <c r="Z105" s="43">
        <v>71.156999999999996</v>
      </c>
      <c r="AA105" s="43">
        <v>71.31</v>
      </c>
      <c r="AB105" s="43">
        <v>71.4392</v>
      </c>
      <c r="AC105" s="43">
        <v>71.568399999999997</v>
      </c>
      <c r="AD105" s="43">
        <v>71.697599999999994</v>
      </c>
      <c r="AE105" s="43">
        <v>71.826800000000006</v>
      </c>
      <c r="AF105" s="43">
        <v>71.956000000000003</v>
      </c>
      <c r="AG105" s="43">
        <v>72.317599999999999</v>
      </c>
      <c r="AH105" s="43">
        <v>72.679199999999994</v>
      </c>
      <c r="AI105" s="43">
        <v>73.040800000000004</v>
      </c>
      <c r="AJ105" s="43">
        <v>73.4024</v>
      </c>
      <c r="AK105" s="43">
        <v>73.763999999999996</v>
      </c>
      <c r="AL105" s="43">
        <v>74.227400000000003</v>
      </c>
      <c r="AM105" s="43">
        <v>74.690799999999996</v>
      </c>
      <c r="AN105" s="43">
        <v>75.154200000000003</v>
      </c>
      <c r="AO105" s="43">
        <v>75.617599999999996</v>
      </c>
      <c r="AP105" s="43">
        <v>76.081000000000003</v>
      </c>
      <c r="AQ105" s="43">
        <v>76.362799999999993</v>
      </c>
      <c r="AR105" s="43">
        <v>76.644599999999997</v>
      </c>
      <c r="AS105" s="43">
        <v>76.926400000000001</v>
      </c>
      <c r="AT105" s="43">
        <v>77.208200000000005</v>
      </c>
      <c r="AU105" s="43">
        <v>77.489999999999995</v>
      </c>
      <c r="AV105" s="43">
        <v>77.812399999999997</v>
      </c>
      <c r="AW105" s="43">
        <v>78.134799999999998</v>
      </c>
      <c r="AX105" s="43">
        <v>78.4572</v>
      </c>
      <c r="AY105" s="43">
        <v>78.779600000000002</v>
      </c>
      <c r="AZ105" s="43">
        <v>79.102000000000004</v>
      </c>
      <c r="BA105" s="43">
        <v>79.373999999999995</v>
      </c>
      <c r="BB105" s="43">
        <v>79.646000000000001</v>
      </c>
      <c r="BC105" s="43"/>
      <c r="BD105" s="44">
        <f t="shared" si="1"/>
        <v>66.024599999999992</v>
      </c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/>
      <c r="BR105" s="44"/>
      <c r="BS105" s="44"/>
      <c r="BT105" s="44"/>
      <c r="BU105" s="44"/>
      <c r="BV105" s="44"/>
      <c r="BW105" s="44"/>
      <c r="BX105" s="44"/>
      <c r="BY105" s="44"/>
      <c r="BZ105" s="44"/>
      <c r="CA105" s="44"/>
      <c r="CB105" s="42"/>
      <c r="CC105" s="42"/>
      <c r="CD105" s="42"/>
      <c r="CE105" s="42"/>
      <c r="CF105" s="42"/>
      <c r="CG105" s="42"/>
      <c r="CH105" s="42"/>
      <c r="CI105" s="42"/>
      <c r="CJ105" s="42"/>
      <c r="CK105" s="42"/>
      <c r="CL105" s="42"/>
      <c r="CM105" s="42"/>
    </row>
    <row r="106" spans="1:91">
      <c r="A106" s="41">
        <v>165</v>
      </c>
      <c r="B106" s="41" t="s">
        <v>50</v>
      </c>
      <c r="C106" s="43">
        <v>17.587599999999998</v>
      </c>
      <c r="D106" s="43">
        <v>18.775200000000002</v>
      </c>
      <c r="E106" s="43">
        <v>19.962800000000001</v>
      </c>
      <c r="F106" s="43">
        <v>21.150400000000001</v>
      </c>
      <c r="G106" s="43">
        <v>22.338000000000001</v>
      </c>
      <c r="H106" s="43">
        <v>23.8034</v>
      </c>
      <c r="I106" s="43">
        <v>25.268799999999999</v>
      </c>
      <c r="J106" s="43">
        <v>26.734200000000001</v>
      </c>
      <c r="K106" s="43">
        <v>28.1996</v>
      </c>
      <c r="L106" s="43">
        <v>29.664999999999999</v>
      </c>
      <c r="M106" s="43">
        <v>31.374600000000001</v>
      </c>
      <c r="N106" s="43">
        <v>33.084200000000003</v>
      </c>
      <c r="O106" s="43">
        <v>34.793799999999997</v>
      </c>
      <c r="P106" s="43">
        <v>36.503399999999999</v>
      </c>
      <c r="Q106" s="43">
        <v>38.213000000000001</v>
      </c>
      <c r="R106" s="43">
        <v>40.082799999999999</v>
      </c>
      <c r="S106" s="43">
        <v>41.952599999999997</v>
      </c>
      <c r="T106" s="43">
        <v>43.822400000000002</v>
      </c>
      <c r="U106" s="43">
        <v>45.6922</v>
      </c>
      <c r="V106" s="43">
        <v>47.561999999999998</v>
      </c>
      <c r="W106" s="43">
        <v>49.465400000000002</v>
      </c>
      <c r="X106" s="43">
        <v>51.3688</v>
      </c>
      <c r="Y106" s="43">
        <v>53.272199999999998</v>
      </c>
      <c r="Z106" s="43">
        <v>55.175600000000003</v>
      </c>
      <c r="AA106" s="43">
        <v>57.079000000000001</v>
      </c>
      <c r="AB106" s="43">
        <v>58.883600000000001</v>
      </c>
      <c r="AC106" s="43">
        <v>60.688200000000002</v>
      </c>
      <c r="AD106" s="43">
        <v>62.492800000000003</v>
      </c>
      <c r="AE106" s="43">
        <v>64.297399999999996</v>
      </c>
      <c r="AF106" s="43">
        <v>66.102000000000004</v>
      </c>
      <c r="AG106" s="43">
        <v>67.215400000000002</v>
      </c>
      <c r="AH106" s="43">
        <v>68.328800000000001</v>
      </c>
      <c r="AI106" s="43">
        <v>69.4422</v>
      </c>
      <c r="AJ106" s="43">
        <v>70.555599999999998</v>
      </c>
      <c r="AK106" s="43">
        <v>71.668999999999997</v>
      </c>
      <c r="AL106" s="43">
        <v>71.649000000000001</v>
      </c>
      <c r="AM106" s="43">
        <v>71.629000000000005</v>
      </c>
      <c r="AN106" s="43">
        <v>71.608999999999995</v>
      </c>
      <c r="AO106" s="43">
        <v>71.588999999999999</v>
      </c>
      <c r="AP106" s="43">
        <v>71.569000000000003</v>
      </c>
      <c r="AQ106" s="43">
        <v>71.636600000000001</v>
      </c>
      <c r="AR106" s="43">
        <v>71.7042</v>
      </c>
      <c r="AS106" s="43">
        <v>71.771799999999999</v>
      </c>
      <c r="AT106" s="43">
        <v>71.839399999999998</v>
      </c>
      <c r="AU106" s="43">
        <v>71.906999999999996</v>
      </c>
      <c r="AV106" s="43">
        <v>72.163200000000003</v>
      </c>
      <c r="AW106" s="43">
        <v>72.419399999999996</v>
      </c>
      <c r="AX106" s="43">
        <v>72.675600000000003</v>
      </c>
      <c r="AY106" s="43">
        <v>72.931799999999996</v>
      </c>
      <c r="AZ106" s="43">
        <v>73.188000000000002</v>
      </c>
      <c r="BA106" s="43">
        <v>73.440399999999997</v>
      </c>
      <c r="BB106" s="43">
        <v>73.692800000000005</v>
      </c>
      <c r="BC106" s="43"/>
      <c r="BD106" s="44">
        <f t="shared" si="1"/>
        <v>40.179700000000004</v>
      </c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  <c r="CB106" s="42"/>
      <c r="CC106" s="42"/>
      <c r="CD106" s="42"/>
      <c r="CE106" s="42"/>
      <c r="CF106" s="42"/>
      <c r="CG106" s="42"/>
      <c r="CH106" s="42"/>
      <c r="CI106" s="42"/>
      <c r="CJ106" s="42"/>
      <c r="CK106" s="42"/>
      <c r="CL106" s="42"/>
      <c r="CM106" s="42"/>
    </row>
    <row r="107" spans="1:91">
      <c r="A107" s="41">
        <v>166</v>
      </c>
      <c r="B107" s="41" t="s">
        <v>49</v>
      </c>
      <c r="C107" s="43">
        <v>22.385400000000001</v>
      </c>
      <c r="D107" s="43">
        <v>22.666799999999999</v>
      </c>
      <c r="E107" s="43">
        <v>22.9482</v>
      </c>
      <c r="F107" s="43">
        <v>23.229600000000001</v>
      </c>
      <c r="G107" s="43">
        <v>23.510999999999999</v>
      </c>
      <c r="H107" s="43">
        <v>23.772200000000002</v>
      </c>
      <c r="I107" s="43">
        <v>24.0334</v>
      </c>
      <c r="J107" s="43">
        <v>24.294599999999999</v>
      </c>
      <c r="K107" s="43">
        <v>24.555800000000001</v>
      </c>
      <c r="L107" s="43">
        <v>24.817</v>
      </c>
      <c r="M107" s="43">
        <v>25.1218</v>
      </c>
      <c r="N107" s="43">
        <v>25.426600000000001</v>
      </c>
      <c r="O107" s="43">
        <v>25.731400000000001</v>
      </c>
      <c r="P107" s="43">
        <v>26.036200000000001</v>
      </c>
      <c r="Q107" s="43">
        <v>26.341000000000001</v>
      </c>
      <c r="R107" s="43">
        <v>26.686</v>
      </c>
      <c r="S107" s="43">
        <v>27.030999999999999</v>
      </c>
      <c r="T107" s="43">
        <v>27.376000000000001</v>
      </c>
      <c r="U107" s="43">
        <v>27.721</v>
      </c>
      <c r="V107" s="43">
        <v>28.065999999999999</v>
      </c>
      <c r="W107" s="43">
        <v>28.3216</v>
      </c>
      <c r="X107" s="43">
        <v>28.577200000000001</v>
      </c>
      <c r="Y107" s="43">
        <v>28.832799999999999</v>
      </c>
      <c r="Z107" s="43">
        <v>29.0884</v>
      </c>
      <c r="AA107" s="43">
        <v>29.344000000000001</v>
      </c>
      <c r="AB107" s="43">
        <v>29.590399999999999</v>
      </c>
      <c r="AC107" s="43">
        <v>29.8368</v>
      </c>
      <c r="AD107" s="43">
        <v>30.083200000000001</v>
      </c>
      <c r="AE107" s="43">
        <v>30.329599999999999</v>
      </c>
      <c r="AF107" s="43">
        <v>30.576000000000001</v>
      </c>
      <c r="AG107" s="43">
        <v>30.827999999999999</v>
      </c>
      <c r="AH107" s="43">
        <v>31.08</v>
      </c>
      <c r="AI107" s="43">
        <v>31.332000000000001</v>
      </c>
      <c r="AJ107" s="43">
        <v>31.584</v>
      </c>
      <c r="AK107" s="43">
        <v>31.835999999999999</v>
      </c>
      <c r="AL107" s="43">
        <v>32.096400000000003</v>
      </c>
      <c r="AM107" s="43">
        <v>32.3568</v>
      </c>
      <c r="AN107" s="43">
        <v>32.617199999999997</v>
      </c>
      <c r="AO107" s="43">
        <v>32.877600000000001</v>
      </c>
      <c r="AP107" s="43">
        <v>33.137999999999998</v>
      </c>
      <c r="AQ107" s="43">
        <v>33.406599999999997</v>
      </c>
      <c r="AR107" s="43">
        <v>33.675199999999997</v>
      </c>
      <c r="AS107" s="43">
        <v>33.943800000000003</v>
      </c>
      <c r="AT107" s="43">
        <v>34.212400000000002</v>
      </c>
      <c r="AU107" s="43">
        <v>34.481000000000002</v>
      </c>
      <c r="AV107" s="43">
        <v>34.761200000000002</v>
      </c>
      <c r="AW107" s="43">
        <v>35.041400000000003</v>
      </c>
      <c r="AX107" s="43">
        <v>35.321599999999997</v>
      </c>
      <c r="AY107" s="43">
        <v>35.601799999999997</v>
      </c>
      <c r="AZ107" s="43">
        <v>35.881999999999998</v>
      </c>
      <c r="BA107" s="43">
        <v>36.215600000000002</v>
      </c>
      <c r="BB107" s="43">
        <v>36.549199999999999</v>
      </c>
      <c r="BC107" s="43"/>
      <c r="BD107" s="44">
        <f t="shared" si="1"/>
        <v>26.544366666666672</v>
      </c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/>
      <c r="BR107" s="44"/>
      <c r="BS107" s="44"/>
      <c r="BT107" s="44"/>
      <c r="BU107" s="44"/>
      <c r="BV107" s="44"/>
      <c r="BW107" s="44"/>
      <c r="BX107" s="44"/>
      <c r="BY107" s="44"/>
      <c r="BZ107" s="44"/>
      <c r="CA107" s="44"/>
      <c r="CB107" s="42"/>
      <c r="CC107" s="42"/>
      <c r="CD107" s="42"/>
      <c r="CE107" s="42"/>
      <c r="CF107" s="42"/>
      <c r="CG107" s="42"/>
      <c r="CH107" s="42"/>
      <c r="CI107" s="42"/>
      <c r="CJ107" s="42"/>
      <c r="CK107" s="42"/>
      <c r="CL107" s="42"/>
      <c r="CM107" s="42"/>
    </row>
    <row r="108" spans="1:91">
      <c r="A108" s="41">
        <v>168</v>
      </c>
      <c r="B108" s="41" t="s">
        <v>48</v>
      </c>
      <c r="M108" s="40" t="s">
        <v>246</v>
      </c>
      <c r="BD108" s="44" t="e">
        <f t="shared" si="1"/>
        <v>#DIV/0!</v>
      </c>
    </row>
    <row r="109" spans="1:91">
      <c r="A109" s="41">
        <v>169</v>
      </c>
      <c r="B109" s="41" t="s">
        <v>47</v>
      </c>
      <c r="C109" s="43">
        <v>41.885399999999997</v>
      </c>
      <c r="D109" s="43">
        <v>42.521799999999999</v>
      </c>
      <c r="E109" s="43">
        <v>43.158200000000001</v>
      </c>
      <c r="F109" s="43">
        <v>43.794600000000003</v>
      </c>
      <c r="G109" s="43">
        <v>44.430999999999997</v>
      </c>
      <c r="H109" s="43">
        <v>45.072800000000001</v>
      </c>
      <c r="I109" s="43">
        <v>45.714599999999997</v>
      </c>
      <c r="J109" s="43">
        <v>46.356400000000001</v>
      </c>
      <c r="K109" s="43">
        <v>46.998199999999997</v>
      </c>
      <c r="L109" s="43">
        <v>47.64</v>
      </c>
      <c r="M109" s="43">
        <v>47.919600000000003</v>
      </c>
      <c r="N109" s="43">
        <v>48.199199999999998</v>
      </c>
      <c r="O109" s="43">
        <v>48.4788</v>
      </c>
      <c r="P109" s="43">
        <v>48.758400000000002</v>
      </c>
      <c r="Q109" s="43">
        <v>49.037999999999997</v>
      </c>
      <c r="R109" s="43">
        <v>49.319600000000001</v>
      </c>
      <c r="S109" s="43">
        <v>49.601199999999999</v>
      </c>
      <c r="T109" s="43">
        <v>49.882800000000003</v>
      </c>
      <c r="U109" s="43">
        <v>50.164400000000001</v>
      </c>
      <c r="V109" s="43">
        <v>50.445999999999998</v>
      </c>
      <c r="W109" s="43">
        <v>50.776200000000003</v>
      </c>
      <c r="X109" s="43">
        <v>51.106400000000001</v>
      </c>
      <c r="Y109" s="43">
        <v>51.436599999999999</v>
      </c>
      <c r="Z109" s="43">
        <v>51.766800000000003</v>
      </c>
      <c r="AA109" s="43">
        <v>52.097000000000001</v>
      </c>
      <c r="AB109" s="43">
        <v>52.450800000000001</v>
      </c>
      <c r="AC109" s="43">
        <v>52.804600000000001</v>
      </c>
      <c r="AD109" s="43">
        <v>53.1584</v>
      </c>
      <c r="AE109" s="43">
        <v>53.5122</v>
      </c>
      <c r="AF109" s="43">
        <v>53.866</v>
      </c>
      <c r="AG109" s="43">
        <v>55.087600000000002</v>
      </c>
      <c r="AH109" s="43">
        <v>56.309199999999997</v>
      </c>
      <c r="AI109" s="43">
        <v>57.530799999999999</v>
      </c>
      <c r="AJ109" s="43">
        <v>58.752400000000002</v>
      </c>
      <c r="AK109" s="43">
        <v>59.973999999999997</v>
      </c>
      <c r="AL109" s="43">
        <v>61.136600000000001</v>
      </c>
      <c r="AM109" s="43">
        <v>62.299199999999999</v>
      </c>
      <c r="AN109" s="43">
        <v>63.461799999999997</v>
      </c>
      <c r="AO109" s="43">
        <v>64.624399999999994</v>
      </c>
      <c r="AP109" s="43">
        <v>65.787000000000006</v>
      </c>
      <c r="AQ109" s="43">
        <v>66.777799999999999</v>
      </c>
      <c r="AR109" s="43">
        <v>67.768600000000006</v>
      </c>
      <c r="AS109" s="43">
        <v>68.759399999999999</v>
      </c>
      <c r="AT109" s="43">
        <v>69.750200000000007</v>
      </c>
      <c r="AU109" s="43">
        <v>70.741</v>
      </c>
      <c r="AV109" s="43">
        <v>71.515000000000001</v>
      </c>
      <c r="AW109" s="43">
        <v>72.289000000000001</v>
      </c>
      <c r="AX109" s="43">
        <v>73.063000000000002</v>
      </c>
      <c r="AY109" s="43">
        <v>73.837000000000003</v>
      </c>
      <c r="AZ109" s="43">
        <v>74.611000000000004</v>
      </c>
      <c r="BA109" s="43">
        <v>75.197199999999995</v>
      </c>
      <c r="BB109" s="43">
        <v>75.7834</v>
      </c>
      <c r="BC109" s="43"/>
      <c r="BD109" s="44">
        <f t="shared" si="1"/>
        <v>48.745199999999997</v>
      </c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44"/>
      <c r="BR109" s="44"/>
      <c r="BS109" s="44"/>
      <c r="BT109" s="44"/>
      <c r="BU109" s="44"/>
      <c r="BV109" s="44"/>
      <c r="BW109" s="44"/>
      <c r="BX109" s="44"/>
      <c r="BY109" s="44"/>
      <c r="BZ109" s="44"/>
      <c r="CA109" s="44"/>
      <c r="CB109" s="42"/>
      <c r="CC109" s="42"/>
      <c r="CD109" s="42"/>
      <c r="CE109" s="42"/>
      <c r="CF109" s="42"/>
      <c r="CG109" s="42"/>
      <c r="CH109" s="42"/>
      <c r="CI109" s="42"/>
      <c r="CJ109" s="42"/>
      <c r="CK109" s="42"/>
      <c r="CL109" s="42"/>
      <c r="CM109" s="42"/>
    </row>
    <row r="110" spans="1:91">
      <c r="A110" s="41">
        <v>170</v>
      </c>
      <c r="B110" s="41" t="s">
        <v>46</v>
      </c>
      <c r="C110" s="43">
        <v>4.0739999999999998</v>
      </c>
      <c r="D110" s="43">
        <v>4.423</v>
      </c>
      <c r="E110" s="43">
        <v>4.7720000000000002</v>
      </c>
      <c r="F110" s="43">
        <v>5.1210000000000004</v>
      </c>
      <c r="G110" s="43">
        <v>5.47</v>
      </c>
      <c r="H110" s="43">
        <v>6.3352000000000004</v>
      </c>
      <c r="I110" s="43">
        <v>7.2004000000000001</v>
      </c>
      <c r="J110" s="43">
        <v>8.0655999999999999</v>
      </c>
      <c r="K110" s="43">
        <v>8.9307999999999996</v>
      </c>
      <c r="L110" s="43">
        <v>9.7959999999999994</v>
      </c>
      <c r="M110" s="43">
        <v>10.222799999999999</v>
      </c>
      <c r="N110" s="43">
        <v>10.6496</v>
      </c>
      <c r="O110" s="43">
        <v>11.0764</v>
      </c>
      <c r="P110" s="43">
        <v>11.5032</v>
      </c>
      <c r="Q110" s="43">
        <v>11.93</v>
      </c>
      <c r="R110" s="43">
        <v>12.1534</v>
      </c>
      <c r="S110" s="43">
        <v>12.376799999999999</v>
      </c>
      <c r="T110" s="43">
        <v>12.600199999999999</v>
      </c>
      <c r="U110" s="43">
        <v>12.823600000000001</v>
      </c>
      <c r="V110" s="43">
        <v>13.047000000000001</v>
      </c>
      <c r="W110" s="43">
        <v>13.2372</v>
      </c>
      <c r="X110" s="43">
        <v>13.4274</v>
      </c>
      <c r="Y110" s="43">
        <v>13.617599999999999</v>
      </c>
      <c r="Z110" s="43">
        <v>13.8078</v>
      </c>
      <c r="AA110" s="43">
        <v>13.997999999999999</v>
      </c>
      <c r="AB110" s="43">
        <v>14.1972</v>
      </c>
      <c r="AC110" s="43">
        <v>14.3964</v>
      </c>
      <c r="AD110" s="43">
        <v>14.595599999999999</v>
      </c>
      <c r="AE110" s="43">
        <v>14.7948</v>
      </c>
      <c r="AF110" s="43">
        <v>14.994</v>
      </c>
      <c r="AG110" s="43">
        <v>14.811400000000001</v>
      </c>
      <c r="AH110" s="43">
        <v>14.6288</v>
      </c>
      <c r="AI110" s="43">
        <v>14.446199999999999</v>
      </c>
      <c r="AJ110" s="43">
        <v>14.2636</v>
      </c>
      <c r="AK110" s="43">
        <v>14.081</v>
      </c>
      <c r="AL110" s="43">
        <v>13.9056</v>
      </c>
      <c r="AM110" s="43">
        <v>13.7302</v>
      </c>
      <c r="AN110" s="43">
        <v>13.5548</v>
      </c>
      <c r="AO110" s="43">
        <v>13.3794</v>
      </c>
      <c r="AP110" s="43">
        <v>13.204000000000001</v>
      </c>
      <c r="AQ110" s="43">
        <v>13.076599999999999</v>
      </c>
      <c r="AR110" s="43">
        <v>12.949199999999999</v>
      </c>
      <c r="AS110" s="43">
        <v>12.8218</v>
      </c>
      <c r="AT110" s="43">
        <v>12.6944</v>
      </c>
      <c r="AU110" s="43">
        <v>12.567</v>
      </c>
      <c r="AV110" s="43">
        <v>12.54</v>
      </c>
      <c r="AW110" s="43">
        <v>12.513</v>
      </c>
      <c r="AX110" s="43">
        <v>12.486000000000001</v>
      </c>
      <c r="AY110" s="43">
        <v>12.459</v>
      </c>
      <c r="AZ110" s="43">
        <v>12.432</v>
      </c>
      <c r="BA110" s="43">
        <v>12.5022</v>
      </c>
      <c r="BB110" s="43">
        <v>12.5724</v>
      </c>
      <c r="BC110" s="43"/>
      <c r="BD110" s="44">
        <f t="shared" si="1"/>
        <v>10.787900000000002</v>
      </c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/>
      <c r="BR110" s="44"/>
      <c r="BS110" s="44"/>
      <c r="BT110" s="44"/>
      <c r="BU110" s="44"/>
      <c r="BV110" s="44"/>
      <c r="BW110" s="44"/>
      <c r="BX110" s="44"/>
      <c r="BY110" s="44"/>
      <c r="BZ110" s="44"/>
      <c r="CA110" s="44"/>
      <c r="CB110" s="42"/>
      <c r="CC110" s="42"/>
      <c r="CD110" s="42"/>
      <c r="CE110" s="42"/>
      <c r="CF110" s="42"/>
      <c r="CG110" s="42"/>
      <c r="CH110" s="42"/>
      <c r="CI110" s="42"/>
      <c r="CJ110" s="42"/>
      <c r="CK110" s="42"/>
      <c r="CL110" s="42"/>
      <c r="CM110" s="42"/>
    </row>
    <row r="111" spans="1:91">
      <c r="A111" s="41">
        <v>171</v>
      </c>
      <c r="B111" s="41" t="s">
        <v>45</v>
      </c>
      <c r="C111" s="43">
        <v>35.703800000000001</v>
      </c>
      <c r="D111" s="43">
        <v>35.8386</v>
      </c>
      <c r="E111" s="43">
        <v>35.973399999999998</v>
      </c>
      <c r="F111" s="43">
        <v>36.108199999999997</v>
      </c>
      <c r="G111" s="43">
        <v>36.243000000000002</v>
      </c>
      <c r="H111" s="43">
        <v>36.407400000000003</v>
      </c>
      <c r="I111" s="43">
        <v>36.571800000000003</v>
      </c>
      <c r="J111" s="43">
        <v>36.736199999999997</v>
      </c>
      <c r="K111" s="43">
        <v>36.900599999999997</v>
      </c>
      <c r="L111" s="43">
        <v>37.064999999999998</v>
      </c>
      <c r="M111" s="43">
        <v>37.4482</v>
      </c>
      <c r="N111" s="43">
        <v>37.831400000000002</v>
      </c>
      <c r="O111" s="43">
        <v>38.214599999999997</v>
      </c>
      <c r="P111" s="43">
        <v>38.597799999999999</v>
      </c>
      <c r="Q111" s="43">
        <v>38.981000000000002</v>
      </c>
      <c r="R111" s="43">
        <v>39.522399999999998</v>
      </c>
      <c r="S111" s="43">
        <v>40.063800000000001</v>
      </c>
      <c r="T111" s="43">
        <v>40.605200000000004</v>
      </c>
      <c r="U111" s="43">
        <v>41.146599999999999</v>
      </c>
      <c r="V111" s="43">
        <v>41.688000000000002</v>
      </c>
      <c r="W111" s="43">
        <v>42.347000000000001</v>
      </c>
      <c r="X111" s="43">
        <v>43.006</v>
      </c>
      <c r="Y111" s="43">
        <v>43.664999999999999</v>
      </c>
      <c r="Z111" s="43">
        <v>44.323999999999998</v>
      </c>
      <c r="AA111" s="43">
        <v>44.982999999999997</v>
      </c>
      <c r="AB111" s="43">
        <v>45.725200000000001</v>
      </c>
      <c r="AC111" s="43">
        <v>46.467399999999998</v>
      </c>
      <c r="AD111" s="43">
        <v>47.209600000000002</v>
      </c>
      <c r="AE111" s="43">
        <v>47.951799999999999</v>
      </c>
      <c r="AF111" s="43">
        <v>48.694000000000003</v>
      </c>
      <c r="AG111" s="43">
        <v>49.381399999999999</v>
      </c>
      <c r="AH111" s="43">
        <v>50.068800000000003</v>
      </c>
      <c r="AI111" s="43">
        <v>50.7562</v>
      </c>
      <c r="AJ111" s="43">
        <v>51.443600000000004</v>
      </c>
      <c r="AK111" s="43">
        <v>52.131</v>
      </c>
      <c r="AL111" s="43">
        <v>52.771000000000001</v>
      </c>
      <c r="AM111" s="43">
        <v>53.411000000000001</v>
      </c>
      <c r="AN111" s="43">
        <v>54.051000000000002</v>
      </c>
      <c r="AO111" s="43">
        <v>54.691000000000003</v>
      </c>
      <c r="AP111" s="43">
        <v>55.331000000000003</v>
      </c>
      <c r="AQ111" s="43">
        <v>55.957799999999999</v>
      </c>
      <c r="AR111" s="43">
        <v>56.584600000000002</v>
      </c>
      <c r="AS111" s="43">
        <v>57.211399999999998</v>
      </c>
      <c r="AT111" s="43">
        <v>57.838200000000001</v>
      </c>
      <c r="AU111" s="43">
        <v>58.465000000000003</v>
      </c>
      <c r="AV111" s="43">
        <v>59.046799999999998</v>
      </c>
      <c r="AW111" s="43">
        <v>59.628599999999999</v>
      </c>
      <c r="AX111" s="43">
        <v>60.2104</v>
      </c>
      <c r="AY111" s="43">
        <v>60.792200000000001</v>
      </c>
      <c r="AZ111" s="43">
        <v>61.374000000000002</v>
      </c>
      <c r="BA111" s="43">
        <v>61.904800000000002</v>
      </c>
      <c r="BB111" s="43">
        <v>62.435600000000001</v>
      </c>
      <c r="BC111" s="43"/>
      <c r="BD111" s="44">
        <f t="shared" si="1"/>
        <v>40.400666666666652</v>
      </c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/>
      <c r="BR111" s="44"/>
      <c r="BS111" s="44"/>
      <c r="BT111" s="44"/>
      <c r="BU111" s="44"/>
      <c r="BV111" s="44"/>
      <c r="BW111" s="44"/>
      <c r="BX111" s="44"/>
      <c r="BY111" s="44"/>
      <c r="BZ111" s="44"/>
      <c r="CA111" s="44"/>
      <c r="CB111" s="42"/>
      <c r="CC111" s="42"/>
      <c r="CD111" s="42"/>
      <c r="CE111" s="42"/>
      <c r="CF111" s="42"/>
      <c r="CG111" s="42"/>
      <c r="CH111" s="42"/>
      <c r="CI111" s="42"/>
      <c r="CJ111" s="42"/>
      <c r="CK111" s="42"/>
      <c r="CL111" s="42"/>
      <c r="CM111" s="42"/>
    </row>
    <row r="112" spans="1:91">
      <c r="A112" s="41">
        <v>172</v>
      </c>
      <c r="B112" s="41" t="s">
        <v>44</v>
      </c>
      <c r="C112" s="43">
        <v>47.822400000000002</v>
      </c>
      <c r="D112" s="43">
        <v>48.833799999999997</v>
      </c>
      <c r="E112" s="43">
        <v>49.845199999999998</v>
      </c>
      <c r="F112" s="43">
        <v>50.8566</v>
      </c>
      <c r="G112" s="43">
        <v>51.868000000000002</v>
      </c>
      <c r="H112" s="43">
        <v>52.9756</v>
      </c>
      <c r="I112" s="43">
        <v>54.083199999999998</v>
      </c>
      <c r="J112" s="43">
        <v>55.190800000000003</v>
      </c>
      <c r="K112" s="43">
        <v>56.298400000000001</v>
      </c>
      <c r="L112" s="43">
        <v>57.405999999999999</v>
      </c>
      <c r="M112" s="43">
        <v>58.216999999999999</v>
      </c>
      <c r="N112" s="43">
        <v>59.027999999999999</v>
      </c>
      <c r="O112" s="43">
        <v>59.838999999999999</v>
      </c>
      <c r="P112" s="43">
        <v>60.65</v>
      </c>
      <c r="Q112" s="43">
        <v>61.460999999999999</v>
      </c>
      <c r="R112" s="43">
        <v>62.083599999999997</v>
      </c>
      <c r="S112" s="43">
        <v>62.706200000000003</v>
      </c>
      <c r="T112" s="43">
        <v>63.328800000000001</v>
      </c>
      <c r="U112" s="43">
        <v>63.9514</v>
      </c>
      <c r="V112" s="43">
        <v>64.573999999999998</v>
      </c>
      <c r="W112" s="43">
        <v>65.031999999999996</v>
      </c>
      <c r="X112" s="43">
        <v>65.489999999999995</v>
      </c>
      <c r="Y112" s="43">
        <v>65.947999999999993</v>
      </c>
      <c r="Z112" s="43">
        <v>66.406000000000006</v>
      </c>
      <c r="AA112" s="43">
        <v>66.864000000000004</v>
      </c>
      <c r="AB112" s="43">
        <v>67.2714</v>
      </c>
      <c r="AC112" s="43">
        <v>67.678799999999995</v>
      </c>
      <c r="AD112" s="43">
        <v>68.086200000000005</v>
      </c>
      <c r="AE112" s="43">
        <v>68.493600000000001</v>
      </c>
      <c r="AF112" s="43">
        <v>68.900999999999996</v>
      </c>
      <c r="AG112" s="43">
        <v>69.311000000000007</v>
      </c>
      <c r="AH112" s="43">
        <v>69.721000000000004</v>
      </c>
      <c r="AI112" s="43">
        <v>70.131</v>
      </c>
      <c r="AJ112" s="43">
        <v>70.540999999999997</v>
      </c>
      <c r="AK112" s="43">
        <v>70.950999999999993</v>
      </c>
      <c r="AL112" s="43">
        <v>71.369200000000006</v>
      </c>
      <c r="AM112" s="43">
        <v>71.787400000000005</v>
      </c>
      <c r="AN112" s="43">
        <v>72.205600000000004</v>
      </c>
      <c r="AO112" s="43">
        <v>72.623800000000003</v>
      </c>
      <c r="AP112" s="43">
        <v>73.042000000000002</v>
      </c>
      <c r="AQ112" s="43">
        <v>73.440399999999997</v>
      </c>
      <c r="AR112" s="43">
        <v>73.838800000000006</v>
      </c>
      <c r="AS112" s="43">
        <v>74.237200000000001</v>
      </c>
      <c r="AT112" s="43">
        <v>74.635599999999997</v>
      </c>
      <c r="AU112" s="43">
        <v>75.034000000000006</v>
      </c>
      <c r="AV112" s="43">
        <v>75.409400000000005</v>
      </c>
      <c r="AW112" s="43">
        <v>75.784800000000004</v>
      </c>
      <c r="AX112" s="43">
        <v>76.160200000000003</v>
      </c>
      <c r="AY112" s="43">
        <v>76.535600000000002</v>
      </c>
      <c r="AZ112" s="43">
        <v>76.911000000000001</v>
      </c>
      <c r="BA112" s="43">
        <v>77.244</v>
      </c>
      <c r="BB112" s="43">
        <v>77.576999999999998</v>
      </c>
      <c r="BC112" s="43"/>
      <c r="BD112" s="44">
        <f t="shared" si="1"/>
        <v>60.373000000000005</v>
      </c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44"/>
      <c r="BR112" s="44"/>
      <c r="BS112" s="44"/>
      <c r="BT112" s="44"/>
      <c r="BU112" s="44"/>
      <c r="BV112" s="44"/>
      <c r="BW112" s="44"/>
      <c r="BX112" s="44"/>
      <c r="BY112" s="44"/>
      <c r="BZ112" s="44"/>
      <c r="CA112" s="44"/>
      <c r="CB112" s="42"/>
      <c r="CC112" s="42"/>
      <c r="CD112" s="42"/>
      <c r="CE112" s="42"/>
      <c r="CF112" s="42"/>
      <c r="CG112" s="42"/>
      <c r="CH112" s="42"/>
      <c r="CI112" s="42"/>
      <c r="CJ112" s="42"/>
      <c r="CK112" s="42"/>
      <c r="CL112" s="42"/>
      <c r="CM112" s="42"/>
    </row>
    <row r="113" spans="1:91">
      <c r="A113" s="41">
        <v>173</v>
      </c>
      <c r="B113" s="41" t="s">
        <v>43</v>
      </c>
      <c r="C113" s="43">
        <v>30.558399999999999</v>
      </c>
      <c r="D113" s="43">
        <v>30.819800000000001</v>
      </c>
      <c r="E113" s="43">
        <v>31.081199999999999</v>
      </c>
      <c r="F113" s="43">
        <v>31.342600000000001</v>
      </c>
      <c r="G113" s="43">
        <v>31.603999999999999</v>
      </c>
      <c r="H113" s="43">
        <v>31.879000000000001</v>
      </c>
      <c r="I113" s="43">
        <v>32.154000000000003</v>
      </c>
      <c r="J113" s="43">
        <v>32.429000000000002</v>
      </c>
      <c r="K113" s="43">
        <v>32.704000000000001</v>
      </c>
      <c r="L113" s="43">
        <v>32.978999999999999</v>
      </c>
      <c r="M113" s="43">
        <v>33.495199999999997</v>
      </c>
      <c r="N113" s="43">
        <v>34.011400000000002</v>
      </c>
      <c r="O113" s="43">
        <v>34.5276</v>
      </c>
      <c r="P113" s="43">
        <v>35.043799999999997</v>
      </c>
      <c r="Q113" s="43">
        <v>35.56</v>
      </c>
      <c r="R113" s="43">
        <v>35.944200000000002</v>
      </c>
      <c r="S113" s="43">
        <v>36.328400000000002</v>
      </c>
      <c r="T113" s="43">
        <v>36.712600000000002</v>
      </c>
      <c r="U113" s="43">
        <v>37.096800000000002</v>
      </c>
      <c r="V113" s="43">
        <v>37.481000000000002</v>
      </c>
      <c r="W113" s="43">
        <v>38.594000000000001</v>
      </c>
      <c r="X113" s="43">
        <v>39.707000000000001</v>
      </c>
      <c r="Y113" s="43">
        <v>40.82</v>
      </c>
      <c r="Z113" s="43">
        <v>41.933</v>
      </c>
      <c r="AA113" s="43">
        <v>43.045999999999999</v>
      </c>
      <c r="AB113" s="43">
        <v>44.154800000000002</v>
      </c>
      <c r="AC113" s="43">
        <v>45.263599999999997</v>
      </c>
      <c r="AD113" s="43">
        <v>46.372399999999999</v>
      </c>
      <c r="AE113" s="43">
        <v>47.481200000000001</v>
      </c>
      <c r="AF113" s="43">
        <v>48.59</v>
      </c>
      <c r="AG113" s="43">
        <v>48.53</v>
      </c>
      <c r="AH113" s="43">
        <v>48.47</v>
      </c>
      <c r="AI113" s="43">
        <v>48.41</v>
      </c>
      <c r="AJ113" s="43">
        <v>48.35</v>
      </c>
      <c r="AK113" s="43">
        <v>48.29</v>
      </c>
      <c r="AL113" s="43">
        <v>48.23</v>
      </c>
      <c r="AM113" s="43">
        <v>48.17</v>
      </c>
      <c r="AN113" s="43">
        <v>48.11</v>
      </c>
      <c r="AO113" s="43">
        <v>48.05</v>
      </c>
      <c r="AP113" s="43">
        <v>47.99</v>
      </c>
      <c r="AQ113" s="43">
        <v>47.998600000000003</v>
      </c>
      <c r="AR113" s="43">
        <v>48.007199999999997</v>
      </c>
      <c r="AS113" s="43">
        <v>48.015799999999999</v>
      </c>
      <c r="AT113" s="43">
        <v>48.0244</v>
      </c>
      <c r="AU113" s="43">
        <v>48.033000000000001</v>
      </c>
      <c r="AV113" s="43">
        <v>48.155999999999999</v>
      </c>
      <c r="AW113" s="43">
        <v>48.279000000000003</v>
      </c>
      <c r="AX113" s="43">
        <v>48.402000000000001</v>
      </c>
      <c r="AY113" s="43">
        <v>48.524999999999999</v>
      </c>
      <c r="AZ113" s="43">
        <v>48.648000000000003</v>
      </c>
      <c r="BA113" s="43">
        <v>48.885599999999997</v>
      </c>
      <c r="BB113" s="43">
        <v>49.123199999999997</v>
      </c>
      <c r="BC113" s="43"/>
      <c r="BD113" s="44">
        <f t="shared" si="1"/>
        <v>36.990466666666663</v>
      </c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44"/>
      <c r="BR113" s="44"/>
      <c r="BS113" s="44"/>
      <c r="BT113" s="44"/>
      <c r="BU113" s="44"/>
      <c r="BV113" s="44"/>
      <c r="BW113" s="44"/>
      <c r="BX113" s="44"/>
      <c r="BY113" s="44"/>
      <c r="BZ113" s="44"/>
      <c r="CA113" s="44"/>
      <c r="CB113" s="42"/>
      <c r="CC113" s="42"/>
      <c r="CD113" s="42"/>
      <c r="CE113" s="42"/>
      <c r="CF113" s="42"/>
      <c r="CG113" s="42"/>
      <c r="CH113" s="42"/>
      <c r="CI113" s="42"/>
      <c r="CJ113" s="42"/>
      <c r="CK113" s="42"/>
      <c r="CL113" s="42"/>
      <c r="CM113" s="42"/>
    </row>
    <row r="114" spans="1:91">
      <c r="A114" s="41">
        <v>175</v>
      </c>
      <c r="B114" s="41" t="s">
        <v>42</v>
      </c>
      <c r="C114" s="43">
        <v>48.338799999999999</v>
      </c>
      <c r="D114" s="43">
        <v>48.785600000000002</v>
      </c>
      <c r="E114" s="43">
        <v>49.232399999999998</v>
      </c>
      <c r="F114" s="43">
        <v>49.679200000000002</v>
      </c>
      <c r="G114" s="43">
        <v>50.125999999999998</v>
      </c>
      <c r="H114" s="43">
        <v>50.525799999999997</v>
      </c>
      <c r="I114" s="43">
        <v>50.925600000000003</v>
      </c>
      <c r="J114" s="43">
        <v>51.325400000000002</v>
      </c>
      <c r="K114" s="43">
        <v>51.725200000000001</v>
      </c>
      <c r="L114" s="43">
        <v>52.125</v>
      </c>
      <c r="M114" s="43">
        <v>52.756</v>
      </c>
      <c r="N114" s="43">
        <v>53.387</v>
      </c>
      <c r="O114" s="43">
        <v>54.018000000000001</v>
      </c>
      <c r="P114" s="43">
        <v>54.649000000000001</v>
      </c>
      <c r="Q114" s="43">
        <v>55.28</v>
      </c>
      <c r="R114" s="43">
        <v>55.841200000000001</v>
      </c>
      <c r="S114" s="43">
        <v>56.4024</v>
      </c>
      <c r="T114" s="43">
        <v>56.9636</v>
      </c>
      <c r="U114" s="43">
        <v>57.524799999999999</v>
      </c>
      <c r="V114" s="43">
        <v>58.085999999999999</v>
      </c>
      <c r="W114" s="43">
        <v>58.4572</v>
      </c>
      <c r="X114" s="43">
        <v>58.828400000000002</v>
      </c>
      <c r="Y114" s="43">
        <v>59.199599999999997</v>
      </c>
      <c r="Z114" s="43">
        <v>59.570799999999998</v>
      </c>
      <c r="AA114" s="43">
        <v>59.942</v>
      </c>
      <c r="AB114" s="43">
        <v>60.207599999999999</v>
      </c>
      <c r="AC114" s="43">
        <v>60.473199999999999</v>
      </c>
      <c r="AD114" s="43">
        <v>60.738799999999998</v>
      </c>
      <c r="AE114" s="43">
        <v>61.004399999999997</v>
      </c>
      <c r="AF114" s="43">
        <v>61.27</v>
      </c>
      <c r="AG114" s="43">
        <v>61.314599999999999</v>
      </c>
      <c r="AH114" s="43">
        <v>61.359200000000001</v>
      </c>
      <c r="AI114" s="43">
        <v>61.403799999999997</v>
      </c>
      <c r="AJ114" s="43">
        <v>61.448399999999999</v>
      </c>
      <c r="AK114" s="43">
        <v>61.493000000000002</v>
      </c>
      <c r="AL114" s="43">
        <v>61.537599999999998</v>
      </c>
      <c r="AM114" s="43">
        <v>61.5822</v>
      </c>
      <c r="AN114" s="43">
        <v>61.626800000000003</v>
      </c>
      <c r="AO114" s="43">
        <v>61.671399999999998</v>
      </c>
      <c r="AP114" s="43">
        <v>61.716000000000001</v>
      </c>
      <c r="AQ114" s="43">
        <v>61.664000000000001</v>
      </c>
      <c r="AR114" s="43">
        <v>61.612000000000002</v>
      </c>
      <c r="AS114" s="43">
        <v>61.56</v>
      </c>
      <c r="AT114" s="43">
        <v>61.508000000000003</v>
      </c>
      <c r="AU114" s="43">
        <v>61.456000000000003</v>
      </c>
      <c r="AV114" s="43">
        <v>61.3538</v>
      </c>
      <c r="AW114" s="43">
        <v>61.251600000000003</v>
      </c>
      <c r="AX114" s="43">
        <v>61.1494</v>
      </c>
      <c r="AY114" s="43">
        <v>61.047199999999997</v>
      </c>
      <c r="AZ114" s="43">
        <v>60.945</v>
      </c>
      <c r="BA114" s="43">
        <v>60.894799999999996</v>
      </c>
      <c r="BB114" s="43">
        <v>60.8446</v>
      </c>
      <c r="BC114" s="43"/>
      <c r="BD114" s="44">
        <f t="shared" si="1"/>
        <v>55.246299999999998</v>
      </c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  <c r="BP114" s="44"/>
      <c r="BQ114" s="44"/>
      <c r="BR114" s="44"/>
      <c r="BS114" s="44"/>
      <c r="BT114" s="44"/>
      <c r="BU114" s="44"/>
      <c r="BV114" s="44"/>
      <c r="BW114" s="44"/>
      <c r="BX114" s="44"/>
      <c r="BY114" s="44"/>
      <c r="BZ114" s="44"/>
      <c r="CA114" s="44"/>
      <c r="CB114" s="42"/>
      <c r="CC114" s="42"/>
      <c r="CD114" s="42"/>
      <c r="CE114" s="42"/>
      <c r="CF114" s="42"/>
      <c r="CG114" s="42"/>
      <c r="CH114" s="42"/>
      <c r="CI114" s="42"/>
      <c r="CJ114" s="42"/>
      <c r="CK114" s="42"/>
      <c r="CL114" s="42"/>
      <c r="CM114" s="42"/>
    </row>
    <row r="115" spans="1:91">
      <c r="A115" s="41">
        <v>176</v>
      </c>
      <c r="B115" s="41" t="s">
        <v>41</v>
      </c>
      <c r="C115" s="43">
        <v>35.337200000000003</v>
      </c>
      <c r="D115" s="43">
        <v>35.7194</v>
      </c>
      <c r="E115" s="43">
        <v>36.101599999999998</v>
      </c>
      <c r="F115" s="43">
        <v>36.483800000000002</v>
      </c>
      <c r="G115" s="43">
        <v>36.866</v>
      </c>
      <c r="H115" s="43">
        <v>37.253599999999999</v>
      </c>
      <c r="I115" s="43">
        <v>37.641199999999998</v>
      </c>
      <c r="J115" s="43">
        <v>38.028799999999997</v>
      </c>
      <c r="K115" s="43">
        <v>38.416400000000003</v>
      </c>
      <c r="L115" s="43">
        <v>38.804000000000002</v>
      </c>
      <c r="M115" s="43">
        <v>39.198999999999998</v>
      </c>
      <c r="N115" s="43">
        <v>39.594000000000001</v>
      </c>
      <c r="O115" s="43">
        <v>39.988999999999997</v>
      </c>
      <c r="P115" s="43">
        <v>40.384</v>
      </c>
      <c r="Q115" s="43">
        <v>40.779000000000003</v>
      </c>
      <c r="R115" s="43">
        <v>41.180199999999999</v>
      </c>
      <c r="S115" s="43">
        <v>41.581400000000002</v>
      </c>
      <c r="T115" s="43">
        <v>41.982599999999998</v>
      </c>
      <c r="U115" s="43">
        <v>42.383800000000001</v>
      </c>
      <c r="V115" s="43">
        <v>42.784999999999997</v>
      </c>
      <c r="W115" s="43">
        <v>43.287599999999998</v>
      </c>
      <c r="X115" s="43">
        <v>43.790199999999999</v>
      </c>
      <c r="Y115" s="43">
        <v>44.2928</v>
      </c>
      <c r="Z115" s="43">
        <v>44.795400000000001</v>
      </c>
      <c r="AA115" s="43">
        <v>45.298000000000002</v>
      </c>
      <c r="AB115" s="43">
        <v>45.821399999999997</v>
      </c>
      <c r="AC115" s="43">
        <v>46.344799999999999</v>
      </c>
      <c r="AD115" s="43">
        <v>46.868200000000002</v>
      </c>
      <c r="AE115" s="43">
        <v>47.391599999999997</v>
      </c>
      <c r="AF115" s="43">
        <v>47.914999999999999</v>
      </c>
      <c r="AG115" s="43">
        <v>48.553800000000003</v>
      </c>
      <c r="AH115" s="43">
        <v>49.192599999999999</v>
      </c>
      <c r="AI115" s="43">
        <v>49.831400000000002</v>
      </c>
      <c r="AJ115" s="43">
        <v>50.470199999999998</v>
      </c>
      <c r="AK115" s="43">
        <v>51.109000000000002</v>
      </c>
      <c r="AL115" s="43">
        <v>51.767000000000003</v>
      </c>
      <c r="AM115" s="43">
        <v>52.424999999999997</v>
      </c>
      <c r="AN115" s="43">
        <v>53.082999999999998</v>
      </c>
      <c r="AO115" s="43">
        <v>53.741</v>
      </c>
      <c r="AP115" s="43">
        <v>54.399000000000001</v>
      </c>
      <c r="AQ115" s="43">
        <v>55.034199999999998</v>
      </c>
      <c r="AR115" s="43">
        <v>55.669400000000003</v>
      </c>
      <c r="AS115" s="43">
        <v>56.304600000000001</v>
      </c>
      <c r="AT115" s="43">
        <v>56.939799999999998</v>
      </c>
      <c r="AU115" s="43">
        <v>57.575000000000003</v>
      </c>
      <c r="AV115" s="43">
        <v>58.161200000000001</v>
      </c>
      <c r="AW115" s="43">
        <v>58.747399999999999</v>
      </c>
      <c r="AX115" s="43">
        <v>59.333599999999997</v>
      </c>
      <c r="AY115" s="43">
        <v>59.919800000000002</v>
      </c>
      <c r="AZ115" s="43">
        <v>60.506</v>
      </c>
      <c r="BA115" s="43">
        <v>61.041600000000003</v>
      </c>
      <c r="BB115" s="43">
        <v>61.577199999999998</v>
      </c>
      <c r="BC115" s="43"/>
      <c r="BD115" s="44">
        <f t="shared" si="1"/>
        <v>41.210500000000003</v>
      </c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44"/>
      <c r="BS115" s="44"/>
      <c r="BT115" s="44"/>
      <c r="BU115" s="44"/>
      <c r="BV115" s="44"/>
      <c r="BW115" s="44"/>
      <c r="BX115" s="44"/>
      <c r="BY115" s="44"/>
      <c r="BZ115" s="44"/>
      <c r="CA115" s="44"/>
      <c r="CB115" s="42"/>
      <c r="CC115" s="42"/>
      <c r="CD115" s="42"/>
      <c r="CE115" s="42"/>
      <c r="CF115" s="42"/>
      <c r="CG115" s="42"/>
      <c r="CH115" s="42"/>
      <c r="CI115" s="42"/>
      <c r="CJ115" s="42"/>
      <c r="CK115" s="42"/>
      <c r="CL115" s="42"/>
      <c r="CM115" s="42"/>
    </row>
    <row r="116" spans="1:91">
      <c r="A116" s="41">
        <v>177</v>
      </c>
      <c r="B116" s="41" t="s">
        <v>40</v>
      </c>
      <c r="C116" s="43">
        <v>45.9392</v>
      </c>
      <c r="D116" s="43">
        <v>47.334400000000002</v>
      </c>
      <c r="E116" s="43">
        <v>48.729599999999998</v>
      </c>
      <c r="F116" s="43">
        <v>50.1248</v>
      </c>
      <c r="G116" s="43">
        <v>51.52</v>
      </c>
      <c r="H116" s="43">
        <v>52.8812</v>
      </c>
      <c r="I116" s="43">
        <v>54.242400000000004</v>
      </c>
      <c r="J116" s="43">
        <v>55.6036</v>
      </c>
      <c r="K116" s="43">
        <v>56.964799999999997</v>
      </c>
      <c r="L116" s="43">
        <v>58.326000000000001</v>
      </c>
      <c r="M116" s="43">
        <v>59.214399999999998</v>
      </c>
      <c r="N116" s="43">
        <v>60.102800000000002</v>
      </c>
      <c r="O116" s="43">
        <v>60.991199999999999</v>
      </c>
      <c r="P116" s="43">
        <v>61.879600000000003</v>
      </c>
      <c r="Q116" s="43">
        <v>62.768000000000001</v>
      </c>
      <c r="R116" s="43">
        <v>63.597000000000001</v>
      </c>
      <c r="S116" s="43">
        <v>64.426000000000002</v>
      </c>
      <c r="T116" s="43">
        <v>65.254999999999995</v>
      </c>
      <c r="U116" s="43">
        <v>66.084000000000003</v>
      </c>
      <c r="V116" s="43">
        <v>66.912999999999997</v>
      </c>
      <c r="W116" s="43">
        <v>67.360799999999998</v>
      </c>
      <c r="X116" s="43">
        <v>67.808599999999998</v>
      </c>
      <c r="Y116" s="43">
        <v>68.256399999999999</v>
      </c>
      <c r="Z116" s="43">
        <v>68.7042</v>
      </c>
      <c r="AA116" s="43">
        <v>69.152000000000001</v>
      </c>
      <c r="AB116" s="43">
        <v>69.755799999999994</v>
      </c>
      <c r="AC116" s="43">
        <v>70.3596</v>
      </c>
      <c r="AD116" s="43">
        <v>70.963399999999993</v>
      </c>
      <c r="AE116" s="43">
        <v>71.5672</v>
      </c>
      <c r="AF116" s="43">
        <v>72.171000000000006</v>
      </c>
      <c r="AG116" s="43">
        <v>75.162999999999997</v>
      </c>
      <c r="AH116" s="43">
        <v>78.155000000000001</v>
      </c>
      <c r="AI116" s="43">
        <v>81.147000000000006</v>
      </c>
      <c r="AJ116" s="43">
        <v>84.138999999999996</v>
      </c>
      <c r="AK116" s="43">
        <v>87.131</v>
      </c>
      <c r="AL116" s="43">
        <v>88.634200000000007</v>
      </c>
      <c r="AM116" s="43">
        <v>90.1374</v>
      </c>
      <c r="AN116" s="43">
        <v>91.640600000000006</v>
      </c>
      <c r="AO116" s="43">
        <v>93.143799999999999</v>
      </c>
      <c r="AP116" s="43">
        <v>94.647000000000006</v>
      </c>
      <c r="AQ116" s="43">
        <v>95.245199999999997</v>
      </c>
      <c r="AR116" s="43">
        <v>95.843400000000003</v>
      </c>
      <c r="AS116" s="43">
        <v>96.441599999999994</v>
      </c>
      <c r="AT116" s="43">
        <v>97.0398</v>
      </c>
      <c r="AU116" s="43">
        <v>97.638000000000005</v>
      </c>
      <c r="AV116" s="43">
        <v>97.864999999999995</v>
      </c>
      <c r="AW116" s="43">
        <v>98.091999999999999</v>
      </c>
      <c r="AX116" s="43">
        <v>98.319000000000003</v>
      </c>
      <c r="AY116" s="43">
        <v>98.546000000000006</v>
      </c>
      <c r="AZ116" s="43">
        <v>98.772999999999996</v>
      </c>
      <c r="BA116" s="43">
        <v>98.866200000000006</v>
      </c>
      <c r="BB116" s="43">
        <v>98.959400000000002</v>
      </c>
      <c r="BC116" s="43"/>
      <c r="BD116" s="44">
        <f t="shared" si="1"/>
        <v>61.633200000000002</v>
      </c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  <c r="BP116" s="44"/>
      <c r="BQ116" s="44"/>
      <c r="BR116" s="44"/>
      <c r="BS116" s="44"/>
      <c r="BT116" s="44"/>
      <c r="BU116" s="44"/>
      <c r="BV116" s="44"/>
      <c r="BW116" s="44"/>
      <c r="BX116" s="44"/>
      <c r="BY116" s="44"/>
      <c r="BZ116" s="44"/>
      <c r="CA116" s="44"/>
      <c r="CB116" s="42"/>
      <c r="CC116" s="42"/>
      <c r="CD116" s="42"/>
      <c r="CE116" s="42"/>
      <c r="CF116" s="42"/>
      <c r="CG116" s="42"/>
      <c r="CH116" s="42"/>
      <c r="CI116" s="42"/>
      <c r="CJ116" s="42"/>
      <c r="CK116" s="42"/>
      <c r="CL116" s="42"/>
      <c r="CM116" s="42"/>
    </row>
    <row r="117" spans="1:91">
      <c r="A117" s="41">
        <v>178</v>
      </c>
      <c r="B117" s="41" t="s">
        <v>39</v>
      </c>
      <c r="C117" s="43">
        <v>85.636600000000001</v>
      </c>
      <c r="D117" s="43">
        <v>86.036199999999994</v>
      </c>
      <c r="E117" s="43">
        <v>86.4358</v>
      </c>
      <c r="F117" s="43">
        <v>86.835400000000007</v>
      </c>
      <c r="G117" s="43">
        <v>87.234999999999999</v>
      </c>
      <c r="H117" s="43">
        <v>87.464399999999998</v>
      </c>
      <c r="I117" s="43">
        <v>87.693799999999996</v>
      </c>
      <c r="J117" s="43">
        <v>87.923199999999994</v>
      </c>
      <c r="K117" s="43">
        <v>88.152600000000007</v>
      </c>
      <c r="L117" s="43">
        <v>88.382000000000005</v>
      </c>
      <c r="M117" s="43">
        <v>88.487399999999994</v>
      </c>
      <c r="N117" s="43">
        <v>88.592799999999997</v>
      </c>
      <c r="O117" s="43">
        <v>88.6982</v>
      </c>
      <c r="P117" s="43">
        <v>88.803600000000003</v>
      </c>
      <c r="Q117" s="43">
        <v>88.909000000000006</v>
      </c>
      <c r="R117" s="43">
        <v>88.999799999999993</v>
      </c>
      <c r="S117" s="43">
        <v>89.090599999999995</v>
      </c>
      <c r="T117" s="43">
        <v>89.181399999999996</v>
      </c>
      <c r="U117" s="43">
        <v>89.272199999999998</v>
      </c>
      <c r="V117" s="43">
        <v>89.363</v>
      </c>
      <c r="W117" s="43">
        <v>89.510400000000004</v>
      </c>
      <c r="X117" s="43">
        <v>89.657799999999995</v>
      </c>
      <c r="Y117" s="43">
        <v>89.805199999999999</v>
      </c>
      <c r="Z117" s="43">
        <v>89.952600000000004</v>
      </c>
      <c r="AA117" s="43">
        <v>90.1</v>
      </c>
      <c r="AB117" s="43">
        <v>90.637200000000007</v>
      </c>
      <c r="AC117" s="43">
        <v>91.174400000000006</v>
      </c>
      <c r="AD117" s="43">
        <v>91.711600000000004</v>
      </c>
      <c r="AE117" s="43">
        <v>92.248800000000003</v>
      </c>
      <c r="AF117" s="43">
        <v>92.786000000000001</v>
      </c>
      <c r="AG117" s="43">
        <v>93.228399999999993</v>
      </c>
      <c r="AH117" s="43">
        <v>93.6708</v>
      </c>
      <c r="AI117" s="43">
        <v>94.113200000000006</v>
      </c>
      <c r="AJ117" s="43">
        <v>94.555599999999998</v>
      </c>
      <c r="AK117" s="43">
        <v>94.998000000000005</v>
      </c>
      <c r="AL117" s="43">
        <v>95.260599999999997</v>
      </c>
      <c r="AM117" s="43">
        <v>95.523200000000003</v>
      </c>
      <c r="AN117" s="43">
        <v>95.785799999999995</v>
      </c>
      <c r="AO117" s="43">
        <v>96.048400000000001</v>
      </c>
      <c r="AP117" s="43">
        <v>96.311000000000007</v>
      </c>
      <c r="AQ117" s="43">
        <v>96.538600000000002</v>
      </c>
      <c r="AR117" s="43">
        <v>96.766199999999998</v>
      </c>
      <c r="AS117" s="43">
        <v>96.993799999999993</v>
      </c>
      <c r="AT117" s="43">
        <v>97.221400000000003</v>
      </c>
      <c r="AU117" s="43">
        <v>97.448999999999998</v>
      </c>
      <c r="AV117" s="43">
        <v>97.690200000000004</v>
      </c>
      <c r="AW117" s="43">
        <v>97.931399999999996</v>
      </c>
      <c r="AX117" s="43">
        <v>98.172600000000003</v>
      </c>
      <c r="AY117" s="43">
        <v>98.413799999999995</v>
      </c>
      <c r="AZ117" s="43">
        <v>98.655000000000001</v>
      </c>
      <c r="BA117" s="43">
        <v>98.772800000000004</v>
      </c>
      <c r="BB117" s="43">
        <v>98.890600000000006</v>
      </c>
      <c r="BC117" s="43"/>
      <c r="BD117" s="44">
        <f t="shared" si="1"/>
        <v>88.959233333333316</v>
      </c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44"/>
      <c r="BR117" s="44"/>
      <c r="BS117" s="44"/>
      <c r="BT117" s="44"/>
      <c r="BU117" s="44"/>
      <c r="BV117" s="44"/>
      <c r="BW117" s="44"/>
      <c r="BX117" s="44"/>
      <c r="BY117" s="44"/>
      <c r="BZ117" s="44"/>
      <c r="CA117" s="44"/>
      <c r="CB117" s="42"/>
      <c r="CC117" s="42"/>
      <c r="CD117" s="42"/>
      <c r="CE117" s="42"/>
      <c r="CF117" s="42"/>
      <c r="CG117" s="42"/>
      <c r="CH117" s="42"/>
      <c r="CI117" s="42"/>
      <c r="CJ117" s="42"/>
      <c r="CK117" s="42"/>
      <c r="CL117" s="42"/>
      <c r="CM117" s="42"/>
    </row>
    <row r="118" spans="1:91">
      <c r="A118" s="41">
        <v>180</v>
      </c>
      <c r="B118" s="41" t="s">
        <v>38</v>
      </c>
      <c r="C118" s="43">
        <v>34.906599999999997</v>
      </c>
      <c r="D118" s="43">
        <v>35.604199999999999</v>
      </c>
      <c r="E118" s="43">
        <v>36.3018</v>
      </c>
      <c r="F118" s="43">
        <v>36.999400000000001</v>
      </c>
      <c r="G118" s="43">
        <v>37.697000000000003</v>
      </c>
      <c r="H118" s="43">
        <v>38.221400000000003</v>
      </c>
      <c r="I118" s="43">
        <v>38.745800000000003</v>
      </c>
      <c r="J118" s="43">
        <v>39.270200000000003</v>
      </c>
      <c r="K118" s="43">
        <v>39.794600000000003</v>
      </c>
      <c r="L118" s="43">
        <v>40.319000000000003</v>
      </c>
      <c r="M118" s="43">
        <v>40.821399999999997</v>
      </c>
      <c r="N118" s="43">
        <v>41.323799999999999</v>
      </c>
      <c r="O118" s="43">
        <v>41.8262</v>
      </c>
      <c r="P118" s="43">
        <v>42.328600000000002</v>
      </c>
      <c r="Q118" s="43">
        <v>42.831000000000003</v>
      </c>
      <c r="R118" s="43">
        <v>43.4788</v>
      </c>
      <c r="S118" s="43">
        <v>44.126600000000003</v>
      </c>
      <c r="T118" s="43">
        <v>44.7744</v>
      </c>
      <c r="U118" s="43">
        <v>45.422199999999997</v>
      </c>
      <c r="V118" s="43">
        <v>46.07</v>
      </c>
      <c r="W118" s="43">
        <v>46.784199999999998</v>
      </c>
      <c r="X118" s="43">
        <v>47.498399999999997</v>
      </c>
      <c r="Y118" s="43">
        <v>48.212600000000002</v>
      </c>
      <c r="Z118" s="43">
        <v>48.9268</v>
      </c>
      <c r="AA118" s="43">
        <v>49.640999999999998</v>
      </c>
      <c r="AB118" s="43">
        <v>50.356200000000001</v>
      </c>
      <c r="AC118" s="43">
        <v>51.071399999999997</v>
      </c>
      <c r="AD118" s="43">
        <v>51.7866</v>
      </c>
      <c r="AE118" s="43">
        <v>52.501800000000003</v>
      </c>
      <c r="AF118" s="43">
        <v>53.216999999999999</v>
      </c>
      <c r="AG118" s="43">
        <v>53.327399999999997</v>
      </c>
      <c r="AH118" s="43">
        <v>53.437800000000003</v>
      </c>
      <c r="AI118" s="43">
        <v>53.548200000000001</v>
      </c>
      <c r="AJ118" s="43">
        <v>53.6586</v>
      </c>
      <c r="AK118" s="43">
        <v>53.768999999999998</v>
      </c>
      <c r="AL118" s="43">
        <v>53.616</v>
      </c>
      <c r="AM118" s="43">
        <v>53.463000000000001</v>
      </c>
      <c r="AN118" s="43">
        <v>53.31</v>
      </c>
      <c r="AO118" s="43">
        <v>53.156999999999996</v>
      </c>
      <c r="AP118" s="43">
        <v>53.003999999999998</v>
      </c>
      <c r="AQ118" s="43">
        <v>52.955599999999997</v>
      </c>
      <c r="AR118" s="43">
        <v>52.907200000000003</v>
      </c>
      <c r="AS118" s="43">
        <v>52.858800000000002</v>
      </c>
      <c r="AT118" s="43">
        <v>52.810400000000001</v>
      </c>
      <c r="AU118" s="43">
        <v>52.762</v>
      </c>
      <c r="AV118" s="43">
        <v>52.768000000000001</v>
      </c>
      <c r="AW118" s="43">
        <v>52.774000000000001</v>
      </c>
      <c r="AX118" s="43">
        <v>52.78</v>
      </c>
      <c r="AY118" s="43">
        <v>52.786000000000001</v>
      </c>
      <c r="AZ118" s="43">
        <v>52.792000000000002</v>
      </c>
      <c r="BA118" s="43">
        <v>52.820799999999998</v>
      </c>
      <c r="BB118" s="43">
        <v>52.849600000000002</v>
      </c>
      <c r="BC118" s="43"/>
      <c r="BD118" s="44">
        <f t="shared" si="1"/>
        <v>43.695299999999996</v>
      </c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  <c r="BP118" s="44"/>
      <c r="BQ118" s="44"/>
      <c r="BR118" s="44"/>
      <c r="BS118" s="44"/>
      <c r="BT118" s="44"/>
      <c r="BU118" s="44"/>
      <c r="BV118" s="44"/>
      <c r="BW118" s="44"/>
      <c r="BX118" s="44"/>
      <c r="BY118" s="44"/>
      <c r="BZ118" s="44"/>
      <c r="CA118" s="44"/>
      <c r="CB118" s="42"/>
      <c r="CC118" s="42"/>
      <c r="CD118" s="42"/>
      <c r="CE118" s="42"/>
      <c r="CF118" s="42"/>
      <c r="CG118" s="42"/>
      <c r="CH118" s="42"/>
      <c r="CI118" s="42"/>
      <c r="CJ118" s="42"/>
      <c r="CK118" s="42"/>
      <c r="CL118" s="42"/>
      <c r="CM118" s="42"/>
    </row>
    <row r="119" spans="1:91">
      <c r="A119" s="41">
        <v>181</v>
      </c>
      <c r="B119" s="41" t="s">
        <v>37</v>
      </c>
      <c r="C119" s="43">
        <v>54.619399999999999</v>
      </c>
      <c r="D119" s="43">
        <v>55.507800000000003</v>
      </c>
      <c r="E119" s="43">
        <v>56.3962</v>
      </c>
      <c r="F119" s="43">
        <v>57.284599999999998</v>
      </c>
      <c r="G119" s="43">
        <v>58.173000000000002</v>
      </c>
      <c r="H119" s="43">
        <v>59.032600000000002</v>
      </c>
      <c r="I119" s="43">
        <v>59.892200000000003</v>
      </c>
      <c r="J119" s="43">
        <v>60.751800000000003</v>
      </c>
      <c r="K119" s="43">
        <v>61.611400000000003</v>
      </c>
      <c r="L119" s="43">
        <v>62.470999999999997</v>
      </c>
      <c r="M119" s="43">
        <v>63.2622</v>
      </c>
      <c r="N119" s="43">
        <v>64.053399999999996</v>
      </c>
      <c r="O119" s="43">
        <v>64.8446</v>
      </c>
      <c r="P119" s="43">
        <v>65.635800000000003</v>
      </c>
      <c r="Q119" s="43">
        <v>66.427000000000007</v>
      </c>
      <c r="R119" s="43">
        <v>67.091800000000006</v>
      </c>
      <c r="S119" s="43">
        <v>67.756600000000006</v>
      </c>
      <c r="T119" s="43">
        <v>68.421400000000006</v>
      </c>
      <c r="U119" s="43">
        <v>69.086200000000005</v>
      </c>
      <c r="V119" s="43">
        <v>69.751000000000005</v>
      </c>
      <c r="W119" s="43">
        <v>70.185400000000001</v>
      </c>
      <c r="X119" s="43">
        <v>70.619799999999998</v>
      </c>
      <c r="Y119" s="43">
        <v>71.054199999999994</v>
      </c>
      <c r="Z119" s="43">
        <v>71.488600000000005</v>
      </c>
      <c r="AA119" s="43">
        <v>71.923000000000002</v>
      </c>
      <c r="AB119" s="43">
        <v>72.217200000000005</v>
      </c>
      <c r="AC119" s="43">
        <v>72.511399999999995</v>
      </c>
      <c r="AD119" s="43">
        <v>72.805599999999998</v>
      </c>
      <c r="AE119" s="43">
        <v>73.099800000000002</v>
      </c>
      <c r="AF119" s="43">
        <v>73.394000000000005</v>
      </c>
      <c r="AG119" s="43">
        <v>73.389600000000002</v>
      </c>
      <c r="AH119" s="43">
        <v>73.385199999999998</v>
      </c>
      <c r="AI119" s="43">
        <v>73.380799999999994</v>
      </c>
      <c r="AJ119" s="43">
        <v>73.376400000000004</v>
      </c>
      <c r="AK119" s="43">
        <v>73.372</v>
      </c>
      <c r="AL119" s="43">
        <v>73.367599999999996</v>
      </c>
      <c r="AM119" s="43">
        <v>73.363200000000006</v>
      </c>
      <c r="AN119" s="43">
        <v>73.358800000000002</v>
      </c>
      <c r="AO119" s="43">
        <v>73.354399999999998</v>
      </c>
      <c r="AP119" s="43">
        <v>73.349999999999994</v>
      </c>
      <c r="AQ119" s="43">
        <v>73.266000000000005</v>
      </c>
      <c r="AR119" s="43">
        <v>73.182000000000002</v>
      </c>
      <c r="AS119" s="43">
        <v>73.097999999999999</v>
      </c>
      <c r="AT119" s="43">
        <v>73.013999999999996</v>
      </c>
      <c r="AU119" s="43">
        <v>72.930000000000007</v>
      </c>
      <c r="AV119" s="43">
        <v>73.074399999999997</v>
      </c>
      <c r="AW119" s="43">
        <v>73.218800000000002</v>
      </c>
      <c r="AX119" s="43">
        <v>73.363200000000006</v>
      </c>
      <c r="AY119" s="43">
        <v>73.507599999999996</v>
      </c>
      <c r="AZ119" s="43">
        <v>73.652000000000001</v>
      </c>
      <c r="BA119" s="43">
        <v>73.824399999999997</v>
      </c>
      <c r="BB119" s="43">
        <v>73.996799999999993</v>
      </c>
      <c r="BC119" s="43"/>
      <c r="BD119" s="44">
        <f t="shared" si="1"/>
        <v>65.712299999999999</v>
      </c>
      <c r="BE119" s="44"/>
      <c r="BF119" s="44"/>
      <c r="BG119" s="44"/>
      <c r="BH119" s="44"/>
      <c r="BI119" s="44"/>
      <c r="BJ119" s="44"/>
      <c r="BK119" s="44"/>
      <c r="BL119" s="44"/>
      <c r="BM119" s="44"/>
      <c r="BN119" s="44"/>
      <c r="BO119" s="44"/>
      <c r="BP119" s="44"/>
      <c r="BQ119" s="44"/>
      <c r="BR119" s="44"/>
      <c r="BS119" s="44"/>
      <c r="BT119" s="44"/>
      <c r="BU119" s="44"/>
      <c r="BV119" s="44"/>
      <c r="BW119" s="44"/>
      <c r="BX119" s="44"/>
      <c r="BY119" s="44"/>
      <c r="BZ119" s="44"/>
      <c r="CA119" s="44"/>
      <c r="CB119" s="42"/>
      <c r="CC119" s="42"/>
      <c r="CD119" s="42"/>
      <c r="CE119" s="42"/>
      <c r="CF119" s="42"/>
      <c r="CG119" s="42"/>
      <c r="CH119" s="42"/>
      <c r="CI119" s="42"/>
      <c r="CJ119" s="42"/>
      <c r="CK119" s="42"/>
      <c r="CL119" s="42"/>
      <c r="CM119" s="42"/>
    </row>
    <row r="120" spans="1:91">
      <c r="A120" s="41">
        <v>182</v>
      </c>
      <c r="B120" s="41" t="s">
        <v>36</v>
      </c>
      <c r="C120" s="43">
        <v>2.4738000000000002</v>
      </c>
      <c r="D120" s="43">
        <v>2.5476000000000001</v>
      </c>
      <c r="E120" s="43">
        <v>2.6214</v>
      </c>
      <c r="F120" s="43">
        <v>2.6951999999999998</v>
      </c>
      <c r="G120" s="43">
        <v>2.7690000000000001</v>
      </c>
      <c r="H120" s="43">
        <v>2.8536000000000001</v>
      </c>
      <c r="I120" s="43">
        <v>2.9382000000000001</v>
      </c>
      <c r="J120" s="43">
        <v>3.0228000000000002</v>
      </c>
      <c r="K120" s="43">
        <v>3.1074000000000002</v>
      </c>
      <c r="L120" s="43">
        <v>3.1920000000000002</v>
      </c>
      <c r="M120" s="43">
        <v>3.3532000000000002</v>
      </c>
      <c r="N120" s="43">
        <v>3.5144000000000002</v>
      </c>
      <c r="O120" s="43">
        <v>3.6756000000000002</v>
      </c>
      <c r="P120" s="43">
        <v>3.8368000000000002</v>
      </c>
      <c r="Q120" s="43">
        <v>3.9980000000000002</v>
      </c>
      <c r="R120" s="43">
        <v>4.1425999999999998</v>
      </c>
      <c r="S120" s="43">
        <v>4.2872000000000003</v>
      </c>
      <c r="T120" s="43">
        <v>4.4318</v>
      </c>
      <c r="U120" s="43">
        <v>4.5763999999999996</v>
      </c>
      <c r="V120" s="43">
        <v>4.7210000000000001</v>
      </c>
      <c r="W120" s="43">
        <v>4.7881999999999998</v>
      </c>
      <c r="X120" s="43">
        <v>4.8554000000000004</v>
      </c>
      <c r="Y120" s="43">
        <v>4.9226000000000001</v>
      </c>
      <c r="Z120" s="43">
        <v>4.9897999999999998</v>
      </c>
      <c r="AA120" s="43">
        <v>5.0570000000000004</v>
      </c>
      <c r="AB120" s="43">
        <v>5.1288</v>
      </c>
      <c r="AC120" s="43">
        <v>5.2005999999999997</v>
      </c>
      <c r="AD120" s="43">
        <v>5.2724000000000002</v>
      </c>
      <c r="AE120" s="43">
        <v>5.3441999999999998</v>
      </c>
      <c r="AF120" s="43">
        <v>5.4160000000000004</v>
      </c>
      <c r="AG120" s="43">
        <v>5.9916</v>
      </c>
      <c r="AH120" s="43">
        <v>6.5671999999999997</v>
      </c>
      <c r="AI120" s="43">
        <v>7.1428000000000003</v>
      </c>
      <c r="AJ120" s="43">
        <v>7.7183999999999999</v>
      </c>
      <c r="AK120" s="43">
        <v>8.2940000000000005</v>
      </c>
      <c r="AL120" s="43">
        <v>9.3895999999999997</v>
      </c>
      <c r="AM120" s="43">
        <v>10.485200000000001</v>
      </c>
      <c r="AN120" s="43">
        <v>11.5808</v>
      </c>
      <c r="AO120" s="43">
        <v>12.676399999999999</v>
      </c>
      <c r="AP120" s="43">
        <v>13.772</v>
      </c>
      <c r="AQ120" s="43">
        <v>14.525399999999999</v>
      </c>
      <c r="AR120" s="43">
        <v>15.2788</v>
      </c>
      <c r="AS120" s="43">
        <v>16.0322</v>
      </c>
      <c r="AT120" s="43">
        <v>16.785599999999999</v>
      </c>
      <c r="AU120" s="43">
        <v>17.539000000000001</v>
      </c>
      <c r="AV120" s="43">
        <v>17.793199999999999</v>
      </c>
      <c r="AW120" s="43">
        <v>18.0474</v>
      </c>
      <c r="AX120" s="43">
        <v>18.301600000000001</v>
      </c>
      <c r="AY120" s="43">
        <v>18.555800000000001</v>
      </c>
      <c r="AZ120" s="43">
        <v>18.809999999999999</v>
      </c>
      <c r="BA120" s="43">
        <v>19.119199999999999</v>
      </c>
      <c r="BB120" s="43">
        <v>19.4284</v>
      </c>
      <c r="BC120" s="43"/>
      <c r="BD120" s="44">
        <f t="shared" si="1"/>
        <v>3.9911000000000008</v>
      </c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44"/>
      <c r="BP120" s="44"/>
      <c r="BQ120" s="44"/>
      <c r="BR120" s="44"/>
      <c r="BS120" s="44"/>
      <c r="BT120" s="44"/>
      <c r="BU120" s="44"/>
      <c r="BV120" s="44"/>
      <c r="BW120" s="44"/>
      <c r="BX120" s="44"/>
      <c r="BY120" s="44"/>
      <c r="BZ120" s="44"/>
      <c r="CA120" s="44"/>
      <c r="CB120" s="42"/>
      <c r="CC120" s="42"/>
      <c r="CD120" s="42"/>
      <c r="CE120" s="42"/>
      <c r="CF120" s="42"/>
      <c r="CG120" s="42"/>
      <c r="CH120" s="42"/>
      <c r="CI120" s="42"/>
      <c r="CJ120" s="42"/>
      <c r="CK120" s="42"/>
      <c r="CL120" s="42"/>
      <c r="CM120" s="42"/>
    </row>
    <row r="121" spans="1:91">
      <c r="A121" s="41">
        <v>191</v>
      </c>
      <c r="B121" s="41" t="s">
        <v>35</v>
      </c>
      <c r="C121" s="43">
        <v>32.753799999999998</v>
      </c>
      <c r="D121" s="43">
        <v>34.257599999999996</v>
      </c>
      <c r="E121" s="43">
        <v>35.761400000000002</v>
      </c>
      <c r="F121" s="43">
        <v>37.2652</v>
      </c>
      <c r="G121" s="43">
        <v>38.768999999999998</v>
      </c>
      <c r="H121" s="43">
        <v>40.749000000000002</v>
      </c>
      <c r="I121" s="43">
        <v>42.728999999999999</v>
      </c>
      <c r="J121" s="43">
        <v>44.709000000000003</v>
      </c>
      <c r="K121" s="43">
        <v>46.689</v>
      </c>
      <c r="L121" s="43">
        <v>48.668999999999997</v>
      </c>
      <c r="M121" s="43">
        <v>50.604999999999997</v>
      </c>
      <c r="N121" s="43">
        <v>52.540999999999997</v>
      </c>
      <c r="O121" s="43">
        <v>54.476999999999997</v>
      </c>
      <c r="P121" s="43">
        <v>56.412999999999997</v>
      </c>
      <c r="Q121" s="43">
        <v>58.348999999999997</v>
      </c>
      <c r="R121" s="43">
        <v>59.851199999999999</v>
      </c>
      <c r="S121" s="43">
        <v>61.353400000000001</v>
      </c>
      <c r="T121" s="43">
        <v>62.855600000000003</v>
      </c>
      <c r="U121" s="43">
        <v>64.357799999999997</v>
      </c>
      <c r="V121" s="43">
        <v>65.86</v>
      </c>
      <c r="W121" s="43">
        <v>67.217399999999998</v>
      </c>
      <c r="X121" s="43">
        <v>68.574799999999996</v>
      </c>
      <c r="Y121" s="43">
        <v>69.932199999999995</v>
      </c>
      <c r="Z121" s="43">
        <v>71.289599999999993</v>
      </c>
      <c r="AA121" s="43">
        <v>72.647000000000006</v>
      </c>
      <c r="AB121" s="43">
        <v>73.434200000000004</v>
      </c>
      <c r="AC121" s="43">
        <v>74.221400000000003</v>
      </c>
      <c r="AD121" s="43">
        <v>75.008600000000001</v>
      </c>
      <c r="AE121" s="43">
        <v>75.7958</v>
      </c>
      <c r="AF121" s="43">
        <v>76.582999999999998</v>
      </c>
      <c r="AG121" s="43">
        <v>77.000399999999999</v>
      </c>
      <c r="AH121" s="43">
        <v>77.4178</v>
      </c>
      <c r="AI121" s="43">
        <v>77.8352</v>
      </c>
      <c r="AJ121" s="43">
        <v>78.252600000000001</v>
      </c>
      <c r="AK121" s="43">
        <v>78.67</v>
      </c>
      <c r="AL121" s="43">
        <v>78.905600000000007</v>
      </c>
      <c r="AM121" s="43">
        <v>79.141199999999998</v>
      </c>
      <c r="AN121" s="43">
        <v>79.376800000000003</v>
      </c>
      <c r="AO121" s="43">
        <v>79.612399999999994</v>
      </c>
      <c r="AP121" s="43">
        <v>79.847999999999999</v>
      </c>
      <c r="AQ121" s="43">
        <v>80.074200000000005</v>
      </c>
      <c r="AR121" s="43">
        <v>80.300399999999996</v>
      </c>
      <c r="AS121" s="43">
        <v>80.526600000000002</v>
      </c>
      <c r="AT121" s="43">
        <v>80.752799999999993</v>
      </c>
      <c r="AU121" s="43">
        <v>80.978999999999999</v>
      </c>
      <c r="AV121" s="43">
        <v>81.2</v>
      </c>
      <c r="AW121" s="43">
        <v>81.421000000000006</v>
      </c>
      <c r="AX121" s="43">
        <v>81.641999999999996</v>
      </c>
      <c r="AY121" s="43">
        <v>81.863</v>
      </c>
      <c r="AZ121" s="43">
        <v>82.084000000000003</v>
      </c>
      <c r="BA121" s="43">
        <v>82.29</v>
      </c>
      <c r="BB121" s="43">
        <v>82.495999999999995</v>
      </c>
      <c r="BC121" s="43"/>
      <c r="BD121" s="44">
        <f t="shared" si="1"/>
        <v>57.123966666666661</v>
      </c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44"/>
      <c r="BP121" s="44"/>
      <c r="BQ121" s="44"/>
      <c r="BR121" s="44"/>
      <c r="BS121" s="44"/>
      <c r="BT121" s="44"/>
      <c r="BU121" s="44"/>
      <c r="BV121" s="44"/>
      <c r="BW121" s="44"/>
      <c r="BX121" s="44"/>
      <c r="BY121" s="44"/>
      <c r="BZ121" s="44"/>
      <c r="CA121" s="44"/>
      <c r="CB121" s="42"/>
      <c r="CC121" s="42"/>
      <c r="CD121" s="42"/>
      <c r="CE121" s="42"/>
      <c r="CF121" s="42"/>
      <c r="CG121" s="42"/>
      <c r="CH121" s="42"/>
      <c r="CI121" s="42"/>
      <c r="CJ121" s="42"/>
      <c r="CK121" s="42"/>
      <c r="CL121" s="42"/>
      <c r="CM121" s="42"/>
    </row>
    <row r="122" spans="1:91">
      <c r="A122" s="41">
        <v>192</v>
      </c>
      <c r="B122" s="41" t="s">
        <v>34</v>
      </c>
      <c r="C122" s="43">
        <v>23.670200000000001</v>
      </c>
      <c r="D122" s="43">
        <v>24.340399999999999</v>
      </c>
      <c r="E122" s="43">
        <v>25.0106</v>
      </c>
      <c r="F122" s="43">
        <v>25.680800000000001</v>
      </c>
      <c r="G122" s="43">
        <v>26.350999999999999</v>
      </c>
      <c r="H122" s="43">
        <v>27.0808</v>
      </c>
      <c r="I122" s="43">
        <v>27.810600000000001</v>
      </c>
      <c r="J122" s="43">
        <v>28.540400000000002</v>
      </c>
      <c r="K122" s="43">
        <v>29.270199999999999</v>
      </c>
      <c r="L122" s="43">
        <v>30</v>
      </c>
      <c r="M122" s="43">
        <v>30.738600000000002</v>
      </c>
      <c r="N122" s="43">
        <v>31.4772</v>
      </c>
      <c r="O122" s="43">
        <v>32.215800000000002</v>
      </c>
      <c r="P122" s="43">
        <v>32.9544</v>
      </c>
      <c r="Q122" s="43">
        <v>33.692999999999998</v>
      </c>
      <c r="R122" s="43">
        <v>34.108199999999997</v>
      </c>
      <c r="S122" s="43">
        <v>34.523400000000002</v>
      </c>
      <c r="T122" s="43">
        <v>34.938600000000001</v>
      </c>
      <c r="U122" s="43">
        <v>35.3538</v>
      </c>
      <c r="V122" s="43">
        <v>35.768999999999998</v>
      </c>
      <c r="W122" s="43">
        <v>36.125</v>
      </c>
      <c r="X122" s="43">
        <v>36.481000000000002</v>
      </c>
      <c r="Y122" s="43">
        <v>36.837000000000003</v>
      </c>
      <c r="Z122" s="43">
        <v>37.192999999999998</v>
      </c>
      <c r="AA122" s="43">
        <v>37.548999999999999</v>
      </c>
      <c r="AB122" s="43">
        <v>37.819200000000002</v>
      </c>
      <c r="AC122" s="43">
        <v>38.089399999999998</v>
      </c>
      <c r="AD122" s="43">
        <v>38.3596</v>
      </c>
      <c r="AE122" s="43">
        <v>38.629800000000003</v>
      </c>
      <c r="AF122" s="43">
        <v>38.9</v>
      </c>
      <c r="AG122" s="43">
        <v>39.043999999999997</v>
      </c>
      <c r="AH122" s="43">
        <v>39.188000000000002</v>
      </c>
      <c r="AI122" s="43">
        <v>39.332000000000001</v>
      </c>
      <c r="AJ122" s="43">
        <v>39.475999999999999</v>
      </c>
      <c r="AK122" s="43">
        <v>39.619999999999997</v>
      </c>
      <c r="AL122" s="43">
        <v>39.765000000000001</v>
      </c>
      <c r="AM122" s="43">
        <v>39.909999999999997</v>
      </c>
      <c r="AN122" s="43">
        <v>40.055</v>
      </c>
      <c r="AO122" s="43">
        <v>40.200000000000003</v>
      </c>
      <c r="AP122" s="43">
        <v>40.344999999999999</v>
      </c>
      <c r="AQ122" s="43">
        <v>40.5002</v>
      </c>
      <c r="AR122" s="43">
        <v>40.6554</v>
      </c>
      <c r="AS122" s="43">
        <v>40.810600000000001</v>
      </c>
      <c r="AT122" s="43">
        <v>40.965800000000002</v>
      </c>
      <c r="AU122" s="43">
        <v>41.121000000000002</v>
      </c>
      <c r="AV122" s="43">
        <v>41.347200000000001</v>
      </c>
      <c r="AW122" s="43">
        <v>41.573399999999999</v>
      </c>
      <c r="AX122" s="43">
        <v>41.799599999999998</v>
      </c>
      <c r="AY122" s="43">
        <v>42.025799999999997</v>
      </c>
      <c r="AZ122" s="43">
        <v>42.252000000000002</v>
      </c>
      <c r="BA122" s="43">
        <v>42.559800000000003</v>
      </c>
      <c r="BB122" s="43">
        <v>42.867600000000003</v>
      </c>
      <c r="BC122" s="43"/>
      <c r="BD122" s="44">
        <f t="shared" si="1"/>
        <v>32.650333333333329</v>
      </c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44"/>
      <c r="BP122" s="44"/>
      <c r="BQ122" s="44"/>
      <c r="BR122" s="44"/>
      <c r="BS122" s="44"/>
      <c r="BT122" s="44"/>
      <c r="BU122" s="44"/>
      <c r="BV122" s="44"/>
      <c r="BW122" s="44"/>
      <c r="BX122" s="44"/>
      <c r="BY122" s="44"/>
      <c r="BZ122" s="44"/>
      <c r="CA122" s="44"/>
      <c r="CB122" s="42"/>
      <c r="CC122" s="42"/>
      <c r="CD122" s="42"/>
      <c r="CE122" s="42"/>
      <c r="CF122" s="42"/>
      <c r="CG122" s="42"/>
      <c r="CH122" s="42"/>
      <c r="CI122" s="42"/>
      <c r="CJ122" s="42"/>
      <c r="CK122" s="42"/>
      <c r="CL122" s="42"/>
      <c r="CM122" s="42"/>
    </row>
    <row r="123" spans="1:91">
      <c r="A123" s="41">
        <v>195</v>
      </c>
      <c r="B123" s="41" t="s">
        <v>33</v>
      </c>
      <c r="C123" s="43">
        <v>17.945799999999998</v>
      </c>
      <c r="D123" s="43">
        <v>18.514600000000002</v>
      </c>
      <c r="E123" s="43">
        <v>19.083400000000001</v>
      </c>
      <c r="F123" s="43">
        <v>19.652200000000001</v>
      </c>
      <c r="G123" s="43">
        <v>20.221</v>
      </c>
      <c r="H123" s="43">
        <v>20.8568</v>
      </c>
      <c r="I123" s="43">
        <v>21.492599999999999</v>
      </c>
      <c r="J123" s="43">
        <v>22.128399999999999</v>
      </c>
      <c r="K123" s="43">
        <v>22.764199999999999</v>
      </c>
      <c r="L123" s="43">
        <v>23.4</v>
      </c>
      <c r="M123" s="43">
        <v>24.071200000000001</v>
      </c>
      <c r="N123" s="43">
        <v>24.7424</v>
      </c>
      <c r="O123" s="43">
        <v>25.413599999999999</v>
      </c>
      <c r="P123" s="43">
        <v>26.084800000000001</v>
      </c>
      <c r="Q123" s="43">
        <v>26.756</v>
      </c>
      <c r="R123" s="43">
        <v>27.2258</v>
      </c>
      <c r="S123" s="43">
        <v>27.695599999999999</v>
      </c>
      <c r="T123" s="43">
        <v>28.165400000000002</v>
      </c>
      <c r="U123" s="43">
        <v>28.635200000000001</v>
      </c>
      <c r="V123" s="43">
        <v>29.105</v>
      </c>
      <c r="W123" s="43">
        <v>29.597799999999999</v>
      </c>
      <c r="X123" s="43">
        <v>30.090599999999998</v>
      </c>
      <c r="Y123" s="43">
        <v>30.583400000000001</v>
      </c>
      <c r="Z123" s="43">
        <v>31.0762</v>
      </c>
      <c r="AA123" s="43">
        <v>31.568999999999999</v>
      </c>
      <c r="AB123" s="43">
        <v>31.861599999999999</v>
      </c>
      <c r="AC123" s="43">
        <v>32.154200000000003</v>
      </c>
      <c r="AD123" s="43">
        <v>32.446800000000003</v>
      </c>
      <c r="AE123" s="43">
        <v>32.739400000000003</v>
      </c>
      <c r="AF123" s="43">
        <v>33.031999999999996</v>
      </c>
      <c r="AG123" s="43">
        <v>33.308799999999998</v>
      </c>
      <c r="AH123" s="43">
        <v>33.585599999999999</v>
      </c>
      <c r="AI123" s="43">
        <v>33.862400000000001</v>
      </c>
      <c r="AJ123" s="43">
        <v>34.139200000000002</v>
      </c>
      <c r="AK123" s="43">
        <v>34.415999999999997</v>
      </c>
      <c r="AL123" s="43">
        <v>34.6982</v>
      </c>
      <c r="AM123" s="43">
        <v>34.980400000000003</v>
      </c>
      <c r="AN123" s="43">
        <v>35.262599999999999</v>
      </c>
      <c r="AO123" s="43">
        <v>35.544800000000002</v>
      </c>
      <c r="AP123" s="43">
        <v>35.826999999999998</v>
      </c>
      <c r="AQ123" s="43">
        <v>36.114199999999997</v>
      </c>
      <c r="AR123" s="43">
        <v>36.401400000000002</v>
      </c>
      <c r="AS123" s="43">
        <v>36.688600000000001</v>
      </c>
      <c r="AT123" s="43">
        <v>36.9758</v>
      </c>
      <c r="AU123" s="43">
        <v>37.262999999999998</v>
      </c>
      <c r="AV123" s="43">
        <v>37.585599999999999</v>
      </c>
      <c r="AW123" s="43">
        <v>37.908200000000001</v>
      </c>
      <c r="AX123" s="43">
        <v>38.230800000000002</v>
      </c>
      <c r="AY123" s="43">
        <v>38.553400000000003</v>
      </c>
      <c r="AZ123" s="43">
        <v>38.875999999999998</v>
      </c>
      <c r="BA123" s="43">
        <v>39.255800000000001</v>
      </c>
      <c r="BB123" s="43">
        <v>39.635599999999997</v>
      </c>
      <c r="BC123" s="43"/>
      <c r="BD123" s="44">
        <f t="shared" si="1"/>
        <v>26.303499999999996</v>
      </c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  <c r="BP123" s="44"/>
      <c r="BQ123" s="44"/>
      <c r="BR123" s="44"/>
      <c r="BS123" s="44"/>
      <c r="BT123" s="44"/>
      <c r="BU123" s="44"/>
      <c r="BV123" s="44"/>
      <c r="BW123" s="44"/>
      <c r="BX123" s="44"/>
      <c r="BY123" s="44"/>
      <c r="BZ123" s="44"/>
      <c r="CA123" s="44"/>
      <c r="CB123" s="42"/>
      <c r="CC123" s="42"/>
      <c r="CD123" s="42"/>
      <c r="CE123" s="42"/>
      <c r="CF123" s="42"/>
      <c r="CG123" s="42"/>
      <c r="CH123" s="42"/>
      <c r="CI123" s="42"/>
      <c r="CJ123" s="42"/>
      <c r="CK123" s="42"/>
      <c r="CL123" s="42"/>
      <c r="CM123" s="42"/>
    </row>
    <row r="124" spans="1:91">
      <c r="A124" s="41">
        <v>196</v>
      </c>
      <c r="B124" s="41" t="s">
        <v>32</v>
      </c>
      <c r="C124" s="43">
        <v>100</v>
      </c>
      <c r="D124" s="43">
        <v>100</v>
      </c>
      <c r="E124" s="43">
        <v>100</v>
      </c>
      <c r="F124" s="43">
        <v>100</v>
      </c>
      <c r="G124" s="43">
        <v>100</v>
      </c>
      <c r="H124" s="43">
        <v>100</v>
      </c>
      <c r="I124" s="43">
        <v>100</v>
      </c>
      <c r="J124" s="43">
        <v>100</v>
      </c>
      <c r="K124" s="43">
        <v>100</v>
      </c>
      <c r="L124" s="43">
        <v>100</v>
      </c>
      <c r="M124" s="43">
        <v>100</v>
      </c>
      <c r="N124" s="43">
        <v>100</v>
      </c>
      <c r="O124" s="43">
        <v>100</v>
      </c>
      <c r="P124" s="43">
        <v>100</v>
      </c>
      <c r="Q124" s="43">
        <v>100</v>
      </c>
      <c r="R124" s="43">
        <v>100</v>
      </c>
      <c r="S124" s="43">
        <v>100</v>
      </c>
      <c r="T124" s="43">
        <v>100</v>
      </c>
      <c r="U124" s="43">
        <v>100</v>
      </c>
      <c r="V124" s="43">
        <v>100</v>
      </c>
      <c r="W124" s="43">
        <v>100</v>
      </c>
      <c r="X124" s="43">
        <v>100</v>
      </c>
      <c r="Y124" s="43">
        <v>100</v>
      </c>
      <c r="Z124" s="43">
        <v>100</v>
      </c>
      <c r="AA124" s="43">
        <v>100</v>
      </c>
      <c r="AB124" s="43">
        <v>100</v>
      </c>
      <c r="AC124" s="43">
        <v>100</v>
      </c>
      <c r="AD124" s="43">
        <v>100</v>
      </c>
      <c r="AE124" s="43">
        <v>100</v>
      </c>
      <c r="AF124" s="43">
        <v>100</v>
      </c>
      <c r="AG124" s="43">
        <v>100</v>
      </c>
      <c r="AH124" s="43">
        <v>100</v>
      </c>
      <c r="AI124" s="43">
        <v>100</v>
      </c>
      <c r="AJ124" s="43">
        <v>100</v>
      </c>
      <c r="AK124" s="43">
        <v>100</v>
      </c>
      <c r="AL124" s="43">
        <v>100</v>
      </c>
      <c r="AM124" s="43">
        <v>100</v>
      </c>
      <c r="AN124" s="43">
        <v>100</v>
      </c>
      <c r="AO124" s="43">
        <v>100</v>
      </c>
      <c r="AP124" s="43">
        <v>100</v>
      </c>
      <c r="AQ124" s="43">
        <v>100</v>
      </c>
      <c r="AR124" s="43">
        <v>100</v>
      </c>
      <c r="AS124" s="43">
        <v>100</v>
      </c>
      <c r="AT124" s="43">
        <v>100</v>
      </c>
      <c r="AU124" s="43">
        <v>100</v>
      </c>
      <c r="AV124" s="43">
        <v>100</v>
      </c>
      <c r="AW124" s="43">
        <v>100</v>
      </c>
      <c r="AX124" s="43">
        <v>100</v>
      </c>
      <c r="AY124" s="43">
        <v>100</v>
      </c>
      <c r="AZ124" s="43">
        <v>100</v>
      </c>
      <c r="BA124" s="43">
        <v>100</v>
      </c>
      <c r="BB124" s="43">
        <v>100</v>
      </c>
      <c r="BC124" s="43"/>
      <c r="BD124" s="44">
        <f t="shared" si="1"/>
        <v>100</v>
      </c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2"/>
      <c r="CC124" s="42"/>
      <c r="CD124" s="42"/>
      <c r="CE124" s="42"/>
      <c r="CF124" s="42"/>
      <c r="CG124" s="42"/>
      <c r="CH124" s="42"/>
      <c r="CI124" s="42"/>
      <c r="CJ124" s="42"/>
      <c r="CK124" s="42"/>
      <c r="CL124" s="42"/>
      <c r="CM124" s="42"/>
    </row>
    <row r="125" spans="1:91">
      <c r="A125" s="41">
        <v>197</v>
      </c>
      <c r="B125" s="41" t="s">
        <v>31</v>
      </c>
      <c r="C125" s="43">
        <v>34.1798</v>
      </c>
      <c r="D125" s="43">
        <v>34.895600000000002</v>
      </c>
      <c r="E125" s="43">
        <v>35.611400000000003</v>
      </c>
      <c r="F125" s="43">
        <v>36.327199999999998</v>
      </c>
      <c r="G125" s="43">
        <v>37.042999999999999</v>
      </c>
      <c r="H125" s="43">
        <v>37.845799999999997</v>
      </c>
      <c r="I125" s="43">
        <v>38.648600000000002</v>
      </c>
      <c r="J125" s="43">
        <v>39.4514</v>
      </c>
      <c r="K125" s="43">
        <v>40.254199999999997</v>
      </c>
      <c r="L125" s="43">
        <v>41.057000000000002</v>
      </c>
      <c r="M125" s="43">
        <v>42.097000000000001</v>
      </c>
      <c r="N125" s="43">
        <v>43.137</v>
      </c>
      <c r="O125" s="43">
        <v>44.177</v>
      </c>
      <c r="P125" s="43">
        <v>45.216999999999999</v>
      </c>
      <c r="Q125" s="43">
        <v>46.256999999999998</v>
      </c>
      <c r="R125" s="43">
        <v>47.333199999999998</v>
      </c>
      <c r="S125" s="43">
        <v>48.409399999999998</v>
      </c>
      <c r="T125" s="43">
        <v>49.485599999999998</v>
      </c>
      <c r="U125" s="43">
        <v>50.561799999999998</v>
      </c>
      <c r="V125" s="43">
        <v>51.637999999999998</v>
      </c>
      <c r="W125" s="43">
        <v>52.145600000000002</v>
      </c>
      <c r="X125" s="43">
        <v>52.653199999999998</v>
      </c>
      <c r="Y125" s="43">
        <v>53.160800000000002</v>
      </c>
      <c r="Z125" s="43">
        <v>53.668399999999998</v>
      </c>
      <c r="AA125" s="43">
        <v>54.176000000000002</v>
      </c>
      <c r="AB125" s="43">
        <v>54.639000000000003</v>
      </c>
      <c r="AC125" s="43">
        <v>55.101999999999997</v>
      </c>
      <c r="AD125" s="43">
        <v>55.564999999999998</v>
      </c>
      <c r="AE125" s="43">
        <v>56.027999999999999</v>
      </c>
      <c r="AF125" s="43">
        <v>56.491</v>
      </c>
      <c r="AG125" s="43">
        <v>56.5002</v>
      </c>
      <c r="AH125" s="43">
        <v>56.509399999999999</v>
      </c>
      <c r="AI125" s="43">
        <v>56.518599999999999</v>
      </c>
      <c r="AJ125" s="43">
        <v>56.527799999999999</v>
      </c>
      <c r="AK125" s="43">
        <v>56.536999999999999</v>
      </c>
      <c r="AL125" s="43">
        <v>56.476199999999999</v>
      </c>
      <c r="AM125" s="43">
        <v>56.415399999999998</v>
      </c>
      <c r="AN125" s="43">
        <v>56.354599999999998</v>
      </c>
      <c r="AO125" s="43">
        <v>56.293799999999997</v>
      </c>
      <c r="AP125" s="43">
        <v>56.232999999999997</v>
      </c>
      <c r="AQ125" s="43">
        <v>56.098999999999997</v>
      </c>
      <c r="AR125" s="43">
        <v>55.965000000000003</v>
      </c>
      <c r="AS125" s="43">
        <v>55.831000000000003</v>
      </c>
      <c r="AT125" s="43">
        <v>55.697000000000003</v>
      </c>
      <c r="AU125" s="43">
        <v>55.563000000000002</v>
      </c>
      <c r="AV125" s="43">
        <v>55.417200000000001</v>
      </c>
      <c r="AW125" s="43">
        <v>55.2714</v>
      </c>
      <c r="AX125" s="43">
        <v>55.125599999999999</v>
      </c>
      <c r="AY125" s="43">
        <v>54.979799999999997</v>
      </c>
      <c r="AZ125" s="43">
        <v>54.834000000000003</v>
      </c>
      <c r="BA125" s="43">
        <v>54.781399999999998</v>
      </c>
      <c r="BB125" s="43">
        <v>54.7288</v>
      </c>
      <c r="BD125" s="44">
        <f t="shared" si="1"/>
        <v>46.24186666666666</v>
      </c>
    </row>
    <row r="126" spans="1:91">
      <c r="A126" s="41">
        <v>198</v>
      </c>
      <c r="B126" s="41" t="s">
        <v>30</v>
      </c>
      <c r="C126" s="43">
        <v>29.0626</v>
      </c>
      <c r="D126" s="43">
        <v>29.921199999999999</v>
      </c>
      <c r="E126" s="43">
        <v>30.779800000000002</v>
      </c>
      <c r="F126" s="43">
        <v>31.638400000000001</v>
      </c>
      <c r="G126" s="43">
        <v>32.497</v>
      </c>
      <c r="H126" s="43">
        <v>33.398400000000002</v>
      </c>
      <c r="I126" s="43">
        <v>34.299799999999998</v>
      </c>
      <c r="J126" s="43">
        <v>35.2012</v>
      </c>
      <c r="K126" s="43">
        <v>36.102600000000002</v>
      </c>
      <c r="L126" s="43">
        <v>37.003999999999998</v>
      </c>
      <c r="M126" s="43">
        <v>38.078000000000003</v>
      </c>
      <c r="N126" s="43">
        <v>39.152000000000001</v>
      </c>
      <c r="O126" s="43">
        <v>40.225999999999999</v>
      </c>
      <c r="P126" s="43">
        <v>41.3</v>
      </c>
      <c r="Q126" s="43">
        <v>42.374000000000002</v>
      </c>
      <c r="R126" s="43">
        <v>43.508200000000002</v>
      </c>
      <c r="S126" s="43">
        <v>44.642400000000002</v>
      </c>
      <c r="T126" s="43">
        <v>45.776600000000002</v>
      </c>
      <c r="U126" s="43">
        <v>46.910800000000002</v>
      </c>
      <c r="V126" s="43">
        <v>48.045000000000002</v>
      </c>
      <c r="W126" s="43">
        <v>48.351999999999997</v>
      </c>
      <c r="X126" s="43">
        <v>48.658999999999999</v>
      </c>
      <c r="Y126" s="43">
        <v>48.966000000000001</v>
      </c>
      <c r="Z126" s="43">
        <v>49.273000000000003</v>
      </c>
      <c r="AA126" s="43">
        <v>49.58</v>
      </c>
      <c r="AB126" s="43">
        <v>49.74</v>
      </c>
      <c r="AC126" s="43">
        <v>49.9</v>
      </c>
      <c r="AD126" s="43">
        <v>50.06</v>
      </c>
      <c r="AE126" s="43">
        <v>50.22</v>
      </c>
      <c r="AF126" s="43">
        <v>50.38</v>
      </c>
      <c r="AG126" s="43">
        <v>50.427199999999999</v>
      </c>
      <c r="AH126" s="43">
        <v>50.474400000000003</v>
      </c>
      <c r="AI126" s="43">
        <v>50.521599999999999</v>
      </c>
      <c r="AJ126" s="43">
        <v>50.568800000000003</v>
      </c>
      <c r="AK126" s="43">
        <v>50.616</v>
      </c>
      <c r="AL126" s="43">
        <v>50.6432</v>
      </c>
      <c r="AM126" s="43">
        <v>50.670400000000001</v>
      </c>
      <c r="AN126" s="43">
        <v>50.697600000000001</v>
      </c>
      <c r="AO126" s="43">
        <v>50.724800000000002</v>
      </c>
      <c r="AP126" s="43">
        <v>50.752000000000002</v>
      </c>
      <c r="AQ126" s="43">
        <v>50.695399999999999</v>
      </c>
      <c r="AR126" s="43">
        <v>50.638800000000003</v>
      </c>
      <c r="AS126" s="43">
        <v>50.5822</v>
      </c>
      <c r="AT126" s="43">
        <v>50.525599999999997</v>
      </c>
      <c r="AU126" s="43">
        <v>50.469000000000001</v>
      </c>
      <c r="AV126" s="43">
        <v>50.366999999999997</v>
      </c>
      <c r="AW126" s="43">
        <v>50.265000000000001</v>
      </c>
      <c r="AX126" s="43">
        <v>50.162999999999997</v>
      </c>
      <c r="AY126" s="43">
        <v>50.061</v>
      </c>
      <c r="AZ126" s="43">
        <v>49.959000000000003</v>
      </c>
      <c r="BA126" s="43">
        <v>49.929400000000001</v>
      </c>
      <c r="BB126" s="43">
        <v>49.899799999999999</v>
      </c>
      <c r="BC126" s="43"/>
      <c r="BD126" s="44">
        <f t="shared" si="1"/>
        <v>41.834933333333339</v>
      </c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2"/>
      <c r="CC126" s="42"/>
      <c r="CD126" s="42"/>
      <c r="CE126" s="42"/>
      <c r="CF126" s="42"/>
      <c r="CG126" s="42"/>
      <c r="CH126" s="42"/>
      <c r="CI126" s="42"/>
      <c r="CJ126" s="42"/>
      <c r="CK126" s="42"/>
      <c r="CL126" s="42"/>
      <c r="CM126" s="42"/>
    </row>
    <row r="127" spans="1:91">
      <c r="A127" s="41">
        <v>200</v>
      </c>
      <c r="B127" s="41" t="s">
        <v>29</v>
      </c>
      <c r="C127" s="43">
        <v>17.842400000000001</v>
      </c>
      <c r="D127" s="43">
        <v>18.372800000000002</v>
      </c>
      <c r="E127" s="43">
        <v>18.903199999999998</v>
      </c>
      <c r="F127" s="43">
        <v>19.433599999999998</v>
      </c>
      <c r="G127" s="43">
        <v>19.963999999999999</v>
      </c>
      <c r="H127" s="43">
        <v>20.506799999999998</v>
      </c>
      <c r="I127" s="43">
        <v>21.049600000000002</v>
      </c>
      <c r="J127" s="43">
        <v>21.592400000000001</v>
      </c>
      <c r="K127" s="43">
        <v>22.135200000000001</v>
      </c>
      <c r="L127" s="43">
        <v>22.678000000000001</v>
      </c>
      <c r="M127" s="43">
        <v>23.242000000000001</v>
      </c>
      <c r="N127" s="43">
        <v>23.806000000000001</v>
      </c>
      <c r="O127" s="43">
        <v>24.37</v>
      </c>
      <c r="P127" s="43">
        <v>24.934000000000001</v>
      </c>
      <c r="Q127" s="43">
        <v>25.498000000000001</v>
      </c>
      <c r="R127" s="43">
        <v>25.751000000000001</v>
      </c>
      <c r="S127" s="43">
        <v>26.004000000000001</v>
      </c>
      <c r="T127" s="43">
        <v>26.257000000000001</v>
      </c>
      <c r="U127" s="43">
        <v>26.51</v>
      </c>
      <c r="V127" s="43">
        <v>26.763000000000002</v>
      </c>
      <c r="W127" s="43">
        <v>27.023800000000001</v>
      </c>
      <c r="X127" s="43">
        <v>27.284600000000001</v>
      </c>
      <c r="Y127" s="43">
        <v>27.545400000000001</v>
      </c>
      <c r="Z127" s="43">
        <v>27.8062</v>
      </c>
      <c r="AA127" s="43">
        <v>28.067</v>
      </c>
      <c r="AB127" s="43">
        <v>28.385200000000001</v>
      </c>
      <c r="AC127" s="43">
        <v>28.703399999999998</v>
      </c>
      <c r="AD127" s="43">
        <v>29.021599999999999</v>
      </c>
      <c r="AE127" s="43">
        <v>29.3398</v>
      </c>
      <c r="AF127" s="43">
        <v>29.658000000000001</v>
      </c>
      <c r="AG127" s="43">
        <v>30.011399999999998</v>
      </c>
      <c r="AH127" s="43">
        <v>30.364799999999999</v>
      </c>
      <c r="AI127" s="43">
        <v>30.7182</v>
      </c>
      <c r="AJ127" s="43">
        <v>31.0716</v>
      </c>
      <c r="AK127" s="43">
        <v>31.425000000000001</v>
      </c>
      <c r="AL127" s="43">
        <v>31.789400000000001</v>
      </c>
      <c r="AM127" s="43">
        <v>32.153799999999997</v>
      </c>
      <c r="AN127" s="43">
        <v>32.5182</v>
      </c>
      <c r="AO127" s="43">
        <v>32.882599999999996</v>
      </c>
      <c r="AP127" s="43">
        <v>33.247</v>
      </c>
      <c r="AQ127" s="43">
        <v>33.629600000000003</v>
      </c>
      <c r="AR127" s="43">
        <v>34.0122</v>
      </c>
      <c r="AS127" s="43">
        <v>34.394799999999996</v>
      </c>
      <c r="AT127" s="43">
        <v>34.7774</v>
      </c>
      <c r="AU127" s="43">
        <v>35.159999999999997</v>
      </c>
      <c r="AV127" s="43">
        <v>35.585799999999999</v>
      </c>
      <c r="AW127" s="43">
        <v>36.011600000000001</v>
      </c>
      <c r="AX127" s="43">
        <v>36.437399999999997</v>
      </c>
      <c r="AY127" s="43">
        <v>36.863199999999999</v>
      </c>
      <c r="AZ127" s="43">
        <v>37.289000000000001</v>
      </c>
      <c r="BA127" s="43">
        <v>37.760399999999997</v>
      </c>
      <c r="BB127" s="43">
        <v>38.2318</v>
      </c>
      <c r="BC127" s="43"/>
      <c r="BD127" s="44">
        <f t="shared" si="1"/>
        <v>24.614933333333333</v>
      </c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2"/>
      <c r="CC127" s="42"/>
      <c r="CD127" s="42"/>
      <c r="CE127" s="42"/>
      <c r="CF127" s="42"/>
      <c r="CG127" s="42"/>
      <c r="CH127" s="42"/>
      <c r="CI127" s="42"/>
      <c r="CJ127" s="42"/>
      <c r="CK127" s="42"/>
      <c r="CL127" s="42"/>
      <c r="CM127" s="42"/>
    </row>
    <row r="128" spans="1:91">
      <c r="A128" s="41">
        <v>201</v>
      </c>
      <c r="B128" s="41" t="s">
        <v>28</v>
      </c>
      <c r="C128" s="43">
        <v>46.744799999999998</v>
      </c>
      <c r="D128" s="43">
        <v>46.870600000000003</v>
      </c>
      <c r="E128" s="43">
        <v>46.996400000000001</v>
      </c>
      <c r="F128" s="43">
        <v>47.122199999999999</v>
      </c>
      <c r="G128" s="43">
        <v>47.247999999999998</v>
      </c>
      <c r="H128" s="43">
        <v>47.360199999999999</v>
      </c>
      <c r="I128" s="43">
        <v>47.4724</v>
      </c>
      <c r="J128" s="43">
        <v>47.584600000000002</v>
      </c>
      <c r="K128" s="43">
        <v>47.696800000000003</v>
      </c>
      <c r="L128" s="43">
        <v>47.808999999999997</v>
      </c>
      <c r="M128" s="43">
        <v>47.869</v>
      </c>
      <c r="N128" s="43">
        <v>47.929000000000002</v>
      </c>
      <c r="O128" s="43">
        <v>47.988999999999997</v>
      </c>
      <c r="P128" s="43">
        <v>48.048999999999999</v>
      </c>
      <c r="Q128" s="43">
        <v>48.109000000000002</v>
      </c>
      <c r="R128" s="43">
        <v>48.172199999999997</v>
      </c>
      <c r="S128" s="43">
        <v>48.235399999999998</v>
      </c>
      <c r="T128" s="43">
        <v>48.2986</v>
      </c>
      <c r="U128" s="43">
        <v>48.361800000000002</v>
      </c>
      <c r="V128" s="43">
        <v>48.424999999999997</v>
      </c>
      <c r="W128" s="43">
        <v>48.614400000000003</v>
      </c>
      <c r="X128" s="43">
        <v>48.803800000000003</v>
      </c>
      <c r="Y128" s="43">
        <v>48.993200000000002</v>
      </c>
      <c r="Z128" s="43">
        <v>49.182600000000001</v>
      </c>
      <c r="AA128" s="43">
        <v>49.372</v>
      </c>
      <c r="AB128" s="43">
        <v>49.905000000000001</v>
      </c>
      <c r="AC128" s="43">
        <v>50.438000000000002</v>
      </c>
      <c r="AD128" s="43">
        <v>50.970999999999997</v>
      </c>
      <c r="AE128" s="43">
        <v>51.503999999999998</v>
      </c>
      <c r="AF128" s="43">
        <v>52.036999999999999</v>
      </c>
      <c r="AG128" s="43">
        <v>52.526800000000001</v>
      </c>
      <c r="AH128" s="43">
        <v>53.016599999999997</v>
      </c>
      <c r="AI128" s="43">
        <v>53.506399999999999</v>
      </c>
      <c r="AJ128" s="43">
        <v>53.996200000000002</v>
      </c>
      <c r="AK128" s="43">
        <v>54.485999999999997</v>
      </c>
      <c r="AL128" s="43">
        <v>54.966999999999999</v>
      </c>
      <c r="AM128" s="43">
        <v>55.448</v>
      </c>
      <c r="AN128" s="43">
        <v>55.929000000000002</v>
      </c>
      <c r="AO128" s="43">
        <v>56.41</v>
      </c>
      <c r="AP128" s="43">
        <v>56.890999999999998</v>
      </c>
      <c r="AQ128" s="43">
        <v>57.363999999999997</v>
      </c>
      <c r="AR128" s="43">
        <v>57.837000000000003</v>
      </c>
      <c r="AS128" s="43">
        <v>58.31</v>
      </c>
      <c r="AT128" s="43">
        <v>58.783000000000001</v>
      </c>
      <c r="AU128" s="43">
        <v>59.256</v>
      </c>
      <c r="AV128" s="43">
        <v>59.713999999999999</v>
      </c>
      <c r="AW128" s="43">
        <v>60.171999999999997</v>
      </c>
      <c r="AX128" s="43">
        <v>60.63</v>
      </c>
      <c r="AY128" s="43">
        <v>61.088000000000001</v>
      </c>
      <c r="AZ128" s="43">
        <v>61.545999999999999</v>
      </c>
      <c r="BA128" s="43">
        <v>61.986800000000002</v>
      </c>
      <c r="BB128" s="43">
        <v>62.427599999999998</v>
      </c>
      <c r="BC128" s="43"/>
      <c r="BD128" s="44">
        <f t="shared" si="1"/>
        <v>48.472133333333332</v>
      </c>
      <c r="BE128" s="42"/>
      <c r="BF128" s="42"/>
      <c r="BG128" s="42"/>
      <c r="BH128" s="42"/>
      <c r="BI128" s="42"/>
      <c r="BJ128" s="42"/>
      <c r="BK128" s="42"/>
      <c r="BL128" s="42"/>
      <c r="BM128" s="42"/>
      <c r="BN128" s="42"/>
      <c r="BO128" s="42"/>
      <c r="BP128" s="42"/>
      <c r="BQ128" s="42"/>
      <c r="BR128" s="42"/>
      <c r="BS128" s="42"/>
      <c r="BT128" s="42"/>
      <c r="BU128" s="42"/>
      <c r="BV128" s="42"/>
      <c r="BW128" s="42"/>
      <c r="BX128" s="42"/>
      <c r="BY128" s="42"/>
      <c r="BZ128" s="42"/>
      <c r="CA128" s="42"/>
      <c r="CB128" s="42"/>
      <c r="CC128" s="42"/>
      <c r="CD128" s="42"/>
      <c r="CE128" s="42"/>
      <c r="CF128" s="42"/>
      <c r="CG128" s="42"/>
      <c r="CH128" s="42"/>
      <c r="CI128" s="42"/>
      <c r="CJ128" s="42"/>
      <c r="CK128" s="42"/>
      <c r="CL128" s="42"/>
      <c r="CM128" s="42"/>
    </row>
    <row r="129" spans="1:91">
      <c r="A129" s="41">
        <v>203</v>
      </c>
      <c r="B129" s="41" t="s">
        <v>27</v>
      </c>
      <c r="C129" s="43">
        <v>57.5092</v>
      </c>
      <c r="D129" s="43">
        <v>58.4514</v>
      </c>
      <c r="E129" s="43">
        <v>59.393599999999999</v>
      </c>
      <c r="F129" s="43">
        <v>60.335799999999999</v>
      </c>
      <c r="G129" s="43">
        <v>61.277999999999999</v>
      </c>
      <c r="H129" s="43">
        <v>62.23</v>
      </c>
      <c r="I129" s="43">
        <v>63.182000000000002</v>
      </c>
      <c r="J129" s="43">
        <v>64.134</v>
      </c>
      <c r="K129" s="43">
        <v>65.085999999999999</v>
      </c>
      <c r="L129" s="43">
        <v>66.037999999999997</v>
      </c>
      <c r="M129" s="43">
        <v>66.744399999999999</v>
      </c>
      <c r="N129" s="43">
        <v>67.450800000000001</v>
      </c>
      <c r="O129" s="43">
        <v>68.157200000000003</v>
      </c>
      <c r="P129" s="43">
        <v>68.863600000000005</v>
      </c>
      <c r="Q129" s="43">
        <v>69.569999999999993</v>
      </c>
      <c r="R129" s="43">
        <v>70.213800000000006</v>
      </c>
      <c r="S129" s="43">
        <v>70.857600000000005</v>
      </c>
      <c r="T129" s="43">
        <v>71.501400000000004</v>
      </c>
      <c r="U129" s="43">
        <v>72.145200000000003</v>
      </c>
      <c r="V129" s="43">
        <v>72.789000000000001</v>
      </c>
      <c r="W129" s="43">
        <v>73.073800000000006</v>
      </c>
      <c r="X129" s="43">
        <v>73.358599999999996</v>
      </c>
      <c r="Y129" s="43">
        <v>73.6434</v>
      </c>
      <c r="Z129" s="43">
        <v>73.928200000000004</v>
      </c>
      <c r="AA129" s="43">
        <v>74.212999999999994</v>
      </c>
      <c r="AB129" s="43">
        <v>74.440600000000003</v>
      </c>
      <c r="AC129" s="43">
        <v>74.668199999999999</v>
      </c>
      <c r="AD129" s="43">
        <v>74.895799999999994</v>
      </c>
      <c r="AE129" s="43">
        <v>75.123400000000004</v>
      </c>
      <c r="AF129" s="43">
        <v>75.350999999999999</v>
      </c>
      <c r="AG129" s="43">
        <v>75.451999999999998</v>
      </c>
      <c r="AH129" s="43">
        <v>75.552999999999997</v>
      </c>
      <c r="AI129" s="43">
        <v>75.653999999999996</v>
      </c>
      <c r="AJ129" s="43">
        <v>75.754999999999995</v>
      </c>
      <c r="AK129" s="43">
        <v>75.855999999999995</v>
      </c>
      <c r="AL129" s="43">
        <v>75.937200000000004</v>
      </c>
      <c r="AM129" s="43">
        <v>76.0184</v>
      </c>
      <c r="AN129" s="43">
        <v>76.099599999999995</v>
      </c>
      <c r="AO129" s="43">
        <v>76.180800000000005</v>
      </c>
      <c r="AP129" s="43">
        <v>76.262</v>
      </c>
      <c r="AQ129" s="43">
        <v>76.349800000000002</v>
      </c>
      <c r="AR129" s="43">
        <v>76.437600000000003</v>
      </c>
      <c r="AS129" s="43">
        <v>76.525400000000005</v>
      </c>
      <c r="AT129" s="43">
        <v>76.613200000000006</v>
      </c>
      <c r="AU129" s="43">
        <v>76.700999999999993</v>
      </c>
      <c r="AV129" s="43">
        <v>76.817599999999999</v>
      </c>
      <c r="AW129" s="43">
        <v>76.934200000000004</v>
      </c>
      <c r="AX129" s="43">
        <v>77.050799999999995</v>
      </c>
      <c r="AY129" s="43">
        <v>77.167400000000001</v>
      </c>
      <c r="AZ129" s="43">
        <v>77.284000000000006</v>
      </c>
      <c r="BA129" s="43">
        <v>77.428600000000003</v>
      </c>
      <c r="BB129" s="43">
        <v>77.5732</v>
      </c>
      <c r="BC129" s="43"/>
      <c r="BD129" s="44">
        <f t="shared" si="1"/>
        <v>68.620899999999992</v>
      </c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2"/>
      <c r="CC129" s="42"/>
      <c r="CD129" s="42"/>
      <c r="CE129" s="42"/>
      <c r="CF129" s="42"/>
      <c r="CG129" s="42"/>
      <c r="CH129" s="42"/>
      <c r="CI129" s="42"/>
      <c r="CJ129" s="42"/>
      <c r="CK129" s="42"/>
      <c r="CL129" s="42"/>
      <c r="CM129" s="42"/>
    </row>
    <row r="130" spans="1:91">
      <c r="A130" s="41">
        <v>204</v>
      </c>
      <c r="B130" s="41" t="s">
        <v>26</v>
      </c>
      <c r="C130" s="43">
        <v>16.670000000000002</v>
      </c>
      <c r="D130" s="43">
        <v>16.908999999999999</v>
      </c>
      <c r="E130" s="43">
        <v>17.148</v>
      </c>
      <c r="F130" s="43">
        <v>17.387</v>
      </c>
      <c r="G130" s="43">
        <v>17.626000000000001</v>
      </c>
      <c r="H130" s="43">
        <v>18.003599999999999</v>
      </c>
      <c r="I130" s="43">
        <v>18.3812</v>
      </c>
      <c r="J130" s="43">
        <v>18.758800000000001</v>
      </c>
      <c r="K130" s="43">
        <v>19.136399999999998</v>
      </c>
      <c r="L130" s="43">
        <v>19.513999999999999</v>
      </c>
      <c r="M130" s="43">
        <v>19.5078</v>
      </c>
      <c r="N130" s="43">
        <v>19.5016</v>
      </c>
      <c r="O130" s="43">
        <v>19.4954</v>
      </c>
      <c r="P130" s="43">
        <v>19.4892</v>
      </c>
      <c r="Q130" s="43">
        <v>19.483000000000001</v>
      </c>
      <c r="R130" s="43">
        <v>19.342199999999998</v>
      </c>
      <c r="S130" s="43">
        <v>19.2014</v>
      </c>
      <c r="T130" s="43">
        <v>19.060600000000001</v>
      </c>
      <c r="U130" s="43">
        <v>18.919799999999999</v>
      </c>
      <c r="V130" s="43">
        <v>18.779</v>
      </c>
      <c r="W130" s="43">
        <v>18.62</v>
      </c>
      <c r="X130" s="43">
        <v>18.460999999999999</v>
      </c>
      <c r="Y130" s="43">
        <v>18.302</v>
      </c>
      <c r="Z130" s="43">
        <v>18.143000000000001</v>
      </c>
      <c r="AA130" s="43">
        <v>17.984000000000002</v>
      </c>
      <c r="AB130" s="43">
        <v>17.827000000000002</v>
      </c>
      <c r="AC130" s="43">
        <v>17.670000000000002</v>
      </c>
      <c r="AD130" s="43">
        <v>17.513000000000002</v>
      </c>
      <c r="AE130" s="43">
        <v>17.356000000000002</v>
      </c>
      <c r="AF130" s="43">
        <v>17.199000000000002</v>
      </c>
      <c r="AG130" s="43">
        <v>17.0472</v>
      </c>
      <c r="AH130" s="43">
        <v>16.895399999999999</v>
      </c>
      <c r="AI130" s="43">
        <v>16.743600000000001</v>
      </c>
      <c r="AJ130" s="43">
        <v>16.591799999999999</v>
      </c>
      <c r="AK130" s="43">
        <v>16.440000000000001</v>
      </c>
      <c r="AL130" s="43">
        <v>16.293800000000001</v>
      </c>
      <c r="AM130" s="43">
        <v>16.147600000000001</v>
      </c>
      <c r="AN130" s="43">
        <v>16.0014</v>
      </c>
      <c r="AO130" s="43">
        <v>15.8552</v>
      </c>
      <c r="AP130" s="43">
        <v>15.709</v>
      </c>
      <c r="AQ130" s="43">
        <v>15.592599999999999</v>
      </c>
      <c r="AR130" s="43">
        <v>15.4762</v>
      </c>
      <c r="AS130" s="43">
        <v>15.3598</v>
      </c>
      <c r="AT130" s="43">
        <v>15.243399999999999</v>
      </c>
      <c r="AU130" s="43">
        <v>15.127000000000001</v>
      </c>
      <c r="AV130" s="43">
        <v>15.1098</v>
      </c>
      <c r="AW130" s="43">
        <v>15.092599999999999</v>
      </c>
      <c r="AX130" s="43">
        <v>15.0754</v>
      </c>
      <c r="AY130" s="43">
        <v>15.058199999999999</v>
      </c>
      <c r="AZ130" s="43">
        <v>15.041</v>
      </c>
      <c r="BA130" s="43">
        <v>15.1264</v>
      </c>
      <c r="BB130" s="43">
        <v>15.2118</v>
      </c>
      <c r="BC130" s="43"/>
      <c r="BD130" s="44">
        <f t="shared" si="1"/>
        <v>18.379633333333334</v>
      </c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2"/>
      <c r="CC130" s="42"/>
      <c r="CD130" s="42"/>
      <c r="CE130" s="42"/>
      <c r="CF130" s="42"/>
      <c r="CG130" s="42"/>
      <c r="CH130" s="42"/>
      <c r="CI130" s="42"/>
      <c r="CJ130" s="42"/>
      <c r="CK130" s="42"/>
      <c r="CL130" s="42"/>
      <c r="CM130" s="42"/>
    </row>
    <row r="131" spans="1:91">
      <c r="A131" s="41">
        <v>205</v>
      </c>
      <c r="B131" s="41" t="s">
        <v>25</v>
      </c>
      <c r="C131" s="43">
        <v>11.2714</v>
      </c>
      <c r="D131" s="43">
        <v>11.796799999999999</v>
      </c>
      <c r="E131" s="43">
        <v>12.3222</v>
      </c>
      <c r="F131" s="43">
        <v>12.8476</v>
      </c>
      <c r="G131" s="43">
        <v>13.372999999999999</v>
      </c>
      <c r="H131" s="43">
        <v>14.003</v>
      </c>
      <c r="I131" s="43">
        <v>14.632999999999999</v>
      </c>
      <c r="J131" s="43">
        <v>15.263</v>
      </c>
      <c r="K131" s="43">
        <v>15.893000000000001</v>
      </c>
      <c r="L131" s="43">
        <v>16.523</v>
      </c>
      <c r="M131" s="43">
        <v>17.007000000000001</v>
      </c>
      <c r="N131" s="43">
        <v>17.491</v>
      </c>
      <c r="O131" s="43">
        <v>17.975000000000001</v>
      </c>
      <c r="P131" s="43">
        <v>18.459</v>
      </c>
      <c r="Q131" s="43">
        <v>18.943000000000001</v>
      </c>
      <c r="R131" s="43">
        <v>19.1462</v>
      </c>
      <c r="S131" s="43">
        <v>19.349399999999999</v>
      </c>
      <c r="T131" s="43">
        <v>19.552600000000002</v>
      </c>
      <c r="U131" s="43">
        <v>19.755800000000001</v>
      </c>
      <c r="V131" s="43">
        <v>19.959</v>
      </c>
      <c r="W131" s="43">
        <v>20.554600000000001</v>
      </c>
      <c r="X131" s="43">
        <v>21.150200000000002</v>
      </c>
      <c r="Y131" s="43">
        <v>21.745799999999999</v>
      </c>
      <c r="Z131" s="43">
        <v>22.3414</v>
      </c>
      <c r="AA131" s="43">
        <v>22.937000000000001</v>
      </c>
      <c r="AB131" s="43">
        <v>24.0716</v>
      </c>
      <c r="AC131" s="43">
        <v>25.206199999999999</v>
      </c>
      <c r="AD131" s="43">
        <v>26.340800000000002</v>
      </c>
      <c r="AE131" s="43">
        <v>27.4754</v>
      </c>
      <c r="AF131" s="43">
        <v>28.61</v>
      </c>
      <c r="AG131" s="43">
        <v>29.334399999999999</v>
      </c>
      <c r="AH131" s="43">
        <v>30.058800000000002</v>
      </c>
      <c r="AI131" s="43">
        <v>30.783200000000001</v>
      </c>
      <c r="AJ131" s="43">
        <v>31.5076</v>
      </c>
      <c r="AK131" s="43">
        <v>32.231999999999999</v>
      </c>
      <c r="AL131" s="43">
        <v>32.284599999999998</v>
      </c>
      <c r="AM131" s="43">
        <v>32.337200000000003</v>
      </c>
      <c r="AN131" s="43">
        <v>32.389800000000001</v>
      </c>
      <c r="AO131" s="43">
        <v>32.442399999999999</v>
      </c>
      <c r="AP131" s="43">
        <v>32.494999999999997</v>
      </c>
      <c r="AQ131" s="43">
        <v>32.548000000000002</v>
      </c>
      <c r="AR131" s="43">
        <v>32.600999999999999</v>
      </c>
      <c r="AS131" s="43">
        <v>32.654000000000003</v>
      </c>
      <c r="AT131" s="43">
        <v>32.707000000000001</v>
      </c>
      <c r="AU131" s="43">
        <v>32.76</v>
      </c>
      <c r="AV131" s="43">
        <v>32.824800000000003</v>
      </c>
      <c r="AW131" s="43">
        <v>32.889600000000002</v>
      </c>
      <c r="AX131" s="43">
        <v>32.9544</v>
      </c>
      <c r="AY131" s="43">
        <v>33.019199999999998</v>
      </c>
      <c r="AZ131" s="43">
        <v>33.084000000000003</v>
      </c>
      <c r="BA131" s="43">
        <v>33.235199999999999</v>
      </c>
      <c r="BB131" s="43">
        <v>33.386400000000002</v>
      </c>
      <c r="BC131" s="43"/>
      <c r="BD131" s="44">
        <f t="shared" ref="BD131:BD156" si="2">AVERAGE(C131:AF131)</f>
        <v>18.866566666666667</v>
      </c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2"/>
      <c r="CC131" s="42"/>
      <c r="CD131" s="42"/>
      <c r="CE131" s="42"/>
      <c r="CF131" s="42"/>
      <c r="CG131" s="42"/>
      <c r="CH131" s="42"/>
      <c r="CI131" s="42"/>
      <c r="CJ131" s="42"/>
      <c r="CK131" s="42"/>
      <c r="CL131" s="42"/>
      <c r="CM131" s="42"/>
    </row>
    <row r="132" spans="1:91">
      <c r="A132" s="41">
        <v>208</v>
      </c>
      <c r="B132" s="41" t="s">
        <v>24</v>
      </c>
      <c r="C132" s="43">
        <v>4.4291999999999998</v>
      </c>
      <c r="D132" s="43">
        <v>4.9454000000000002</v>
      </c>
      <c r="E132" s="43">
        <v>5.4615999999999998</v>
      </c>
      <c r="F132" s="43">
        <v>5.9778000000000002</v>
      </c>
      <c r="G132" s="43">
        <v>6.4939999999999998</v>
      </c>
      <c r="H132" s="43">
        <v>7.1361999999999997</v>
      </c>
      <c r="I132" s="43">
        <v>7.7784000000000004</v>
      </c>
      <c r="J132" s="43">
        <v>8.4206000000000003</v>
      </c>
      <c r="K132" s="43">
        <v>9.0627999999999993</v>
      </c>
      <c r="L132" s="43">
        <v>9.7050000000000001</v>
      </c>
      <c r="M132" s="43">
        <v>10.5648</v>
      </c>
      <c r="N132" s="43">
        <v>11.4246</v>
      </c>
      <c r="O132" s="43">
        <v>12.2844</v>
      </c>
      <c r="P132" s="43">
        <v>13.1442</v>
      </c>
      <c r="Q132" s="43">
        <v>14.004</v>
      </c>
      <c r="R132" s="43">
        <v>14.772399999999999</v>
      </c>
      <c r="S132" s="43">
        <v>15.540800000000001</v>
      </c>
      <c r="T132" s="43">
        <v>16.309200000000001</v>
      </c>
      <c r="U132" s="43">
        <v>17.0776</v>
      </c>
      <c r="V132" s="43">
        <v>17.846</v>
      </c>
      <c r="W132" s="43">
        <v>18.637599999999999</v>
      </c>
      <c r="X132" s="43">
        <v>19.429200000000002</v>
      </c>
      <c r="Y132" s="43">
        <v>20.220800000000001</v>
      </c>
      <c r="Z132" s="43">
        <v>21.0124</v>
      </c>
      <c r="AA132" s="43">
        <v>21.803999999999998</v>
      </c>
      <c r="AB132" s="43">
        <v>22.024799999999999</v>
      </c>
      <c r="AC132" s="43">
        <v>22.2456</v>
      </c>
      <c r="AD132" s="43">
        <v>22.4664</v>
      </c>
      <c r="AE132" s="43">
        <v>22.687200000000001</v>
      </c>
      <c r="AF132" s="43">
        <v>22.908000000000001</v>
      </c>
      <c r="AG132" s="43">
        <v>22.936</v>
      </c>
      <c r="AH132" s="43">
        <v>22.963999999999999</v>
      </c>
      <c r="AI132" s="43">
        <v>22.992000000000001</v>
      </c>
      <c r="AJ132" s="43">
        <v>23.02</v>
      </c>
      <c r="AK132" s="43">
        <v>23.047999999999998</v>
      </c>
      <c r="AL132" s="43">
        <v>22.966000000000001</v>
      </c>
      <c r="AM132" s="43">
        <v>22.884</v>
      </c>
      <c r="AN132" s="43">
        <v>22.802</v>
      </c>
      <c r="AO132" s="43">
        <v>22.72</v>
      </c>
      <c r="AP132" s="43">
        <v>22.638000000000002</v>
      </c>
      <c r="AQ132" s="43">
        <v>22.493600000000001</v>
      </c>
      <c r="AR132" s="43">
        <v>22.3492</v>
      </c>
      <c r="AS132" s="43">
        <v>22.204799999999999</v>
      </c>
      <c r="AT132" s="43">
        <v>22.060400000000001</v>
      </c>
      <c r="AU132" s="43">
        <v>21.916</v>
      </c>
      <c r="AV132" s="43">
        <v>21.795999999999999</v>
      </c>
      <c r="AW132" s="43">
        <v>21.675999999999998</v>
      </c>
      <c r="AX132" s="43">
        <v>21.556000000000001</v>
      </c>
      <c r="AY132" s="43">
        <v>21.436</v>
      </c>
      <c r="AZ132" s="43">
        <v>21.315999999999999</v>
      </c>
      <c r="BA132" s="43">
        <v>21.280799999999999</v>
      </c>
      <c r="BB132" s="43">
        <v>21.2456</v>
      </c>
      <c r="BC132" s="43"/>
      <c r="BD132" s="44">
        <f t="shared" si="2"/>
        <v>14.193833333333336</v>
      </c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2"/>
      <c r="CC132" s="42"/>
      <c r="CD132" s="42"/>
      <c r="CE132" s="42"/>
      <c r="CF132" s="42"/>
      <c r="CG132" s="42"/>
      <c r="CH132" s="42"/>
      <c r="CI132" s="42"/>
      <c r="CJ132" s="42"/>
      <c r="CK132" s="42"/>
      <c r="CL132" s="42"/>
      <c r="CM132" s="42"/>
    </row>
    <row r="133" spans="1:91">
      <c r="A133" s="41">
        <v>209</v>
      </c>
      <c r="B133" s="41" t="s">
        <v>23</v>
      </c>
      <c r="C133" s="43">
        <v>73.403199999999998</v>
      </c>
      <c r="D133" s="43">
        <v>74.316400000000002</v>
      </c>
      <c r="E133" s="43">
        <v>75.229600000000005</v>
      </c>
      <c r="F133" s="43">
        <v>76.142799999999994</v>
      </c>
      <c r="G133" s="43">
        <v>77.055999999999997</v>
      </c>
      <c r="H133" s="43">
        <v>77.851600000000005</v>
      </c>
      <c r="I133" s="43">
        <v>78.647199999999998</v>
      </c>
      <c r="J133" s="43">
        <v>79.442800000000005</v>
      </c>
      <c r="K133" s="43">
        <v>80.238399999999999</v>
      </c>
      <c r="L133" s="43">
        <v>81.034000000000006</v>
      </c>
      <c r="M133" s="43">
        <v>81.373199999999997</v>
      </c>
      <c r="N133" s="43">
        <v>81.712400000000002</v>
      </c>
      <c r="O133" s="43">
        <v>82.051599999999993</v>
      </c>
      <c r="P133" s="43">
        <v>82.390799999999999</v>
      </c>
      <c r="Q133" s="43">
        <v>82.73</v>
      </c>
      <c r="R133" s="43">
        <v>82.801400000000001</v>
      </c>
      <c r="S133" s="43">
        <v>82.872799999999998</v>
      </c>
      <c r="T133" s="43">
        <v>82.944199999999995</v>
      </c>
      <c r="U133" s="43">
        <v>83.015600000000006</v>
      </c>
      <c r="V133" s="43">
        <v>83.087000000000003</v>
      </c>
      <c r="W133" s="43">
        <v>83.089600000000004</v>
      </c>
      <c r="X133" s="43">
        <v>83.092200000000005</v>
      </c>
      <c r="Y133" s="43">
        <v>83.094800000000006</v>
      </c>
      <c r="Z133" s="43">
        <v>83.097399999999993</v>
      </c>
      <c r="AA133" s="43">
        <v>83.1</v>
      </c>
      <c r="AB133" s="43">
        <v>83.1</v>
      </c>
      <c r="AC133" s="43">
        <v>83.1</v>
      </c>
      <c r="AD133" s="43">
        <v>83.1</v>
      </c>
      <c r="AE133" s="43">
        <v>83.1</v>
      </c>
      <c r="AF133" s="43">
        <v>83.1</v>
      </c>
      <c r="AG133" s="43">
        <v>83.244799999999998</v>
      </c>
      <c r="AH133" s="43">
        <v>83.389600000000002</v>
      </c>
      <c r="AI133" s="43">
        <v>83.534400000000005</v>
      </c>
      <c r="AJ133" s="43">
        <v>83.679199999999994</v>
      </c>
      <c r="AK133" s="43">
        <v>83.823999999999998</v>
      </c>
      <c r="AL133" s="43">
        <v>83.864400000000003</v>
      </c>
      <c r="AM133" s="43">
        <v>83.904799999999994</v>
      </c>
      <c r="AN133" s="43">
        <v>83.9452</v>
      </c>
      <c r="AO133" s="43">
        <v>83.985600000000005</v>
      </c>
      <c r="AP133" s="43">
        <v>84.025999999999996</v>
      </c>
      <c r="AQ133" s="43">
        <v>84.084599999999995</v>
      </c>
      <c r="AR133" s="43">
        <v>84.143199999999993</v>
      </c>
      <c r="AS133" s="43">
        <v>84.201800000000006</v>
      </c>
      <c r="AT133" s="43">
        <v>84.260400000000004</v>
      </c>
      <c r="AU133" s="43">
        <v>84.319000000000003</v>
      </c>
      <c r="AV133" s="43">
        <v>84.466399999999993</v>
      </c>
      <c r="AW133" s="43">
        <v>84.613799999999998</v>
      </c>
      <c r="AX133" s="43">
        <v>84.761200000000002</v>
      </c>
      <c r="AY133" s="43">
        <v>84.908600000000007</v>
      </c>
      <c r="AZ133" s="43">
        <v>85.055999999999997</v>
      </c>
      <c r="BA133" s="43">
        <v>85.205799999999996</v>
      </c>
      <c r="BB133" s="43">
        <v>85.355599999999995</v>
      </c>
      <c r="BC133" s="43"/>
      <c r="BD133" s="44">
        <f t="shared" si="2"/>
        <v>80.977166666666648</v>
      </c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2"/>
      <c r="CC133" s="42"/>
      <c r="CD133" s="42"/>
      <c r="CE133" s="42"/>
      <c r="CF133" s="42"/>
      <c r="CG133" s="42"/>
      <c r="CH133" s="42"/>
      <c r="CI133" s="42"/>
      <c r="CJ133" s="42"/>
      <c r="CK133" s="42"/>
      <c r="CL133" s="42"/>
      <c r="CM133" s="42"/>
    </row>
    <row r="134" spans="1:91">
      <c r="A134" s="41">
        <v>210</v>
      </c>
      <c r="B134" s="41" t="s">
        <v>22</v>
      </c>
      <c r="C134" s="43">
        <v>51.6586</v>
      </c>
      <c r="D134" s="43">
        <v>52.298200000000001</v>
      </c>
      <c r="E134" s="43">
        <v>52.937800000000003</v>
      </c>
      <c r="F134" s="43">
        <v>53.577399999999997</v>
      </c>
      <c r="G134" s="43">
        <v>54.216999999999999</v>
      </c>
      <c r="H134" s="43">
        <v>54.847200000000001</v>
      </c>
      <c r="I134" s="43">
        <v>55.477400000000003</v>
      </c>
      <c r="J134" s="43">
        <v>56.107599999999998</v>
      </c>
      <c r="K134" s="43">
        <v>56.7378</v>
      </c>
      <c r="L134" s="43">
        <v>57.368000000000002</v>
      </c>
      <c r="M134" s="43">
        <v>57.368200000000002</v>
      </c>
      <c r="N134" s="43">
        <v>57.368400000000001</v>
      </c>
      <c r="O134" s="43">
        <v>57.368600000000001</v>
      </c>
      <c r="P134" s="43">
        <v>57.3688</v>
      </c>
      <c r="Q134" s="43">
        <v>57.369</v>
      </c>
      <c r="R134" s="43">
        <v>57.311999999999998</v>
      </c>
      <c r="S134" s="43">
        <v>57.255000000000003</v>
      </c>
      <c r="T134" s="43">
        <v>57.198</v>
      </c>
      <c r="U134" s="43">
        <v>57.140999999999998</v>
      </c>
      <c r="V134" s="43">
        <v>57.084000000000003</v>
      </c>
      <c r="W134" s="43">
        <v>58.709200000000003</v>
      </c>
      <c r="X134" s="43">
        <v>60.334400000000002</v>
      </c>
      <c r="Y134" s="43">
        <v>61.959600000000002</v>
      </c>
      <c r="Z134" s="43">
        <v>63.584800000000001</v>
      </c>
      <c r="AA134" s="43">
        <v>65.209999999999994</v>
      </c>
      <c r="AB134" s="43">
        <v>66.8048</v>
      </c>
      <c r="AC134" s="43">
        <v>68.399600000000007</v>
      </c>
      <c r="AD134" s="43">
        <v>69.994399999999999</v>
      </c>
      <c r="AE134" s="43">
        <v>71.589200000000005</v>
      </c>
      <c r="AF134" s="43">
        <v>73.183999999999997</v>
      </c>
      <c r="AG134" s="43">
        <v>73.262799999999999</v>
      </c>
      <c r="AH134" s="43">
        <v>73.3416</v>
      </c>
      <c r="AI134" s="43">
        <v>73.420400000000001</v>
      </c>
      <c r="AJ134" s="43">
        <v>73.499200000000002</v>
      </c>
      <c r="AK134" s="43">
        <v>73.578000000000003</v>
      </c>
      <c r="AL134" s="43">
        <v>73.526799999999994</v>
      </c>
      <c r="AM134" s="43">
        <v>73.4756</v>
      </c>
      <c r="AN134" s="43">
        <v>73.424400000000006</v>
      </c>
      <c r="AO134" s="43">
        <v>73.373199999999997</v>
      </c>
      <c r="AP134" s="43">
        <v>73.322000000000003</v>
      </c>
      <c r="AQ134" s="43">
        <v>73.349000000000004</v>
      </c>
      <c r="AR134" s="43">
        <v>73.376000000000005</v>
      </c>
      <c r="AS134" s="43">
        <v>73.403000000000006</v>
      </c>
      <c r="AT134" s="43">
        <v>73.430000000000007</v>
      </c>
      <c r="AU134" s="43">
        <v>73.456999999999994</v>
      </c>
      <c r="AV134" s="43">
        <v>73.493200000000002</v>
      </c>
      <c r="AW134" s="43">
        <v>73.529399999999995</v>
      </c>
      <c r="AX134" s="43">
        <v>73.565600000000003</v>
      </c>
      <c r="AY134" s="43">
        <v>73.601799999999997</v>
      </c>
      <c r="AZ134" s="43">
        <v>73.638000000000005</v>
      </c>
      <c r="BA134" s="43">
        <v>73.709800000000001</v>
      </c>
      <c r="BB134" s="43">
        <v>73.781599999999997</v>
      </c>
      <c r="BC134" s="43"/>
      <c r="BD134" s="44">
        <f t="shared" si="2"/>
        <v>59.261000000000003</v>
      </c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2"/>
      <c r="CC134" s="42"/>
      <c r="CD134" s="42"/>
      <c r="CE134" s="42"/>
      <c r="CF134" s="42"/>
      <c r="CG134" s="42"/>
      <c r="CH134" s="42"/>
      <c r="CI134" s="42"/>
      <c r="CJ134" s="42"/>
      <c r="CK134" s="42"/>
      <c r="CL134" s="42"/>
      <c r="CM134" s="42"/>
    </row>
    <row r="135" spans="1:91">
      <c r="A135" s="41">
        <v>211</v>
      </c>
      <c r="B135" s="41" t="s">
        <v>21</v>
      </c>
      <c r="C135" s="43">
        <v>37.407600000000002</v>
      </c>
      <c r="D135" s="43">
        <v>38.057200000000002</v>
      </c>
      <c r="E135" s="43">
        <v>38.706800000000001</v>
      </c>
      <c r="F135" s="43">
        <v>39.356400000000001</v>
      </c>
      <c r="G135" s="43">
        <v>40.006</v>
      </c>
      <c r="H135" s="43">
        <v>40.6738</v>
      </c>
      <c r="I135" s="43">
        <v>41.3416</v>
      </c>
      <c r="J135" s="43">
        <v>42.009399999999999</v>
      </c>
      <c r="K135" s="43">
        <v>42.677199999999999</v>
      </c>
      <c r="L135" s="43">
        <v>43.344999999999999</v>
      </c>
      <c r="M135" s="43">
        <v>43.688200000000002</v>
      </c>
      <c r="N135" s="43">
        <v>44.031399999999998</v>
      </c>
      <c r="O135" s="43">
        <v>44.374600000000001</v>
      </c>
      <c r="P135" s="43">
        <v>44.717799999999997</v>
      </c>
      <c r="Q135" s="43">
        <v>45.061</v>
      </c>
      <c r="R135" s="43">
        <v>45.3904</v>
      </c>
      <c r="S135" s="43">
        <v>45.719799999999999</v>
      </c>
      <c r="T135" s="43">
        <v>46.049199999999999</v>
      </c>
      <c r="U135" s="43">
        <v>46.378599999999999</v>
      </c>
      <c r="V135" s="43">
        <v>46.707999999999998</v>
      </c>
      <c r="W135" s="43">
        <v>46.944600000000001</v>
      </c>
      <c r="X135" s="43">
        <v>47.181199999999997</v>
      </c>
      <c r="Y135" s="43">
        <v>47.4178</v>
      </c>
      <c r="Z135" s="43">
        <v>47.654400000000003</v>
      </c>
      <c r="AA135" s="43">
        <v>47.890999999999998</v>
      </c>
      <c r="AB135" s="43">
        <v>48.098999999999997</v>
      </c>
      <c r="AC135" s="43">
        <v>48.307000000000002</v>
      </c>
      <c r="AD135" s="43">
        <v>48.515000000000001</v>
      </c>
      <c r="AE135" s="43">
        <v>48.722999999999999</v>
      </c>
      <c r="AF135" s="43">
        <v>48.930999999999997</v>
      </c>
      <c r="AG135" s="43">
        <v>49.165599999999998</v>
      </c>
      <c r="AH135" s="43">
        <v>49.400199999999998</v>
      </c>
      <c r="AI135" s="43">
        <v>49.634799999999998</v>
      </c>
      <c r="AJ135" s="43">
        <v>49.869399999999999</v>
      </c>
      <c r="AK135" s="43">
        <v>50.103999999999999</v>
      </c>
      <c r="AL135" s="43">
        <v>50.4726</v>
      </c>
      <c r="AM135" s="43">
        <v>50.841200000000001</v>
      </c>
      <c r="AN135" s="43">
        <v>51.209800000000001</v>
      </c>
      <c r="AO135" s="43">
        <v>51.578400000000002</v>
      </c>
      <c r="AP135" s="43">
        <v>51.947000000000003</v>
      </c>
      <c r="AQ135" s="43">
        <v>52.3142</v>
      </c>
      <c r="AR135" s="43">
        <v>52.681399999999996</v>
      </c>
      <c r="AS135" s="43">
        <v>53.0486</v>
      </c>
      <c r="AT135" s="43">
        <v>53.415799999999997</v>
      </c>
      <c r="AU135" s="43">
        <v>53.783000000000001</v>
      </c>
      <c r="AV135" s="43">
        <v>54.161000000000001</v>
      </c>
      <c r="AW135" s="43">
        <v>54.539000000000001</v>
      </c>
      <c r="AX135" s="43">
        <v>54.917000000000002</v>
      </c>
      <c r="AY135" s="43">
        <v>55.295000000000002</v>
      </c>
      <c r="AZ135" s="43">
        <v>55.673000000000002</v>
      </c>
      <c r="BA135" s="43">
        <v>56.068600000000004</v>
      </c>
      <c r="BB135" s="43">
        <v>56.464199999999998</v>
      </c>
      <c r="BC135" s="43"/>
      <c r="BD135" s="44">
        <f t="shared" si="2"/>
        <v>44.512133333333331</v>
      </c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2"/>
      <c r="CC135" s="42"/>
      <c r="CD135" s="42"/>
      <c r="CE135" s="42"/>
      <c r="CF135" s="42"/>
      <c r="CG135" s="42"/>
      <c r="CH135" s="42"/>
      <c r="CI135" s="42"/>
      <c r="CJ135" s="42"/>
      <c r="CK135" s="42"/>
      <c r="CL135" s="42"/>
      <c r="CM135" s="42"/>
    </row>
    <row r="136" spans="1:91">
      <c r="A136" s="41">
        <v>213</v>
      </c>
      <c r="B136" s="41" t="s">
        <v>20</v>
      </c>
      <c r="C136" s="43">
        <v>33.564799999999998</v>
      </c>
      <c r="D136" s="43">
        <v>33.961599999999997</v>
      </c>
      <c r="E136" s="43">
        <v>34.358400000000003</v>
      </c>
      <c r="F136" s="43">
        <v>34.755200000000002</v>
      </c>
      <c r="G136" s="43">
        <v>35.152000000000001</v>
      </c>
      <c r="H136" s="43">
        <v>35.4968</v>
      </c>
      <c r="I136" s="43">
        <v>35.8416</v>
      </c>
      <c r="J136" s="43">
        <v>36.186399999999999</v>
      </c>
      <c r="K136" s="43">
        <v>36.531199999999998</v>
      </c>
      <c r="L136" s="43">
        <v>36.875999999999998</v>
      </c>
      <c r="M136" s="43">
        <v>36.607999999999997</v>
      </c>
      <c r="N136" s="43">
        <v>36.340000000000003</v>
      </c>
      <c r="O136" s="43">
        <v>36.072000000000003</v>
      </c>
      <c r="P136" s="43">
        <v>35.804000000000002</v>
      </c>
      <c r="Q136" s="43">
        <v>35.536000000000001</v>
      </c>
      <c r="R136" s="43">
        <v>35.2866</v>
      </c>
      <c r="S136" s="43">
        <v>35.037199999999999</v>
      </c>
      <c r="T136" s="43">
        <v>34.787799999999997</v>
      </c>
      <c r="U136" s="43">
        <v>34.538400000000003</v>
      </c>
      <c r="V136" s="43">
        <v>34.289000000000001</v>
      </c>
      <c r="W136" s="43">
        <v>34.078200000000002</v>
      </c>
      <c r="X136" s="43">
        <v>33.867400000000004</v>
      </c>
      <c r="Y136" s="43">
        <v>33.656599999999997</v>
      </c>
      <c r="Z136" s="43">
        <v>33.445799999999998</v>
      </c>
      <c r="AA136" s="43">
        <v>33.234999999999999</v>
      </c>
      <c r="AB136" s="43">
        <v>32.919600000000003</v>
      </c>
      <c r="AC136" s="43">
        <v>32.604199999999999</v>
      </c>
      <c r="AD136" s="43">
        <v>32.288800000000002</v>
      </c>
      <c r="AE136" s="43">
        <v>31.973400000000002</v>
      </c>
      <c r="AF136" s="43">
        <v>31.658000000000001</v>
      </c>
      <c r="AG136" s="43">
        <v>31.101800000000001</v>
      </c>
      <c r="AH136" s="43">
        <v>30.5456</v>
      </c>
      <c r="AI136" s="43">
        <v>29.9894</v>
      </c>
      <c r="AJ136" s="43">
        <v>29.433199999999999</v>
      </c>
      <c r="AK136" s="43">
        <v>28.876999999999999</v>
      </c>
      <c r="AL136" s="43">
        <v>28.399000000000001</v>
      </c>
      <c r="AM136" s="43">
        <v>27.920999999999999</v>
      </c>
      <c r="AN136" s="43">
        <v>27.443000000000001</v>
      </c>
      <c r="AO136" s="43">
        <v>26.965</v>
      </c>
      <c r="AP136" s="43">
        <v>26.486999999999998</v>
      </c>
      <c r="AQ136" s="43">
        <v>26.4754</v>
      </c>
      <c r="AR136" s="43">
        <v>26.463799999999999</v>
      </c>
      <c r="AS136" s="43">
        <v>26.452200000000001</v>
      </c>
      <c r="AT136" s="43">
        <v>26.4406</v>
      </c>
      <c r="AU136" s="43">
        <v>26.428999999999998</v>
      </c>
      <c r="AV136" s="43">
        <v>26.443200000000001</v>
      </c>
      <c r="AW136" s="43">
        <v>26.4574</v>
      </c>
      <c r="AX136" s="43">
        <v>26.471599999999999</v>
      </c>
      <c r="AY136" s="43">
        <v>26.485800000000001</v>
      </c>
      <c r="AZ136" s="43">
        <v>26.5</v>
      </c>
      <c r="BA136" s="43">
        <v>26.553999999999998</v>
      </c>
      <c r="BB136" s="43">
        <v>26.608000000000001</v>
      </c>
      <c r="BC136" s="43"/>
      <c r="BD136" s="44">
        <f t="shared" si="2"/>
        <v>34.55833333333333</v>
      </c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2"/>
      <c r="CC136" s="42"/>
      <c r="CD136" s="42"/>
      <c r="CE136" s="42"/>
      <c r="CF136" s="42"/>
      <c r="CG136" s="42"/>
      <c r="CH136" s="42"/>
      <c r="CI136" s="42"/>
      <c r="CJ136" s="42"/>
      <c r="CK136" s="42"/>
      <c r="CL136" s="42"/>
      <c r="CM136" s="42"/>
    </row>
    <row r="137" spans="1:91">
      <c r="A137" s="41">
        <v>214</v>
      </c>
      <c r="B137" s="41" t="s">
        <v>19</v>
      </c>
      <c r="C137" s="43">
        <v>5.4028</v>
      </c>
      <c r="D137" s="43">
        <v>5.5595999999999997</v>
      </c>
      <c r="E137" s="43">
        <v>5.7164000000000001</v>
      </c>
      <c r="F137" s="43">
        <v>5.8731999999999998</v>
      </c>
      <c r="G137" s="43">
        <v>6.03</v>
      </c>
      <c r="H137" s="43">
        <v>6.3944000000000001</v>
      </c>
      <c r="I137" s="43">
        <v>6.7587999999999999</v>
      </c>
      <c r="J137" s="43">
        <v>7.1231999999999998</v>
      </c>
      <c r="K137" s="43">
        <v>7.4875999999999996</v>
      </c>
      <c r="L137" s="43">
        <v>7.8520000000000003</v>
      </c>
      <c r="M137" s="43">
        <v>8.5107999999999997</v>
      </c>
      <c r="N137" s="43">
        <v>9.1696000000000009</v>
      </c>
      <c r="O137" s="43">
        <v>9.8284000000000002</v>
      </c>
      <c r="P137" s="43">
        <v>10.4872</v>
      </c>
      <c r="Q137" s="43">
        <v>11.146000000000001</v>
      </c>
      <c r="R137" s="43">
        <v>11.8278</v>
      </c>
      <c r="S137" s="43">
        <v>12.509600000000001</v>
      </c>
      <c r="T137" s="43">
        <v>13.1914</v>
      </c>
      <c r="U137" s="43">
        <v>13.873200000000001</v>
      </c>
      <c r="V137" s="43">
        <v>14.555</v>
      </c>
      <c r="W137" s="43">
        <v>14.997400000000001</v>
      </c>
      <c r="X137" s="43">
        <v>15.4398</v>
      </c>
      <c r="Y137" s="43">
        <v>15.882199999999999</v>
      </c>
      <c r="Z137" s="43">
        <v>16.3246</v>
      </c>
      <c r="AA137" s="43">
        <v>16.766999999999999</v>
      </c>
      <c r="AB137" s="43">
        <v>17.1904</v>
      </c>
      <c r="AC137" s="43">
        <v>17.613800000000001</v>
      </c>
      <c r="AD137" s="43">
        <v>18.037199999999999</v>
      </c>
      <c r="AE137" s="43">
        <v>18.460599999999999</v>
      </c>
      <c r="AF137" s="43">
        <v>18.884</v>
      </c>
      <c r="AG137" s="43">
        <v>19.215800000000002</v>
      </c>
      <c r="AH137" s="43">
        <v>19.547599999999999</v>
      </c>
      <c r="AI137" s="43">
        <v>19.8794</v>
      </c>
      <c r="AJ137" s="43">
        <v>20.211200000000002</v>
      </c>
      <c r="AK137" s="43">
        <v>20.542999999999999</v>
      </c>
      <c r="AL137" s="43">
        <v>20.8962</v>
      </c>
      <c r="AM137" s="43">
        <v>21.249400000000001</v>
      </c>
      <c r="AN137" s="43">
        <v>21.602599999999999</v>
      </c>
      <c r="AO137" s="43">
        <v>21.9558</v>
      </c>
      <c r="AP137" s="43">
        <v>22.309000000000001</v>
      </c>
      <c r="AQ137" s="43">
        <v>22.685600000000001</v>
      </c>
      <c r="AR137" s="43">
        <v>23.062200000000001</v>
      </c>
      <c r="AS137" s="43">
        <v>23.438800000000001</v>
      </c>
      <c r="AT137" s="43">
        <v>23.8154</v>
      </c>
      <c r="AU137" s="43">
        <v>24.192</v>
      </c>
      <c r="AV137" s="43">
        <v>24.609400000000001</v>
      </c>
      <c r="AW137" s="43">
        <v>25.026800000000001</v>
      </c>
      <c r="AX137" s="43">
        <v>25.444199999999999</v>
      </c>
      <c r="AY137" s="43">
        <v>25.861599999999999</v>
      </c>
      <c r="AZ137" s="43">
        <v>26.279</v>
      </c>
      <c r="BA137" s="43">
        <v>26.7424</v>
      </c>
      <c r="BB137" s="43">
        <v>27.2058</v>
      </c>
      <c r="BC137" s="43"/>
      <c r="BD137" s="44">
        <f t="shared" si="2"/>
        <v>11.629800000000001</v>
      </c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2"/>
      <c r="CC137" s="42"/>
      <c r="CD137" s="42"/>
      <c r="CE137" s="42"/>
      <c r="CF137" s="42"/>
      <c r="CG137" s="42"/>
      <c r="CH137" s="42"/>
      <c r="CI137" s="42"/>
      <c r="CJ137" s="42"/>
      <c r="CK137" s="42"/>
      <c r="CL137" s="42"/>
      <c r="CM137" s="42"/>
    </row>
    <row r="138" spans="1:91">
      <c r="A138" s="41">
        <v>215</v>
      </c>
      <c r="B138" s="41" t="s">
        <v>18</v>
      </c>
      <c r="C138" s="43">
        <v>19.7818</v>
      </c>
      <c r="D138" s="43">
        <v>19.8916</v>
      </c>
      <c r="E138" s="43">
        <v>20.0014</v>
      </c>
      <c r="F138" s="43">
        <v>20.1112</v>
      </c>
      <c r="G138" s="43">
        <v>20.221</v>
      </c>
      <c r="H138" s="43">
        <v>20.354600000000001</v>
      </c>
      <c r="I138" s="43">
        <v>20.488199999999999</v>
      </c>
      <c r="J138" s="43">
        <v>20.6218</v>
      </c>
      <c r="K138" s="43">
        <v>20.755400000000002</v>
      </c>
      <c r="L138" s="43">
        <v>20.888999999999999</v>
      </c>
      <c r="M138" s="43">
        <v>21.462800000000001</v>
      </c>
      <c r="N138" s="43">
        <v>22.0366</v>
      </c>
      <c r="O138" s="43">
        <v>22.610399999999998</v>
      </c>
      <c r="P138" s="43">
        <v>23.184200000000001</v>
      </c>
      <c r="Q138" s="43">
        <v>23.757999999999999</v>
      </c>
      <c r="R138" s="43">
        <v>24.364599999999999</v>
      </c>
      <c r="S138" s="43">
        <v>24.9712</v>
      </c>
      <c r="T138" s="43">
        <v>25.5778</v>
      </c>
      <c r="U138" s="43">
        <v>26.1844</v>
      </c>
      <c r="V138" s="43">
        <v>26.791</v>
      </c>
      <c r="W138" s="43">
        <v>27.0518</v>
      </c>
      <c r="X138" s="43">
        <v>27.3126</v>
      </c>
      <c r="Y138" s="43">
        <v>27.573399999999999</v>
      </c>
      <c r="Z138" s="43">
        <v>27.834199999999999</v>
      </c>
      <c r="AA138" s="43">
        <v>28.094999999999999</v>
      </c>
      <c r="AB138" s="43">
        <v>28.360800000000001</v>
      </c>
      <c r="AC138" s="43">
        <v>28.6266</v>
      </c>
      <c r="AD138" s="43">
        <v>28.892399999999999</v>
      </c>
      <c r="AE138" s="43">
        <v>29.158200000000001</v>
      </c>
      <c r="AF138" s="43">
        <v>29.423999999999999</v>
      </c>
      <c r="AG138" s="43">
        <v>29.5944</v>
      </c>
      <c r="AH138" s="43">
        <v>29.764800000000001</v>
      </c>
      <c r="AI138" s="43">
        <v>29.935199999999998</v>
      </c>
      <c r="AJ138" s="43">
        <v>30.105599999999999</v>
      </c>
      <c r="AK138" s="43">
        <v>30.276</v>
      </c>
      <c r="AL138" s="43">
        <v>30.449400000000001</v>
      </c>
      <c r="AM138" s="43">
        <v>30.622800000000002</v>
      </c>
      <c r="AN138" s="43">
        <v>30.796199999999999</v>
      </c>
      <c r="AO138" s="43">
        <v>30.9696</v>
      </c>
      <c r="AP138" s="43">
        <v>31.143000000000001</v>
      </c>
      <c r="AQ138" s="43">
        <v>31.3626</v>
      </c>
      <c r="AR138" s="43">
        <v>31.5822</v>
      </c>
      <c r="AS138" s="43">
        <v>31.8018</v>
      </c>
      <c r="AT138" s="43">
        <v>32.0214</v>
      </c>
      <c r="AU138" s="43">
        <v>32.241</v>
      </c>
      <c r="AV138" s="43">
        <v>32.538800000000002</v>
      </c>
      <c r="AW138" s="43">
        <v>32.836599999999997</v>
      </c>
      <c r="AX138" s="43">
        <v>33.134399999999999</v>
      </c>
      <c r="AY138" s="43">
        <v>33.432200000000002</v>
      </c>
      <c r="AZ138" s="43">
        <v>33.729999999999997</v>
      </c>
      <c r="BA138" s="43">
        <v>34.110399999999998</v>
      </c>
      <c r="BB138" s="43">
        <v>34.4908</v>
      </c>
      <c r="BC138" s="43"/>
      <c r="BD138" s="44">
        <f t="shared" si="2"/>
        <v>24.21286666666667</v>
      </c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2"/>
      <c r="CC138" s="42"/>
      <c r="CD138" s="42"/>
      <c r="CE138" s="42"/>
      <c r="CF138" s="42"/>
      <c r="CG138" s="42"/>
      <c r="CH138" s="42"/>
      <c r="CI138" s="42"/>
      <c r="CJ138" s="42"/>
      <c r="CK138" s="42"/>
      <c r="CL138" s="42"/>
      <c r="CM138" s="42"/>
    </row>
    <row r="139" spans="1:91">
      <c r="A139" s="41">
        <v>216</v>
      </c>
      <c r="B139" s="41" t="s">
        <v>17</v>
      </c>
      <c r="C139" s="43">
        <v>10.343400000000001</v>
      </c>
      <c r="D139" s="43">
        <v>10.595800000000001</v>
      </c>
      <c r="E139" s="43">
        <v>10.8482</v>
      </c>
      <c r="F139" s="43">
        <v>11.1006</v>
      </c>
      <c r="G139" s="43">
        <v>11.353</v>
      </c>
      <c r="H139" s="43">
        <v>11.659599999999999</v>
      </c>
      <c r="I139" s="43">
        <v>11.966200000000001</v>
      </c>
      <c r="J139" s="43">
        <v>12.2728</v>
      </c>
      <c r="K139" s="43">
        <v>12.5794</v>
      </c>
      <c r="L139" s="43">
        <v>12.885999999999999</v>
      </c>
      <c r="M139" s="43">
        <v>13.227399999999999</v>
      </c>
      <c r="N139" s="43">
        <v>13.5688</v>
      </c>
      <c r="O139" s="43">
        <v>13.9102</v>
      </c>
      <c r="P139" s="43">
        <v>14.2516</v>
      </c>
      <c r="Q139" s="43">
        <v>14.593</v>
      </c>
      <c r="R139" s="43">
        <v>14.971</v>
      </c>
      <c r="S139" s="43">
        <v>15.349</v>
      </c>
      <c r="T139" s="43">
        <v>15.727</v>
      </c>
      <c r="U139" s="43">
        <v>16.105</v>
      </c>
      <c r="V139" s="43">
        <v>16.483000000000001</v>
      </c>
      <c r="W139" s="43">
        <v>16.899000000000001</v>
      </c>
      <c r="X139" s="43">
        <v>17.315000000000001</v>
      </c>
      <c r="Y139" s="43">
        <v>17.731000000000002</v>
      </c>
      <c r="Z139" s="43">
        <v>18.146999999999998</v>
      </c>
      <c r="AA139" s="43">
        <v>18.562999999999999</v>
      </c>
      <c r="AB139" s="43">
        <v>19.018799999999999</v>
      </c>
      <c r="AC139" s="43">
        <v>19.474599999999999</v>
      </c>
      <c r="AD139" s="43">
        <v>19.930399999999999</v>
      </c>
      <c r="AE139" s="43">
        <v>20.386199999999999</v>
      </c>
      <c r="AF139" s="43">
        <v>20.841999999999999</v>
      </c>
      <c r="AG139" s="43">
        <v>21.180399999999999</v>
      </c>
      <c r="AH139" s="43">
        <v>21.518799999999999</v>
      </c>
      <c r="AI139" s="43">
        <v>21.857199999999999</v>
      </c>
      <c r="AJ139" s="43">
        <v>22.195599999999999</v>
      </c>
      <c r="AK139" s="43">
        <v>22.533999999999999</v>
      </c>
      <c r="AL139" s="43">
        <v>22.879799999999999</v>
      </c>
      <c r="AM139" s="43">
        <v>23.2256</v>
      </c>
      <c r="AN139" s="43">
        <v>23.571400000000001</v>
      </c>
      <c r="AO139" s="43">
        <v>23.917200000000001</v>
      </c>
      <c r="AP139" s="43">
        <v>24.263000000000002</v>
      </c>
      <c r="AQ139" s="43">
        <v>24.6264</v>
      </c>
      <c r="AR139" s="43">
        <v>24.989799999999999</v>
      </c>
      <c r="AS139" s="43">
        <v>25.353200000000001</v>
      </c>
      <c r="AT139" s="43">
        <v>25.7166</v>
      </c>
      <c r="AU139" s="43">
        <v>26.08</v>
      </c>
      <c r="AV139" s="43">
        <v>26.456</v>
      </c>
      <c r="AW139" s="43">
        <v>26.832000000000001</v>
      </c>
      <c r="AX139" s="43">
        <v>27.207999999999998</v>
      </c>
      <c r="AY139" s="43">
        <v>27.584</v>
      </c>
      <c r="AZ139" s="43">
        <v>27.96</v>
      </c>
      <c r="BA139" s="43">
        <v>28.3446</v>
      </c>
      <c r="BB139" s="43">
        <v>28.729199999999999</v>
      </c>
      <c r="BC139" s="43"/>
      <c r="BD139" s="44">
        <f t="shared" si="2"/>
        <v>15.06993333333333</v>
      </c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2"/>
      <c r="CC139" s="42"/>
      <c r="CD139" s="42"/>
      <c r="CE139" s="42"/>
      <c r="CF139" s="42"/>
      <c r="CG139" s="42"/>
      <c r="CH139" s="42"/>
      <c r="CI139" s="42"/>
      <c r="CJ139" s="42"/>
      <c r="CK139" s="42"/>
      <c r="CL139" s="42"/>
      <c r="CM139" s="42"/>
    </row>
    <row r="140" spans="1:91">
      <c r="A140" s="41">
        <v>217</v>
      </c>
      <c r="B140" s="41" t="s">
        <v>16</v>
      </c>
      <c r="C140" s="43">
        <v>11.0684</v>
      </c>
      <c r="D140" s="43">
        <v>12.0388</v>
      </c>
      <c r="E140" s="43">
        <v>13.0092</v>
      </c>
      <c r="F140" s="43">
        <v>13.9796</v>
      </c>
      <c r="G140" s="43">
        <v>14.95</v>
      </c>
      <c r="H140" s="43">
        <v>16.216000000000001</v>
      </c>
      <c r="I140" s="43">
        <v>17.481999999999999</v>
      </c>
      <c r="J140" s="43">
        <v>18.748000000000001</v>
      </c>
      <c r="K140" s="43">
        <v>20.013999999999999</v>
      </c>
      <c r="L140" s="43">
        <v>21.28</v>
      </c>
      <c r="M140" s="43">
        <v>21.609400000000001</v>
      </c>
      <c r="N140" s="43">
        <v>21.938800000000001</v>
      </c>
      <c r="O140" s="43">
        <v>22.2682</v>
      </c>
      <c r="P140" s="43">
        <v>22.5976</v>
      </c>
      <c r="Q140" s="43">
        <v>22.927</v>
      </c>
      <c r="R140" s="43">
        <v>23.2742</v>
      </c>
      <c r="S140" s="43">
        <v>23.621400000000001</v>
      </c>
      <c r="T140" s="43">
        <v>23.968599999999999</v>
      </c>
      <c r="U140" s="43">
        <v>24.315799999999999</v>
      </c>
      <c r="V140" s="43">
        <v>24.663</v>
      </c>
      <c r="W140" s="43">
        <v>25.0428</v>
      </c>
      <c r="X140" s="43">
        <v>25.422599999999999</v>
      </c>
      <c r="Y140" s="43">
        <v>25.802399999999999</v>
      </c>
      <c r="Z140" s="43">
        <v>26.182200000000002</v>
      </c>
      <c r="AA140" s="43">
        <v>26.562000000000001</v>
      </c>
      <c r="AB140" s="43">
        <v>26.967400000000001</v>
      </c>
      <c r="AC140" s="43">
        <v>27.372800000000002</v>
      </c>
      <c r="AD140" s="43">
        <v>27.778199999999998</v>
      </c>
      <c r="AE140" s="43">
        <v>28.183599999999998</v>
      </c>
      <c r="AF140" s="43">
        <v>28.588999999999999</v>
      </c>
      <c r="AG140" s="43">
        <v>29.0122</v>
      </c>
      <c r="AH140" s="43">
        <v>29.435400000000001</v>
      </c>
      <c r="AI140" s="43">
        <v>29.858599999999999</v>
      </c>
      <c r="AJ140" s="43">
        <v>30.2818</v>
      </c>
      <c r="AK140" s="43">
        <v>30.704999999999998</v>
      </c>
      <c r="AL140" s="43">
        <v>31.145399999999999</v>
      </c>
      <c r="AM140" s="43">
        <v>31.585799999999999</v>
      </c>
      <c r="AN140" s="43">
        <v>32.026200000000003</v>
      </c>
      <c r="AO140" s="43">
        <v>32.4666</v>
      </c>
      <c r="AP140" s="43">
        <v>32.906999999999996</v>
      </c>
      <c r="AQ140" s="43">
        <v>33.3626</v>
      </c>
      <c r="AR140" s="43">
        <v>33.818199999999997</v>
      </c>
      <c r="AS140" s="43">
        <v>34.273800000000001</v>
      </c>
      <c r="AT140" s="43">
        <v>34.729399999999998</v>
      </c>
      <c r="AU140" s="43">
        <v>35.185000000000002</v>
      </c>
      <c r="AV140" s="43">
        <v>35.654600000000002</v>
      </c>
      <c r="AW140" s="43">
        <v>36.124200000000002</v>
      </c>
      <c r="AX140" s="43">
        <v>36.593800000000002</v>
      </c>
      <c r="AY140" s="43">
        <v>37.063400000000001</v>
      </c>
      <c r="AZ140" s="43">
        <v>37.533000000000001</v>
      </c>
      <c r="BA140" s="43">
        <v>38.020000000000003</v>
      </c>
      <c r="BB140" s="43">
        <v>38.506999999999998</v>
      </c>
      <c r="BC140" s="43"/>
      <c r="BD140" s="44">
        <f t="shared" si="2"/>
        <v>21.929099999999995</v>
      </c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  <c r="CB140" s="42"/>
      <c r="CC140" s="42"/>
      <c r="CD140" s="42"/>
      <c r="CE140" s="42"/>
      <c r="CF140" s="42"/>
      <c r="CG140" s="42"/>
      <c r="CH140" s="42"/>
      <c r="CI140" s="42"/>
      <c r="CJ140" s="42"/>
      <c r="CK140" s="42"/>
      <c r="CL140" s="42"/>
      <c r="CM140" s="42"/>
    </row>
    <row r="141" spans="1:91">
      <c r="A141" s="41">
        <v>220</v>
      </c>
      <c r="B141" s="41" t="s">
        <v>15</v>
      </c>
      <c r="C141" s="43">
        <v>16.7486</v>
      </c>
      <c r="D141" s="43">
        <v>16.148199999999999</v>
      </c>
      <c r="E141" s="43">
        <v>15.547800000000001</v>
      </c>
      <c r="F141" s="43">
        <v>14.9474</v>
      </c>
      <c r="G141" s="43">
        <v>14.347</v>
      </c>
      <c r="H141" s="43">
        <v>13.8528</v>
      </c>
      <c r="I141" s="43">
        <v>13.358599999999999</v>
      </c>
      <c r="J141" s="43">
        <v>12.8644</v>
      </c>
      <c r="K141" s="43">
        <v>12.370200000000001</v>
      </c>
      <c r="L141" s="43">
        <v>11.875999999999999</v>
      </c>
      <c r="M141" s="43">
        <v>11.7752</v>
      </c>
      <c r="N141" s="43">
        <v>11.6744</v>
      </c>
      <c r="O141" s="43">
        <v>11.573600000000001</v>
      </c>
      <c r="P141" s="43">
        <v>11.472799999999999</v>
      </c>
      <c r="Q141" s="43">
        <v>11.372</v>
      </c>
      <c r="R141" s="43">
        <v>11.270200000000001</v>
      </c>
      <c r="S141" s="43">
        <v>11.1684</v>
      </c>
      <c r="T141" s="43">
        <v>11.066599999999999</v>
      </c>
      <c r="U141" s="43">
        <v>10.9648</v>
      </c>
      <c r="V141" s="43">
        <v>10.863</v>
      </c>
      <c r="W141" s="43">
        <v>10.6098</v>
      </c>
      <c r="X141" s="43">
        <v>10.3566</v>
      </c>
      <c r="Y141" s="43">
        <v>10.103400000000001</v>
      </c>
      <c r="Z141" s="43">
        <v>9.8501999999999992</v>
      </c>
      <c r="AA141" s="43">
        <v>9.5969999999999995</v>
      </c>
      <c r="AB141" s="43">
        <v>9.3843999999999994</v>
      </c>
      <c r="AC141" s="43">
        <v>9.1717999999999993</v>
      </c>
      <c r="AD141" s="43">
        <v>8.9591999999999992</v>
      </c>
      <c r="AE141" s="43">
        <v>8.7466000000000008</v>
      </c>
      <c r="AF141" s="43">
        <v>8.5340000000000007</v>
      </c>
      <c r="AG141" s="43">
        <v>8.7515999999999998</v>
      </c>
      <c r="AH141" s="43">
        <v>8.9692000000000007</v>
      </c>
      <c r="AI141" s="43">
        <v>9.1867999999999999</v>
      </c>
      <c r="AJ141" s="43">
        <v>9.4044000000000008</v>
      </c>
      <c r="AK141" s="43">
        <v>9.6219999999999999</v>
      </c>
      <c r="AL141" s="43">
        <v>9.8642000000000003</v>
      </c>
      <c r="AM141" s="43">
        <v>10.106400000000001</v>
      </c>
      <c r="AN141" s="43">
        <v>10.348599999999999</v>
      </c>
      <c r="AO141" s="43">
        <v>10.5908</v>
      </c>
      <c r="AP141" s="43">
        <v>10.833</v>
      </c>
      <c r="AQ141" s="43">
        <v>11.0908</v>
      </c>
      <c r="AR141" s="43">
        <v>11.348599999999999</v>
      </c>
      <c r="AS141" s="43">
        <v>11.606400000000001</v>
      </c>
      <c r="AT141" s="43">
        <v>11.8642</v>
      </c>
      <c r="AU141" s="43">
        <v>12.122</v>
      </c>
      <c r="AV141" s="43">
        <v>12.3864</v>
      </c>
      <c r="AW141" s="43">
        <v>12.6508</v>
      </c>
      <c r="AX141" s="43">
        <v>12.9152</v>
      </c>
      <c r="AY141" s="43">
        <v>13.179600000000001</v>
      </c>
      <c r="AZ141" s="43">
        <v>13.444000000000001</v>
      </c>
      <c r="BA141" s="43">
        <v>13.711600000000001</v>
      </c>
      <c r="BB141" s="43">
        <v>13.979200000000001</v>
      </c>
      <c r="BC141" s="43"/>
      <c r="BD141" s="44">
        <f t="shared" si="2"/>
        <v>11.685833333333335</v>
      </c>
      <c r="BE141" s="44"/>
      <c r="BF141" s="44"/>
      <c r="BG141" s="44"/>
      <c r="BH141" s="44"/>
      <c r="BI141" s="44"/>
      <c r="BJ141" s="44"/>
      <c r="BK141" s="44"/>
      <c r="BL141" s="44"/>
      <c r="BM141" s="44"/>
      <c r="BN141" s="44"/>
      <c r="BO141" s="44"/>
      <c r="BP141" s="44"/>
      <c r="BQ141" s="44"/>
      <c r="BR141" s="44"/>
      <c r="BS141" s="44"/>
      <c r="BT141" s="44"/>
      <c r="BU141" s="44"/>
      <c r="BV141" s="44"/>
      <c r="BW141" s="44"/>
      <c r="BX141" s="44"/>
      <c r="BY141" s="44"/>
      <c r="BZ141" s="44"/>
      <c r="CA141" s="44"/>
      <c r="CB141" s="42"/>
      <c r="CC141" s="42"/>
      <c r="CD141" s="42"/>
      <c r="CE141" s="42"/>
      <c r="CF141" s="42"/>
      <c r="CG141" s="42"/>
      <c r="CH141" s="42"/>
      <c r="CI141" s="42"/>
      <c r="CJ141" s="42"/>
      <c r="CK141" s="42"/>
      <c r="CL141" s="42"/>
      <c r="CM141" s="42"/>
    </row>
    <row r="142" spans="1:91">
      <c r="A142" s="41">
        <v>221</v>
      </c>
      <c r="B142" s="41" t="s">
        <v>14</v>
      </c>
      <c r="C142" s="43">
        <v>37.953600000000002</v>
      </c>
      <c r="D142" s="43">
        <v>38.3962</v>
      </c>
      <c r="E142" s="43">
        <v>38.838799999999999</v>
      </c>
      <c r="F142" s="43">
        <v>39.281399999999998</v>
      </c>
      <c r="G142" s="43">
        <v>39.723999999999997</v>
      </c>
      <c r="H142" s="43">
        <v>40.4756</v>
      </c>
      <c r="I142" s="43">
        <v>41.227200000000003</v>
      </c>
      <c r="J142" s="43">
        <v>41.9788</v>
      </c>
      <c r="K142" s="43">
        <v>42.730400000000003</v>
      </c>
      <c r="L142" s="43">
        <v>43.481999999999999</v>
      </c>
      <c r="M142" s="43">
        <v>44.303199999999997</v>
      </c>
      <c r="N142" s="43">
        <v>45.124400000000001</v>
      </c>
      <c r="O142" s="43">
        <v>45.945599999999999</v>
      </c>
      <c r="P142" s="43">
        <v>46.766800000000003</v>
      </c>
      <c r="Q142" s="43">
        <v>47.588000000000001</v>
      </c>
      <c r="R142" s="43">
        <v>48.184199999999997</v>
      </c>
      <c r="S142" s="43">
        <v>48.7804</v>
      </c>
      <c r="T142" s="43">
        <v>49.376600000000003</v>
      </c>
      <c r="U142" s="43">
        <v>49.972799999999999</v>
      </c>
      <c r="V142" s="43">
        <v>50.569000000000003</v>
      </c>
      <c r="W142" s="43">
        <v>51.222999999999999</v>
      </c>
      <c r="X142" s="43">
        <v>51.877000000000002</v>
      </c>
      <c r="Y142" s="43">
        <v>52.530999999999999</v>
      </c>
      <c r="Z142" s="43">
        <v>53.185000000000002</v>
      </c>
      <c r="AA142" s="43">
        <v>53.838999999999999</v>
      </c>
      <c r="AB142" s="43">
        <v>54.660400000000003</v>
      </c>
      <c r="AC142" s="43">
        <v>55.4818</v>
      </c>
      <c r="AD142" s="43">
        <v>56.303199999999997</v>
      </c>
      <c r="AE142" s="43">
        <v>57.124600000000001</v>
      </c>
      <c r="AF142" s="43">
        <v>57.945999999999998</v>
      </c>
      <c r="AG142" s="43">
        <v>58.651600000000002</v>
      </c>
      <c r="AH142" s="43">
        <v>59.357199999999999</v>
      </c>
      <c r="AI142" s="43">
        <v>60.062800000000003</v>
      </c>
      <c r="AJ142" s="43">
        <v>60.7684</v>
      </c>
      <c r="AK142" s="43">
        <v>61.473999999999997</v>
      </c>
      <c r="AL142" s="43">
        <v>61.865600000000001</v>
      </c>
      <c r="AM142" s="43">
        <v>62.257199999999997</v>
      </c>
      <c r="AN142" s="43">
        <v>62.648800000000001</v>
      </c>
      <c r="AO142" s="43">
        <v>63.040399999999998</v>
      </c>
      <c r="AP142" s="43">
        <v>63.432000000000002</v>
      </c>
      <c r="AQ142" s="43">
        <v>63.7712</v>
      </c>
      <c r="AR142" s="43">
        <v>64.110399999999998</v>
      </c>
      <c r="AS142" s="43">
        <v>64.449600000000004</v>
      </c>
      <c r="AT142" s="43">
        <v>64.788799999999995</v>
      </c>
      <c r="AU142" s="43">
        <v>65.128</v>
      </c>
      <c r="AV142" s="43">
        <v>65.322000000000003</v>
      </c>
      <c r="AW142" s="43">
        <v>65.516000000000005</v>
      </c>
      <c r="AX142" s="43">
        <v>65.709999999999994</v>
      </c>
      <c r="AY142" s="43">
        <v>65.903999999999996</v>
      </c>
      <c r="AZ142" s="43">
        <v>66.097999999999999</v>
      </c>
      <c r="BA142" s="43">
        <v>66.3142</v>
      </c>
      <c r="BB142" s="43">
        <v>66.5304</v>
      </c>
      <c r="BC142" s="43"/>
      <c r="BD142" s="44">
        <f t="shared" si="2"/>
        <v>47.495666666666665</v>
      </c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44"/>
      <c r="BP142" s="44"/>
      <c r="BQ142" s="44"/>
      <c r="BR142" s="44"/>
      <c r="BS142" s="44"/>
      <c r="BT142" s="44"/>
      <c r="BU142" s="44"/>
      <c r="BV142" s="44"/>
      <c r="BW142" s="44"/>
      <c r="BX142" s="44"/>
      <c r="BY142" s="44"/>
      <c r="BZ142" s="44"/>
      <c r="CA142" s="44"/>
      <c r="CB142" s="42"/>
      <c r="CC142" s="42"/>
      <c r="CD142" s="42"/>
      <c r="CE142" s="42"/>
      <c r="CF142" s="42"/>
      <c r="CG142" s="42"/>
      <c r="CH142" s="42"/>
      <c r="CI142" s="42"/>
      <c r="CJ142" s="42"/>
      <c r="CK142" s="42"/>
      <c r="CL142" s="42"/>
      <c r="CM142" s="42"/>
    </row>
    <row r="143" spans="1:91">
      <c r="A143" s="41">
        <v>222</v>
      </c>
      <c r="B143" s="41" t="s">
        <v>13</v>
      </c>
      <c r="C143" s="43">
        <v>32.057400000000001</v>
      </c>
      <c r="D143" s="43">
        <v>32.599800000000002</v>
      </c>
      <c r="E143" s="43">
        <v>33.142200000000003</v>
      </c>
      <c r="F143" s="43">
        <v>33.684600000000003</v>
      </c>
      <c r="G143" s="43">
        <v>34.226999999999997</v>
      </c>
      <c r="H143" s="43">
        <v>35.028399999999998</v>
      </c>
      <c r="I143" s="43">
        <v>35.829799999999999</v>
      </c>
      <c r="J143" s="43">
        <v>36.6312</v>
      </c>
      <c r="K143" s="43">
        <v>37.432600000000001</v>
      </c>
      <c r="L143" s="43">
        <v>38.234000000000002</v>
      </c>
      <c r="M143" s="43">
        <v>38.904400000000003</v>
      </c>
      <c r="N143" s="43">
        <v>39.574800000000003</v>
      </c>
      <c r="O143" s="43">
        <v>40.245199999999997</v>
      </c>
      <c r="P143" s="43">
        <v>40.915599999999998</v>
      </c>
      <c r="Q143" s="43">
        <v>41.585999999999999</v>
      </c>
      <c r="R143" s="43">
        <v>42.024799999999999</v>
      </c>
      <c r="S143" s="43">
        <v>42.4636</v>
      </c>
      <c r="T143" s="43">
        <v>42.9024</v>
      </c>
      <c r="U143" s="43">
        <v>43.341200000000001</v>
      </c>
      <c r="V143" s="43">
        <v>43.78</v>
      </c>
      <c r="W143" s="43">
        <v>45.513599999999997</v>
      </c>
      <c r="X143" s="43">
        <v>47.247199999999999</v>
      </c>
      <c r="Y143" s="43">
        <v>48.980800000000002</v>
      </c>
      <c r="Z143" s="43">
        <v>50.714399999999998</v>
      </c>
      <c r="AA143" s="43">
        <v>52.448</v>
      </c>
      <c r="AB143" s="43">
        <v>53.798999999999999</v>
      </c>
      <c r="AC143" s="43">
        <v>55.15</v>
      </c>
      <c r="AD143" s="43">
        <v>56.500999999999998</v>
      </c>
      <c r="AE143" s="43">
        <v>57.851999999999997</v>
      </c>
      <c r="AF143" s="43">
        <v>59.203000000000003</v>
      </c>
      <c r="AG143" s="43">
        <v>59.786999999999999</v>
      </c>
      <c r="AH143" s="43">
        <v>60.371000000000002</v>
      </c>
      <c r="AI143" s="43">
        <v>60.954999999999998</v>
      </c>
      <c r="AJ143" s="43">
        <v>61.539000000000001</v>
      </c>
      <c r="AK143" s="43">
        <v>62.122999999999998</v>
      </c>
      <c r="AL143" s="43">
        <v>62.646599999999999</v>
      </c>
      <c r="AM143" s="43">
        <v>63.170200000000001</v>
      </c>
      <c r="AN143" s="43">
        <v>63.693800000000003</v>
      </c>
      <c r="AO143" s="43">
        <v>64.217399999999998</v>
      </c>
      <c r="AP143" s="43">
        <v>64.741</v>
      </c>
      <c r="AQ143" s="43">
        <v>65.161000000000001</v>
      </c>
      <c r="AR143" s="43">
        <v>65.581000000000003</v>
      </c>
      <c r="AS143" s="43">
        <v>66.001000000000005</v>
      </c>
      <c r="AT143" s="43">
        <v>66.421000000000006</v>
      </c>
      <c r="AU143" s="43">
        <v>66.840999999999994</v>
      </c>
      <c r="AV143" s="43">
        <v>67.5702</v>
      </c>
      <c r="AW143" s="43">
        <v>68.299400000000006</v>
      </c>
      <c r="AX143" s="43">
        <v>69.028599999999997</v>
      </c>
      <c r="AY143" s="43">
        <v>69.757800000000003</v>
      </c>
      <c r="AZ143" s="43">
        <v>70.486999999999995</v>
      </c>
      <c r="BA143" s="43">
        <v>71.409400000000005</v>
      </c>
      <c r="BB143" s="43">
        <v>72.331800000000001</v>
      </c>
      <c r="BC143" s="43"/>
      <c r="BD143" s="44">
        <f t="shared" si="2"/>
        <v>43.067133333333338</v>
      </c>
      <c r="BE143" s="44"/>
      <c r="BF143" s="44"/>
      <c r="BG143" s="44"/>
      <c r="BH143" s="44"/>
      <c r="BI143" s="44"/>
      <c r="BJ143" s="44"/>
      <c r="BK143" s="44"/>
      <c r="BL143" s="44"/>
      <c r="BM143" s="44"/>
      <c r="BN143" s="44"/>
      <c r="BO143" s="44"/>
      <c r="BP143" s="44"/>
      <c r="BQ143" s="44"/>
      <c r="BR143" s="44"/>
      <c r="BS143" s="44"/>
      <c r="BT143" s="44"/>
      <c r="BU143" s="44"/>
      <c r="BV143" s="44"/>
      <c r="BW143" s="44"/>
      <c r="BX143" s="44"/>
      <c r="BY143" s="44"/>
      <c r="BZ143" s="44"/>
      <c r="CA143" s="44"/>
      <c r="CB143" s="42"/>
      <c r="CC143" s="42"/>
      <c r="CD143" s="42"/>
      <c r="CE143" s="42"/>
      <c r="CF143" s="42"/>
      <c r="CG143" s="42"/>
      <c r="CH143" s="42"/>
      <c r="CI143" s="42"/>
      <c r="CJ143" s="42"/>
      <c r="CK143" s="42"/>
      <c r="CL143" s="42"/>
      <c r="CM143" s="42"/>
    </row>
    <row r="144" spans="1:91">
      <c r="A144" s="41">
        <v>223</v>
      </c>
      <c r="B144" s="41" t="s">
        <v>12</v>
      </c>
      <c r="C144" s="43">
        <v>46.557400000000001</v>
      </c>
      <c r="D144" s="43">
        <v>46.702800000000003</v>
      </c>
      <c r="E144" s="43">
        <v>46.848199999999999</v>
      </c>
      <c r="F144" s="43">
        <v>46.993600000000001</v>
      </c>
      <c r="G144" s="43">
        <v>47.139000000000003</v>
      </c>
      <c r="H144" s="43">
        <v>47.267200000000003</v>
      </c>
      <c r="I144" s="43">
        <v>47.395400000000002</v>
      </c>
      <c r="J144" s="43">
        <v>47.523600000000002</v>
      </c>
      <c r="K144" s="43">
        <v>47.651800000000001</v>
      </c>
      <c r="L144" s="43">
        <v>47.78</v>
      </c>
      <c r="M144" s="43">
        <v>47.735399999999998</v>
      </c>
      <c r="N144" s="43">
        <v>47.690800000000003</v>
      </c>
      <c r="O144" s="43">
        <v>47.6462</v>
      </c>
      <c r="P144" s="43">
        <v>47.601599999999998</v>
      </c>
      <c r="Q144" s="43">
        <v>47.557000000000002</v>
      </c>
      <c r="R144" s="43">
        <v>47.461199999999998</v>
      </c>
      <c r="S144" s="43">
        <v>47.365400000000001</v>
      </c>
      <c r="T144" s="43">
        <v>47.269599999999997</v>
      </c>
      <c r="U144" s="43">
        <v>47.1738</v>
      </c>
      <c r="V144" s="43">
        <v>47.078000000000003</v>
      </c>
      <c r="W144" s="43">
        <v>46.857599999999998</v>
      </c>
      <c r="X144" s="43">
        <v>46.6372</v>
      </c>
      <c r="Y144" s="43">
        <v>46.416800000000002</v>
      </c>
      <c r="Z144" s="43">
        <v>46.196399999999997</v>
      </c>
      <c r="AA144" s="43">
        <v>45.975999999999999</v>
      </c>
      <c r="AB144" s="43">
        <v>45.7958</v>
      </c>
      <c r="AC144" s="43">
        <v>45.615600000000001</v>
      </c>
      <c r="AD144" s="43">
        <v>45.435400000000001</v>
      </c>
      <c r="AE144" s="43">
        <v>45.255200000000002</v>
      </c>
      <c r="AF144" s="43">
        <v>45.075000000000003</v>
      </c>
      <c r="AG144" s="43">
        <v>45.018799999999999</v>
      </c>
      <c r="AH144" s="43">
        <v>44.962600000000002</v>
      </c>
      <c r="AI144" s="43">
        <v>44.906399999999998</v>
      </c>
      <c r="AJ144" s="43">
        <v>44.850200000000001</v>
      </c>
      <c r="AK144" s="43">
        <v>44.793999999999997</v>
      </c>
      <c r="AL144" s="43">
        <v>45.017800000000001</v>
      </c>
      <c r="AM144" s="43">
        <v>45.241599999999998</v>
      </c>
      <c r="AN144" s="43">
        <v>45.465400000000002</v>
      </c>
      <c r="AO144" s="43">
        <v>45.6892</v>
      </c>
      <c r="AP144" s="43">
        <v>45.912999999999997</v>
      </c>
      <c r="AQ144" s="43">
        <v>46.14</v>
      </c>
      <c r="AR144" s="43">
        <v>46.366999999999997</v>
      </c>
      <c r="AS144" s="43">
        <v>46.594000000000001</v>
      </c>
      <c r="AT144" s="43">
        <v>46.820999999999998</v>
      </c>
      <c r="AU144" s="43">
        <v>47.048000000000002</v>
      </c>
      <c r="AV144" s="43">
        <v>47.320399999999999</v>
      </c>
      <c r="AW144" s="43">
        <v>47.592799999999997</v>
      </c>
      <c r="AX144" s="43">
        <v>47.865200000000002</v>
      </c>
      <c r="AY144" s="43">
        <v>48.137599999999999</v>
      </c>
      <c r="AZ144" s="43">
        <v>48.41</v>
      </c>
      <c r="BA144" s="43">
        <v>48.741599999999998</v>
      </c>
      <c r="BB144" s="43">
        <v>49.0732</v>
      </c>
      <c r="BC144" s="43"/>
      <c r="BD144" s="44">
        <f t="shared" si="2"/>
        <v>46.856633333333342</v>
      </c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/>
      <c r="BR144" s="44"/>
      <c r="BS144" s="44"/>
      <c r="BT144" s="44"/>
      <c r="BU144" s="44"/>
      <c r="BV144" s="44"/>
      <c r="BW144" s="44"/>
      <c r="BX144" s="44"/>
      <c r="BY144" s="44"/>
      <c r="BZ144" s="44"/>
      <c r="CA144" s="44"/>
      <c r="CB144" s="42"/>
      <c r="CC144" s="42"/>
      <c r="CD144" s="42"/>
      <c r="CE144" s="42"/>
      <c r="CF144" s="42"/>
      <c r="CG144" s="42"/>
      <c r="CH144" s="42"/>
      <c r="CI144" s="42"/>
      <c r="CJ144" s="42"/>
      <c r="CK144" s="42"/>
      <c r="CL144" s="42"/>
      <c r="CM144" s="42"/>
    </row>
    <row r="145" spans="1:91">
      <c r="A145" s="41">
        <v>226</v>
      </c>
      <c r="B145" s="41" t="s">
        <v>11</v>
      </c>
      <c r="C145" s="43">
        <v>4.6353999999999997</v>
      </c>
      <c r="D145" s="43">
        <v>4.8537999999999997</v>
      </c>
      <c r="E145" s="43">
        <v>5.0721999999999996</v>
      </c>
      <c r="F145" s="43">
        <v>5.2906000000000004</v>
      </c>
      <c r="G145" s="43">
        <v>5.5090000000000003</v>
      </c>
      <c r="H145" s="43">
        <v>5.74</v>
      </c>
      <c r="I145" s="43">
        <v>5.9710000000000001</v>
      </c>
      <c r="J145" s="43">
        <v>6.202</v>
      </c>
      <c r="K145" s="43">
        <v>6.4329999999999998</v>
      </c>
      <c r="L145" s="43">
        <v>6.6639999999999997</v>
      </c>
      <c r="M145" s="43">
        <v>6.7392000000000003</v>
      </c>
      <c r="N145" s="43">
        <v>6.8144</v>
      </c>
      <c r="O145" s="43">
        <v>6.8895999999999997</v>
      </c>
      <c r="P145" s="43">
        <v>6.9648000000000003</v>
      </c>
      <c r="Q145" s="43">
        <v>7.04</v>
      </c>
      <c r="R145" s="43">
        <v>7.1387999999999998</v>
      </c>
      <c r="S145" s="43">
        <v>7.2375999999999996</v>
      </c>
      <c r="T145" s="43">
        <v>7.3364000000000003</v>
      </c>
      <c r="U145" s="43">
        <v>7.4352</v>
      </c>
      <c r="V145" s="43">
        <v>7.5339999999999998</v>
      </c>
      <c r="W145" s="43">
        <v>7.8575999999999997</v>
      </c>
      <c r="X145" s="43">
        <v>8.1812000000000005</v>
      </c>
      <c r="Y145" s="43">
        <v>8.5047999999999995</v>
      </c>
      <c r="Z145" s="43">
        <v>8.8284000000000002</v>
      </c>
      <c r="AA145" s="43">
        <v>9.1519999999999992</v>
      </c>
      <c r="AB145" s="43">
        <v>9.5367999999999995</v>
      </c>
      <c r="AC145" s="43">
        <v>9.9215999999999998</v>
      </c>
      <c r="AD145" s="43">
        <v>10.3064</v>
      </c>
      <c r="AE145" s="43">
        <v>10.6912</v>
      </c>
      <c r="AF145" s="43">
        <v>11.076000000000001</v>
      </c>
      <c r="AG145" s="43">
        <v>11.1934</v>
      </c>
      <c r="AH145" s="43">
        <v>11.3108</v>
      </c>
      <c r="AI145" s="43">
        <v>11.4282</v>
      </c>
      <c r="AJ145" s="43">
        <v>11.5456</v>
      </c>
      <c r="AK145" s="43">
        <v>11.663</v>
      </c>
      <c r="AL145" s="43">
        <v>11.7468</v>
      </c>
      <c r="AM145" s="43">
        <v>11.8306</v>
      </c>
      <c r="AN145" s="43">
        <v>11.914400000000001</v>
      </c>
      <c r="AO145" s="43">
        <v>11.998200000000001</v>
      </c>
      <c r="AP145" s="43">
        <v>12.082000000000001</v>
      </c>
      <c r="AQ145" s="43">
        <v>12.315200000000001</v>
      </c>
      <c r="AR145" s="43">
        <v>12.548400000000001</v>
      </c>
      <c r="AS145" s="43">
        <v>12.781599999999999</v>
      </c>
      <c r="AT145" s="43">
        <v>13.014799999999999</v>
      </c>
      <c r="AU145" s="43">
        <v>13.247999999999999</v>
      </c>
      <c r="AV145" s="43">
        <v>13.63</v>
      </c>
      <c r="AW145" s="43">
        <v>14.012</v>
      </c>
      <c r="AX145" s="43">
        <v>14.394</v>
      </c>
      <c r="AY145" s="43">
        <v>14.776</v>
      </c>
      <c r="AZ145" s="43">
        <v>15.157999999999999</v>
      </c>
      <c r="BA145" s="43">
        <v>15.579000000000001</v>
      </c>
      <c r="BB145" s="43">
        <v>16</v>
      </c>
      <c r="BC145" s="43"/>
      <c r="BD145" s="44">
        <f t="shared" si="2"/>
        <v>7.3852333333333329</v>
      </c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42"/>
      <c r="BP145" s="42"/>
      <c r="BQ145" s="42"/>
      <c r="BR145" s="42"/>
      <c r="BS145" s="42"/>
      <c r="BT145" s="42"/>
      <c r="BU145" s="42"/>
      <c r="BV145" s="42"/>
      <c r="BW145" s="42"/>
      <c r="BX145" s="42"/>
      <c r="BY145" s="42"/>
      <c r="BZ145" s="42"/>
      <c r="CA145" s="42"/>
      <c r="CB145" s="42"/>
      <c r="CC145" s="42"/>
      <c r="CD145" s="42"/>
      <c r="CE145" s="42"/>
      <c r="CF145" s="42"/>
      <c r="CG145" s="42"/>
      <c r="CH145" s="42"/>
      <c r="CI145" s="42"/>
      <c r="CJ145" s="42"/>
      <c r="CK145" s="42"/>
      <c r="CL145" s="42"/>
      <c r="CM145" s="42"/>
    </row>
    <row r="146" spans="1:91">
      <c r="A146" s="41">
        <v>227</v>
      </c>
      <c r="B146" s="41" t="s">
        <v>10</v>
      </c>
      <c r="C146" s="43">
        <v>47.563400000000001</v>
      </c>
      <c r="D146" s="43">
        <v>48.334800000000001</v>
      </c>
      <c r="E146" s="43">
        <v>49.106200000000001</v>
      </c>
      <c r="F146" s="43">
        <v>49.877600000000001</v>
      </c>
      <c r="G146" s="43">
        <v>50.649000000000001</v>
      </c>
      <c r="H146" s="43">
        <v>51.485399999999998</v>
      </c>
      <c r="I146" s="43">
        <v>52.321800000000003</v>
      </c>
      <c r="J146" s="43">
        <v>53.158200000000001</v>
      </c>
      <c r="K146" s="43">
        <v>53.994599999999998</v>
      </c>
      <c r="L146" s="43">
        <v>54.831000000000003</v>
      </c>
      <c r="M146" s="43">
        <v>55.5426</v>
      </c>
      <c r="N146" s="43">
        <v>56.254199999999997</v>
      </c>
      <c r="O146" s="43">
        <v>56.965800000000002</v>
      </c>
      <c r="P146" s="43">
        <v>57.677399999999999</v>
      </c>
      <c r="Q146" s="43">
        <v>58.389000000000003</v>
      </c>
      <c r="R146" s="43">
        <v>59.049799999999998</v>
      </c>
      <c r="S146" s="43">
        <v>59.710599999999999</v>
      </c>
      <c r="T146" s="43">
        <v>60.371400000000001</v>
      </c>
      <c r="U146" s="43">
        <v>61.032200000000003</v>
      </c>
      <c r="V146" s="43">
        <v>61.692999999999998</v>
      </c>
      <c r="W146" s="43">
        <v>62.290599999999998</v>
      </c>
      <c r="X146" s="43">
        <v>62.888199999999998</v>
      </c>
      <c r="Y146" s="43">
        <v>63.485799999999998</v>
      </c>
      <c r="Z146" s="43">
        <v>64.083399999999997</v>
      </c>
      <c r="AA146" s="43">
        <v>64.680999999999997</v>
      </c>
      <c r="AB146" s="43">
        <v>65.096199999999996</v>
      </c>
      <c r="AC146" s="43">
        <v>65.511399999999995</v>
      </c>
      <c r="AD146" s="43">
        <v>65.926599999999993</v>
      </c>
      <c r="AE146" s="43">
        <v>66.341800000000006</v>
      </c>
      <c r="AF146" s="43">
        <v>66.757000000000005</v>
      </c>
      <c r="AG146" s="43">
        <v>66.7958</v>
      </c>
      <c r="AH146" s="43">
        <v>66.834599999999995</v>
      </c>
      <c r="AI146" s="43">
        <v>66.873400000000004</v>
      </c>
      <c r="AJ146" s="43">
        <v>66.912199999999999</v>
      </c>
      <c r="AK146" s="43">
        <v>66.950999999999993</v>
      </c>
      <c r="AL146" s="43">
        <v>66.989800000000002</v>
      </c>
      <c r="AM146" s="43">
        <v>67.028599999999997</v>
      </c>
      <c r="AN146" s="43">
        <v>67.067400000000006</v>
      </c>
      <c r="AO146" s="43">
        <v>67.106200000000001</v>
      </c>
      <c r="AP146" s="43">
        <v>67.144999999999996</v>
      </c>
      <c r="AQ146" s="43">
        <v>67.274000000000001</v>
      </c>
      <c r="AR146" s="43">
        <v>67.403000000000006</v>
      </c>
      <c r="AS146" s="43">
        <v>67.531999999999996</v>
      </c>
      <c r="AT146" s="43">
        <v>67.661000000000001</v>
      </c>
      <c r="AU146" s="43">
        <v>67.790000000000006</v>
      </c>
      <c r="AV146" s="43">
        <v>67.968999999999994</v>
      </c>
      <c r="AW146" s="43">
        <v>68.147999999999996</v>
      </c>
      <c r="AX146" s="43">
        <v>68.326999999999998</v>
      </c>
      <c r="AY146" s="43">
        <v>68.506</v>
      </c>
      <c r="AZ146" s="43">
        <v>68.685000000000002</v>
      </c>
      <c r="BA146" s="43">
        <v>68.884</v>
      </c>
      <c r="BB146" s="43">
        <v>69.082999999999998</v>
      </c>
      <c r="BC146" s="43"/>
      <c r="BD146" s="44">
        <f t="shared" si="2"/>
        <v>58.169000000000004</v>
      </c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  <c r="BO146" s="42"/>
      <c r="BP146" s="42"/>
      <c r="BQ146" s="42"/>
      <c r="BR146" s="42"/>
      <c r="BS146" s="42"/>
      <c r="BT146" s="42"/>
      <c r="BU146" s="42"/>
      <c r="BV146" s="42"/>
      <c r="BW146" s="42"/>
      <c r="BX146" s="42"/>
      <c r="BY146" s="42"/>
      <c r="BZ146" s="42"/>
      <c r="CA146" s="42"/>
      <c r="CB146" s="42"/>
      <c r="CC146" s="42"/>
      <c r="CD146" s="42"/>
      <c r="CE146" s="42"/>
      <c r="CF146" s="42"/>
      <c r="CG146" s="42"/>
      <c r="CH146" s="42"/>
      <c r="CI146" s="42"/>
      <c r="CJ146" s="42"/>
      <c r="CK146" s="42"/>
      <c r="CL146" s="42"/>
      <c r="CM146" s="42"/>
    </row>
    <row r="147" spans="1:91">
      <c r="A147" s="41">
        <v>228</v>
      </c>
      <c r="B147" s="41" t="s">
        <v>9</v>
      </c>
      <c r="C147" s="43">
        <v>73.932199999999995</v>
      </c>
      <c r="D147" s="43">
        <v>74.364400000000003</v>
      </c>
      <c r="E147" s="43">
        <v>74.796599999999998</v>
      </c>
      <c r="F147" s="43">
        <v>75.228800000000007</v>
      </c>
      <c r="G147" s="43">
        <v>75.661000000000001</v>
      </c>
      <c r="H147" s="43">
        <v>76.069000000000003</v>
      </c>
      <c r="I147" s="43">
        <v>76.477000000000004</v>
      </c>
      <c r="J147" s="43">
        <v>76.885000000000005</v>
      </c>
      <c r="K147" s="43">
        <v>77.293000000000006</v>
      </c>
      <c r="L147" s="43">
        <v>77.700999999999993</v>
      </c>
      <c r="M147" s="43">
        <v>78.083799999999997</v>
      </c>
      <c r="N147" s="43">
        <v>78.4666</v>
      </c>
      <c r="O147" s="43">
        <v>78.849400000000003</v>
      </c>
      <c r="P147" s="43">
        <v>79.232200000000006</v>
      </c>
      <c r="Q147" s="43">
        <v>79.614999999999995</v>
      </c>
      <c r="R147" s="43">
        <v>79.834000000000003</v>
      </c>
      <c r="S147" s="43">
        <v>80.052999999999997</v>
      </c>
      <c r="T147" s="43">
        <v>80.272000000000006</v>
      </c>
      <c r="U147" s="43">
        <v>80.491</v>
      </c>
      <c r="V147" s="43">
        <v>80.709999999999994</v>
      </c>
      <c r="W147" s="43">
        <v>80.528800000000004</v>
      </c>
      <c r="X147" s="43">
        <v>80.3476</v>
      </c>
      <c r="Y147" s="43">
        <v>80.166399999999996</v>
      </c>
      <c r="Z147" s="43">
        <v>79.985200000000006</v>
      </c>
      <c r="AA147" s="43">
        <v>79.804000000000002</v>
      </c>
      <c r="AB147" s="43">
        <v>79.653400000000005</v>
      </c>
      <c r="AC147" s="43">
        <v>79.502799999999993</v>
      </c>
      <c r="AD147" s="43">
        <v>79.352199999999996</v>
      </c>
      <c r="AE147" s="43">
        <v>79.201599999999999</v>
      </c>
      <c r="AF147" s="43">
        <v>79.051000000000002</v>
      </c>
      <c r="AG147" s="43">
        <v>78.904600000000002</v>
      </c>
      <c r="AH147" s="43">
        <v>78.758200000000002</v>
      </c>
      <c r="AI147" s="43">
        <v>78.611800000000002</v>
      </c>
      <c r="AJ147" s="43">
        <v>78.465400000000002</v>
      </c>
      <c r="AK147" s="43">
        <v>78.319000000000003</v>
      </c>
      <c r="AL147" s="43">
        <v>78.702399999999997</v>
      </c>
      <c r="AM147" s="43">
        <v>79.085800000000006</v>
      </c>
      <c r="AN147" s="43">
        <v>79.469200000000001</v>
      </c>
      <c r="AO147" s="43">
        <v>79.852599999999995</v>
      </c>
      <c r="AP147" s="43">
        <v>80.236000000000004</v>
      </c>
      <c r="AQ147" s="43">
        <v>80.641199999999998</v>
      </c>
      <c r="AR147" s="43">
        <v>81.046400000000006</v>
      </c>
      <c r="AS147" s="43">
        <v>81.451599999999999</v>
      </c>
      <c r="AT147" s="43">
        <v>81.856800000000007</v>
      </c>
      <c r="AU147" s="43">
        <v>82.262</v>
      </c>
      <c r="AV147" s="43">
        <v>82.617999999999995</v>
      </c>
      <c r="AW147" s="43">
        <v>82.974000000000004</v>
      </c>
      <c r="AX147" s="43">
        <v>83.33</v>
      </c>
      <c r="AY147" s="43">
        <v>83.686000000000007</v>
      </c>
      <c r="AZ147" s="43">
        <v>84.042000000000002</v>
      </c>
      <c r="BA147" s="43">
        <v>84.331599999999995</v>
      </c>
      <c r="BB147" s="43">
        <v>84.621200000000002</v>
      </c>
      <c r="BC147" s="43"/>
      <c r="BD147" s="44">
        <f t="shared" si="2"/>
        <v>78.386933333333317</v>
      </c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/>
      <c r="BR147" s="44"/>
      <c r="BS147" s="44"/>
      <c r="BT147" s="44"/>
      <c r="BU147" s="44"/>
      <c r="BV147" s="44"/>
      <c r="BW147" s="44"/>
      <c r="BX147" s="44"/>
      <c r="BY147" s="44"/>
      <c r="BZ147" s="44"/>
      <c r="CA147" s="44"/>
      <c r="CB147" s="42"/>
      <c r="CC147" s="42"/>
      <c r="CD147" s="42"/>
      <c r="CE147" s="42"/>
      <c r="CF147" s="42"/>
      <c r="CG147" s="42"/>
      <c r="CH147" s="42"/>
      <c r="CI147" s="42"/>
      <c r="CJ147" s="42"/>
      <c r="CK147" s="42"/>
      <c r="CL147" s="42"/>
      <c r="CM147" s="42"/>
    </row>
    <row r="148" spans="1:91">
      <c r="A148" s="41">
        <v>229</v>
      </c>
      <c r="B148" s="41" t="s">
        <v>8</v>
      </c>
      <c r="C148" s="43">
        <v>78.319400000000002</v>
      </c>
      <c r="D148" s="43">
        <v>78.194800000000001</v>
      </c>
      <c r="E148" s="43">
        <v>78.0702</v>
      </c>
      <c r="F148" s="43">
        <v>77.945599999999999</v>
      </c>
      <c r="G148" s="43">
        <v>77.820999999999998</v>
      </c>
      <c r="H148" s="43">
        <v>77.680199999999999</v>
      </c>
      <c r="I148" s="43">
        <v>77.539400000000001</v>
      </c>
      <c r="J148" s="43">
        <v>77.398600000000002</v>
      </c>
      <c r="K148" s="43">
        <v>77.257800000000003</v>
      </c>
      <c r="L148" s="43">
        <v>77.117000000000004</v>
      </c>
      <c r="M148" s="43">
        <v>77.230199999999996</v>
      </c>
      <c r="N148" s="43">
        <v>77.343400000000003</v>
      </c>
      <c r="O148" s="43">
        <v>77.456599999999995</v>
      </c>
      <c r="P148" s="43">
        <v>77.569800000000001</v>
      </c>
      <c r="Q148" s="43">
        <v>77.683000000000007</v>
      </c>
      <c r="R148" s="43">
        <v>77.842600000000004</v>
      </c>
      <c r="S148" s="43">
        <v>78.002200000000002</v>
      </c>
      <c r="T148" s="43">
        <v>78.161799999999999</v>
      </c>
      <c r="U148" s="43">
        <v>78.321399999999997</v>
      </c>
      <c r="V148" s="43">
        <v>78.480999999999995</v>
      </c>
      <c r="W148" s="43">
        <v>78.462800000000001</v>
      </c>
      <c r="X148" s="43">
        <v>78.444599999999994</v>
      </c>
      <c r="Y148" s="43">
        <v>78.426400000000001</v>
      </c>
      <c r="Z148" s="43">
        <v>78.408199999999994</v>
      </c>
      <c r="AA148" s="43">
        <v>78.39</v>
      </c>
      <c r="AB148" s="43">
        <v>78.34</v>
      </c>
      <c r="AC148" s="43">
        <v>78.290000000000006</v>
      </c>
      <c r="AD148" s="43">
        <v>78.239999999999995</v>
      </c>
      <c r="AE148" s="43">
        <v>78.19</v>
      </c>
      <c r="AF148" s="43">
        <v>78.14</v>
      </c>
      <c r="AG148" s="43">
        <v>78.182599999999994</v>
      </c>
      <c r="AH148" s="43">
        <v>78.225200000000001</v>
      </c>
      <c r="AI148" s="43">
        <v>78.267799999999994</v>
      </c>
      <c r="AJ148" s="43">
        <v>78.310400000000001</v>
      </c>
      <c r="AK148" s="43">
        <v>78.352999999999994</v>
      </c>
      <c r="AL148" s="43">
        <v>78.412599999999998</v>
      </c>
      <c r="AM148" s="43">
        <v>78.472200000000001</v>
      </c>
      <c r="AN148" s="43">
        <v>78.531800000000004</v>
      </c>
      <c r="AO148" s="43">
        <v>78.591399999999993</v>
      </c>
      <c r="AP148" s="43">
        <v>78.650999999999996</v>
      </c>
      <c r="AQ148" s="43">
        <v>78.722200000000001</v>
      </c>
      <c r="AR148" s="43">
        <v>78.793400000000005</v>
      </c>
      <c r="AS148" s="43">
        <v>78.864599999999996</v>
      </c>
      <c r="AT148" s="43">
        <v>78.9358</v>
      </c>
      <c r="AU148" s="43">
        <v>79.007000000000005</v>
      </c>
      <c r="AV148" s="43">
        <v>79.107200000000006</v>
      </c>
      <c r="AW148" s="43">
        <v>79.207400000000007</v>
      </c>
      <c r="AX148" s="43">
        <v>79.307599999999994</v>
      </c>
      <c r="AY148" s="43">
        <v>79.407799999999995</v>
      </c>
      <c r="AZ148" s="43">
        <v>79.507999999999996</v>
      </c>
      <c r="BA148" s="43">
        <v>79.635599999999997</v>
      </c>
      <c r="BB148" s="43">
        <v>79.763199999999998</v>
      </c>
      <c r="BC148" s="43"/>
      <c r="BD148" s="44">
        <f t="shared" si="2"/>
        <v>77.958933333333334</v>
      </c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  <c r="BP148" s="44"/>
      <c r="BQ148" s="44"/>
      <c r="BR148" s="44"/>
      <c r="BS148" s="44"/>
      <c r="BT148" s="44"/>
      <c r="BU148" s="44"/>
      <c r="BV148" s="44"/>
      <c r="BW148" s="44"/>
      <c r="BX148" s="44"/>
      <c r="BY148" s="44"/>
      <c r="BZ148" s="44"/>
      <c r="CA148" s="44"/>
      <c r="CB148" s="42"/>
      <c r="CC148" s="42"/>
      <c r="CD148" s="42"/>
      <c r="CE148" s="42"/>
      <c r="CF148" s="42"/>
      <c r="CG148" s="42"/>
      <c r="CH148" s="42"/>
      <c r="CI148" s="42"/>
      <c r="CJ148" s="42"/>
      <c r="CK148" s="42"/>
      <c r="CL148" s="42"/>
      <c r="CM148" s="42"/>
    </row>
    <row r="149" spans="1:91">
      <c r="A149" s="41">
        <v>230</v>
      </c>
      <c r="B149" s="41" t="s">
        <v>7</v>
      </c>
      <c r="C149" s="43">
        <v>70.372600000000006</v>
      </c>
      <c r="D149" s="43">
        <v>70.749200000000002</v>
      </c>
      <c r="E149" s="43">
        <v>71.125799999999998</v>
      </c>
      <c r="F149" s="43">
        <v>71.502399999999994</v>
      </c>
      <c r="G149" s="43">
        <v>71.879000000000005</v>
      </c>
      <c r="H149" s="43">
        <v>72.223600000000005</v>
      </c>
      <c r="I149" s="43">
        <v>72.568200000000004</v>
      </c>
      <c r="J149" s="43">
        <v>72.912800000000004</v>
      </c>
      <c r="K149" s="43">
        <v>73.257400000000004</v>
      </c>
      <c r="L149" s="43">
        <v>73.602000000000004</v>
      </c>
      <c r="M149" s="43">
        <v>73.612200000000001</v>
      </c>
      <c r="N149" s="43">
        <v>73.622399999999999</v>
      </c>
      <c r="O149" s="43">
        <v>73.632599999999996</v>
      </c>
      <c r="P149" s="43">
        <v>73.642799999999994</v>
      </c>
      <c r="Q149" s="43">
        <v>73.653000000000006</v>
      </c>
      <c r="R149" s="43">
        <v>73.67</v>
      </c>
      <c r="S149" s="43">
        <v>73.686999999999998</v>
      </c>
      <c r="T149" s="43">
        <v>73.703999999999994</v>
      </c>
      <c r="U149" s="43">
        <v>73.721000000000004</v>
      </c>
      <c r="V149" s="43">
        <v>73.738</v>
      </c>
      <c r="W149" s="43">
        <v>73.889200000000002</v>
      </c>
      <c r="X149" s="43">
        <v>74.040400000000005</v>
      </c>
      <c r="Y149" s="43">
        <v>74.191599999999994</v>
      </c>
      <c r="Z149" s="43">
        <v>74.342799999999997</v>
      </c>
      <c r="AA149" s="43">
        <v>74.494</v>
      </c>
      <c r="AB149" s="43">
        <v>74.655199999999994</v>
      </c>
      <c r="AC149" s="43">
        <v>74.816400000000002</v>
      </c>
      <c r="AD149" s="43">
        <v>74.977599999999995</v>
      </c>
      <c r="AE149" s="43">
        <v>75.138800000000003</v>
      </c>
      <c r="AF149" s="43">
        <v>75.3</v>
      </c>
      <c r="AG149" s="43">
        <v>75.69</v>
      </c>
      <c r="AH149" s="43">
        <v>76.08</v>
      </c>
      <c r="AI149" s="43">
        <v>76.47</v>
      </c>
      <c r="AJ149" s="43">
        <v>76.86</v>
      </c>
      <c r="AK149" s="43">
        <v>77.25</v>
      </c>
      <c r="AL149" s="43">
        <v>77.617800000000003</v>
      </c>
      <c r="AM149" s="43">
        <v>77.985600000000005</v>
      </c>
      <c r="AN149" s="43">
        <v>78.353399999999993</v>
      </c>
      <c r="AO149" s="43">
        <v>78.721199999999996</v>
      </c>
      <c r="AP149" s="43">
        <v>79.088999999999999</v>
      </c>
      <c r="AQ149" s="43">
        <v>79.417400000000001</v>
      </c>
      <c r="AR149" s="43">
        <v>79.745800000000003</v>
      </c>
      <c r="AS149" s="43">
        <v>80.074200000000005</v>
      </c>
      <c r="AT149" s="43">
        <v>80.402600000000007</v>
      </c>
      <c r="AU149" s="43">
        <v>80.730999999999995</v>
      </c>
      <c r="AV149" s="43">
        <v>81.013400000000004</v>
      </c>
      <c r="AW149" s="43">
        <v>81.2958</v>
      </c>
      <c r="AX149" s="43">
        <v>81.578199999999995</v>
      </c>
      <c r="AY149" s="43">
        <v>81.860600000000005</v>
      </c>
      <c r="AZ149" s="43">
        <v>82.143000000000001</v>
      </c>
      <c r="BA149" s="43">
        <v>82.384</v>
      </c>
      <c r="BB149" s="43">
        <v>82.625</v>
      </c>
      <c r="BC149" s="43"/>
      <c r="BD149" s="44">
        <f t="shared" si="2"/>
        <v>73.424066666666675</v>
      </c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  <c r="BO149" s="42"/>
      <c r="BP149" s="42"/>
      <c r="BQ149" s="42"/>
      <c r="BR149" s="42"/>
      <c r="BS149" s="42"/>
      <c r="BT149" s="42"/>
      <c r="BU149" s="42"/>
      <c r="BV149" s="42"/>
      <c r="BW149" s="42"/>
      <c r="BX149" s="42"/>
      <c r="BY149" s="42"/>
      <c r="BZ149" s="42"/>
      <c r="CA149" s="42"/>
      <c r="CB149" s="42"/>
      <c r="CC149" s="42"/>
      <c r="CD149" s="42"/>
      <c r="CE149" s="42"/>
      <c r="CF149" s="42"/>
      <c r="CG149" s="42"/>
      <c r="CH149" s="42"/>
      <c r="CI149" s="42"/>
      <c r="CJ149" s="42"/>
      <c r="CK149" s="42"/>
      <c r="CL149" s="42"/>
      <c r="CM149" s="42"/>
    </row>
    <row r="150" spans="1:91">
      <c r="A150" s="41">
        <v>232</v>
      </c>
      <c r="B150" s="41" t="s">
        <v>6</v>
      </c>
      <c r="C150" s="43">
        <v>80.458399999999997</v>
      </c>
      <c r="D150" s="43">
        <v>80.675799999999995</v>
      </c>
      <c r="E150" s="43">
        <v>80.893199999999993</v>
      </c>
      <c r="F150" s="43">
        <v>81.110600000000005</v>
      </c>
      <c r="G150" s="43">
        <v>81.328000000000003</v>
      </c>
      <c r="H150" s="43">
        <v>81.536000000000001</v>
      </c>
      <c r="I150" s="43">
        <v>81.744</v>
      </c>
      <c r="J150" s="43">
        <v>81.951999999999998</v>
      </c>
      <c r="K150" s="43">
        <v>82.16</v>
      </c>
      <c r="L150" s="43">
        <v>82.367999999999995</v>
      </c>
      <c r="M150" s="43">
        <v>82.571799999999996</v>
      </c>
      <c r="N150" s="43">
        <v>82.775599999999997</v>
      </c>
      <c r="O150" s="43">
        <v>82.979399999999998</v>
      </c>
      <c r="P150" s="43">
        <v>83.183199999999999</v>
      </c>
      <c r="Q150" s="43">
        <v>83.387</v>
      </c>
      <c r="R150" s="43">
        <v>83.788399999999996</v>
      </c>
      <c r="S150" s="43">
        <v>84.189800000000005</v>
      </c>
      <c r="T150" s="43">
        <v>84.591200000000001</v>
      </c>
      <c r="U150" s="43">
        <v>84.992599999999996</v>
      </c>
      <c r="V150" s="43">
        <v>85.394000000000005</v>
      </c>
      <c r="W150" s="43">
        <v>85.754000000000005</v>
      </c>
      <c r="X150" s="43">
        <v>86.114000000000004</v>
      </c>
      <c r="Y150" s="43">
        <v>86.474000000000004</v>
      </c>
      <c r="Z150" s="43">
        <v>86.834000000000003</v>
      </c>
      <c r="AA150" s="43">
        <v>87.194000000000003</v>
      </c>
      <c r="AB150" s="43">
        <v>87.549800000000005</v>
      </c>
      <c r="AC150" s="43">
        <v>87.905600000000007</v>
      </c>
      <c r="AD150" s="43">
        <v>88.261399999999995</v>
      </c>
      <c r="AE150" s="43">
        <v>88.617199999999997</v>
      </c>
      <c r="AF150" s="43">
        <v>88.972999999999999</v>
      </c>
      <c r="AG150" s="43">
        <v>89.286799999999999</v>
      </c>
      <c r="AH150" s="43">
        <v>89.6006</v>
      </c>
      <c r="AI150" s="43">
        <v>89.914400000000001</v>
      </c>
      <c r="AJ150" s="43">
        <v>90.228200000000001</v>
      </c>
      <c r="AK150" s="43">
        <v>90.542000000000002</v>
      </c>
      <c r="AL150" s="43">
        <v>90.698599999999999</v>
      </c>
      <c r="AM150" s="43">
        <v>90.855199999999996</v>
      </c>
      <c r="AN150" s="43">
        <v>91.011799999999994</v>
      </c>
      <c r="AO150" s="43">
        <v>91.168400000000005</v>
      </c>
      <c r="AP150" s="43">
        <v>91.325000000000003</v>
      </c>
      <c r="AQ150" s="43">
        <v>91.444999999999993</v>
      </c>
      <c r="AR150" s="43">
        <v>91.564999999999998</v>
      </c>
      <c r="AS150" s="43">
        <v>91.685000000000002</v>
      </c>
      <c r="AT150" s="43">
        <v>91.805000000000007</v>
      </c>
      <c r="AU150" s="43">
        <v>91.924999999999997</v>
      </c>
      <c r="AV150" s="43">
        <v>92.030600000000007</v>
      </c>
      <c r="AW150" s="43">
        <v>92.136200000000002</v>
      </c>
      <c r="AX150" s="43">
        <v>92.241799999999998</v>
      </c>
      <c r="AY150" s="43">
        <v>92.347399999999993</v>
      </c>
      <c r="AZ150" s="43">
        <v>92.453000000000003</v>
      </c>
      <c r="BA150" s="43">
        <v>92.543999999999997</v>
      </c>
      <c r="BB150" s="43">
        <v>92.635000000000005</v>
      </c>
      <c r="BC150" s="43"/>
      <c r="BD150" s="44">
        <f t="shared" si="2"/>
        <v>84.191866666666641</v>
      </c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  <c r="BO150" s="42"/>
      <c r="BP150" s="42"/>
      <c r="BQ150" s="42"/>
      <c r="BR150" s="42"/>
      <c r="BS150" s="42"/>
      <c r="BT150" s="42"/>
      <c r="BU150" s="42"/>
      <c r="BV150" s="42"/>
      <c r="BW150" s="42"/>
      <c r="BX150" s="42"/>
      <c r="BY150" s="42"/>
      <c r="BZ150" s="42"/>
      <c r="CA150" s="42"/>
      <c r="CB150" s="42"/>
      <c r="CC150" s="42"/>
      <c r="CD150" s="42"/>
      <c r="CE150" s="42"/>
      <c r="CF150" s="42"/>
      <c r="CG150" s="42"/>
      <c r="CH150" s="42"/>
      <c r="CI150" s="42"/>
      <c r="CJ150" s="42"/>
      <c r="CK150" s="42"/>
      <c r="CL150" s="42"/>
      <c r="CM150" s="42"/>
    </row>
    <row r="151" spans="1:91">
      <c r="A151" s="41">
        <v>233</v>
      </c>
      <c r="B151" s="41" t="s">
        <v>5</v>
      </c>
      <c r="C151" s="43">
        <v>34.240200000000002</v>
      </c>
      <c r="D151" s="43">
        <v>34.502400000000002</v>
      </c>
      <c r="E151" s="43">
        <v>34.764600000000002</v>
      </c>
      <c r="F151" s="43">
        <v>35.026800000000001</v>
      </c>
      <c r="G151" s="43">
        <v>35.289000000000001</v>
      </c>
      <c r="H151" s="43">
        <v>35.573999999999998</v>
      </c>
      <c r="I151" s="43">
        <v>35.859000000000002</v>
      </c>
      <c r="J151" s="43">
        <v>36.143999999999998</v>
      </c>
      <c r="K151" s="43">
        <v>36.429000000000002</v>
      </c>
      <c r="L151" s="43">
        <v>36.713999999999999</v>
      </c>
      <c r="M151" s="43">
        <v>37.188600000000001</v>
      </c>
      <c r="N151" s="43">
        <v>37.663200000000003</v>
      </c>
      <c r="O151" s="43">
        <v>38.137799999999999</v>
      </c>
      <c r="P151" s="43">
        <v>38.612400000000001</v>
      </c>
      <c r="Q151" s="43">
        <v>39.087000000000003</v>
      </c>
      <c r="R151" s="43">
        <v>39.426000000000002</v>
      </c>
      <c r="S151" s="43">
        <v>39.765000000000001</v>
      </c>
      <c r="T151" s="43">
        <v>40.103999999999999</v>
      </c>
      <c r="U151" s="43">
        <v>40.442999999999998</v>
      </c>
      <c r="V151" s="43">
        <v>40.781999999999996</v>
      </c>
      <c r="W151" s="43">
        <v>40.770000000000003</v>
      </c>
      <c r="X151" s="43">
        <v>40.758000000000003</v>
      </c>
      <c r="Y151" s="43">
        <v>40.746000000000002</v>
      </c>
      <c r="Z151" s="43">
        <v>40.734000000000002</v>
      </c>
      <c r="AA151" s="43">
        <v>40.722000000000001</v>
      </c>
      <c r="AB151" s="43">
        <v>40.612000000000002</v>
      </c>
      <c r="AC151" s="43">
        <v>40.502000000000002</v>
      </c>
      <c r="AD151" s="43">
        <v>40.392000000000003</v>
      </c>
      <c r="AE151" s="43">
        <v>40.281999999999996</v>
      </c>
      <c r="AF151" s="43">
        <v>40.171999999999997</v>
      </c>
      <c r="AG151" s="43">
        <v>39.825600000000001</v>
      </c>
      <c r="AH151" s="43">
        <v>39.479199999999999</v>
      </c>
      <c r="AI151" s="43">
        <v>39.132800000000003</v>
      </c>
      <c r="AJ151" s="43">
        <v>38.7864</v>
      </c>
      <c r="AK151" s="43">
        <v>38.44</v>
      </c>
      <c r="AL151" s="43">
        <v>38.2378</v>
      </c>
      <c r="AM151" s="43">
        <v>38.035600000000002</v>
      </c>
      <c r="AN151" s="43">
        <v>37.833399999999997</v>
      </c>
      <c r="AO151" s="43">
        <v>37.6312</v>
      </c>
      <c r="AP151" s="43">
        <v>37.429000000000002</v>
      </c>
      <c r="AQ151" s="43">
        <v>37.278399999999998</v>
      </c>
      <c r="AR151" s="43">
        <v>37.127800000000001</v>
      </c>
      <c r="AS151" s="43">
        <v>36.977200000000003</v>
      </c>
      <c r="AT151" s="43">
        <v>36.826599999999999</v>
      </c>
      <c r="AU151" s="43">
        <v>36.676000000000002</v>
      </c>
      <c r="AV151" s="43">
        <v>36.581600000000002</v>
      </c>
      <c r="AW151" s="43">
        <v>36.487200000000001</v>
      </c>
      <c r="AX151" s="43">
        <v>36.392800000000001</v>
      </c>
      <c r="AY151" s="43">
        <v>36.298400000000001</v>
      </c>
      <c r="AZ151" s="43">
        <v>36.204000000000001</v>
      </c>
      <c r="BA151" s="43">
        <v>36.247999999999998</v>
      </c>
      <c r="BB151" s="43">
        <v>36.292000000000002</v>
      </c>
      <c r="BC151" s="43"/>
      <c r="BD151" s="44">
        <f t="shared" si="2"/>
        <v>38.381400000000006</v>
      </c>
      <c r="BE151" s="42"/>
      <c r="BF151" s="42"/>
      <c r="BG151" s="42"/>
      <c r="BH151" s="42"/>
      <c r="BI151" s="42"/>
      <c r="BJ151" s="42"/>
      <c r="BK151" s="42"/>
      <c r="BL151" s="42"/>
      <c r="BM151" s="42"/>
      <c r="BN151" s="42"/>
      <c r="BO151" s="42"/>
      <c r="BP151" s="42"/>
      <c r="BQ151" s="42"/>
      <c r="BR151" s="42"/>
      <c r="BS151" s="42"/>
      <c r="BT151" s="42"/>
      <c r="BU151" s="42"/>
      <c r="BV151" s="42"/>
      <c r="BW151" s="42"/>
      <c r="BX151" s="42"/>
      <c r="BY151" s="42"/>
      <c r="BZ151" s="42"/>
      <c r="CA151" s="42"/>
      <c r="CB151" s="42"/>
      <c r="CC151" s="42"/>
      <c r="CD151" s="42"/>
      <c r="CE151" s="42"/>
      <c r="CF151" s="42"/>
      <c r="CG151" s="42"/>
      <c r="CH151" s="42"/>
      <c r="CI151" s="42"/>
      <c r="CJ151" s="42"/>
      <c r="CK151" s="42"/>
      <c r="CL151" s="42"/>
      <c r="CM151" s="42"/>
    </row>
    <row r="152" spans="1:91">
      <c r="A152" s="41">
        <v>235</v>
      </c>
      <c r="B152" s="41" t="s">
        <v>4</v>
      </c>
      <c r="C152" s="43">
        <v>62.694800000000001</v>
      </c>
      <c r="D152" s="43">
        <v>63.776600000000002</v>
      </c>
      <c r="E152" s="43">
        <v>64.858400000000003</v>
      </c>
      <c r="F152" s="43">
        <v>65.940200000000004</v>
      </c>
      <c r="G152" s="43">
        <v>67.022000000000006</v>
      </c>
      <c r="H152" s="43">
        <v>67.988</v>
      </c>
      <c r="I152" s="43">
        <v>68.953999999999994</v>
      </c>
      <c r="J152" s="43">
        <v>69.92</v>
      </c>
      <c r="K152" s="43">
        <v>70.885999999999996</v>
      </c>
      <c r="L152" s="43">
        <v>71.852000000000004</v>
      </c>
      <c r="M152" s="43">
        <v>72.638800000000003</v>
      </c>
      <c r="N152" s="43">
        <v>73.425600000000003</v>
      </c>
      <c r="O152" s="43">
        <v>74.212400000000002</v>
      </c>
      <c r="P152" s="43">
        <v>74.999200000000002</v>
      </c>
      <c r="Q152" s="43">
        <v>75.786000000000001</v>
      </c>
      <c r="R152" s="43">
        <v>76.465800000000002</v>
      </c>
      <c r="S152" s="43">
        <v>77.145600000000002</v>
      </c>
      <c r="T152" s="43">
        <v>77.825400000000002</v>
      </c>
      <c r="U152" s="43">
        <v>78.505200000000002</v>
      </c>
      <c r="V152" s="43">
        <v>79.185000000000002</v>
      </c>
      <c r="W152" s="43">
        <v>79.733000000000004</v>
      </c>
      <c r="X152" s="43">
        <v>80.281000000000006</v>
      </c>
      <c r="Y152" s="43">
        <v>80.828999999999994</v>
      </c>
      <c r="Z152" s="43">
        <v>81.376999999999995</v>
      </c>
      <c r="AA152" s="43">
        <v>81.924999999999997</v>
      </c>
      <c r="AB152" s="43">
        <v>82.396799999999999</v>
      </c>
      <c r="AC152" s="43">
        <v>82.868600000000001</v>
      </c>
      <c r="AD152" s="43">
        <v>83.340400000000002</v>
      </c>
      <c r="AE152" s="43">
        <v>83.812200000000004</v>
      </c>
      <c r="AF152" s="43">
        <v>84.284000000000006</v>
      </c>
      <c r="AG152" s="43">
        <v>84.891199999999998</v>
      </c>
      <c r="AH152" s="43">
        <v>85.498400000000004</v>
      </c>
      <c r="AI152" s="43">
        <v>86.105599999999995</v>
      </c>
      <c r="AJ152" s="43">
        <v>86.712800000000001</v>
      </c>
      <c r="AK152" s="43">
        <v>87.32</v>
      </c>
      <c r="AL152" s="43">
        <v>87.833799999999997</v>
      </c>
      <c r="AM152" s="43">
        <v>88.3476</v>
      </c>
      <c r="AN152" s="43">
        <v>88.861400000000003</v>
      </c>
      <c r="AO152" s="43">
        <v>89.375200000000007</v>
      </c>
      <c r="AP152" s="43">
        <v>89.888999999999996</v>
      </c>
      <c r="AQ152" s="43">
        <v>90.293400000000005</v>
      </c>
      <c r="AR152" s="43">
        <v>90.697800000000001</v>
      </c>
      <c r="AS152" s="43">
        <v>91.102199999999996</v>
      </c>
      <c r="AT152" s="43">
        <v>91.506600000000006</v>
      </c>
      <c r="AU152" s="43">
        <v>91.911000000000001</v>
      </c>
      <c r="AV152" s="43">
        <v>92.191599999999994</v>
      </c>
      <c r="AW152" s="43">
        <v>92.472200000000001</v>
      </c>
      <c r="AX152" s="43">
        <v>92.752799999999993</v>
      </c>
      <c r="AY152" s="43">
        <v>93.0334</v>
      </c>
      <c r="AZ152" s="43">
        <v>93.313999999999993</v>
      </c>
      <c r="BA152" s="43">
        <v>93.504800000000003</v>
      </c>
      <c r="BB152" s="43">
        <v>93.695599999999999</v>
      </c>
      <c r="BD152" s="44">
        <f t="shared" si="2"/>
        <v>75.164266666666649</v>
      </c>
    </row>
    <row r="153" spans="1:91">
      <c r="A153" s="41">
        <v>236</v>
      </c>
      <c r="B153" s="41" t="s">
        <v>3</v>
      </c>
      <c r="C153" s="43">
        <v>15.0442</v>
      </c>
      <c r="D153" s="43">
        <v>15.388400000000001</v>
      </c>
      <c r="E153" s="43">
        <v>15.7326</v>
      </c>
      <c r="F153" s="43">
        <v>16.076799999999999</v>
      </c>
      <c r="G153" s="43">
        <v>16.420999999999999</v>
      </c>
      <c r="H153" s="43">
        <v>16.796800000000001</v>
      </c>
      <c r="I153" s="43">
        <v>17.172599999999999</v>
      </c>
      <c r="J153" s="43">
        <v>17.548400000000001</v>
      </c>
      <c r="K153" s="43">
        <v>17.924199999999999</v>
      </c>
      <c r="L153" s="43">
        <v>18.3</v>
      </c>
      <c r="M153" s="43">
        <v>18.3964</v>
      </c>
      <c r="N153" s="43">
        <v>18.492799999999999</v>
      </c>
      <c r="O153" s="43">
        <v>18.589200000000002</v>
      </c>
      <c r="P153" s="43">
        <v>18.685600000000001</v>
      </c>
      <c r="Q153" s="43">
        <v>18.782</v>
      </c>
      <c r="R153" s="43">
        <v>18.875</v>
      </c>
      <c r="S153" s="43">
        <v>18.968</v>
      </c>
      <c r="T153" s="43">
        <v>19.061</v>
      </c>
      <c r="U153" s="43">
        <v>19.154</v>
      </c>
      <c r="V153" s="43">
        <v>19.247</v>
      </c>
      <c r="W153" s="43">
        <v>19.309799999999999</v>
      </c>
      <c r="X153" s="43">
        <v>19.372599999999998</v>
      </c>
      <c r="Y153" s="43">
        <v>19.435400000000001</v>
      </c>
      <c r="Z153" s="43">
        <v>19.498200000000001</v>
      </c>
      <c r="AA153" s="43">
        <v>19.561</v>
      </c>
      <c r="AB153" s="43">
        <v>19.6998</v>
      </c>
      <c r="AC153" s="43">
        <v>19.8386</v>
      </c>
      <c r="AD153" s="43">
        <v>19.977399999999999</v>
      </c>
      <c r="AE153" s="43">
        <v>20.116199999999999</v>
      </c>
      <c r="AF153" s="43">
        <v>20.254999999999999</v>
      </c>
      <c r="AG153" s="43">
        <v>20.641400000000001</v>
      </c>
      <c r="AH153" s="43">
        <v>21.027799999999999</v>
      </c>
      <c r="AI153" s="43">
        <v>21.414200000000001</v>
      </c>
      <c r="AJ153" s="43">
        <v>21.800599999999999</v>
      </c>
      <c r="AK153" s="43">
        <v>22.187000000000001</v>
      </c>
      <c r="AL153" s="43">
        <v>22.624400000000001</v>
      </c>
      <c r="AM153" s="43">
        <v>23.061800000000002</v>
      </c>
      <c r="AN153" s="43">
        <v>23.499199999999998</v>
      </c>
      <c r="AO153" s="43">
        <v>23.936599999999999</v>
      </c>
      <c r="AP153" s="43">
        <v>24.373999999999999</v>
      </c>
      <c r="AQ153" s="43">
        <v>24.955400000000001</v>
      </c>
      <c r="AR153" s="43">
        <v>25.536799999999999</v>
      </c>
      <c r="AS153" s="43">
        <v>26.118200000000002</v>
      </c>
      <c r="AT153" s="43">
        <v>26.6996</v>
      </c>
      <c r="AU153" s="43">
        <v>27.280999999999999</v>
      </c>
      <c r="AV153" s="43">
        <v>27.903400000000001</v>
      </c>
      <c r="AW153" s="43">
        <v>28.5258</v>
      </c>
      <c r="AX153" s="43">
        <v>29.148199999999999</v>
      </c>
      <c r="AY153" s="43">
        <v>29.770600000000002</v>
      </c>
      <c r="AZ153" s="43">
        <v>30.393000000000001</v>
      </c>
      <c r="BA153" s="43">
        <v>31.035599999999999</v>
      </c>
      <c r="BB153" s="43">
        <v>31.6782</v>
      </c>
      <c r="BC153" s="43"/>
      <c r="BD153" s="44">
        <f t="shared" si="2"/>
        <v>18.390666666666664</v>
      </c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2"/>
      <c r="BP153" s="42"/>
      <c r="BQ153" s="42"/>
      <c r="BR153" s="42"/>
      <c r="BS153" s="42"/>
      <c r="BT153" s="42"/>
      <c r="BU153" s="42"/>
      <c r="BV153" s="42"/>
      <c r="BW153" s="42"/>
      <c r="BX153" s="42"/>
      <c r="BY153" s="42"/>
      <c r="BZ153" s="42"/>
      <c r="CA153" s="42"/>
      <c r="CB153" s="42"/>
      <c r="CC153" s="42"/>
      <c r="CD153" s="42"/>
      <c r="CE153" s="42"/>
      <c r="CF153" s="42"/>
      <c r="CG153" s="42"/>
      <c r="CH153" s="42"/>
      <c r="CI153" s="42"/>
      <c r="CJ153" s="42"/>
      <c r="CK153" s="42"/>
      <c r="CL153" s="42"/>
      <c r="CM153" s="42"/>
    </row>
    <row r="154" spans="1:91">
      <c r="A154" s="41">
        <v>241</v>
      </c>
      <c r="B154" s="41" t="s">
        <v>2</v>
      </c>
      <c r="C154" s="43">
        <v>9.4852000000000007</v>
      </c>
      <c r="D154" s="43">
        <v>9.8704000000000001</v>
      </c>
      <c r="E154" s="43">
        <v>10.255599999999999</v>
      </c>
      <c r="F154" s="43">
        <v>10.6408</v>
      </c>
      <c r="G154" s="43">
        <v>11.026</v>
      </c>
      <c r="H154" s="43">
        <v>11.4808</v>
      </c>
      <c r="I154" s="43">
        <v>11.935600000000001</v>
      </c>
      <c r="J154" s="43">
        <v>12.3904</v>
      </c>
      <c r="K154" s="43">
        <v>12.8452</v>
      </c>
      <c r="L154" s="43">
        <v>13.3</v>
      </c>
      <c r="M154" s="43">
        <v>13.6088</v>
      </c>
      <c r="N154" s="43">
        <v>13.9176</v>
      </c>
      <c r="O154" s="43">
        <v>14.2264</v>
      </c>
      <c r="P154" s="43">
        <v>14.5352</v>
      </c>
      <c r="Q154" s="43">
        <v>14.843999999999999</v>
      </c>
      <c r="R154" s="43">
        <v>15.182</v>
      </c>
      <c r="S154" s="43">
        <v>15.52</v>
      </c>
      <c r="T154" s="43">
        <v>15.858000000000001</v>
      </c>
      <c r="U154" s="43">
        <v>16.196000000000002</v>
      </c>
      <c r="V154" s="43">
        <v>16.533999999999999</v>
      </c>
      <c r="W154" s="43">
        <v>16.901800000000001</v>
      </c>
      <c r="X154" s="43">
        <v>17.269600000000001</v>
      </c>
      <c r="Y154" s="43">
        <v>17.6374</v>
      </c>
      <c r="Z154" s="43">
        <v>18.005199999999999</v>
      </c>
      <c r="AA154" s="43">
        <v>18.373000000000001</v>
      </c>
      <c r="AB154" s="43">
        <v>18.884599999999999</v>
      </c>
      <c r="AC154" s="43">
        <v>19.3962</v>
      </c>
      <c r="AD154" s="43">
        <v>19.907800000000002</v>
      </c>
      <c r="AE154" s="43">
        <v>20.4194</v>
      </c>
      <c r="AF154" s="43">
        <v>20.931000000000001</v>
      </c>
      <c r="AG154" s="43">
        <v>21.4968</v>
      </c>
      <c r="AH154" s="43">
        <v>22.0626</v>
      </c>
      <c r="AI154" s="43">
        <v>22.628399999999999</v>
      </c>
      <c r="AJ154" s="43">
        <v>23.194199999999999</v>
      </c>
      <c r="AK154" s="43">
        <v>23.76</v>
      </c>
      <c r="AL154" s="43">
        <v>24.261399999999998</v>
      </c>
      <c r="AM154" s="43">
        <v>24.762799999999999</v>
      </c>
      <c r="AN154" s="43">
        <v>25.264199999999999</v>
      </c>
      <c r="AO154" s="43">
        <v>25.765599999999999</v>
      </c>
      <c r="AP154" s="43">
        <v>26.266999999999999</v>
      </c>
      <c r="AQ154" s="43">
        <v>26.800799999999999</v>
      </c>
      <c r="AR154" s="43">
        <v>27.334599999999998</v>
      </c>
      <c r="AS154" s="43">
        <v>27.868400000000001</v>
      </c>
      <c r="AT154" s="43">
        <v>28.402200000000001</v>
      </c>
      <c r="AU154" s="43">
        <v>28.936</v>
      </c>
      <c r="AV154" s="43">
        <v>29.497199999999999</v>
      </c>
      <c r="AW154" s="43">
        <v>30.058399999999999</v>
      </c>
      <c r="AX154" s="43">
        <v>30.619599999999998</v>
      </c>
      <c r="AY154" s="43">
        <v>31.180800000000001</v>
      </c>
      <c r="AZ154" s="43">
        <v>31.742000000000001</v>
      </c>
      <c r="BA154" s="43">
        <v>32.324800000000003</v>
      </c>
      <c r="BB154" s="43">
        <v>32.907600000000002</v>
      </c>
      <c r="BD154" s="44">
        <f t="shared" si="2"/>
        <v>15.045933333333334</v>
      </c>
    </row>
    <row r="155" spans="1:91">
      <c r="A155" s="41">
        <v>242</v>
      </c>
      <c r="B155" s="41" t="s">
        <v>1</v>
      </c>
      <c r="C155" s="43">
        <v>19.1904</v>
      </c>
      <c r="D155" s="43">
        <v>20.235800000000001</v>
      </c>
      <c r="E155" s="43">
        <v>21.281199999999998</v>
      </c>
      <c r="F155" s="43">
        <v>22.326599999999999</v>
      </c>
      <c r="G155" s="43">
        <v>23.372</v>
      </c>
      <c r="H155" s="43">
        <v>24.767800000000001</v>
      </c>
      <c r="I155" s="43">
        <v>26.163599999999999</v>
      </c>
      <c r="J155" s="43">
        <v>27.5594</v>
      </c>
      <c r="K155" s="43">
        <v>28.955200000000001</v>
      </c>
      <c r="L155" s="43">
        <v>30.350999999999999</v>
      </c>
      <c r="M155" s="43">
        <v>31.267600000000002</v>
      </c>
      <c r="N155" s="43">
        <v>32.184199999999997</v>
      </c>
      <c r="O155" s="43">
        <v>33.1008</v>
      </c>
      <c r="P155" s="43">
        <v>34.017400000000002</v>
      </c>
      <c r="Q155" s="43">
        <v>34.933999999999997</v>
      </c>
      <c r="R155" s="43">
        <v>35.910200000000003</v>
      </c>
      <c r="S155" s="43">
        <v>36.886400000000002</v>
      </c>
      <c r="T155" s="43">
        <v>37.8626</v>
      </c>
      <c r="U155" s="43">
        <v>38.838799999999999</v>
      </c>
      <c r="V155" s="43">
        <v>39.814999999999998</v>
      </c>
      <c r="W155" s="43">
        <v>39.783000000000001</v>
      </c>
      <c r="X155" s="43">
        <v>39.750999999999998</v>
      </c>
      <c r="Y155" s="43">
        <v>39.719000000000001</v>
      </c>
      <c r="Z155" s="43">
        <v>39.686999999999998</v>
      </c>
      <c r="AA155" s="43">
        <v>39.655000000000001</v>
      </c>
      <c r="AB155" s="43">
        <v>39.605400000000003</v>
      </c>
      <c r="AC155" s="43">
        <v>39.555799999999998</v>
      </c>
      <c r="AD155" s="43">
        <v>39.5062</v>
      </c>
      <c r="AE155" s="43">
        <v>39.456600000000002</v>
      </c>
      <c r="AF155" s="43">
        <v>39.406999999999996</v>
      </c>
      <c r="AG155" s="43">
        <v>38.946399999999997</v>
      </c>
      <c r="AH155" s="43">
        <v>38.485799999999998</v>
      </c>
      <c r="AI155" s="43">
        <v>38.025199999999998</v>
      </c>
      <c r="AJ155" s="43">
        <v>37.564599999999999</v>
      </c>
      <c r="AK155" s="43">
        <v>37.103999999999999</v>
      </c>
      <c r="AL155" s="43">
        <v>36.643599999999999</v>
      </c>
      <c r="AM155" s="43">
        <v>36.183199999999999</v>
      </c>
      <c r="AN155" s="43">
        <v>35.722799999999999</v>
      </c>
      <c r="AO155" s="43">
        <v>35.2624</v>
      </c>
      <c r="AP155" s="43">
        <v>34.802</v>
      </c>
      <c r="AQ155" s="43">
        <v>35.164000000000001</v>
      </c>
      <c r="AR155" s="43">
        <v>35.526000000000003</v>
      </c>
      <c r="AS155" s="43">
        <v>35.887999999999998</v>
      </c>
      <c r="AT155" s="43">
        <v>36.25</v>
      </c>
      <c r="AU155" s="43">
        <v>36.612000000000002</v>
      </c>
      <c r="AV155" s="43">
        <v>37.034599999999998</v>
      </c>
      <c r="AW155" s="43">
        <v>37.4572</v>
      </c>
      <c r="AX155" s="43">
        <v>37.879800000000003</v>
      </c>
      <c r="AY155" s="43">
        <v>38.302399999999999</v>
      </c>
      <c r="AZ155" s="43">
        <v>38.725000000000001</v>
      </c>
      <c r="BA155" s="43">
        <v>39.165399999999998</v>
      </c>
      <c r="BB155" s="43">
        <v>39.605800000000002</v>
      </c>
      <c r="BC155" s="43"/>
      <c r="BD155" s="44">
        <f t="shared" si="2"/>
        <v>33.171533333333336</v>
      </c>
      <c r="BE155" s="42"/>
      <c r="BF155" s="42"/>
      <c r="BG155" s="42"/>
      <c r="BH155" s="42"/>
      <c r="BI155" s="42"/>
      <c r="BJ155" s="42"/>
      <c r="BK155" s="42"/>
      <c r="BL155" s="42"/>
      <c r="BM155" s="42"/>
      <c r="BN155" s="42"/>
      <c r="BO155" s="42"/>
      <c r="BP155" s="42"/>
      <c r="BQ155" s="42"/>
      <c r="BR155" s="42"/>
      <c r="BS155" s="42"/>
      <c r="BT155" s="42"/>
      <c r="BU155" s="42"/>
      <c r="BV155" s="42"/>
      <c r="BW155" s="42"/>
      <c r="BX155" s="42"/>
      <c r="BY155" s="42"/>
      <c r="BZ155" s="42"/>
      <c r="CA155" s="42"/>
      <c r="CB155" s="42"/>
      <c r="CC155" s="42"/>
      <c r="CD155" s="42"/>
      <c r="CE155" s="42"/>
      <c r="CF155" s="42"/>
      <c r="CG155" s="42"/>
      <c r="CH155" s="42"/>
      <c r="CI155" s="42"/>
      <c r="CJ155" s="42"/>
      <c r="CK155" s="42"/>
      <c r="CL155" s="42"/>
      <c r="CM155" s="42"/>
    </row>
    <row r="156" spans="1:91">
      <c r="A156" s="41">
        <v>243</v>
      </c>
      <c r="B156" s="41" t="s">
        <v>0</v>
      </c>
      <c r="C156" s="43">
        <v>13.010400000000001</v>
      </c>
      <c r="D156" s="43">
        <v>13.412800000000001</v>
      </c>
      <c r="E156" s="43">
        <v>13.815200000000001</v>
      </c>
      <c r="F156" s="43">
        <v>14.217599999999999</v>
      </c>
      <c r="G156" s="43">
        <v>14.62</v>
      </c>
      <c r="H156" s="43">
        <v>15.1684</v>
      </c>
      <c r="I156" s="43">
        <v>15.716799999999999</v>
      </c>
      <c r="J156" s="43">
        <v>16.2652</v>
      </c>
      <c r="K156" s="43">
        <v>16.813600000000001</v>
      </c>
      <c r="L156" s="43">
        <v>17.361999999999998</v>
      </c>
      <c r="M156" s="43">
        <v>17.8642</v>
      </c>
      <c r="N156" s="43">
        <v>18.366399999999999</v>
      </c>
      <c r="O156" s="43">
        <v>18.868600000000001</v>
      </c>
      <c r="P156" s="43">
        <v>19.370799999999999</v>
      </c>
      <c r="Q156" s="43">
        <v>19.873000000000001</v>
      </c>
      <c r="R156" s="43">
        <v>20.372599999999998</v>
      </c>
      <c r="S156" s="43">
        <v>20.872199999999999</v>
      </c>
      <c r="T156" s="43">
        <v>21.3718</v>
      </c>
      <c r="U156" s="43">
        <v>21.871400000000001</v>
      </c>
      <c r="V156" s="43">
        <v>22.370999999999999</v>
      </c>
      <c r="W156" s="43">
        <v>22.979600000000001</v>
      </c>
      <c r="X156" s="43">
        <v>23.588200000000001</v>
      </c>
      <c r="Y156" s="43">
        <v>24.1968</v>
      </c>
      <c r="Z156" s="43">
        <v>24.805399999999999</v>
      </c>
      <c r="AA156" s="43">
        <v>25.414000000000001</v>
      </c>
      <c r="AB156" s="43">
        <v>26.128799999999998</v>
      </c>
      <c r="AC156" s="43">
        <v>26.843599999999999</v>
      </c>
      <c r="AD156" s="43">
        <v>27.558399999999999</v>
      </c>
      <c r="AE156" s="43">
        <v>28.273199999999999</v>
      </c>
      <c r="AF156" s="43">
        <v>28.988</v>
      </c>
      <c r="AG156" s="43">
        <v>29.536799999999999</v>
      </c>
      <c r="AH156" s="43">
        <v>30.085599999999999</v>
      </c>
      <c r="AI156" s="43">
        <v>30.634399999999999</v>
      </c>
      <c r="AJ156" s="43">
        <v>31.183199999999999</v>
      </c>
      <c r="AK156" s="43">
        <v>31.731999999999999</v>
      </c>
      <c r="AL156" s="43">
        <v>32.1372</v>
      </c>
      <c r="AM156" s="43">
        <v>32.542400000000001</v>
      </c>
      <c r="AN156" s="43">
        <v>32.947600000000001</v>
      </c>
      <c r="AO156" s="43">
        <v>33.352800000000002</v>
      </c>
      <c r="AP156" s="43">
        <v>33.758000000000003</v>
      </c>
      <c r="AQ156" s="43">
        <v>34.178400000000003</v>
      </c>
      <c r="AR156" s="43">
        <v>34.598799999999997</v>
      </c>
      <c r="AS156" s="43">
        <v>35.019199999999998</v>
      </c>
      <c r="AT156" s="43">
        <v>35.439599999999999</v>
      </c>
      <c r="AU156" s="43">
        <v>35.86</v>
      </c>
      <c r="AV156" s="43">
        <v>36.314</v>
      </c>
      <c r="AW156" s="43">
        <v>36.768000000000001</v>
      </c>
      <c r="AX156" s="43">
        <v>37.222000000000001</v>
      </c>
      <c r="AY156" s="43">
        <v>37.676000000000002</v>
      </c>
      <c r="AZ156" s="43">
        <v>38.130000000000003</v>
      </c>
      <c r="BA156" s="43">
        <v>38.620600000000003</v>
      </c>
      <c r="BB156" s="43">
        <v>39.111199999999997</v>
      </c>
      <c r="BC156" s="43"/>
      <c r="BD156" s="44">
        <f t="shared" si="2"/>
        <v>20.345999999999997</v>
      </c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42"/>
      <c r="BV156" s="42"/>
      <c r="BW156" s="42"/>
      <c r="BX156" s="42"/>
      <c r="BY156" s="42"/>
      <c r="BZ156" s="42"/>
      <c r="CA156" s="42"/>
      <c r="CB156" s="42"/>
      <c r="CC156" s="42"/>
      <c r="CD156" s="42"/>
      <c r="CE156" s="42"/>
      <c r="CF156" s="42"/>
      <c r="CG156" s="42"/>
      <c r="CH156" s="42"/>
      <c r="CI156" s="42"/>
      <c r="CJ156" s="42"/>
      <c r="CK156" s="42"/>
      <c r="CL156" s="42"/>
      <c r="CM156" s="42"/>
    </row>
  </sheetData>
  <phoneticPr fontId="4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BB156"/>
  <sheetViews>
    <sheetView workbookViewId="0">
      <selection sqref="A1:XFD1"/>
    </sheetView>
  </sheetViews>
  <sheetFormatPr baseColWidth="10" defaultColWidth="9.1640625" defaultRowHeight="14"/>
  <cols>
    <col min="1" max="16384" width="9.1640625" style="40"/>
  </cols>
  <sheetData>
    <row r="1" spans="1:54">
      <c r="A1" s="40" t="s">
        <v>186</v>
      </c>
      <c r="B1" s="40" t="s">
        <v>187</v>
      </c>
      <c r="C1" s="40">
        <v>1961</v>
      </c>
      <c r="D1" s="40">
        <v>1962</v>
      </c>
      <c r="E1" s="40">
        <v>1963</v>
      </c>
      <c r="F1" s="40">
        <v>1964</v>
      </c>
      <c r="G1" s="40">
        <v>1965</v>
      </c>
      <c r="H1" s="40">
        <v>1966</v>
      </c>
      <c r="I1" s="40">
        <v>1967</v>
      </c>
      <c r="J1" s="40">
        <v>1968</v>
      </c>
      <c r="K1" s="40">
        <v>1969</v>
      </c>
      <c r="L1" s="40">
        <v>1970</v>
      </c>
      <c r="M1" s="40">
        <v>1971</v>
      </c>
      <c r="N1" s="40">
        <v>1972</v>
      </c>
      <c r="O1" s="40">
        <v>1973</v>
      </c>
      <c r="P1" s="40">
        <v>1974</v>
      </c>
      <c r="Q1" s="40">
        <v>1975</v>
      </c>
      <c r="R1" s="40">
        <v>1976</v>
      </c>
      <c r="S1" s="40">
        <v>1977</v>
      </c>
      <c r="T1" s="40">
        <v>1978</v>
      </c>
      <c r="U1" s="40">
        <v>1979</v>
      </c>
      <c r="V1" s="40">
        <v>1980</v>
      </c>
      <c r="W1" s="40">
        <v>1981</v>
      </c>
      <c r="X1" s="40">
        <v>1982</v>
      </c>
      <c r="Y1" s="40">
        <v>1983</v>
      </c>
      <c r="Z1" s="40">
        <v>1984</v>
      </c>
      <c r="AA1" s="40">
        <v>1985</v>
      </c>
      <c r="AB1" s="40">
        <v>1986</v>
      </c>
      <c r="AC1" s="40">
        <v>1987</v>
      </c>
      <c r="AD1" s="40">
        <v>1988</v>
      </c>
      <c r="AE1" s="40">
        <v>1989</v>
      </c>
      <c r="AF1" s="40">
        <v>1990</v>
      </c>
      <c r="AG1" s="40">
        <v>1991</v>
      </c>
      <c r="AH1" s="40">
        <v>1992</v>
      </c>
      <c r="AI1" s="40">
        <v>1993</v>
      </c>
      <c r="AJ1" s="40">
        <v>1994</v>
      </c>
      <c r="AK1" s="40">
        <v>1995</v>
      </c>
      <c r="AL1" s="40">
        <v>1996</v>
      </c>
      <c r="AM1" s="40">
        <v>1997</v>
      </c>
      <c r="AN1" s="40">
        <v>1998</v>
      </c>
      <c r="AO1" s="40">
        <v>1999</v>
      </c>
      <c r="AP1" s="40">
        <v>2000</v>
      </c>
      <c r="AQ1" s="40">
        <v>2001</v>
      </c>
      <c r="AR1" s="40">
        <v>2002</v>
      </c>
      <c r="AS1" s="40">
        <v>2003</v>
      </c>
      <c r="AT1" s="40">
        <v>2004</v>
      </c>
      <c r="AU1" s="40">
        <v>2005</v>
      </c>
      <c r="AV1" s="40">
        <v>2006</v>
      </c>
      <c r="AW1" s="40">
        <v>2007</v>
      </c>
      <c r="AX1" s="40">
        <v>2008</v>
      </c>
      <c r="AY1" s="40">
        <v>2009</v>
      </c>
      <c r="AZ1" s="40">
        <v>2010</v>
      </c>
      <c r="BA1" s="40">
        <v>2011</v>
      </c>
      <c r="BB1" s="40" t="s">
        <v>188</v>
      </c>
    </row>
    <row r="2" spans="1:54">
      <c r="A2" s="41">
        <v>1</v>
      </c>
      <c r="B2" s="41" t="s">
        <v>154</v>
      </c>
      <c r="C2" s="40">
        <v>61.304093058321683</v>
      </c>
      <c r="D2" s="40">
        <v>59.798693323222004</v>
      </c>
      <c r="E2" s="40">
        <v>80.423002065907284</v>
      </c>
      <c r="F2" s="40">
        <v>83.794811814262431</v>
      </c>
      <c r="G2" s="40">
        <v>103.08910311169232</v>
      </c>
      <c r="H2" s="40">
        <v>140.13838324011627</v>
      </c>
      <c r="I2" s="40">
        <v>163.70078862687851</v>
      </c>
      <c r="J2" s="40">
        <v>131.22143592556179</v>
      </c>
      <c r="K2" s="40">
        <v>131.31362122477103</v>
      </c>
      <c r="L2" s="40">
        <v>158.76423092866636</v>
      </c>
      <c r="M2" s="40">
        <v>161.70951599794699</v>
      </c>
      <c r="N2" s="40">
        <v>137.02368756277053</v>
      </c>
      <c r="O2" s="40">
        <v>144.85059983749991</v>
      </c>
      <c r="P2" s="40">
        <v>175.62552393327383</v>
      </c>
      <c r="Q2" s="40">
        <v>188.5521200933625</v>
      </c>
      <c r="R2" s="40">
        <v>199.54661363238256</v>
      </c>
      <c r="S2" s="40">
        <v>226.57888540581402</v>
      </c>
      <c r="T2" s="40">
        <v>250.00764099759175</v>
      </c>
      <c r="U2" s="40">
        <v>278.93977829449693</v>
      </c>
      <c r="V2" s="40">
        <v>276.29775135459005</v>
      </c>
      <c r="W2" s="40">
        <v>268.34655964893761</v>
      </c>
      <c r="AQ2" s="40">
        <v>115.31250950490605</v>
      </c>
      <c r="AR2" s="40">
        <v>185.95929012835091</v>
      </c>
      <c r="AS2" s="40">
        <v>198.28779913809549</v>
      </c>
      <c r="AT2" s="40">
        <v>220.05628780874252</v>
      </c>
      <c r="AU2" s="40">
        <v>252.40789247684927</v>
      </c>
      <c r="AV2" s="40">
        <v>275.35094090477367</v>
      </c>
      <c r="AW2" s="40">
        <v>373.59141621851455</v>
      </c>
      <c r="AX2" s="40">
        <v>376.97766986885364</v>
      </c>
      <c r="AY2" s="40">
        <v>450.65923904499414</v>
      </c>
      <c r="AZ2" s="40">
        <v>561.19761748479527</v>
      </c>
      <c r="BA2" s="40">
        <v>619.59212040219222</v>
      </c>
      <c r="BB2" s="40">
        <v>220.32561322059794</v>
      </c>
    </row>
    <row r="3" spans="1:54">
      <c r="A3" s="41">
        <v>3</v>
      </c>
      <c r="B3" s="41" t="s">
        <v>153</v>
      </c>
      <c r="Z3" s="40">
        <v>641.13098590500385</v>
      </c>
      <c r="AA3" s="40">
        <v>638.54102615930128</v>
      </c>
      <c r="AB3" s="40">
        <v>687.41155863355709</v>
      </c>
      <c r="AC3" s="40">
        <v>663.26831824701867</v>
      </c>
      <c r="AD3" s="40">
        <v>637.20726979763424</v>
      </c>
      <c r="AE3" s="40">
        <v>685.91220323768482</v>
      </c>
      <c r="AF3" s="40">
        <v>609.71769848808287</v>
      </c>
      <c r="AG3" s="40">
        <v>329.26147804531644</v>
      </c>
      <c r="AH3" s="40">
        <v>205.82587755518276</v>
      </c>
      <c r="AI3" s="40">
        <v>359.37091412273787</v>
      </c>
      <c r="AJ3" s="40">
        <v>586.71917847402801</v>
      </c>
      <c r="AK3" s="40">
        <v>722.03736813208559</v>
      </c>
      <c r="AL3" s="40">
        <v>901.87939891035717</v>
      </c>
      <c r="AM3" s="40">
        <v>659.26590408853247</v>
      </c>
      <c r="AN3" s="40">
        <v>820.2620792705801</v>
      </c>
      <c r="AO3" s="40">
        <v>1035.1005196929577</v>
      </c>
      <c r="AP3" s="40">
        <v>1115.4939161021757</v>
      </c>
      <c r="AQ3" s="40">
        <v>1244.9530350917871</v>
      </c>
      <c r="AR3" s="40">
        <v>1363.3346331979558</v>
      </c>
      <c r="AS3" s="40">
        <v>1744.87598158281</v>
      </c>
      <c r="AT3" s="40">
        <v>2320.8923302974272</v>
      </c>
      <c r="AU3" s="40">
        <v>2620.8207239639478</v>
      </c>
      <c r="AV3" s="40">
        <v>2872.2606250682852</v>
      </c>
      <c r="AW3" s="40">
        <v>3380.8941920555208</v>
      </c>
      <c r="AX3" s="40">
        <v>4108.414123929575</v>
      </c>
      <c r="AY3" s="40">
        <v>3845.7217196242746</v>
      </c>
      <c r="AZ3" s="40">
        <v>3764.326347991479</v>
      </c>
      <c r="BA3" s="40">
        <v>4109.0820117301428</v>
      </c>
      <c r="BB3" s="40">
        <v>1524.0707649784088</v>
      </c>
    </row>
    <row r="4" spans="1:54">
      <c r="A4" s="41">
        <v>4</v>
      </c>
      <c r="B4" s="40" t="s">
        <v>152</v>
      </c>
      <c r="C4" s="40">
        <v>210.6081289783304</v>
      </c>
      <c r="D4" s="40">
        <v>168.9719716982475</v>
      </c>
      <c r="E4" s="40">
        <v>222.71929639626558</v>
      </c>
      <c r="F4" s="40">
        <v>233.8101099375846</v>
      </c>
      <c r="G4" s="40">
        <v>245.57699136175771</v>
      </c>
      <c r="H4" s="40">
        <v>231.64517663831859</v>
      </c>
      <c r="I4" s="40">
        <v>249.7574356176072</v>
      </c>
      <c r="J4" s="40">
        <v>277.39141860957665</v>
      </c>
      <c r="K4" s="40">
        <v>297.9845459336907</v>
      </c>
      <c r="L4" s="40">
        <v>331.05544621014258</v>
      </c>
      <c r="M4" s="40">
        <v>336.27970848927754</v>
      </c>
      <c r="N4" s="40">
        <v>435.90984798696218</v>
      </c>
      <c r="O4" s="40">
        <v>546.89559288684882</v>
      </c>
      <c r="P4" s="40">
        <v>806.71628578608784</v>
      </c>
      <c r="Q4" s="40">
        <v>924.22370186167416</v>
      </c>
      <c r="R4" s="40">
        <v>1024.0818196437215</v>
      </c>
      <c r="S4" s="40">
        <v>1177.6319548661691</v>
      </c>
      <c r="T4" s="40">
        <v>1438.2827164955047</v>
      </c>
      <c r="U4" s="40">
        <v>1760.3372414222674</v>
      </c>
      <c r="V4" s="40">
        <v>2174.3174699270644</v>
      </c>
      <c r="W4" s="40">
        <v>2205.9701022692084</v>
      </c>
      <c r="X4" s="40">
        <v>2176.9167956817623</v>
      </c>
      <c r="Y4" s="40">
        <v>2274.7746161473715</v>
      </c>
      <c r="Z4" s="40">
        <v>2424.2487318485287</v>
      </c>
      <c r="AA4" s="40">
        <v>2535.8585174111058</v>
      </c>
      <c r="AB4" s="40">
        <v>2705.9460303203732</v>
      </c>
      <c r="AC4" s="40">
        <v>2755.0137601406032</v>
      </c>
      <c r="AD4" s="40">
        <v>2372.5849919788652</v>
      </c>
      <c r="AE4" s="40">
        <v>2175.093522761887</v>
      </c>
      <c r="AF4" s="40">
        <v>2364.5498787594338</v>
      </c>
      <c r="AG4" s="40">
        <v>1699.8565105831208</v>
      </c>
      <c r="AH4" s="40">
        <v>1743.3460687711174</v>
      </c>
      <c r="AI4" s="40">
        <v>1773.8204830687876</v>
      </c>
      <c r="AJ4" s="40">
        <v>1479.600214997422</v>
      </c>
      <c r="AK4" s="40">
        <v>1424.6424842293748</v>
      </c>
      <c r="AL4" s="40">
        <v>1572.8319369824619</v>
      </c>
      <c r="AM4" s="40">
        <v>1587.64613767632</v>
      </c>
      <c r="AN4" s="40">
        <v>1563.5009734996231</v>
      </c>
      <c r="AO4" s="40">
        <v>1555.1910325398269</v>
      </c>
      <c r="AP4" s="40">
        <v>1727.3332508825058</v>
      </c>
      <c r="AQ4" s="40">
        <v>1716.3499396096063</v>
      </c>
      <c r="AR4" s="40">
        <v>1751.5451193866911</v>
      </c>
      <c r="AS4" s="40">
        <v>2060.9549161992645</v>
      </c>
      <c r="AT4" s="40">
        <v>2540.6613131646395</v>
      </c>
      <c r="AU4" s="40">
        <v>3013.4387214452659</v>
      </c>
      <c r="AV4" s="40">
        <v>3395.5021846806735</v>
      </c>
      <c r="AW4" s="40">
        <v>3869.3731641415006</v>
      </c>
      <c r="AX4" s="40">
        <v>4786.2131622022289</v>
      </c>
      <c r="AY4" s="40">
        <v>3796.2455935059511</v>
      </c>
      <c r="AZ4" s="40">
        <v>4364.9617089520762</v>
      </c>
      <c r="BA4" s="40">
        <v>5257.5007836947916</v>
      </c>
      <c r="BB4" s="40">
        <v>1760.1111668290098</v>
      </c>
    </row>
    <row r="5" spans="1:54">
      <c r="A5" s="41">
        <v>7</v>
      </c>
      <c r="B5" s="41" t="s">
        <v>151</v>
      </c>
      <c r="AA5" s="40">
        <v>750.72195699463975</v>
      </c>
      <c r="AB5" s="40">
        <v>681.90845980888719</v>
      </c>
      <c r="AC5" s="40">
        <v>772.21050779656525</v>
      </c>
      <c r="AD5" s="40">
        <v>813.96094095984051</v>
      </c>
      <c r="AE5" s="40">
        <v>923.58290117149988</v>
      </c>
      <c r="AF5" s="40">
        <v>992.87287099365756</v>
      </c>
      <c r="AG5" s="40">
        <v>1144.6596373566017</v>
      </c>
      <c r="AH5" s="40">
        <v>525.26778211046678</v>
      </c>
      <c r="AI5" s="40">
        <v>464.78434259479883</v>
      </c>
      <c r="AJ5" s="40">
        <v>345.68916015037433</v>
      </c>
      <c r="AK5" s="40">
        <v>416.32009581617541</v>
      </c>
      <c r="AL5" s="40">
        <v>604.43943540684745</v>
      </c>
      <c r="AM5" s="40">
        <v>597.93178135420271</v>
      </c>
      <c r="AN5" s="40">
        <v>490.58201485987354</v>
      </c>
      <c r="AO5" s="40">
        <v>455.41394581714968</v>
      </c>
      <c r="AP5" s="40">
        <v>655.62949462636379</v>
      </c>
      <c r="AQ5" s="40">
        <v>621.19593008850188</v>
      </c>
      <c r="AR5" s="40">
        <v>767.92260560699185</v>
      </c>
      <c r="AS5" s="40">
        <v>905.01266242592715</v>
      </c>
      <c r="AT5" s="40">
        <v>1237.753057163839</v>
      </c>
      <c r="AU5" s="40">
        <v>1706.5436158078687</v>
      </c>
      <c r="AV5" s="40">
        <v>2440.6317161064258</v>
      </c>
      <c r="AW5" s="40">
        <v>3412.7189979656414</v>
      </c>
      <c r="AX5" s="40">
        <v>4596.268430943147</v>
      </c>
      <c r="AY5" s="40">
        <v>3988.6835572765171</v>
      </c>
      <c r="AZ5" s="40">
        <v>4218.6491255737947</v>
      </c>
      <c r="BA5" s="40">
        <v>5159.2336660399651</v>
      </c>
      <c r="BB5" s="40">
        <v>1470.0218034376505</v>
      </c>
    </row>
    <row r="6" spans="1:54">
      <c r="A6" s="41">
        <v>11</v>
      </c>
      <c r="B6" s="41" t="s">
        <v>150</v>
      </c>
      <c r="D6" s="40">
        <v>1148.1696129805284</v>
      </c>
      <c r="E6" s="40">
        <v>844.72502400836879</v>
      </c>
      <c r="F6" s="40">
        <v>1165.7851638794198</v>
      </c>
      <c r="G6" s="40">
        <v>1271.4155663689874</v>
      </c>
      <c r="H6" s="40">
        <v>1265.7773446737917</v>
      </c>
      <c r="I6" s="40">
        <v>1057.3280680498488</v>
      </c>
      <c r="J6" s="40">
        <v>1136.125924533776</v>
      </c>
      <c r="K6" s="40">
        <v>1323.7079045358503</v>
      </c>
      <c r="L6" s="40">
        <v>1317.1869889512952</v>
      </c>
      <c r="M6" s="40">
        <v>1366.1180737277004</v>
      </c>
      <c r="N6" s="40">
        <v>1401.3248915395798</v>
      </c>
      <c r="O6" s="40">
        <v>2083.811882885409</v>
      </c>
      <c r="P6" s="40">
        <v>2824.4276659927214</v>
      </c>
      <c r="Q6" s="40">
        <v>2011.4214369841097</v>
      </c>
      <c r="R6" s="40">
        <v>1932.1031070755319</v>
      </c>
      <c r="S6" s="40">
        <v>2111.6213627216744</v>
      </c>
      <c r="T6" s="40">
        <v>2128.1160825658339</v>
      </c>
      <c r="U6" s="40">
        <v>2499.9566431263611</v>
      </c>
      <c r="V6" s="40">
        <v>2736.8973776956209</v>
      </c>
      <c r="W6" s="40">
        <v>2755.7444276657347</v>
      </c>
      <c r="X6" s="40">
        <v>2908.2509285387541</v>
      </c>
      <c r="Y6" s="40">
        <v>3532.4504728357392</v>
      </c>
      <c r="Z6" s="40">
        <v>2646.4066594618253</v>
      </c>
      <c r="AA6" s="40">
        <v>2914.1545111904879</v>
      </c>
      <c r="AB6" s="40">
        <v>3602.1791828324012</v>
      </c>
      <c r="AC6" s="40">
        <v>3554.8778031080328</v>
      </c>
      <c r="AD6" s="40">
        <v>3979.6371263971737</v>
      </c>
      <c r="AE6" s="40">
        <v>2382.2172357493387</v>
      </c>
      <c r="AF6" s="40">
        <v>4332.6563871079261</v>
      </c>
      <c r="AG6" s="40">
        <v>5736.0204650077821</v>
      </c>
      <c r="AH6" s="40">
        <v>6824.9970851877115</v>
      </c>
      <c r="AI6" s="40">
        <v>6971.1422454628846</v>
      </c>
      <c r="AJ6" s="40">
        <v>7483.8638633301807</v>
      </c>
      <c r="AK6" s="40">
        <v>7407.6452075791667</v>
      </c>
      <c r="AL6" s="40">
        <v>7717.4798598119842</v>
      </c>
      <c r="AM6" s="40">
        <v>8205.4529604258005</v>
      </c>
      <c r="AN6" s="40">
        <v>8278.972516308937</v>
      </c>
      <c r="AO6" s="40">
        <v>7764.6564967320701</v>
      </c>
      <c r="AP6" s="40">
        <v>7701.3585347797789</v>
      </c>
      <c r="AQ6" s="40">
        <v>7208.8146276908055</v>
      </c>
      <c r="AR6" s="40">
        <v>2711.8507698119702</v>
      </c>
      <c r="AS6" s="40">
        <v>3413.1090721223277</v>
      </c>
      <c r="AT6" s="40">
        <v>3997.2432875027475</v>
      </c>
      <c r="AU6" s="40">
        <v>4740.0670288583733</v>
      </c>
      <c r="AV6" s="40">
        <v>5490.435174369999</v>
      </c>
      <c r="AW6" s="40">
        <v>6630.0452875089022</v>
      </c>
      <c r="AX6" s="40">
        <v>8231.2259971418425</v>
      </c>
      <c r="AY6" s="40">
        <v>7674.3423974130465</v>
      </c>
      <c r="AZ6" s="40">
        <v>9132.958027222392</v>
      </c>
      <c r="BA6" s="40">
        <v>10951.581926495279</v>
      </c>
      <c r="BB6" s="40">
        <v>4170.1571537589562</v>
      </c>
    </row>
    <row r="7" spans="1:54">
      <c r="A7" s="41">
        <v>12</v>
      </c>
      <c r="B7" s="41" t="s">
        <v>149</v>
      </c>
      <c r="AF7" s="40">
        <v>636.68068999649915</v>
      </c>
      <c r="AG7" s="40">
        <v>589.00294822392743</v>
      </c>
      <c r="AH7" s="40">
        <v>368.91683679339349</v>
      </c>
      <c r="AI7" s="40">
        <v>356.50735144218936</v>
      </c>
      <c r="AJ7" s="40">
        <v>399.75120252226452</v>
      </c>
      <c r="AK7" s="40">
        <v>455.55027608615052</v>
      </c>
      <c r="AL7" s="40">
        <v>503.23196962021257</v>
      </c>
      <c r="AM7" s="40">
        <v>522.52207204018384</v>
      </c>
      <c r="AN7" s="40">
        <v>608.3366487308092</v>
      </c>
      <c r="AO7" s="40">
        <v>596.50599630404724</v>
      </c>
      <c r="AP7" s="40">
        <v>621.42482631894711</v>
      </c>
      <c r="AQ7" s="40">
        <v>692.3188255332534</v>
      </c>
      <c r="AR7" s="40">
        <v>779.89284168495988</v>
      </c>
      <c r="AS7" s="40">
        <v>924.58215482934452</v>
      </c>
      <c r="AT7" s="40">
        <v>1182.0973596488157</v>
      </c>
      <c r="AU7" s="40">
        <v>1625.3969042944348</v>
      </c>
      <c r="AV7" s="40">
        <v>2126.0895659070979</v>
      </c>
      <c r="AW7" s="40">
        <v>3079.1440862723985</v>
      </c>
      <c r="AX7" s="40">
        <v>3916.7304267512591</v>
      </c>
      <c r="AY7" s="40">
        <v>2913.6006100084091</v>
      </c>
      <c r="AZ7" s="40">
        <v>3124.7842960128969</v>
      </c>
      <c r="BA7" s="40">
        <v>3420.2657100317015</v>
      </c>
      <c r="BB7" s="40">
        <v>1338.3333454115088</v>
      </c>
    </row>
    <row r="8" spans="1:54">
      <c r="A8" s="41">
        <v>14</v>
      </c>
      <c r="B8" s="41" t="s">
        <v>148</v>
      </c>
      <c r="C8" s="40">
        <v>1874.3047677029256</v>
      </c>
      <c r="D8" s="40">
        <v>1850.0694539739732</v>
      </c>
      <c r="E8" s="40">
        <v>1962.9231312878717</v>
      </c>
      <c r="F8" s="40">
        <v>2127.2660294951133</v>
      </c>
      <c r="G8" s="40">
        <v>2277.0666755097968</v>
      </c>
      <c r="H8" s="40">
        <v>2338.6123196066847</v>
      </c>
      <c r="I8" s="40">
        <v>2574.386133677805</v>
      </c>
      <c r="J8" s="40">
        <v>2719.0567614849583</v>
      </c>
      <c r="K8" s="40">
        <v>2985.7622530114636</v>
      </c>
      <c r="L8" s="40">
        <v>3299.9327521844793</v>
      </c>
      <c r="M8" s="40">
        <v>3489.9522936835801</v>
      </c>
      <c r="N8" s="40">
        <v>3942.4577942733695</v>
      </c>
      <c r="O8" s="40">
        <v>4763.7241467803115</v>
      </c>
      <c r="P8" s="40">
        <v>6474.6687419057907</v>
      </c>
      <c r="Q8" s="40">
        <v>6992.1458102969327</v>
      </c>
      <c r="R8" s="40">
        <v>7477.1978880452943</v>
      </c>
      <c r="S8" s="40">
        <v>7763.696538902911</v>
      </c>
      <c r="T8" s="40">
        <v>8239.6406015024822</v>
      </c>
      <c r="U8" s="40">
        <v>9281.4450884252801</v>
      </c>
      <c r="V8" s="40">
        <v>10198.186419456291</v>
      </c>
      <c r="W8" s="40">
        <v>11849.143831688769</v>
      </c>
      <c r="X8" s="40">
        <v>12776.408975475648</v>
      </c>
      <c r="Y8" s="40">
        <v>11523.296520324706</v>
      </c>
      <c r="Z8" s="40">
        <v>12453.619516480518</v>
      </c>
      <c r="AA8" s="40">
        <v>11461.126636332183</v>
      </c>
      <c r="AB8" s="40">
        <v>11360.614993373178</v>
      </c>
      <c r="AC8" s="40">
        <v>11616.646351104595</v>
      </c>
      <c r="AD8" s="40">
        <v>14283.868561214274</v>
      </c>
      <c r="AE8" s="40">
        <v>17825.820604607143</v>
      </c>
      <c r="AF8" s="40">
        <v>18248.476807626943</v>
      </c>
      <c r="AG8" s="40">
        <v>18870.293220669846</v>
      </c>
      <c r="AH8" s="40">
        <v>18610.342454662947</v>
      </c>
      <c r="AI8" s="40">
        <v>17677.885615636194</v>
      </c>
      <c r="AJ8" s="40">
        <v>18113.282552744102</v>
      </c>
      <c r="AK8" s="40">
        <v>20395.926770428763</v>
      </c>
      <c r="AL8" s="40">
        <v>21948.588661475242</v>
      </c>
      <c r="AM8" s="40">
        <v>23540.064578612084</v>
      </c>
      <c r="AN8" s="40">
        <v>21364.205119961145</v>
      </c>
      <c r="AO8" s="40">
        <v>20578.826563340732</v>
      </c>
      <c r="AP8" s="40">
        <v>21708.037255559808</v>
      </c>
      <c r="AQ8" s="40">
        <v>19541.422028806945</v>
      </c>
      <c r="AR8" s="40">
        <v>20100.988100362443</v>
      </c>
      <c r="AS8" s="40">
        <v>23446.328432823058</v>
      </c>
      <c r="AT8" s="40">
        <v>30381.056536698619</v>
      </c>
      <c r="AU8" s="40">
        <v>33947.56415293397</v>
      </c>
      <c r="AV8" s="40">
        <v>35992.036328958675</v>
      </c>
      <c r="AW8" s="40">
        <v>40470.149037921365</v>
      </c>
      <c r="AX8" s="40">
        <v>49206.681139839777</v>
      </c>
      <c r="AY8" s="40">
        <v>42403.595888245487</v>
      </c>
      <c r="AZ8" s="40">
        <v>51586.08734915324</v>
      </c>
      <c r="BA8" s="40">
        <v>62002.843776709939</v>
      </c>
      <c r="BB8" s="40">
        <v>16429.759293430976</v>
      </c>
    </row>
    <row r="9" spans="1:54">
      <c r="A9" s="41">
        <v>15</v>
      </c>
      <c r="B9" s="41" t="s">
        <v>147</v>
      </c>
      <c r="C9" s="40">
        <v>1031.8150043290987</v>
      </c>
      <c r="D9" s="40">
        <v>1087.8342434189017</v>
      </c>
      <c r="E9" s="40">
        <v>1167.0005324458452</v>
      </c>
      <c r="F9" s="40">
        <v>1269.4125828925592</v>
      </c>
      <c r="G9" s="40">
        <v>1374.5321398607475</v>
      </c>
      <c r="H9" s="40">
        <v>1486.9686060056572</v>
      </c>
      <c r="I9" s="40">
        <v>1569.6671828996664</v>
      </c>
      <c r="J9" s="40">
        <v>1677.6735280427151</v>
      </c>
      <c r="K9" s="40">
        <v>1825.3861255212357</v>
      </c>
      <c r="L9" s="40">
        <v>2037.6166729899458</v>
      </c>
      <c r="M9" s="40">
        <v>2356.5155583260866</v>
      </c>
      <c r="N9" s="40">
        <v>2894.0063184686237</v>
      </c>
      <c r="O9" s="40">
        <v>3850.7480129441897</v>
      </c>
      <c r="P9" s="40">
        <v>4583.1794303375027</v>
      </c>
      <c r="Q9" s="40">
        <v>5231.3146819256763</v>
      </c>
      <c r="R9" s="40">
        <v>5620.0452007748609</v>
      </c>
      <c r="S9" s="40">
        <v>6740.6533038167945</v>
      </c>
      <c r="T9" s="40">
        <v>8121.1634874352785</v>
      </c>
      <c r="U9" s="40">
        <v>9693.1412419331082</v>
      </c>
      <c r="V9" s="40">
        <v>10757.869461226066</v>
      </c>
      <c r="W9" s="40">
        <v>9288.822169718218</v>
      </c>
      <c r="X9" s="40">
        <v>9313.662513024572</v>
      </c>
      <c r="Y9" s="40">
        <v>9439.4172566865182</v>
      </c>
      <c r="Z9" s="40">
        <v>8898.6881864331281</v>
      </c>
      <c r="AA9" s="40">
        <v>9077.8599079373944</v>
      </c>
      <c r="AB9" s="40">
        <v>12948.653308832667</v>
      </c>
      <c r="AC9" s="40">
        <v>16224.345353374314</v>
      </c>
      <c r="AD9" s="40">
        <v>17398.01095786169</v>
      </c>
      <c r="AE9" s="40">
        <v>17289.465022026208</v>
      </c>
      <c r="AF9" s="40">
        <v>21458.232721048371</v>
      </c>
      <c r="AG9" s="40">
        <v>22180.655347139433</v>
      </c>
      <c r="AH9" s="40">
        <v>24624.537839889046</v>
      </c>
      <c r="AI9" s="40">
        <v>23834.107000337426</v>
      </c>
      <c r="AJ9" s="40">
        <v>25383.198807844245</v>
      </c>
      <c r="AK9" s="40">
        <v>30014.272753581758</v>
      </c>
      <c r="AL9" s="40">
        <v>29485.608207579469</v>
      </c>
      <c r="AM9" s="40">
        <v>26082.45850780639</v>
      </c>
      <c r="AN9" s="40">
        <v>26743.791940751613</v>
      </c>
      <c r="AO9" s="40">
        <v>26563.209538909072</v>
      </c>
      <c r="AP9" s="40">
        <v>23974.183069069648</v>
      </c>
      <c r="AQ9" s="40">
        <v>23833.834243514419</v>
      </c>
      <c r="AR9" s="40">
        <v>25679.094397712059</v>
      </c>
      <c r="AS9" s="40">
        <v>31268.630697317702</v>
      </c>
      <c r="AT9" s="40">
        <v>35662.211822390957</v>
      </c>
      <c r="AU9" s="40">
        <v>37067.323828674336</v>
      </c>
      <c r="AV9" s="40">
        <v>39299.614295058382</v>
      </c>
      <c r="AW9" s="40">
        <v>45181.467594383546</v>
      </c>
      <c r="AX9" s="40">
        <v>49679.110704483966</v>
      </c>
      <c r="AY9" s="40">
        <v>45859.425553994522</v>
      </c>
      <c r="AZ9" s="40">
        <v>44916.360837375345</v>
      </c>
      <c r="BA9" s="40">
        <v>49581.464830800483</v>
      </c>
      <c r="BB9" s="40">
        <v>17502.514951591202</v>
      </c>
    </row>
    <row r="10" spans="1:54">
      <c r="A10" s="41">
        <v>16</v>
      </c>
      <c r="B10" s="41" t="s">
        <v>146</v>
      </c>
      <c r="AF10" s="40">
        <v>1237.3244916770022</v>
      </c>
      <c r="AG10" s="40">
        <v>1209.2374928495947</v>
      </c>
      <c r="AH10" s="40">
        <v>676.15151145251991</v>
      </c>
      <c r="AI10" s="40">
        <v>530.0903798067975</v>
      </c>
      <c r="AJ10" s="40">
        <v>436.19055858198976</v>
      </c>
      <c r="AK10" s="40">
        <v>397.19811611724703</v>
      </c>
      <c r="AL10" s="40">
        <v>409.21674521678216</v>
      </c>
      <c r="AM10" s="40">
        <v>505.56057322893105</v>
      </c>
      <c r="AN10" s="40">
        <v>561.91030173545471</v>
      </c>
      <c r="AO10" s="40">
        <v>573.89025617210007</v>
      </c>
      <c r="AP10" s="40">
        <v>655.09743260258597</v>
      </c>
      <c r="AQ10" s="40">
        <v>703.67125043994429</v>
      </c>
      <c r="AR10" s="40">
        <v>763.10121222036685</v>
      </c>
      <c r="AS10" s="40">
        <v>883.61400896796113</v>
      </c>
      <c r="AT10" s="40">
        <v>1045.0264152764187</v>
      </c>
      <c r="AU10" s="40">
        <v>1578.3673303066716</v>
      </c>
      <c r="AV10" s="40">
        <v>2472.9974757940518</v>
      </c>
      <c r="AW10" s="40">
        <v>3851.3256636754886</v>
      </c>
      <c r="AX10" s="40">
        <v>5574.6038021861259</v>
      </c>
      <c r="AY10" s="40">
        <v>4950.2947914237511</v>
      </c>
      <c r="AZ10" s="40">
        <v>5843.1697532975668</v>
      </c>
      <c r="BA10" s="40">
        <v>7189.8151514222845</v>
      </c>
      <c r="BB10" s="40">
        <v>1911.2661233841654</v>
      </c>
    </row>
    <row r="11" spans="1:54">
      <c r="A11" s="41">
        <v>18</v>
      </c>
      <c r="B11" s="41" t="s">
        <v>145</v>
      </c>
      <c r="V11" s="40">
        <v>8537.5973065046801</v>
      </c>
      <c r="W11" s="40">
        <v>9269.1462820822944</v>
      </c>
      <c r="X11" s="40">
        <v>9446.1583253916015</v>
      </c>
      <c r="Y11" s="40">
        <v>9421.4523274797866</v>
      </c>
      <c r="Z11" s="40">
        <v>9590.7774241818479</v>
      </c>
      <c r="AA11" s="40">
        <v>8706.8293789767486</v>
      </c>
      <c r="AB11" s="40">
        <v>7041.4233200500148</v>
      </c>
      <c r="AC11" s="40">
        <v>7554.5120166079359</v>
      </c>
      <c r="AD11" s="40">
        <v>7957.7900645420123</v>
      </c>
      <c r="AE11" s="40">
        <v>8029.9870873583741</v>
      </c>
      <c r="AF11" s="40">
        <v>8528.7600593505722</v>
      </c>
      <c r="AG11" s="40">
        <v>9057.7234687142773</v>
      </c>
      <c r="AH11" s="40">
        <v>9088.579443115852</v>
      </c>
      <c r="AI11" s="40">
        <v>9707.2228317181452</v>
      </c>
      <c r="AJ11" s="40">
        <v>10138.123991369775</v>
      </c>
      <c r="AK11" s="40">
        <v>10376.364776018761</v>
      </c>
      <c r="AL11" s="40">
        <v>10525.950032072185</v>
      </c>
      <c r="AM11" s="40">
        <v>10628.05925741807</v>
      </c>
      <c r="AN11" s="40">
        <v>10013.879479797981</v>
      </c>
      <c r="AO11" s="40">
        <v>10330.866154089721</v>
      </c>
      <c r="AP11" s="40">
        <v>11927.90437885708</v>
      </c>
      <c r="AQ11" s="40">
        <v>11347.328167305588</v>
      </c>
      <c r="AR11" s="40">
        <v>11591.410174386019</v>
      </c>
      <c r="AS11" s="40">
        <v>12625.4757847496</v>
      </c>
      <c r="AT11" s="40">
        <v>13693.60462329558</v>
      </c>
      <c r="AU11" s="40">
        <v>15303.783923870516</v>
      </c>
      <c r="AV11" s="40">
        <v>16672.723358627722</v>
      </c>
      <c r="AW11" s="40">
        <v>17894.167681760326</v>
      </c>
      <c r="AX11" s="40">
        <v>19625.579580591038</v>
      </c>
      <c r="AY11" s="40">
        <v>16213.336316029374</v>
      </c>
      <c r="AZ11" s="40">
        <v>20545.988272572929</v>
      </c>
      <c r="BA11" s="40">
        <v>22466.945180841285</v>
      </c>
      <c r="BB11" s="40">
        <v>11683.107827178992</v>
      </c>
    </row>
    <row r="12" spans="1:54">
      <c r="A12" s="41">
        <v>19</v>
      </c>
      <c r="B12" s="41" t="s">
        <v>144</v>
      </c>
      <c r="C12" s="40">
        <v>94.548556983410919</v>
      </c>
      <c r="D12" s="40">
        <v>96.967535859363622</v>
      </c>
      <c r="E12" s="40">
        <v>98.67434672319898</v>
      </c>
      <c r="F12" s="40">
        <v>97.040552822209918</v>
      </c>
      <c r="G12" s="40">
        <v>103.26213303395258</v>
      </c>
      <c r="H12" s="40">
        <v>109.09209872592481</v>
      </c>
      <c r="I12" s="40">
        <v>118.97623995647217</v>
      </c>
      <c r="J12" s="40">
        <v>118.96006291394664</v>
      </c>
      <c r="K12" s="40">
        <v>130.88707646977673</v>
      </c>
      <c r="L12" s="40">
        <v>135.61870216627858</v>
      </c>
      <c r="M12" s="40">
        <v>129.41178091095057</v>
      </c>
      <c r="N12" s="40">
        <v>91.491917087071215</v>
      </c>
      <c r="O12" s="40">
        <v>115.65461624581854</v>
      </c>
      <c r="P12" s="40">
        <v>175.77200782729253</v>
      </c>
      <c r="Q12" s="40">
        <v>268.39905185882805</v>
      </c>
      <c r="R12" s="40">
        <v>136.36093535405567</v>
      </c>
      <c r="S12" s="40">
        <v>126.94331833539674</v>
      </c>
      <c r="T12" s="40">
        <v>170.47919106604917</v>
      </c>
      <c r="U12" s="40">
        <v>194.23750033376911</v>
      </c>
      <c r="V12" s="40">
        <v>219.57560847563082</v>
      </c>
      <c r="W12" s="40">
        <v>233.1521943595273</v>
      </c>
      <c r="X12" s="40">
        <v>207.75188477375445</v>
      </c>
      <c r="Y12" s="40">
        <v>191.90003315313112</v>
      </c>
      <c r="Z12" s="40">
        <v>214.261827465659</v>
      </c>
      <c r="AA12" s="40">
        <v>229.2263542991395</v>
      </c>
      <c r="AB12" s="40">
        <v>218.48121393341836</v>
      </c>
      <c r="AC12" s="40">
        <v>239.06438714605744</v>
      </c>
      <c r="AD12" s="40">
        <v>251.03242731550125</v>
      </c>
      <c r="AE12" s="40">
        <v>256.01649206156583</v>
      </c>
      <c r="AF12" s="40">
        <v>280.56561628253195</v>
      </c>
      <c r="AG12" s="40">
        <v>281.59876493305882</v>
      </c>
      <c r="AH12" s="40">
        <v>282.02962488033853</v>
      </c>
      <c r="AI12" s="40">
        <v>288.66178678895824</v>
      </c>
      <c r="AJ12" s="40">
        <v>287.71242723626114</v>
      </c>
      <c r="AK12" s="40">
        <v>316.50858689355198</v>
      </c>
      <c r="AL12" s="40">
        <v>332.23625782164504</v>
      </c>
      <c r="AM12" s="40">
        <v>338.6985621486844</v>
      </c>
      <c r="AN12" s="40">
        <v>345.87593866541914</v>
      </c>
      <c r="AO12" s="40">
        <v>351.58259103838924</v>
      </c>
      <c r="AP12" s="40">
        <v>355.97343412050435</v>
      </c>
      <c r="AQ12" s="40">
        <v>348.75689288746952</v>
      </c>
      <c r="AR12" s="40">
        <v>347.21861230455909</v>
      </c>
      <c r="AS12" s="40">
        <v>372.98052036157952</v>
      </c>
      <c r="AT12" s="40">
        <v>400.47247492260215</v>
      </c>
      <c r="AU12" s="40">
        <v>421.12331137327493</v>
      </c>
      <c r="AV12" s="40">
        <v>427.29116697789198</v>
      </c>
      <c r="AW12" s="40">
        <v>467.13636135236396</v>
      </c>
      <c r="AX12" s="40">
        <v>537.63849712654041</v>
      </c>
      <c r="AY12" s="40">
        <v>597.71180291151472</v>
      </c>
      <c r="AZ12" s="40">
        <v>664.0642316845159</v>
      </c>
      <c r="BA12" s="40">
        <v>732.067746164185</v>
      </c>
      <c r="BB12" s="40">
        <v>265.70873052025473</v>
      </c>
    </row>
    <row r="13" spans="1:54">
      <c r="A13" s="41">
        <v>21</v>
      </c>
      <c r="B13" s="41" t="s">
        <v>143</v>
      </c>
      <c r="AF13" s="40">
        <v>1704.7403040647669</v>
      </c>
      <c r="AG13" s="40">
        <v>1747.4386712776127</v>
      </c>
      <c r="AH13" s="40">
        <v>1666.2275129415666</v>
      </c>
      <c r="AI13" s="40">
        <v>1590.0354090293793</v>
      </c>
      <c r="AJ13" s="40">
        <v>1460.0175436024865</v>
      </c>
      <c r="AK13" s="40">
        <v>1370.6727097518365</v>
      </c>
      <c r="AL13" s="40">
        <v>1452.4470018170805</v>
      </c>
      <c r="AM13" s="40">
        <v>1396.5021663727425</v>
      </c>
      <c r="AN13" s="40">
        <v>1511.770267981314</v>
      </c>
      <c r="AO13" s="40">
        <v>1209.614880779943</v>
      </c>
      <c r="AP13" s="40">
        <v>1273.0491239487046</v>
      </c>
      <c r="AQ13" s="40">
        <v>1244.4419967651986</v>
      </c>
      <c r="AR13" s="40">
        <v>1479.4653211321925</v>
      </c>
      <c r="AS13" s="40">
        <v>1819.4790277163047</v>
      </c>
      <c r="AT13" s="40">
        <v>2378.3748939119573</v>
      </c>
      <c r="AU13" s="40">
        <v>3126.3677777946232</v>
      </c>
      <c r="AV13" s="40">
        <v>3848.5962993272101</v>
      </c>
      <c r="AW13" s="40">
        <v>4735.953137638593</v>
      </c>
      <c r="AX13" s="40">
        <v>6377.3596920725668</v>
      </c>
      <c r="AY13" s="40">
        <v>5182.6304041438661</v>
      </c>
      <c r="AZ13" s="40">
        <v>5818.8548592158049</v>
      </c>
      <c r="BA13" s="40">
        <v>6784.7118384284322</v>
      </c>
      <c r="BB13" s="40">
        <v>2689.9432199870084</v>
      </c>
    </row>
    <row r="14" spans="1:54">
      <c r="A14" s="41">
        <v>22</v>
      </c>
      <c r="B14" s="41" t="s">
        <v>142</v>
      </c>
      <c r="C14" s="40">
        <v>1350.1976733312283</v>
      </c>
      <c r="D14" s="40">
        <v>1438.523233068398</v>
      </c>
      <c r="E14" s="40">
        <v>1535.0237290104324</v>
      </c>
      <c r="F14" s="40">
        <v>1701.8462755431949</v>
      </c>
      <c r="G14" s="40">
        <v>1835.5947655319421</v>
      </c>
      <c r="H14" s="40">
        <v>1957.6260804276205</v>
      </c>
      <c r="I14" s="40">
        <v>2086.636005446544</v>
      </c>
      <c r="J14" s="40">
        <v>2222.3615105191348</v>
      </c>
      <c r="K14" s="40">
        <v>2458.081820037733</v>
      </c>
      <c r="L14" s="40">
        <v>2732.2242251038701</v>
      </c>
      <c r="M14" s="40">
        <v>3045.4021631267337</v>
      </c>
      <c r="N14" s="40">
        <v>3784.9927682971911</v>
      </c>
      <c r="O14" s="40">
        <v>4841.3070636401326</v>
      </c>
      <c r="P14" s="40">
        <v>5664.0056568113196</v>
      </c>
      <c r="Q14" s="40">
        <v>6619.8073016047165</v>
      </c>
      <c r="R14" s="40">
        <v>7154.8840715801634</v>
      </c>
      <c r="S14" s="40">
        <v>8324.373083973036</v>
      </c>
      <c r="T14" s="40">
        <v>10164.519989532784</v>
      </c>
      <c r="U14" s="40">
        <v>11666.855567797196</v>
      </c>
      <c r="V14" s="40">
        <v>12707.420266707992</v>
      </c>
      <c r="W14" s="40">
        <v>10493.500363960498</v>
      </c>
      <c r="X14" s="40">
        <v>9230.1264807913085</v>
      </c>
      <c r="Y14" s="40">
        <v>8738.5567750814043</v>
      </c>
      <c r="Z14" s="40">
        <v>8354.325824349351</v>
      </c>
      <c r="AA14" s="40">
        <v>8644.3024733430448</v>
      </c>
      <c r="AB14" s="40">
        <v>12021.905412885704</v>
      </c>
      <c r="AC14" s="40">
        <v>14951.616750591311</v>
      </c>
      <c r="AD14" s="40">
        <v>16191.579347494009</v>
      </c>
      <c r="AE14" s="40">
        <v>16323.916634057006</v>
      </c>
      <c r="AF14" s="40">
        <v>20349.624872819833</v>
      </c>
      <c r="AG14" s="40">
        <v>20785.538883078665</v>
      </c>
      <c r="AH14" s="40">
        <v>23088.124645695603</v>
      </c>
      <c r="AI14" s="40">
        <v>22012.693118816645</v>
      </c>
      <c r="AJ14" s="40">
        <v>23913.885243075187</v>
      </c>
      <c r="AK14" s="40">
        <v>28067.969742505564</v>
      </c>
      <c r="AL14" s="40">
        <v>27154.336880505798</v>
      </c>
      <c r="AM14" s="40">
        <v>24532.026923492016</v>
      </c>
      <c r="AN14" s="40">
        <v>25051.339958264263</v>
      </c>
      <c r="AO14" s="40">
        <v>24886.865663797562</v>
      </c>
      <c r="AP14" s="40">
        <v>22697.012303303494</v>
      </c>
      <c r="AQ14" s="40">
        <v>22600.916149918627</v>
      </c>
      <c r="AR14" s="40">
        <v>24465.33350455861</v>
      </c>
      <c r="AS14" s="40">
        <v>30039.09223723536</v>
      </c>
      <c r="AT14" s="40">
        <v>34706.693901039267</v>
      </c>
      <c r="AU14" s="40">
        <v>36011.469401292525</v>
      </c>
      <c r="AV14" s="40">
        <v>37918.773203312274</v>
      </c>
      <c r="AW14" s="40">
        <v>43255.395283078251</v>
      </c>
      <c r="AX14" s="40">
        <v>47374.448125518633</v>
      </c>
      <c r="AY14" s="40">
        <v>43843.109804911859</v>
      </c>
      <c r="AZ14" s="40">
        <v>43000.150896451385</v>
      </c>
      <c r="BA14" s="40">
        <v>46512.889871452491</v>
      </c>
      <c r="BB14" s="40">
        <v>17068.807920152332</v>
      </c>
    </row>
    <row r="15" spans="1:54">
      <c r="A15" s="41">
        <v>24</v>
      </c>
      <c r="B15" s="41" t="s">
        <v>141</v>
      </c>
      <c r="C15" s="40">
        <v>95.566921995347187</v>
      </c>
      <c r="D15" s="40">
        <v>94.451874340215952</v>
      </c>
      <c r="E15" s="40">
        <v>99.840444695556826</v>
      </c>
      <c r="F15" s="40">
        <v>104.32375897948467</v>
      </c>
      <c r="G15" s="40">
        <v>110.1326111592854</v>
      </c>
      <c r="H15" s="40">
        <v>112.973547067691</v>
      </c>
      <c r="I15" s="40">
        <v>112.02764026538749</v>
      </c>
      <c r="J15" s="40">
        <v>117.0224628356669</v>
      </c>
      <c r="K15" s="40">
        <v>116.18850637399126</v>
      </c>
      <c r="L15" s="40">
        <v>114.73666350983156</v>
      </c>
      <c r="M15" s="40">
        <v>112.74551817339795</v>
      </c>
      <c r="N15" s="40">
        <v>135.00867184325216</v>
      </c>
      <c r="O15" s="40">
        <v>162.17494308483924</v>
      </c>
      <c r="P15" s="40">
        <v>174.17072552361466</v>
      </c>
      <c r="Q15" s="40">
        <v>207.4405897248034</v>
      </c>
      <c r="R15" s="40">
        <v>208.76044006794621</v>
      </c>
      <c r="S15" s="40">
        <v>218.52929062015332</v>
      </c>
      <c r="T15" s="40">
        <v>263.63107808553991</v>
      </c>
      <c r="U15" s="40">
        <v>327.82314995666474</v>
      </c>
      <c r="V15" s="40">
        <v>377.95663608778995</v>
      </c>
      <c r="W15" s="40">
        <v>337.79450677635919</v>
      </c>
      <c r="X15" s="40">
        <v>322.47880728420057</v>
      </c>
      <c r="Y15" s="40">
        <v>270.76709255716401</v>
      </c>
      <c r="Z15" s="40">
        <v>252.43565977764101</v>
      </c>
      <c r="AA15" s="40">
        <v>243.91150947511608</v>
      </c>
      <c r="AB15" s="40">
        <v>302.66557034989984</v>
      </c>
      <c r="AC15" s="40">
        <v>343.67916526921027</v>
      </c>
      <c r="AD15" s="40">
        <v>345.8092649755402</v>
      </c>
      <c r="AE15" s="40">
        <v>310.63272581306154</v>
      </c>
      <c r="AF15" s="40">
        <v>391.89344678801751</v>
      </c>
      <c r="AG15" s="40">
        <v>383.29536234267789</v>
      </c>
      <c r="AH15" s="40">
        <v>315.21828681677619</v>
      </c>
      <c r="AI15" s="40">
        <v>407.45018806145674</v>
      </c>
      <c r="AJ15" s="40">
        <v>276.15912106584653</v>
      </c>
      <c r="AK15" s="40">
        <v>362.47094944279843</v>
      </c>
      <c r="AL15" s="40">
        <v>382.28544063607444</v>
      </c>
      <c r="AM15" s="40">
        <v>356.57826048846471</v>
      </c>
      <c r="AN15" s="40">
        <v>375.02410651229968</v>
      </c>
      <c r="AO15" s="40">
        <v>369.24497480610415</v>
      </c>
      <c r="AP15" s="40">
        <v>339.47302569331862</v>
      </c>
      <c r="AQ15" s="40">
        <v>348.33454953199157</v>
      </c>
      <c r="AR15" s="40">
        <v>378.6587084341561</v>
      </c>
      <c r="AS15" s="40">
        <v>464.04614304679114</v>
      </c>
      <c r="AT15" s="40">
        <v>511.2929788674266</v>
      </c>
      <c r="AU15" s="40">
        <v>532.61099825434087</v>
      </c>
      <c r="AV15" s="40">
        <v>557.232446905139</v>
      </c>
      <c r="AW15" s="40">
        <v>632.36086959135093</v>
      </c>
      <c r="AX15" s="40">
        <v>739.25612762649155</v>
      </c>
      <c r="AY15" s="40">
        <v>712.61652698645707</v>
      </c>
      <c r="AZ15" s="40">
        <v>689.64833134415653</v>
      </c>
      <c r="BA15" s="40">
        <v>745.91547480232271</v>
      </c>
      <c r="BB15" s="40">
        <v>318.95580577868844</v>
      </c>
    </row>
    <row r="16" spans="1:54">
      <c r="A16" s="41">
        <v>27</v>
      </c>
      <c r="B16" s="41" t="s">
        <v>140</v>
      </c>
      <c r="C16" s="40">
        <v>178.66705573148121</v>
      </c>
      <c r="D16" s="40">
        <v>191.05305585597435</v>
      </c>
      <c r="E16" s="40">
        <v>201.16787030333884</v>
      </c>
      <c r="F16" s="40">
        <v>221.60765273880619</v>
      </c>
      <c r="G16" s="40">
        <v>242.29889306601669</v>
      </c>
      <c r="H16" s="40">
        <v>258.99013821307466</v>
      </c>
      <c r="I16" s="40">
        <v>275.98538222593368</v>
      </c>
      <c r="J16" s="40">
        <v>226.04236602246129</v>
      </c>
      <c r="K16" s="40">
        <v>234.29192516324787</v>
      </c>
      <c r="L16" s="40">
        <v>241.19324193685483</v>
      </c>
      <c r="M16" s="40">
        <v>253.49974809908849</v>
      </c>
      <c r="N16" s="40">
        <v>283.9378101251188</v>
      </c>
      <c r="O16" s="40">
        <v>278.18583439322629</v>
      </c>
      <c r="P16" s="40">
        <v>451.33575730447694</v>
      </c>
      <c r="Q16" s="40">
        <v>504.3222286367332</v>
      </c>
      <c r="R16" s="40">
        <v>559.36222341309178</v>
      </c>
      <c r="S16" s="40">
        <v>645.23290556044208</v>
      </c>
      <c r="T16" s="40">
        <v>733.79705935230152</v>
      </c>
      <c r="U16" s="40">
        <v>843.16107743479881</v>
      </c>
      <c r="V16" s="40">
        <v>845.14276624160755</v>
      </c>
      <c r="W16" s="40">
        <v>1071.763987652412</v>
      </c>
      <c r="X16" s="40">
        <v>993.91853427681565</v>
      </c>
      <c r="Y16" s="40">
        <v>940.99669752139255</v>
      </c>
      <c r="Z16" s="40">
        <v>1045.6523307692225</v>
      </c>
      <c r="AA16" s="40">
        <v>890.16615095212319</v>
      </c>
      <c r="AB16" s="40">
        <v>640.04805086853662</v>
      </c>
      <c r="AC16" s="40">
        <v>682.90539193730092</v>
      </c>
      <c r="AD16" s="40">
        <v>709.34843167936015</v>
      </c>
      <c r="AE16" s="40">
        <v>710.70249641145085</v>
      </c>
      <c r="AF16" s="40">
        <v>716.44830863416814</v>
      </c>
      <c r="AG16" s="40">
        <v>768.06989494632273</v>
      </c>
      <c r="AH16" s="40">
        <v>792.31104507241253</v>
      </c>
      <c r="AI16" s="40">
        <v>786.35733405545682</v>
      </c>
      <c r="AJ16" s="40">
        <v>801.36667653199072</v>
      </c>
      <c r="AK16" s="40">
        <v>879.48213194436141</v>
      </c>
      <c r="AL16" s="40">
        <v>947.48258607640093</v>
      </c>
      <c r="AM16" s="40">
        <v>993.38383635013827</v>
      </c>
      <c r="AN16" s="40">
        <v>1042.6105714250511</v>
      </c>
      <c r="AO16" s="40">
        <v>995.51254764186478</v>
      </c>
      <c r="AP16" s="40">
        <v>988.5332917367449</v>
      </c>
      <c r="AQ16" s="40">
        <v>939.14537357826975</v>
      </c>
      <c r="AR16" s="40">
        <v>893.94688099705593</v>
      </c>
      <c r="AS16" s="40">
        <v>896.37211949657683</v>
      </c>
      <c r="AT16" s="40">
        <v>954.92209110339525</v>
      </c>
      <c r="AU16" s="40">
        <v>1020.790310173923</v>
      </c>
      <c r="AV16" s="40">
        <v>1203.2541868687438</v>
      </c>
      <c r="AW16" s="40">
        <v>1355.8794402387036</v>
      </c>
      <c r="AX16" s="40">
        <v>1695.557332534823</v>
      </c>
      <c r="AY16" s="40">
        <v>1735.1433700624357</v>
      </c>
      <c r="AZ16" s="40">
        <v>1934.6752575573205</v>
      </c>
      <c r="BA16" s="40">
        <v>2319.6085230463755</v>
      </c>
      <c r="BB16" s="40">
        <v>784.62019948939644</v>
      </c>
    </row>
    <row r="17" spans="1:54">
      <c r="A17" s="41">
        <v>28</v>
      </c>
      <c r="B17" s="41" t="s">
        <v>139</v>
      </c>
      <c r="AJ17" s="40">
        <v>343.17084136794369</v>
      </c>
      <c r="AK17" s="40">
        <v>530.12641668778258</v>
      </c>
      <c r="AL17" s="40">
        <v>799.30725688332325</v>
      </c>
      <c r="AM17" s="40">
        <v>1038.4102416798175</v>
      </c>
      <c r="AN17" s="40">
        <v>1130.706391820919</v>
      </c>
      <c r="AO17" s="40">
        <v>1248.8605403723957</v>
      </c>
      <c r="AP17" s="40">
        <v>1435.9576858009696</v>
      </c>
      <c r="AQ17" s="40">
        <v>1481.9457148651991</v>
      </c>
      <c r="AR17" s="40">
        <v>1706.5019539099239</v>
      </c>
      <c r="AS17" s="40">
        <v>2148.4843457987672</v>
      </c>
      <c r="AT17" s="40">
        <v>2578.7380873091897</v>
      </c>
      <c r="AU17" s="40">
        <v>2821.7877499398933</v>
      </c>
      <c r="AV17" s="40">
        <v>3199.8968360013077</v>
      </c>
      <c r="AW17" s="40">
        <v>3949.8420812490672</v>
      </c>
      <c r="AX17" s="40">
        <v>4802.4667441159409</v>
      </c>
      <c r="AY17" s="40">
        <v>4433.1461787084127</v>
      </c>
      <c r="AZ17" s="40">
        <v>4361.8771375268871</v>
      </c>
      <c r="BA17" s="40">
        <v>4751.4824485874105</v>
      </c>
      <c r="BB17" s="40">
        <v>2375.7060362569523</v>
      </c>
    </row>
    <row r="18" spans="1:54">
      <c r="A18" s="41">
        <v>29</v>
      </c>
      <c r="B18" s="41" t="s">
        <v>138</v>
      </c>
      <c r="C18" s="40">
        <v>61.302287939250689</v>
      </c>
      <c r="D18" s="40">
        <v>64.791158113117206</v>
      </c>
      <c r="E18" s="40">
        <v>67.480702850373206</v>
      </c>
      <c r="F18" s="40">
        <v>71.785987085505141</v>
      </c>
      <c r="G18" s="40">
        <v>76.839005432107527</v>
      </c>
      <c r="H18" s="40">
        <v>83.943689838764399</v>
      </c>
      <c r="I18" s="40">
        <v>92.877052568545338</v>
      </c>
      <c r="J18" s="40">
        <v>101.78989604760172</v>
      </c>
      <c r="K18" s="40">
        <v>115.2214617964307</v>
      </c>
      <c r="L18" s="40">
        <v>138.84395613723422</v>
      </c>
      <c r="M18" s="40">
        <v>177.29784559042361</v>
      </c>
      <c r="N18" s="40">
        <v>223.27950896655864</v>
      </c>
      <c r="O18" s="40">
        <v>318.83100185216608</v>
      </c>
      <c r="P18" s="40">
        <v>385.85236586900254</v>
      </c>
      <c r="Q18" s="40">
        <v>431.65547574419202</v>
      </c>
      <c r="R18" s="40">
        <v>435.2463696046571</v>
      </c>
      <c r="S18" s="40">
        <v>508.1426136732432</v>
      </c>
      <c r="T18" s="40">
        <v>638.71118602559034</v>
      </c>
      <c r="U18" s="40">
        <v>853.31455236227191</v>
      </c>
      <c r="V18" s="40">
        <v>1063.5123265158986</v>
      </c>
      <c r="W18" s="40">
        <v>1038.1779827274834</v>
      </c>
      <c r="X18" s="40">
        <v>947.43717253376599</v>
      </c>
      <c r="Y18" s="40">
        <v>1057.5298324252801</v>
      </c>
      <c r="Z18" s="40">
        <v>1082.547929275971</v>
      </c>
      <c r="AA18" s="40">
        <v>941.01798087890324</v>
      </c>
      <c r="AB18" s="40">
        <v>1137.9903542653246</v>
      </c>
      <c r="AC18" s="40">
        <v>1555.6679417697678</v>
      </c>
      <c r="AD18" s="40">
        <v>2029.2902978546974</v>
      </c>
      <c r="AE18" s="40">
        <v>2295.4671344509811</v>
      </c>
      <c r="AF18" s="40">
        <v>2739.0734844596041</v>
      </c>
      <c r="AG18" s="40">
        <v>2767.8774104487238</v>
      </c>
      <c r="AH18" s="40">
        <v>2830.2121579121972</v>
      </c>
      <c r="AI18" s="40">
        <v>2763.675074776319</v>
      </c>
      <c r="AJ18" s="40">
        <v>2809.3646048332639</v>
      </c>
      <c r="AK18" s="40">
        <v>3014.535032376697</v>
      </c>
      <c r="AL18" s="40">
        <v>2961.0578373388707</v>
      </c>
      <c r="AM18" s="40">
        <v>3125.4831273817126</v>
      </c>
      <c r="AN18" s="40">
        <v>3067.5159332077274</v>
      </c>
      <c r="AO18" s="40">
        <v>3400.9980323004647</v>
      </c>
      <c r="AP18" s="40">
        <v>3208.7700409464942</v>
      </c>
      <c r="AQ18" s="40">
        <v>3383.3717272117301</v>
      </c>
      <c r="AR18" s="40">
        <v>3367.373157628399</v>
      </c>
      <c r="AS18" s="40">
        <v>4412.7550098232032</v>
      </c>
      <c r="AT18" s="40">
        <v>5417.8449029283938</v>
      </c>
      <c r="AU18" s="40">
        <v>5467.2743458642844</v>
      </c>
      <c r="AV18" s="40">
        <v>5341.4064223582991</v>
      </c>
      <c r="AW18" s="40">
        <v>5711.7526369228735</v>
      </c>
      <c r="AX18" s="40">
        <v>5746.9677756609717</v>
      </c>
      <c r="AY18" s="40">
        <v>5178.4382174977372</v>
      </c>
      <c r="AZ18" s="40">
        <v>6980.3649288379638</v>
      </c>
      <c r="BA18" s="40">
        <v>7697.3957029177336</v>
      </c>
      <c r="BB18" s="40">
        <v>2144.8892673299761</v>
      </c>
    </row>
    <row r="19" spans="1:54">
      <c r="A19" s="41">
        <v>31</v>
      </c>
      <c r="B19" s="41" t="s">
        <v>137</v>
      </c>
      <c r="C19" s="40">
        <v>203.19047502828988</v>
      </c>
      <c r="D19" s="40">
        <v>257.82330135030634</v>
      </c>
      <c r="E19" s="40">
        <v>289.05832751425362</v>
      </c>
      <c r="F19" s="40">
        <v>258.62794447423471</v>
      </c>
      <c r="G19" s="40">
        <v>258.23889607875634</v>
      </c>
      <c r="H19" s="40">
        <v>312.06332324466536</v>
      </c>
      <c r="I19" s="40">
        <v>343.52638626857055</v>
      </c>
      <c r="J19" s="40">
        <v>370.72458333070057</v>
      </c>
      <c r="K19" s="40">
        <v>399.73250071732872</v>
      </c>
      <c r="L19" s="40">
        <v>440.63544708087471</v>
      </c>
      <c r="M19" s="40">
        <v>499.90368289024514</v>
      </c>
      <c r="N19" s="40">
        <v>580.67113622150441</v>
      </c>
      <c r="O19" s="40">
        <v>767.99478292177116</v>
      </c>
      <c r="P19" s="40">
        <v>994.72600677134778</v>
      </c>
      <c r="Q19" s="40">
        <v>1143.132218270523</v>
      </c>
      <c r="R19" s="40">
        <v>1377.8572335953099</v>
      </c>
      <c r="S19" s="40">
        <v>1552.7813322342688</v>
      </c>
      <c r="T19" s="40">
        <v>1728.6432615258923</v>
      </c>
      <c r="U19" s="40">
        <v>1891.7059084714476</v>
      </c>
      <c r="V19" s="40">
        <v>1930.5384705788381</v>
      </c>
      <c r="W19" s="40">
        <v>2115.0743765898173</v>
      </c>
      <c r="X19" s="40">
        <v>2208.8325932214598</v>
      </c>
      <c r="Y19" s="40">
        <v>1558.4185235743187</v>
      </c>
      <c r="Z19" s="40">
        <v>1567.3156065380565</v>
      </c>
      <c r="AA19" s="40">
        <v>1636.6011617822801</v>
      </c>
      <c r="AB19" s="40">
        <v>1928.7201744601643</v>
      </c>
      <c r="AC19" s="40">
        <v>2074.4095157004099</v>
      </c>
      <c r="AD19" s="40">
        <v>2287.2370014750536</v>
      </c>
      <c r="AE19" s="40">
        <v>2893.6578079624728</v>
      </c>
      <c r="AF19" s="40">
        <v>3086.9154907637767</v>
      </c>
      <c r="AG19" s="40">
        <v>2677.1499078007346</v>
      </c>
      <c r="AH19" s="40">
        <v>2526.3366238813587</v>
      </c>
      <c r="AI19" s="40">
        <v>2791.5186752349582</v>
      </c>
      <c r="AJ19" s="40">
        <v>3426.1018235555057</v>
      </c>
      <c r="AK19" s="40">
        <v>4749.8142074654597</v>
      </c>
      <c r="AL19" s="40">
        <v>5107.7939197046262</v>
      </c>
      <c r="AM19" s="40">
        <v>5219.0981442673974</v>
      </c>
      <c r="AN19" s="40">
        <v>4979.1448462642402</v>
      </c>
      <c r="AO19" s="40">
        <v>3411.8658959802988</v>
      </c>
      <c r="AP19" s="40">
        <v>3694.4626683280476</v>
      </c>
      <c r="AQ19" s="40">
        <v>3128.1448460540787</v>
      </c>
      <c r="AR19" s="40">
        <v>2810.6953468641968</v>
      </c>
      <c r="AS19" s="40">
        <v>3039.6716269426256</v>
      </c>
      <c r="AT19" s="40">
        <v>3607.191571355509</v>
      </c>
      <c r="AU19" s="40">
        <v>4739.3054367480545</v>
      </c>
      <c r="AV19" s="40">
        <v>5787.9755740091387</v>
      </c>
      <c r="AW19" s="40">
        <v>7194.0789437842604</v>
      </c>
      <c r="AX19" s="40">
        <v>8622.7086750396593</v>
      </c>
      <c r="AY19" s="40">
        <v>8373.3397424906871</v>
      </c>
      <c r="AZ19" s="40">
        <v>10978.09355377202</v>
      </c>
      <c r="BA19" s="40">
        <v>12575.979407918752</v>
      </c>
      <c r="BB19" s="40">
        <v>2870.5731158450699</v>
      </c>
    </row>
    <row r="20" spans="1:54">
      <c r="A20" s="41">
        <v>34</v>
      </c>
      <c r="B20" s="41" t="s">
        <v>136</v>
      </c>
      <c r="V20" s="40">
        <v>2261.4172835572163</v>
      </c>
      <c r="W20" s="40">
        <v>2255.7612579737602</v>
      </c>
      <c r="X20" s="40">
        <v>2220.8231834457861</v>
      </c>
      <c r="Y20" s="40">
        <v>1897.0785639470369</v>
      </c>
      <c r="Z20" s="40">
        <v>1943.0626103063532</v>
      </c>
      <c r="AA20" s="40">
        <v>1959.938778271774</v>
      </c>
      <c r="AB20" s="40">
        <v>2261.7577129915994</v>
      </c>
      <c r="AC20" s="40">
        <v>3168.8651246672584</v>
      </c>
      <c r="AD20" s="40">
        <v>2561.1087047554565</v>
      </c>
      <c r="AE20" s="40">
        <v>2449.800833440715</v>
      </c>
      <c r="AF20" s="40">
        <v>2377.3357862653088</v>
      </c>
      <c r="AG20" s="40">
        <v>1267.7344144150445</v>
      </c>
      <c r="AH20" s="40">
        <v>1214.4849325443147</v>
      </c>
      <c r="AI20" s="40">
        <v>1278.5173915087973</v>
      </c>
      <c r="AJ20" s="40">
        <v>1149.3779925494064</v>
      </c>
      <c r="AK20" s="40">
        <v>1554.7217229287744</v>
      </c>
      <c r="AL20" s="40">
        <v>1063.075660989892</v>
      </c>
      <c r="AM20" s="40">
        <v>1209.5027441158754</v>
      </c>
      <c r="AN20" s="40">
        <v>1581.8245741277567</v>
      </c>
      <c r="AO20" s="40">
        <v>1611.1290038690756</v>
      </c>
      <c r="AP20" s="40">
        <v>1579.3482395579799</v>
      </c>
      <c r="AQ20" s="40">
        <v>1729.1911568611197</v>
      </c>
      <c r="AR20" s="40">
        <v>2030.7885234221446</v>
      </c>
      <c r="AS20" s="40">
        <v>2641.7877231345201</v>
      </c>
      <c r="AT20" s="40">
        <v>3249.2873963734874</v>
      </c>
      <c r="AU20" s="40">
        <v>3733.263160996979</v>
      </c>
      <c r="AV20" s="40">
        <v>4313.4306364363938</v>
      </c>
      <c r="AW20" s="40">
        <v>5498.0357289370177</v>
      </c>
      <c r="AX20" s="40">
        <v>6798.1381888494725</v>
      </c>
      <c r="AY20" s="40">
        <v>6403.1476861133069</v>
      </c>
      <c r="AZ20" s="40">
        <v>6334.6782693085897</v>
      </c>
      <c r="BA20" s="40">
        <v>7286.6418699187243</v>
      </c>
      <c r="BB20" s="40">
        <v>2777.6580267681543</v>
      </c>
    </row>
    <row r="21" spans="1:54">
      <c r="A21" s="41">
        <v>35</v>
      </c>
      <c r="B21" s="41" t="s">
        <v>135</v>
      </c>
      <c r="C21" s="40">
        <v>71.558208899200309</v>
      </c>
      <c r="D21" s="40">
        <v>76.52061097221204</v>
      </c>
      <c r="E21" s="40">
        <v>78.372102489611621</v>
      </c>
      <c r="F21" s="40">
        <v>80.472707605582656</v>
      </c>
      <c r="G21" s="40">
        <v>81.725119870837247</v>
      </c>
      <c r="H21" s="40">
        <v>82.545624624061006</v>
      </c>
      <c r="I21" s="40">
        <v>84.363136190860018</v>
      </c>
      <c r="J21" s="40">
        <v>84.733032829224669</v>
      </c>
      <c r="K21" s="40">
        <v>86.520217668260869</v>
      </c>
      <c r="L21" s="40">
        <v>81.499931205428965</v>
      </c>
      <c r="M21" s="40">
        <v>84.287827108580686</v>
      </c>
      <c r="N21" s="40">
        <v>99.326787336965396</v>
      </c>
      <c r="O21" s="40">
        <v>113.78046517172928</v>
      </c>
      <c r="P21" s="40">
        <v>124.35893374497464</v>
      </c>
      <c r="Q21" s="40">
        <v>152.72814540030001</v>
      </c>
      <c r="R21" s="40">
        <v>155.64893657206599</v>
      </c>
      <c r="S21" s="40">
        <v>176.78325009121968</v>
      </c>
      <c r="T21" s="40">
        <v>225.94155761992724</v>
      </c>
      <c r="U21" s="40">
        <v>262.07583723900052</v>
      </c>
      <c r="V21" s="40">
        <v>282.68578543927168</v>
      </c>
      <c r="W21" s="40">
        <v>254.23080430094174</v>
      </c>
      <c r="X21" s="40">
        <v>245.09462889005087</v>
      </c>
      <c r="Y21" s="40">
        <v>217.99467085691163</v>
      </c>
      <c r="Z21" s="40">
        <v>193.8431596311865</v>
      </c>
      <c r="AA21" s="40">
        <v>200.89426450118253</v>
      </c>
      <c r="AB21" s="40">
        <v>256.76244566612644</v>
      </c>
      <c r="AC21" s="40">
        <v>291.13179611838376</v>
      </c>
      <c r="AD21" s="40">
        <v>313.06183385253615</v>
      </c>
      <c r="AE21" s="40">
        <v>304.85327265245456</v>
      </c>
      <c r="AF21" s="40">
        <v>351.97924911080821</v>
      </c>
      <c r="AG21" s="40">
        <v>346.41043197445555</v>
      </c>
      <c r="AH21" s="40">
        <v>240.96339951129616</v>
      </c>
      <c r="AI21" s="40">
        <v>244.12715017408485</v>
      </c>
      <c r="AJ21" s="40">
        <v>193.0702423733874</v>
      </c>
      <c r="AK21" s="40">
        <v>235.83223181485508</v>
      </c>
      <c r="AL21" s="40">
        <v>249.364679053716</v>
      </c>
      <c r="AM21" s="40">
        <v>229.50522565318875</v>
      </c>
      <c r="AN21" s="40">
        <v>255.73890503758253</v>
      </c>
      <c r="AO21" s="40">
        <v>267.21158220883893</v>
      </c>
      <c r="AP21" s="40">
        <v>224.92864708940937</v>
      </c>
      <c r="AQ21" s="40">
        <v>235.46179888649303</v>
      </c>
      <c r="AR21" s="40">
        <v>260.69357973720048</v>
      </c>
      <c r="AS21" s="40">
        <v>332.22707561903343</v>
      </c>
      <c r="AT21" s="40">
        <v>371.21798682253535</v>
      </c>
      <c r="AU21" s="40">
        <v>406.99880432834124</v>
      </c>
      <c r="AV21" s="40">
        <v>422.8448174644011</v>
      </c>
      <c r="AW21" s="40">
        <v>474.58997812084351</v>
      </c>
      <c r="AX21" s="40">
        <v>569.63929342579672</v>
      </c>
      <c r="AY21" s="40">
        <v>553.04237426136388</v>
      </c>
      <c r="AZ21" s="40">
        <v>592.60746992056966</v>
      </c>
      <c r="BA21" s="40">
        <v>649.92522998644301</v>
      </c>
      <c r="BB21" s="40">
        <v>244.55245582595558</v>
      </c>
    </row>
    <row r="22" spans="1:54">
      <c r="A22" s="41">
        <v>36</v>
      </c>
      <c r="B22" s="41" t="s">
        <v>134</v>
      </c>
      <c r="C22" s="40">
        <v>71.469433550147428</v>
      </c>
      <c r="D22" s="40">
        <v>73.760327792959771</v>
      </c>
      <c r="E22" s="40">
        <v>78.87416091955582</v>
      </c>
      <c r="F22" s="40">
        <v>86.571623804722307</v>
      </c>
      <c r="G22" s="40">
        <v>51.637936756451197</v>
      </c>
      <c r="H22" s="40">
        <v>52.457488517654426</v>
      </c>
      <c r="I22" s="40">
        <v>55.112906875976314</v>
      </c>
      <c r="J22" s="40">
        <v>55.225385590454934</v>
      </c>
      <c r="K22" s="40">
        <v>56.059113852201818</v>
      </c>
      <c r="L22" s="40">
        <v>70.212507207190342</v>
      </c>
      <c r="M22" s="40">
        <v>72.084271383334865</v>
      </c>
      <c r="N22" s="40">
        <v>69.574644466499905</v>
      </c>
      <c r="O22" s="40">
        <v>84.941134973177284</v>
      </c>
      <c r="P22" s="40">
        <v>95.275273952548858</v>
      </c>
      <c r="Q22" s="40">
        <v>114.49216673814722</v>
      </c>
      <c r="R22" s="40">
        <v>119.74667878605007</v>
      </c>
      <c r="S22" s="40">
        <v>143.1306096512011</v>
      </c>
      <c r="T22" s="40">
        <v>155.75823300566995</v>
      </c>
      <c r="U22" s="40">
        <v>194.70680555230697</v>
      </c>
      <c r="V22" s="40">
        <v>222.88093958341511</v>
      </c>
      <c r="W22" s="40">
        <v>228.55979278872366</v>
      </c>
      <c r="X22" s="40">
        <v>232.42352230036025</v>
      </c>
      <c r="Y22" s="40">
        <v>241.35085095108647</v>
      </c>
      <c r="Z22" s="40">
        <v>213.44344814793712</v>
      </c>
      <c r="AA22" s="40">
        <v>240.87598449850691</v>
      </c>
      <c r="AB22" s="40">
        <v>243.47906454029263</v>
      </c>
      <c r="AC22" s="40">
        <v>221.56479586767105</v>
      </c>
      <c r="AD22" s="40">
        <v>204.96827290086117</v>
      </c>
      <c r="AE22" s="40">
        <v>204.41454099506208</v>
      </c>
      <c r="AF22" s="40">
        <v>201.94914378512939</v>
      </c>
      <c r="AG22" s="40">
        <v>203.03380243221798</v>
      </c>
      <c r="AH22" s="40">
        <v>184.10619899947676</v>
      </c>
      <c r="AI22" s="40">
        <v>156.34225339212395</v>
      </c>
      <c r="AJ22" s="40">
        <v>151.33551057527578</v>
      </c>
      <c r="AK22" s="40">
        <v>161.10157790190684</v>
      </c>
      <c r="AL22" s="40">
        <v>138.06280744262884</v>
      </c>
      <c r="AM22" s="40">
        <v>152.74120697186842</v>
      </c>
      <c r="AN22" s="40">
        <v>138.6191490630481</v>
      </c>
      <c r="AO22" s="40">
        <v>123.45966674969041</v>
      </c>
      <c r="AP22" s="40">
        <v>130.42384846232511</v>
      </c>
      <c r="AQ22" s="40">
        <v>128.19805827646701</v>
      </c>
      <c r="AR22" s="40">
        <v>117.28140127652694</v>
      </c>
      <c r="AS22" s="40">
        <v>108.01455102640723</v>
      </c>
      <c r="AT22" s="40">
        <v>121.85930358258223</v>
      </c>
      <c r="AU22" s="40">
        <v>143.78352946676992</v>
      </c>
      <c r="AV22" s="40">
        <v>158.30502320189231</v>
      </c>
      <c r="AW22" s="40">
        <v>162.82750935888694</v>
      </c>
      <c r="AX22" s="40">
        <v>186.87174886956464</v>
      </c>
      <c r="AY22" s="40">
        <v>194.89666613015365</v>
      </c>
      <c r="AZ22" s="40">
        <v>219.52979945079323</v>
      </c>
      <c r="BA22" s="40">
        <v>246.91432710688042</v>
      </c>
      <c r="BB22" s="40">
        <v>146.75899998966247</v>
      </c>
    </row>
    <row r="23" spans="1:54">
      <c r="A23" s="41">
        <v>37</v>
      </c>
      <c r="B23" s="41" t="s">
        <v>133</v>
      </c>
      <c r="C23" s="40">
        <v>109.51862520732789</v>
      </c>
      <c r="D23" s="40">
        <v>109.55664374126734</v>
      </c>
      <c r="E23" s="40">
        <v>117.91563019291182</v>
      </c>
      <c r="F23" s="40">
        <v>123.73081695553861</v>
      </c>
      <c r="G23" s="40">
        <v>134.34981638379659</v>
      </c>
      <c r="H23" s="40">
        <v>138.80419061996849</v>
      </c>
      <c r="I23" s="40">
        <v>143.85239115650984</v>
      </c>
      <c r="J23" s="40">
        <v>156.8712499989486</v>
      </c>
      <c r="K23" s="40">
        <v>141.85489777795897</v>
      </c>
      <c r="L23" s="40">
        <v>102.31362366815398</v>
      </c>
      <c r="M23" s="40">
        <v>135.2976209351483</v>
      </c>
      <c r="N23" s="40">
        <v>68.92819844913754</v>
      </c>
      <c r="O23" s="40">
        <v>93.92768289719848</v>
      </c>
      <c r="P23" s="40">
        <v>77.761262944095535</v>
      </c>
      <c r="AI23" s="40">
        <v>251.42661661958982</v>
      </c>
      <c r="AJ23" s="40">
        <v>267.62833119031563</v>
      </c>
      <c r="AK23" s="40">
        <v>319.54149457959295</v>
      </c>
      <c r="AL23" s="40">
        <v>316.18598134076262</v>
      </c>
      <c r="AM23" s="40">
        <v>302.16093562648382</v>
      </c>
      <c r="AN23" s="40">
        <v>267.03781309505581</v>
      </c>
      <c r="AO23" s="40">
        <v>294.07233657629621</v>
      </c>
      <c r="AP23" s="40">
        <v>298.9503625029252</v>
      </c>
      <c r="AQ23" s="40">
        <v>319.0848624206381</v>
      </c>
      <c r="AR23" s="40">
        <v>337.0772586662676</v>
      </c>
      <c r="AS23" s="40">
        <v>360.14489045874245</v>
      </c>
      <c r="AT23" s="40">
        <v>405.93783283458237</v>
      </c>
      <c r="AU23" s="40">
        <v>471.16250293596465</v>
      </c>
      <c r="AV23" s="40">
        <v>536.65773065659789</v>
      </c>
      <c r="AW23" s="40">
        <v>628.42685168430125</v>
      </c>
      <c r="AX23" s="40">
        <v>742.5713352689836</v>
      </c>
      <c r="AY23" s="40">
        <v>735.41926346791445</v>
      </c>
      <c r="AZ23" s="40">
        <v>782.61888859226622</v>
      </c>
      <c r="BA23" s="40">
        <v>878.38301779227368</v>
      </c>
      <c r="BB23" s="40">
        <v>308.15669567386408</v>
      </c>
    </row>
    <row r="24" spans="1:54">
      <c r="A24" s="41">
        <v>38</v>
      </c>
      <c r="B24" s="41" t="s">
        <v>132</v>
      </c>
      <c r="C24" s="40">
        <v>120.11987139182918</v>
      </c>
      <c r="D24" s="40">
        <v>125.02728590440687</v>
      </c>
      <c r="E24" s="40">
        <v>126.52688399166874</v>
      </c>
      <c r="F24" s="40">
        <v>133.73054532279178</v>
      </c>
      <c r="G24" s="40">
        <v>135.96939599524288</v>
      </c>
      <c r="H24" s="40">
        <v>139.17308041869094</v>
      </c>
      <c r="I24" s="40">
        <v>148.72109210147198</v>
      </c>
      <c r="J24" s="40">
        <v>163.5934919742989</v>
      </c>
      <c r="K24" s="40">
        <v>174.59617432582908</v>
      </c>
      <c r="L24" s="40">
        <v>171.32003877263119</v>
      </c>
      <c r="M24" s="40">
        <v>177.58213277123338</v>
      </c>
      <c r="N24" s="40">
        <v>200.57140714591347</v>
      </c>
      <c r="O24" s="40">
        <v>240.00517022907079</v>
      </c>
      <c r="P24" s="40">
        <v>299.54650503814815</v>
      </c>
      <c r="Q24" s="40">
        <v>355.64611136030078</v>
      </c>
      <c r="R24" s="40">
        <v>386.53089188667326</v>
      </c>
      <c r="S24" s="40">
        <v>411.14247483989317</v>
      </c>
      <c r="T24" s="40">
        <v>523.38878756532074</v>
      </c>
      <c r="U24" s="40">
        <v>670.0100814767726</v>
      </c>
      <c r="V24" s="40">
        <v>754.6648207231616</v>
      </c>
      <c r="W24" s="40">
        <v>829.93423387089661</v>
      </c>
      <c r="X24" s="40">
        <v>772.40725782324171</v>
      </c>
      <c r="Y24" s="40">
        <v>755.52042485967968</v>
      </c>
      <c r="Z24" s="40">
        <v>774.7025727480659</v>
      </c>
      <c r="AA24" s="40">
        <v>784.90960705557154</v>
      </c>
      <c r="AB24" s="40">
        <v>992.49634240436831</v>
      </c>
      <c r="AC24" s="40">
        <v>1115.211585062639</v>
      </c>
      <c r="AD24" s="40">
        <v>1098.7558423207124</v>
      </c>
      <c r="AE24" s="40">
        <v>950.76221002448654</v>
      </c>
      <c r="AF24" s="40">
        <v>923.88127833481792</v>
      </c>
      <c r="AG24" s="40">
        <v>1000.3241597835594</v>
      </c>
      <c r="AH24" s="40">
        <v>890.55731676102403</v>
      </c>
      <c r="AI24" s="40">
        <v>1027.5570208986526</v>
      </c>
      <c r="AJ24" s="40">
        <v>680.63059563226636</v>
      </c>
      <c r="AK24" s="40">
        <v>626.95574566117853</v>
      </c>
      <c r="AL24" s="40">
        <v>679.77738129406987</v>
      </c>
      <c r="AM24" s="40">
        <v>668.99621790014703</v>
      </c>
      <c r="AN24" s="40">
        <v>637.39082621155615</v>
      </c>
      <c r="AO24" s="40">
        <v>675.95015940244571</v>
      </c>
      <c r="AP24" s="40">
        <v>583.09485918194264</v>
      </c>
      <c r="AQ24" s="40">
        <v>589.16513908963725</v>
      </c>
      <c r="AR24" s="40">
        <v>648.29876073552248</v>
      </c>
      <c r="AS24" s="40">
        <v>790.89534322257964</v>
      </c>
      <c r="AT24" s="40">
        <v>892.52573905135466</v>
      </c>
      <c r="AU24" s="40">
        <v>914.55312008476847</v>
      </c>
      <c r="AV24" s="40">
        <v>964.60153548547999</v>
      </c>
      <c r="AW24" s="40">
        <v>1069.8568262262895</v>
      </c>
      <c r="AX24" s="40">
        <v>1211.3041863928561</v>
      </c>
      <c r="AY24" s="40">
        <v>1103.6751203439512</v>
      </c>
      <c r="AZ24" s="40">
        <v>1090.3825973684234</v>
      </c>
      <c r="BA24" s="40">
        <v>1196.8432679050786</v>
      </c>
      <c r="BB24" s="40">
        <v>635.28987287005111</v>
      </c>
    </row>
    <row r="25" spans="1:54">
      <c r="A25" s="41">
        <v>39</v>
      </c>
      <c r="B25" s="41" t="s">
        <v>131</v>
      </c>
      <c r="C25" s="40">
        <v>2231.2938237477952</v>
      </c>
      <c r="D25" s="40">
        <v>2255.2300441303619</v>
      </c>
      <c r="E25" s="40">
        <v>2354.8391219797491</v>
      </c>
      <c r="F25" s="40">
        <v>2529.5181790540951</v>
      </c>
      <c r="G25" s="40">
        <v>2739.5858492818866</v>
      </c>
      <c r="H25" s="40">
        <v>3010.7059075794709</v>
      </c>
      <c r="I25" s="40">
        <v>3173.0761935222481</v>
      </c>
      <c r="J25" s="40">
        <v>3411.0601543445669</v>
      </c>
      <c r="K25" s="40">
        <v>3703.9904052552929</v>
      </c>
      <c r="L25" s="40">
        <v>4047.268454855689</v>
      </c>
      <c r="M25" s="40">
        <v>4503.1807450072492</v>
      </c>
      <c r="N25" s="40">
        <v>5048.481943032647</v>
      </c>
      <c r="O25" s="40">
        <v>5764.2611070322946</v>
      </c>
      <c r="P25" s="40">
        <v>6915.8893428455031</v>
      </c>
      <c r="Q25" s="40">
        <v>7354.268357697556</v>
      </c>
      <c r="R25" s="40">
        <v>8624.6139722593052</v>
      </c>
      <c r="S25" s="40">
        <v>8731.6789166147646</v>
      </c>
      <c r="T25" s="40">
        <v>8931.2934546049182</v>
      </c>
      <c r="U25" s="40">
        <v>9831.0793706317236</v>
      </c>
      <c r="V25" s="40">
        <v>10933.731563817206</v>
      </c>
      <c r="W25" s="40">
        <v>12075.024595839359</v>
      </c>
      <c r="X25" s="40">
        <v>12217.373433792189</v>
      </c>
      <c r="Y25" s="40">
        <v>13113.168930802138</v>
      </c>
      <c r="Z25" s="40">
        <v>13506.371540392631</v>
      </c>
      <c r="AA25" s="40">
        <v>13711.515599356489</v>
      </c>
      <c r="AB25" s="40">
        <v>14076.752344065544</v>
      </c>
      <c r="AC25" s="40">
        <v>15876.842407251181</v>
      </c>
      <c r="AD25" s="40">
        <v>18522.658370996469</v>
      </c>
      <c r="AE25" s="40">
        <v>20289.766372530536</v>
      </c>
      <c r="AF25" s="40">
        <v>20968.041152760958</v>
      </c>
      <c r="AG25" s="40">
        <v>21234.375823398717</v>
      </c>
      <c r="AH25" s="40">
        <v>20320.473709300259</v>
      </c>
      <c r="AI25" s="40">
        <v>19549.017099790311</v>
      </c>
      <c r="AJ25" s="40">
        <v>19390.485373139574</v>
      </c>
      <c r="AK25" s="40">
        <v>20117.099607645738</v>
      </c>
      <c r="AL25" s="40">
        <v>20684.945784764368</v>
      </c>
      <c r="AM25" s="40">
        <v>21260.286809954701</v>
      </c>
      <c r="AN25" s="40">
        <v>20390.388448061494</v>
      </c>
      <c r="AO25" s="40">
        <v>21681.379305006896</v>
      </c>
      <c r="AP25" s="40">
        <v>23559.503689759153</v>
      </c>
      <c r="AQ25" s="40">
        <v>23017.368748982793</v>
      </c>
      <c r="AR25" s="40">
        <v>23425.22642651706</v>
      </c>
      <c r="AS25" s="40">
        <v>27335.308828525031</v>
      </c>
      <c r="AT25" s="40">
        <v>31011.911221188111</v>
      </c>
      <c r="AU25" s="40">
        <v>35087.89259332978</v>
      </c>
      <c r="AV25" s="40">
        <v>39249.998223997289</v>
      </c>
      <c r="AW25" s="40">
        <v>43248.500318074693</v>
      </c>
      <c r="AX25" s="40">
        <v>45101.557172494839</v>
      </c>
      <c r="AY25" s="40">
        <v>39659.056861606012</v>
      </c>
      <c r="AZ25" s="40">
        <v>46211.533860069801</v>
      </c>
      <c r="BA25" s="40">
        <v>51554.059208339204</v>
      </c>
      <c r="BB25" s="40">
        <v>17128.292760177013</v>
      </c>
    </row>
    <row r="26" spans="1:54">
      <c r="A26" s="41">
        <v>42</v>
      </c>
      <c r="B26" s="41" t="s">
        <v>130</v>
      </c>
      <c r="C26" s="40">
        <v>80.520696182642368</v>
      </c>
      <c r="D26" s="40">
        <v>79.968068831888104</v>
      </c>
      <c r="E26" s="40">
        <v>81.587829087495507</v>
      </c>
      <c r="F26" s="40">
        <v>87.85880661272067</v>
      </c>
      <c r="G26" s="40">
        <v>91.322207433295219</v>
      </c>
      <c r="H26" s="40">
        <v>93.845420617020906</v>
      </c>
      <c r="I26" s="40">
        <v>95.324402028575832</v>
      </c>
      <c r="J26" s="40">
        <v>109.25301189771743</v>
      </c>
      <c r="K26" s="40">
        <v>104.92381211188633</v>
      </c>
      <c r="L26" s="40">
        <v>103.40979665013012</v>
      </c>
      <c r="M26" s="40">
        <v>108.03128586236456</v>
      </c>
      <c r="N26" s="40">
        <v>121.17752617497806</v>
      </c>
      <c r="O26" s="40">
        <v>139.97824946999683</v>
      </c>
      <c r="P26" s="40">
        <v>142.41423395932821</v>
      </c>
      <c r="Q26" s="40">
        <v>187.69899744899894</v>
      </c>
      <c r="R26" s="40">
        <v>218.83395622145562</v>
      </c>
      <c r="S26" s="40">
        <v>240.59225287864081</v>
      </c>
      <c r="T26" s="40">
        <v>282.80792390974744</v>
      </c>
      <c r="U26" s="40">
        <v>316.51567139870866</v>
      </c>
      <c r="V26" s="40">
        <v>350.49120639740539</v>
      </c>
      <c r="W26" s="40">
        <v>296.91866183547245</v>
      </c>
      <c r="X26" s="40">
        <v>310.35909123680136</v>
      </c>
      <c r="Y26" s="40">
        <v>265.12590661626331</v>
      </c>
      <c r="Z26" s="40">
        <v>249.54485189473795</v>
      </c>
      <c r="AA26" s="40">
        <v>329.71920082065213</v>
      </c>
      <c r="AB26" s="40">
        <v>417.31502301799759</v>
      </c>
      <c r="AC26" s="40">
        <v>442.13407014880028</v>
      </c>
      <c r="AD26" s="40">
        <v>458.96541439996611</v>
      </c>
      <c r="AE26" s="40">
        <v>444.89449366168697</v>
      </c>
      <c r="AF26" s="40">
        <v>510.67510901806691</v>
      </c>
      <c r="AG26" s="40">
        <v>471.31303845668373</v>
      </c>
      <c r="AH26" s="40">
        <v>470.09058360063193</v>
      </c>
      <c r="AI26" s="40">
        <v>415.60977893576637</v>
      </c>
      <c r="AJ26" s="40">
        <v>266.50718937522237</v>
      </c>
      <c r="AK26" s="40">
        <v>342.49549494782894</v>
      </c>
      <c r="AL26" s="40">
        <v>319.39717687011051</v>
      </c>
      <c r="AM26" s="40">
        <v>292.30905111495917</v>
      </c>
      <c r="AN26" s="40">
        <v>299.36030017966374</v>
      </c>
      <c r="AO26" s="40">
        <v>294.52819852534572</v>
      </c>
      <c r="AP26" s="40">
        <v>251.32540894948193</v>
      </c>
      <c r="AQ26" s="40">
        <v>251.57118584353947</v>
      </c>
      <c r="AR26" s="40">
        <v>263.16935861976003</v>
      </c>
      <c r="AS26" s="40">
        <v>297.50888250733067</v>
      </c>
      <c r="AT26" s="40">
        <v>326.07961778549486</v>
      </c>
      <c r="AU26" s="40">
        <v>340.84392504753288</v>
      </c>
      <c r="AV26" s="40">
        <v>365.35032968934138</v>
      </c>
      <c r="AW26" s="40">
        <v>413.2848572096101</v>
      </c>
      <c r="AX26" s="40">
        <v>473.87684962772522</v>
      </c>
      <c r="AY26" s="40">
        <v>464.51428450373174</v>
      </c>
      <c r="AZ26" s="40">
        <v>456.27215815841589</v>
      </c>
      <c r="BA26" s="40">
        <v>488.22422351739039</v>
      </c>
      <c r="BB26" s="40">
        <v>280.89880531943152</v>
      </c>
    </row>
    <row r="27" spans="1:54">
      <c r="A27" s="41">
        <v>43</v>
      </c>
      <c r="B27" s="41" t="s">
        <v>129</v>
      </c>
      <c r="C27" s="40">
        <v>109.09153568896019</v>
      </c>
      <c r="D27" s="40">
        <v>114.54030207782452</v>
      </c>
      <c r="E27" s="40">
        <v>116.73258006369731</v>
      </c>
      <c r="F27" s="40">
        <v>120.77337248753574</v>
      </c>
      <c r="G27" s="40">
        <v>125.92456991938755</v>
      </c>
      <c r="H27" s="40">
        <v>128.29015573674036</v>
      </c>
      <c r="I27" s="40">
        <v>130.90704511183625</v>
      </c>
      <c r="J27" s="40">
        <v>129.67981008152239</v>
      </c>
      <c r="K27" s="40">
        <v>132.11907095924352</v>
      </c>
      <c r="L27" s="40">
        <v>128.74573251701307</v>
      </c>
      <c r="M27" s="40">
        <v>134.64326045068211</v>
      </c>
      <c r="N27" s="40">
        <v>153.40206816281668</v>
      </c>
      <c r="O27" s="40">
        <v>165.57832674849129</v>
      </c>
      <c r="P27" s="40">
        <v>163.11260608166015</v>
      </c>
      <c r="Q27" s="40">
        <v>211.45319879167096</v>
      </c>
      <c r="R27" s="40">
        <v>207.53175619565624</v>
      </c>
      <c r="S27" s="40">
        <v>219.83849309404965</v>
      </c>
      <c r="T27" s="40">
        <v>256.87871426503307</v>
      </c>
      <c r="U27" s="40">
        <v>227.14815682621889</v>
      </c>
      <c r="V27" s="40">
        <v>228.90711224170792</v>
      </c>
      <c r="W27" s="40">
        <v>190.18723601927539</v>
      </c>
      <c r="X27" s="40">
        <v>176.92377314898079</v>
      </c>
      <c r="Y27" s="40">
        <v>172.34809804830286</v>
      </c>
      <c r="Z27" s="40">
        <v>185.50329906500184</v>
      </c>
      <c r="AA27" s="40">
        <v>202.88854314642373</v>
      </c>
      <c r="AB27" s="40">
        <v>203.67763005601057</v>
      </c>
      <c r="AC27" s="40">
        <v>215.16742790017048</v>
      </c>
      <c r="AD27" s="40">
        <v>265.58982489288661</v>
      </c>
      <c r="AE27" s="40">
        <v>248.70391703682475</v>
      </c>
      <c r="AF27" s="40">
        <v>292.12533660609591</v>
      </c>
      <c r="AG27" s="40">
        <v>305.59548367553816</v>
      </c>
      <c r="AH27" s="40">
        <v>296.87131485060598</v>
      </c>
      <c r="AI27" s="40">
        <v>223.65598433162614</v>
      </c>
      <c r="AJ27" s="40">
        <v>174.64746918493279</v>
      </c>
      <c r="AK27" s="40">
        <v>207.14143097963282</v>
      </c>
      <c r="AL27" s="40">
        <v>222.73750778097607</v>
      </c>
      <c r="AM27" s="40">
        <v>206.97008673713088</v>
      </c>
      <c r="AN27" s="40">
        <v>225.88337044923588</v>
      </c>
      <c r="AO27" s="40">
        <v>191.76469720906707</v>
      </c>
      <c r="AP27" s="40">
        <v>166.85134525466518</v>
      </c>
      <c r="AQ27" s="40">
        <v>198.27911309493081</v>
      </c>
      <c r="AR27" s="40">
        <v>221.83373379232583</v>
      </c>
      <c r="AS27" s="40">
        <v>293.91017888154698</v>
      </c>
      <c r="AT27" s="40">
        <v>456.79443136754418</v>
      </c>
      <c r="AU27" s="40">
        <v>529.43261763283408</v>
      </c>
      <c r="AV27" s="40">
        <v>588.8879566035564</v>
      </c>
      <c r="AW27" s="40">
        <v>655.16142531045944</v>
      </c>
      <c r="AX27" s="40">
        <v>757.9602236026127</v>
      </c>
      <c r="AY27" s="40">
        <v>622.79027567199148</v>
      </c>
      <c r="AZ27" s="40">
        <v>728.67796489932903</v>
      </c>
      <c r="BA27" s="40">
        <v>875.94030646069825</v>
      </c>
      <c r="BB27" s="40">
        <v>264.90587982731296</v>
      </c>
    </row>
    <row r="28" spans="1:54">
      <c r="A28" s="41">
        <v>44</v>
      </c>
      <c r="B28" s="41" t="s">
        <v>128</v>
      </c>
      <c r="C28" s="40">
        <v>599.73614998735479</v>
      </c>
      <c r="D28" s="40">
        <v>683.76928576260855</v>
      </c>
      <c r="E28" s="40">
        <v>664.414699299375</v>
      </c>
      <c r="F28" s="40">
        <v>685.30748668202375</v>
      </c>
      <c r="G28" s="40">
        <v>699.53094540616553</v>
      </c>
      <c r="H28" s="40">
        <v>792.69586022264559</v>
      </c>
      <c r="I28" s="40">
        <v>765.09300963895714</v>
      </c>
      <c r="J28" s="40">
        <v>767.32417288899092</v>
      </c>
      <c r="K28" s="40">
        <v>870.12316903060628</v>
      </c>
      <c r="L28" s="40">
        <v>937.59096545014359</v>
      </c>
      <c r="M28" s="40">
        <v>1096.2771535125189</v>
      </c>
      <c r="N28" s="40">
        <v>1161.4329199005247</v>
      </c>
      <c r="O28" s="40">
        <v>1622.4555016793672</v>
      </c>
      <c r="P28" s="40">
        <v>1513.2601811381717</v>
      </c>
      <c r="Q28" s="40">
        <v>693.0920246900489</v>
      </c>
      <c r="R28" s="40">
        <v>931.6801614553832</v>
      </c>
      <c r="S28" s="40">
        <v>1245.055731868895</v>
      </c>
      <c r="T28" s="40">
        <v>1415.6045005811263</v>
      </c>
      <c r="U28" s="40">
        <v>1879.1810388898264</v>
      </c>
      <c r="V28" s="40">
        <v>2463.4883506865253</v>
      </c>
      <c r="W28" s="40">
        <v>2872.8543364069906</v>
      </c>
      <c r="X28" s="40">
        <v>2108.539119760645</v>
      </c>
      <c r="Y28" s="40">
        <v>1685.2186466643873</v>
      </c>
      <c r="Z28" s="40">
        <v>1612.5854194730598</v>
      </c>
      <c r="AA28" s="40">
        <v>1359.4518069802828</v>
      </c>
      <c r="AB28" s="40">
        <v>1437.1522922810643</v>
      </c>
      <c r="AC28" s="40">
        <v>1666.6613401266357</v>
      </c>
      <c r="AD28" s="40">
        <v>1931.5457489194523</v>
      </c>
      <c r="AE28" s="40">
        <v>2186.6549898885933</v>
      </c>
      <c r="AF28" s="40">
        <v>2388.3074541199144</v>
      </c>
      <c r="AG28" s="40">
        <v>2706.8132954091607</v>
      </c>
      <c r="AH28" s="40">
        <v>3244.2997883298481</v>
      </c>
      <c r="AI28" s="40">
        <v>3416.8721198741664</v>
      </c>
      <c r="AJ28" s="40">
        <v>3882.808211855689</v>
      </c>
      <c r="AK28" s="40">
        <v>4941.0452479904252</v>
      </c>
      <c r="AL28" s="40">
        <v>5167.5991706262876</v>
      </c>
      <c r="AM28" s="40">
        <v>5567.9421781927695</v>
      </c>
      <c r="AN28" s="40">
        <v>5266.1520185725894</v>
      </c>
      <c r="AO28" s="40">
        <v>4781.7047999111746</v>
      </c>
      <c r="AP28" s="40">
        <v>5133.077311162845</v>
      </c>
      <c r="AQ28" s="40">
        <v>4625.336377017723</v>
      </c>
      <c r="AR28" s="40">
        <v>4487.150018096535</v>
      </c>
      <c r="AS28" s="40">
        <v>4866.3322499657343</v>
      </c>
      <c r="AT28" s="40">
        <v>6223.9737675767756</v>
      </c>
      <c r="AU28" s="40">
        <v>7614.5220579751949</v>
      </c>
      <c r="AV28" s="40">
        <v>9371.4277428579571</v>
      </c>
      <c r="AW28" s="40">
        <v>10383.490887721755</v>
      </c>
      <c r="AX28" s="40">
        <v>10672.253491322366</v>
      </c>
      <c r="AY28" s="40">
        <v>10106.508478419699</v>
      </c>
      <c r="AZ28" s="40">
        <v>12670.673414549507</v>
      </c>
      <c r="BA28" s="40">
        <v>14501.247594218812</v>
      </c>
      <c r="BB28" s="40">
        <v>3536.614013432144</v>
      </c>
    </row>
    <row r="29" spans="1:54">
      <c r="A29" s="41">
        <v>45</v>
      </c>
      <c r="B29" s="41" t="s">
        <v>127</v>
      </c>
      <c r="C29" s="40">
        <v>75.872571162372154</v>
      </c>
      <c r="D29" s="40">
        <v>69.789873270080761</v>
      </c>
      <c r="E29" s="40">
        <v>73.688766030049408</v>
      </c>
      <c r="F29" s="40">
        <v>83.930435283925419</v>
      </c>
      <c r="G29" s="40">
        <v>97.470097979446876</v>
      </c>
      <c r="H29" s="40">
        <v>103.18117150981196</v>
      </c>
      <c r="I29" s="40">
        <v>95.496688245886702</v>
      </c>
      <c r="J29" s="40">
        <v>90.371330777075755</v>
      </c>
      <c r="K29" s="40">
        <v>98.889885299928949</v>
      </c>
      <c r="L29" s="40">
        <v>111.82272553494172</v>
      </c>
      <c r="M29" s="40">
        <v>117.18159060331627</v>
      </c>
      <c r="N29" s="40">
        <v>130.11126743139459</v>
      </c>
      <c r="O29" s="40">
        <v>155.07844198735833</v>
      </c>
      <c r="P29" s="40">
        <v>157.99937808014141</v>
      </c>
      <c r="Q29" s="40">
        <v>175.86575402946332</v>
      </c>
      <c r="R29" s="40">
        <v>162.92051487523443</v>
      </c>
      <c r="S29" s="40">
        <v>182.67856795792522</v>
      </c>
      <c r="T29" s="40">
        <v>154.97205972904609</v>
      </c>
      <c r="U29" s="40">
        <v>182.2847005647001</v>
      </c>
      <c r="V29" s="40">
        <v>193.02205126592571</v>
      </c>
      <c r="W29" s="40">
        <v>195.30540513269449</v>
      </c>
      <c r="X29" s="40">
        <v>201.4447468168311</v>
      </c>
      <c r="Y29" s="40">
        <v>223.25194504078573</v>
      </c>
      <c r="Z29" s="40">
        <v>248.28890819683801</v>
      </c>
      <c r="AA29" s="40">
        <v>291.77449069311609</v>
      </c>
      <c r="AB29" s="40">
        <v>279.18510666722312</v>
      </c>
      <c r="AC29" s="40">
        <v>249.41279109704749</v>
      </c>
      <c r="AD29" s="40">
        <v>280.96786147946216</v>
      </c>
      <c r="AE29" s="40">
        <v>307.48999260380685</v>
      </c>
      <c r="AF29" s="40">
        <v>314.43060046065852</v>
      </c>
      <c r="AG29" s="40">
        <v>329.74908865834618</v>
      </c>
      <c r="AH29" s="40">
        <v>362.8084140462102</v>
      </c>
      <c r="AI29" s="40">
        <v>373.8000228816054</v>
      </c>
      <c r="AJ29" s="40">
        <v>469.21319417598141</v>
      </c>
      <c r="AK29" s="40">
        <v>604.22806058522531</v>
      </c>
      <c r="AL29" s="40">
        <v>703.12079940228557</v>
      </c>
      <c r="AM29" s="40">
        <v>774.46716100980586</v>
      </c>
      <c r="AN29" s="40">
        <v>820.86307683264374</v>
      </c>
      <c r="AO29" s="40">
        <v>864.73031436008148</v>
      </c>
      <c r="AP29" s="40">
        <v>949.17806208299191</v>
      </c>
      <c r="AQ29" s="40">
        <v>1041.6377044135349</v>
      </c>
      <c r="AR29" s="40">
        <v>1135.4479496360555</v>
      </c>
      <c r="AS29" s="40">
        <v>1273.6407426071655</v>
      </c>
      <c r="AT29" s="40">
        <v>1490.3800560480456</v>
      </c>
      <c r="AU29" s="40">
        <v>1731.1252345789967</v>
      </c>
      <c r="AV29" s="40">
        <v>2069.3436306831873</v>
      </c>
      <c r="AW29" s="40">
        <v>2651.2601211724273</v>
      </c>
      <c r="AX29" s="40">
        <v>3413.588661428058</v>
      </c>
      <c r="AY29" s="40">
        <v>3749.272423670051</v>
      </c>
      <c r="AZ29" s="40">
        <v>4447.7562107007579</v>
      </c>
      <c r="BA29" s="40">
        <v>5441.7594119318364</v>
      </c>
      <c r="BB29" s="40">
        <v>780.42255021003507</v>
      </c>
    </row>
    <row r="30" spans="1:54">
      <c r="A30" s="41">
        <v>48</v>
      </c>
      <c r="B30" s="41" t="s">
        <v>126</v>
      </c>
      <c r="C30" s="40">
        <v>276.11833528431731</v>
      </c>
      <c r="D30" s="40">
        <v>292.50607767448605</v>
      </c>
      <c r="E30" s="40">
        <v>276.54138196912703</v>
      </c>
      <c r="F30" s="40">
        <v>332.48389976160269</v>
      </c>
      <c r="G30" s="40">
        <v>311.9873910244807</v>
      </c>
      <c r="H30" s="40">
        <v>285.35112577105656</v>
      </c>
      <c r="I30" s="40">
        <v>291.16702334544118</v>
      </c>
      <c r="J30" s="40">
        <v>292.4874382754258</v>
      </c>
      <c r="K30" s="40">
        <v>308.02390159563657</v>
      </c>
      <c r="L30" s="40">
        <v>337.24278873978369</v>
      </c>
      <c r="M30" s="40">
        <v>357.41781401649945</v>
      </c>
      <c r="N30" s="40">
        <v>387.04071132181429</v>
      </c>
      <c r="O30" s="40">
        <v>449.98407128605987</v>
      </c>
      <c r="P30" s="40">
        <v>527.44646982178745</v>
      </c>
      <c r="Q30" s="40">
        <v>545.86172621676292</v>
      </c>
      <c r="R30" s="40">
        <v>624.70983724417113</v>
      </c>
      <c r="S30" s="40">
        <v>774.66708368446689</v>
      </c>
      <c r="T30" s="40">
        <v>904.30352233498149</v>
      </c>
      <c r="U30" s="40">
        <v>1061.313488229717</v>
      </c>
      <c r="V30" s="40">
        <v>1240.0675434440432</v>
      </c>
      <c r="W30" s="40">
        <v>1320.8044265327133</v>
      </c>
      <c r="X30" s="40">
        <v>1383.1447684913362</v>
      </c>
      <c r="Y30" s="40">
        <v>1344.632561296143</v>
      </c>
      <c r="Z30" s="40">
        <v>1299.4456741149838</v>
      </c>
      <c r="AA30" s="40">
        <v>1160.1878716115104</v>
      </c>
      <c r="AB30" s="40">
        <v>1137.5199955442745</v>
      </c>
      <c r="AC30" s="40">
        <v>1159.7715882936982</v>
      </c>
      <c r="AD30" s="40">
        <v>1225.0465894065787</v>
      </c>
      <c r="AE30" s="40">
        <v>1210.7581867336685</v>
      </c>
      <c r="AF30" s="40">
        <v>1209.1835331028917</v>
      </c>
      <c r="AG30" s="40">
        <v>1214.4536927435299</v>
      </c>
      <c r="AH30" s="40">
        <v>1423.9292031669295</v>
      </c>
      <c r="AI30" s="40">
        <v>1582.5813512162047</v>
      </c>
      <c r="AJ30" s="40">
        <v>2274.8854045309145</v>
      </c>
      <c r="AK30" s="40">
        <v>2529.3252960396617</v>
      </c>
      <c r="AL30" s="40">
        <v>2609.2971323582706</v>
      </c>
      <c r="AM30" s="40">
        <v>2814.1342049941354</v>
      </c>
      <c r="AN30" s="40">
        <v>2552.4683741085914</v>
      </c>
      <c r="AO30" s="40">
        <v>2196.7146852778933</v>
      </c>
      <c r="AP30" s="40">
        <v>2503.54949201304</v>
      </c>
      <c r="AQ30" s="40">
        <v>2421.2726461017091</v>
      </c>
      <c r="AR30" s="40">
        <v>2376.0838030606833</v>
      </c>
      <c r="AS30" s="40">
        <v>2261.2836083266307</v>
      </c>
      <c r="AT30" s="40">
        <v>2752.9134538104654</v>
      </c>
      <c r="AU30" s="40">
        <v>3392.9244134252331</v>
      </c>
      <c r="AV30" s="40">
        <v>3712.785524943813</v>
      </c>
      <c r="AW30" s="40">
        <v>4661.2133828435781</v>
      </c>
      <c r="AX30" s="40">
        <v>5403.4557350868154</v>
      </c>
      <c r="AY30" s="40">
        <v>5104.9911864163896</v>
      </c>
      <c r="AZ30" s="40">
        <v>6179.7702122403443</v>
      </c>
      <c r="BA30" s="40">
        <v>7144.3287867914914</v>
      </c>
      <c r="BB30" s="40">
        <v>1753.7172238365836</v>
      </c>
    </row>
    <row r="31" spans="1:54">
      <c r="A31" s="41">
        <v>50</v>
      </c>
      <c r="B31" s="41" t="s">
        <v>125</v>
      </c>
      <c r="C31" s="40">
        <v>145.84794677299809</v>
      </c>
      <c r="D31" s="40">
        <v>155.97878961523264</v>
      </c>
      <c r="E31" s="40">
        <v>157.0802163783363</v>
      </c>
      <c r="F31" s="40">
        <v>164.83061890264253</v>
      </c>
      <c r="G31" s="40">
        <v>171.27317341304797</v>
      </c>
      <c r="H31" s="40">
        <v>185.32353377437573</v>
      </c>
      <c r="I31" s="40">
        <v>193.92252028197422</v>
      </c>
      <c r="J31" s="40">
        <v>199.49869382591081</v>
      </c>
      <c r="K31" s="40">
        <v>204.45792587484408</v>
      </c>
      <c r="L31" s="40">
        <v>205.94918684025049</v>
      </c>
      <c r="M31" s="40">
        <v>234.12576374873993</v>
      </c>
      <c r="N31" s="40">
        <v>289.49809728902443</v>
      </c>
      <c r="O31" s="40">
        <v>370.51243463996491</v>
      </c>
      <c r="P31" s="40">
        <v>388.17283511588039</v>
      </c>
      <c r="Q31" s="40">
        <v>493.66188173819205</v>
      </c>
      <c r="R31" s="40">
        <v>471.50656631944855</v>
      </c>
      <c r="S31" s="40">
        <v>464.52664366155437</v>
      </c>
      <c r="T31" s="40">
        <v>518.34300172651876</v>
      </c>
      <c r="U31" s="40">
        <v>686.99326729255642</v>
      </c>
      <c r="V31" s="40">
        <v>949.55770143294103</v>
      </c>
      <c r="W31" s="40">
        <v>1077.5917046886498</v>
      </c>
      <c r="X31" s="40">
        <v>1133.9498756644093</v>
      </c>
      <c r="Y31" s="40">
        <v>1068.742870050381</v>
      </c>
      <c r="Z31" s="40">
        <v>1085.7523816159101</v>
      </c>
      <c r="AA31" s="40">
        <v>1039.4237286481632</v>
      </c>
      <c r="AB31" s="40">
        <v>864.9159832756543</v>
      </c>
      <c r="AC31" s="40">
        <v>1045.3719358423127</v>
      </c>
      <c r="AD31" s="40">
        <v>979.52497175911947</v>
      </c>
      <c r="AE31" s="40">
        <v>1029.7803832420836</v>
      </c>
      <c r="AF31" s="40">
        <v>1174.3238426080143</v>
      </c>
      <c r="AG31" s="40">
        <v>1113.539532839927</v>
      </c>
      <c r="AH31" s="40">
        <v>1167.7683407114134</v>
      </c>
      <c r="AI31" s="40">
        <v>744.24151254768481</v>
      </c>
      <c r="AJ31" s="40">
        <v>668.23554606880339</v>
      </c>
      <c r="AK31" s="40">
        <v>777.76159745681582</v>
      </c>
      <c r="AL31" s="40">
        <v>908.17949911717642</v>
      </c>
      <c r="AM31" s="40">
        <v>806.96677600699934</v>
      </c>
      <c r="AN31" s="40">
        <v>658.30677647080518</v>
      </c>
      <c r="AO31" s="40">
        <v>773.18204627859507</v>
      </c>
      <c r="AP31" s="40">
        <v>1029.9745845216119</v>
      </c>
      <c r="AQ31" s="40">
        <v>871.67094334195485</v>
      </c>
      <c r="AR31" s="40">
        <v>919.68701436567972</v>
      </c>
      <c r="AS31" s="40">
        <v>1039.3797989602999</v>
      </c>
      <c r="AT31" s="40">
        <v>1347.8709070601055</v>
      </c>
      <c r="AU31" s="40">
        <v>1718.1008154528388</v>
      </c>
      <c r="AV31" s="40">
        <v>2120.0978455671448</v>
      </c>
      <c r="AW31" s="40">
        <v>2233.3082518771907</v>
      </c>
      <c r="AX31" s="40">
        <v>3059.2265346412228</v>
      </c>
      <c r="AY31" s="40">
        <v>2401.2981550662471</v>
      </c>
      <c r="AZ31" s="40">
        <v>2920.4067080001232</v>
      </c>
      <c r="BA31" s="40">
        <v>3414.0547095056831</v>
      </c>
      <c r="BB31" s="40">
        <v>938.11169356661696</v>
      </c>
    </row>
    <row r="32" spans="1:54">
      <c r="A32" s="41">
        <v>51</v>
      </c>
      <c r="B32" s="41" t="s">
        <v>124</v>
      </c>
      <c r="C32" s="40">
        <v>197.39117488698898</v>
      </c>
      <c r="D32" s="40">
        <v>235.63264187333235</v>
      </c>
      <c r="E32" s="40">
        <v>377.42790868198273</v>
      </c>
      <c r="F32" s="40">
        <v>170.46630940844318</v>
      </c>
      <c r="G32" s="40">
        <v>232.81143065914458</v>
      </c>
      <c r="H32" s="40">
        <v>253.7619343858041</v>
      </c>
      <c r="I32" s="40">
        <v>184.13475668485765</v>
      </c>
      <c r="J32" s="40">
        <v>206.72256836457188</v>
      </c>
      <c r="K32" s="40">
        <v>258.61902239778811</v>
      </c>
      <c r="L32" s="40">
        <v>243.76355931803437</v>
      </c>
      <c r="M32" s="40">
        <v>272.07606652456576</v>
      </c>
      <c r="N32" s="40">
        <v>292.29564448746339</v>
      </c>
      <c r="O32" s="40">
        <v>362.82854293987157</v>
      </c>
      <c r="P32" s="40">
        <v>430.6908307953189</v>
      </c>
      <c r="Q32" s="40">
        <v>447.00114523256218</v>
      </c>
      <c r="R32" s="40">
        <v>409.62005623073344</v>
      </c>
      <c r="S32" s="40">
        <v>509.30023820535126</v>
      </c>
      <c r="T32" s="40">
        <v>616.34827590309999</v>
      </c>
      <c r="U32" s="40">
        <v>587.44260985536152</v>
      </c>
      <c r="V32" s="40">
        <v>546.14353729730158</v>
      </c>
      <c r="W32" s="40">
        <v>463.32806670427379</v>
      </c>
      <c r="X32" s="40">
        <v>491.63706384636822</v>
      </c>
      <c r="Y32" s="40">
        <v>386.32908463967419</v>
      </c>
      <c r="Z32" s="40">
        <v>268.69975894004745</v>
      </c>
      <c r="AA32" s="40">
        <v>239.51641259740893</v>
      </c>
      <c r="AB32" s="40">
        <v>262.22483774174816</v>
      </c>
      <c r="AC32" s="40">
        <v>241.37972719203358</v>
      </c>
      <c r="AD32" s="40">
        <v>271.16059650889957</v>
      </c>
      <c r="AE32" s="40">
        <v>267.4895691047052</v>
      </c>
      <c r="AF32" s="40">
        <v>267.82028927416263</v>
      </c>
      <c r="AG32" s="40">
        <v>250.68157157997345</v>
      </c>
      <c r="AH32" s="40">
        <v>217.49285161144789</v>
      </c>
      <c r="AI32" s="40">
        <v>272.7593078633397</v>
      </c>
      <c r="AJ32" s="40">
        <v>142.96545517759955</v>
      </c>
      <c r="AK32" s="40">
        <v>134.32754628637272</v>
      </c>
      <c r="AL32" s="40">
        <v>133.83828317383697</v>
      </c>
      <c r="AM32" s="40">
        <v>138.1819880353157</v>
      </c>
      <c r="AN32" s="40">
        <v>138.24424342867329</v>
      </c>
      <c r="AO32" s="40">
        <v>102.66619801176789</v>
      </c>
      <c r="AP32" s="40">
        <v>91.701082599519296</v>
      </c>
      <c r="AQ32" s="40">
        <v>97.407193376024352</v>
      </c>
      <c r="AR32" s="40">
        <v>111.97108125625998</v>
      </c>
      <c r="AS32" s="40">
        <v>111.23935125330796</v>
      </c>
      <c r="AT32" s="40">
        <v>124.049697975257</v>
      </c>
      <c r="AU32" s="40">
        <v>133.10027070871635</v>
      </c>
      <c r="AV32" s="40">
        <v>158.72731821405858</v>
      </c>
      <c r="AW32" s="40">
        <v>175.10427020933102</v>
      </c>
      <c r="AX32" s="40">
        <v>198.4957712144095</v>
      </c>
      <c r="AY32" s="40">
        <v>185.23223762142786</v>
      </c>
      <c r="AZ32" s="40">
        <v>210.76917709346858</v>
      </c>
      <c r="BA32" s="40">
        <v>244.85005207043378</v>
      </c>
      <c r="BB32" s="40">
        <v>262.11507077338121</v>
      </c>
    </row>
    <row r="33" spans="1:54">
      <c r="A33" s="41">
        <v>53</v>
      </c>
      <c r="B33" s="41" t="s">
        <v>123</v>
      </c>
      <c r="C33" s="40">
        <v>354.91343458014506</v>
      </c>
      <c r="D33" s="40">
        <v>334.83701017692272</v>
      </c>
      <c r="E33" s="40">
        <v>345.43897772379722</v>
      </c>
      <c r="F33" s="40">
        <v>353.97241077323969</v>
      </c>
      <c r="G33" s="40">
        <v>374.57481957706131</v>
      </c>
      <c r="H33" s="40">
        <v>396.51187221820913</v>
      </c>
      <c r="I33" s="40">
        <v>416.03590339763957</v>
      </c>
      <c r="J33" s="40">
        <v>447.53099079804929</v>
      </c>
      <c r="K33" s="40">
        <v>480.62706954534116</v>
      </c>
      <c r="L33" s="40">
        <v>540.49004816301203</v>
      </c>
      <c r="M33" s="40">
        <v>576.92956746087145</v>
      </c>
      <c r="N33" s="40">
        <v>647.88817654027719</v>
      </c>
      <c r="O33" s="40">
        <v>781.73841524578154</v>
      </c>
      <c r="P33" s="40">
        <v>832.29112611926496</v>
      </c>
      <c r="Q33" s="40">
        <v>955.55112767278206</v>
      </c>
      <c r="R33" s="40">
        <v>1145.9019016931043</v>
      </c>
      <c r="S33" s="40">
        <v>1421.0732350303376</v>
      </c>
      <c r="T33" s="40">
        <v>1585.7453118471874</v>
      </c>
      <c r="U33" s="40">
        <v>1766.8061271130755</v>
      </c>
      <c r="V33" s="40">
        <v>2057.3120532226944</v>
      </c>
      <c r="W33" s="40">
        <v>1086.538145637913</v>
      </c>
      <c r="X33" s="40">
        <v>1049.6369808974298</v>
      </c>
      <c r="Y33" s="40">
        <v>1557.1257998915928</v>
      </c>
      <c r="Z33" s="40">
        <v>1749.6865476718656</v>
      </c>
      <c r="AA33" s="40">
        <v>1777.4401625212245</v>
      </c>
      <c r="AB33" s="40">
        <v>1975.5662282602923</v>
      </c>
      <c r="AC33" s="40">
        <v>2050.8580724758563</v>
      </c>
      <c r="AD33" s="40">
        <v>2073.5423318649732</v>
      </c>
      <c r="AE33" s="40">
        <v>2287.888571209025</v>
      </c>
      <c r="AF33" s="40">
        <v>2404.8512820647911</v>
      </c>
      <c r="AG33" s="40">
        <v>2269.5165176211817</v>
      </c>
      <c r="AH33" s="40">
        <v>2651.4397659889264</v>
      </c>
      <c r="AI33" s="40">
        <v>2909.8424827060485</v>
      </c>
      <c r="AJ33" s="40">
        <v>3111.0349768713963</v>
      </c>
      <c r="AK33" s="40">
        <v>3370.2395178299803</v>
      </c>
      <c r="AL33" s="40">
        <v>3320.5887256991841</v>
      </c>
      <c r="AM33" s="40">
        <v>3507.0819978632517</v>
      </c>
      <c r="AN33" s="40">
        <v>3759.8810747820576</v>
      </c>
      <c r="AO33" s="40">
        <v>4111.83258310976</v>
      </c>
      <c r="AP33" s="40">
        <v>4058.0445738417047</v>
      </c>
      <c r="AQ33" s="40">
        <v>4087.1189870901699</v>
      </c>
      <c r="AR33" s="40">
        <v>4114.5669390949033</v>
      </c>
      <c r="AS33" s="40">
        <v>4199.6947844838842</v>
      </c>
      <c r="AT33" s="40">
        <v>4379.3910642382225</v>
      </c>
      <c r="AU33" s="40">
        <v>4621.3641237613056</v>
      </c>
      <c r="AV33" s="40">
        <v>5128.920364145376</v>
      </c>
      <c r="AW33" s="40">
        <v>5897.4981630745369</v>
      </c>
      <c r="AX33" s="40">
        <v>6582.7363316034871</v>
      </c>
      <c r="AY33" s="40">
        <v>6396.1540839134959</v>
      </c>
      <c r="AZ33" s="40">
        <v>7783.4356055437356</v>
      </c>
      <c r="BA33" s="40">
        <v>8669.3204131421353</v>
      </c>
      <c r="BB33" s="40">
        <v>2524.6864074078144</v>
      </c>
    </row>
    <row r="34" spans="1:54">
      <c r="A34" s="41">
        <v>54</v>
      </c>
      <c r="B34" s="41" t="s">
        <v>122</v>
      </c>
      <c r="C34" s="40">
        <v>171.6359695420052</v>
      </c>
      <c r="D34" s="40">
        <v>172.51275420467712</v>
      </c>
      <c r="E34" s="40">
        <v>195.64904507089398</v>
      </c>
      <c r="F34" s="40">
        <v>227.4412949426561</v>
      </c>
      <c r="G34" s="40">
        <v>217.96874832822883</v>
      </c>
      <c r="H34" s="40">
        <v>232.74779850910082</v>
      </c>
      <c r="I34" s="40">
        <v>235.86725976077722</v>
      </c>
      <c r="J34" s="40">
        <v>267.24544157718645</v>
      </c>
      <c r="K34" s="40">
        <v>271.67643492307587</v>
      </c>
      <c r="L34" s="40">
        <v>277.66247123685758</v>
      </c>
      <c r="M34" s="40">
        <v>288.67451042591279</v>
      </c>
      <c r="N34" s="40">
        <v>321.76730809839569</v>
      </c>
      <c r="O34" s="40">
        <v>416.58407391541323</v>
      </c>
      <c r="P34" s="40">
        <v>486.71266067405145</v>
      </c>
      <c r="Q34" s="40">
        <v>589.40453669216845</v>
      </c>
      <c r="R34" s="40">
        <v>674.08057377436137</v>
      </c>
      <c r="S34" s="40">
        <v>865.69783266486434</v>
      </c>
      <c r="T34" s="40">
        <v>1043.8181924885766</v>
      </c>
      <c r="U34" s="40">
        <v>1155.6067308723957</v>
      </c>
      <c r="V34" s="40">
        <v>1231.0879276401183</v>
      </c>
      <c r="W34" s="40">
        <v>977.10543915234985</v>
      </c>
      <c r="X34" s="40">
        <v>840.35712444463979</v>
      </c>
      <c r="Y34" s="40">
        <v>728.53252520099477</v>
      </c>
      <c r="Z34" s="40">
        <v>700.16027682482763</v>
      </c>
      <c r="AA34" s="40">
        <v>686.90962594940254</v>
      </c>
      <c r="AB34" s="40">
        <v>868.61013223375846</v>
      </c>
      <c r="AC34" s="40">
        <v>923.04088441665783</v>
      </c>
      <c r="AD34" s="40">
        <v>906.22504991184644</v>
      </c>
      <c r="AE34" s="40">
        <v>833.17449261234185</v>
      </c>
      <c r="AF34" s="40">
        <v>891.05508824582182</v>
      </c>
      <c r="AG34" s="40">
        <v>837.39531292868207</v>
      </c>
      <c r="AH34" s="40">
        <v>861.16713692018482</v>
      </c>
      <c r="AI34" s="40">
        <v>825.82882188175563</v>
      </c>
      <c r="AJ34" s="40">
        <v>602.48138689442146</v>
      </c>
      <c r="AK34" s="40">
        <v>773.70848801284762</v>
      </c>
      <c r="AL34" s="40">
        <v>829.61384919400234</v>
      </c>
      <c r="AM34" s="40">
        <v>779.29114427849402</v>
      </c>
      <c r="AN34" s="40">
        <v>828.07599442942694</v>
      </c>
      <c r="AO34" s="40">
        <v>794.59944730238738</v>
      </c>
      <c r="AP34" s="40">
        <v>645.76568165011747</v>
      </c>
      <c r="AQ34" s="40">
        <v>642.21522128879212</v>
      </c>
      <c r="AR34" s="40">
        <v>688.85596524333289</v>
      </c>
      <c r="AS34" s="40">
        <v>812.39763515739912</v>
      </c>
      <c r="AT34" s="40">
        <v>902.98641658249369</v>
      </c>
      <c r="AU34" s="40">
        <v>940.7521438263409</v>
      </c>
      <c r="AV34" s="40">
        <v>983.29142359056277</v>
      </c>
      <c r="AW34" s="40">
        <v>1102.8824987195089</v>
      </c>
      <c r="AX34" s="40">
        <v>1282.2670814949906</v>
      </c>
      <c r="AY34" s="40">
        <v>1238.7081339739173</v>
      </c>
      <c r="AZ34" s="40">
        <v>1207.8451404201344</v>
      </c>
      <c r="BA34" s="40">
        <v>1241.5611109698029</v>
      </c>
      <c r="BB34" s="40">
        <v>716.09220076654799</v>
      </c>
    </row>
    <row r="35" spans="1:54">
      <c r="A35" s="41">
        <v>55</v>
      </c>
      <c r="B35" s="41" t="s">
        <v>121</v>
      </c>
      <c r="AF35" s="40">
        <v>5184.5529653652993</v>
      </c>
      <c r="AG35" s="40">
        <v>4025.822867018499</v>
      </c>
      <c r="AH35" s="40">
        <v>2299.6598838864152</v>
      </c>
      <c r="AI35" s="40">
        <v>2349.2500836024515</v>
      </c>
      <c r="AJ35" s="40">
        <v>3135.1369811442519</v>
      </c>
      <c r="AK35" s="40">
        <v>4721.6978794711058</v>
      </c>
      <c r="AL35" s="40">
        <v>5193.9042813159931</v>
      </c>
      <c r="AM35" s="40">
        <v>5140.3491294152218</v>
      </c>
      <c r="AN35" s="40">
        <v>5577.960590028496</v>
      </c>
      <c r="AO35" s="40">
        <v>5067.5584746690538</v>
      </c>
      <c r="AP35" s="40">
        <v>4861.6775099465985</v>
      </c>
      <c r="AQ35" s="40">
        <v>5191.9019848116413</v>
      </c>
      <c r="AR35" s="40">
        <v>5974.0757653686305</v>
      </c>
      <c r="AS35" s="40">
        <v>7689.9569959556875</v>
      </c>
      <c r="AT35" s="40">
        <v>9237.1162234058556</v>
      </c>
      <c r="AU35" s="40">
        <v>10090.366688639182</v>
      </c>
      <c r="AV35" s="40">
        <v>11228.621375108376</v>
      </c>
      <c r="AW35" s="40">
        <v>13376.009230886037</v>
      </c>
      <c r="AX35" s="40">
        <v>15695.821454541336</v>
      </c>
      <c r="AY35" s="40">
        <v>14053.782467143963</v>
      </c>
      <c r="AZ35" s="40">
        <v>13326.506278007912</v>
      </c>
      <c r="BA35" s="40">
        <v>14434.701720289962</v>
      </c>
      <c r="BB35" s="40">
        <v>7629.8377650009988</v>
      </c>
    </row>
    <row r="36" spans="1:54">
      <c r="A36" s="41">
        <v>56</v>
      </c>
      <c r="B36" s="41" t="s">
        <v>120</v>
      </c>
      <c r="L36" s="40">
        <v>653.23809169742378</v>
      </c>
      <c r="M36" s="40">
        <v>779.56230391602003</v>
      </c>
      <c r="N36" s="40">
        <v>901.3674036992162</v>
      </c>
      <c r="O36" s="40">
        <v>1088.4402699263342</v>
      </c>
      <c r="P36" s="40">
        <v>1224.4118714736983</v>
      </c>
      <c r="Q36" s="40">
        <v>1380.2617161105031</v>
      </c>
      <c r="R36" s="40">
        <v>1444.873402896168</v>
      </c>
      <c r="S36" s="40">
        <v>1474.6363672896925</v>
      </c>
      <c r="T36" s="40">
        <v>1837.7640349746862</v>
      </c>
      <c r="U36" s="40">
        <v>2003.2946842982833</v>
      </c>
      <c r="V36" s="40">
        <v>2024.6789741352857</v>
      </c>
      <c r="W36" s="40">
        <v>2038.2145874135601</v>
      </c>
      <c r="X36" s="40">
        <v>2109.9967248551275</v>
      </c>
      <c r="Y36" s="40">
        <v>2226.1186444732939</v>
      </c>
      <c r="Z36" s="40">
        <v>2397.0879661537524</v>
      </c>
      <c r="AA36" s="40">
        <v>2270.1244314613955</v>
      </c>
      <c r="AB36" s="40">
        <v>2378.92983068796</v>
      </c>
      <c r="AC36" s="40">
        <v>2451.274589452275</v>
      </c>
      <c r="AD36" s="40">
        <v>2641.2362143434598</v>
      </c>
      <c r="AE36" s="40">
        <v>2572.8734579403249</v>
      </c>
      <c r="AF36" s="40">
        <v>2702.185284217725</v>
      </c>
      <c r="AG36" s="40">
        <v>2275.9259013132555</v>
      </c>
      <c r="AH36" s="40">
        <v>2052.9914463768087</v>
      </c>
      <c r="AI36" s="40">
        <v>2066.9176582313712</v>
      </c>
      <c r="AJ36" s="40">
        <v>2615.0188118646611</v>
      </c>
      <c r="AK36" s="40">
        <v>2783.4432967119888</v>
      </c>
      <c r="AL36" s="40">
        <v>2278.2853424144309</v>
      </c>
      <c r="AM36" s="40">
        <v>2300.9458512774886</v>
      </c>
      <c r="AN36" s="40">
        <v>2326.1743557909917</v>
      </c>
      <c r="AO36" s="40">
        <v>2555.0687379634251</v>
      </c>
      <c r="AP36" s="40">
        <v>2744.1244787409628</v>
      </c>
      <c r="AQ36" s="40">
        <v>2835.0766612395996</v>
      </c>
      <c r="AR36" s="40">
        <v>2995.8995284123216</v>
      </c>
      <c r="AS36" s="40">
        <v>3192.4005190857561</v>
      </c>
      <c r="AT36" s="40">
        <v>3388.7669544571572</v>
      </c>
      <c r="AU36" s="40">
        <v>3776.4705486448111</v>
      </c>
      <c r="AV36" s="40">
        <v>4666.9881692932549</v>
      </c>
      <c r="AW36" s="40">
        <v>5185.3822716882469</v>
      </c>
      <c r="AX36" s="40">
        <v>5382.8159614318074</v>
      </c>
      <c r="BB36" s="40">
        <v>2410.8530088808848</v>
      </c>
    </row>
    <row r="37" spans="1:54">
      <c r="A37" s="41">
        <v>57</v>
      </c>
      <c r="B37" s="41" t="s">
        <v>119</v>
      </c>
      <c r="Q37" s="40">
        <v>753.99575119549979</v>
      </c>
      <c r="R37" s="40">
        <v>876.14792089465141</v>
      </c>
      <c r="S37" s="40">
        <v>1104.2002550496843</v>
      </c>
      <c r="T37" s="40">
        <v>1431.8928703988333</v>
      </c>
      <c r="U37" s="40">
        <v>1895.1093888564365</v>
      </c>
      <c r="V37" s="40">
        <v>3143.1171125111646</v>
      </c>
      <c r="W37" s="40">
        <v>3028.9873829667627</v>
      </c>
      <c r="X37" s="40">
        <v>3121.596115491388</v>
      </c>
      <c r="Y37" s="40">
        <v>3112.5846606386476</v>
      </c>
      <c r="Z37" s="40">
        <v>3265.2908417828735</v>
      </c>
      <c r="AA37" s="40">
        <v>3453.7957139411415</v>
      </c>
      <c r="AB37" s="40">
        <v>4338.8472571640159</v>
      </c>
      <c r="AC37" s="40">
        <v>5121.5320536761901</v>
      </c>
      <c r="AD37" s="40">
        <v>5809.8115236498716</v>
      </c>
      <c r="AE37" s="40">
        <v>6076.161082785442</v>
      </c>
      <c r="AF37" s="40">
        <v>7293.3081085965314</v>
      </c>
      <c r="AG37" s="40">
        <v>7368.0466498029837</v>
      </c>
      <c r="AH37" s="40">
        <v>8633.0658113935733</v>
      </c>
      <c r="AI37" s="40">
        <v>8048.5813572974839</v>
      </c>
      <c r="AJ37" s="40">
        <v>8870.0495566960017</v>
      </c>
      <c r="AK37" s="40">
        <v>10813.960371004305</v>
      </c>
      <c r="AL37" s="40">
        <v>10703.390592837641</v>
      </c>
      <c r="AM37" s="40">
        <v>9998.0062704973388</v>
      </c>
      <c r="AN37" s="40">
        <v>10520.988874991954</v>
      </c>
      <c r="AO37" s="40">
        <v>10563.282639305275</v>
      </c>
      <c r="AP37" s="40">
        <v>9874.9771347204587</v>
      </c>
      <c r="AQ37" s="40">
        <v>10067.078778012088</v>
      </c>
      <c r="AR37" s="40">
        <v>10774.174883136726</v>
      </c>
      <c r="AS37" s="40">
        <v>13344.338539458069</v>
      </c>
      <c r="AT37" s="40">
        <v>15570.64445541299</v>
      </c>
      <c r="AU37" s="40">
        <v>16461.390520862675</v>
      </c>
      <c r="AV37" s="40">
        <v>17586.110564211784</v>
      </c>
      <c r="AW37" s="40">
        <v>20545.497515161231</v>
      </c>
      <c r="AX37" s="40">
        <v>23509.215583882229</v>
      </c>
      <c r="AY37" s="40">
        <v>21587.809795870209</v>
      </c>
      <c r="AZ37" s="40">
        <v>20959.286690609901</v>
      </c>
      <c r="BA37" s="40">
        <v>22384.044548168127</v>
      </c>
      <c r="BB37" s="40">
        <v>9243.522139808978</v>
      </c>
    </row>
    <row r="38" spans="1:54">
      <c r="A38" s="41">
        <v>58</v>
      </c>
      <c r="B38" s="41" t="s">
        <v>118</v>
      </c>
      <c r="AF38" s="40">
        <v>3786.8610364918541</v>
      </c>
      <c r="AG38" s="40">
        <v>2782.9626722815092</v>
      </c>
      <c r="AH38" s="40">
        <v>3240.5332552908521</v>
      </c>
      <c r="AI38" s="40">
        <v>3800.9603509377398</v>
      </c>
      <c r="AJ38" s="40">
        <v>4448.8746566396303</v>
      </c>
      <c r="AK38" s="40">
        <v>5595.6157813075451</v>
      </c>
      <c r="AL38" s="40">
        <v>6291.1385051111129</v>
      </c>
      <c r="AM38" s="40">
        <v>5770.8876522073379</v>
      </c>
      <c r="AN38" s="40">
        <v>6203.7130583267262</v>
      </c>
      <c r="AO38" s="40">
        <v>6044.9811435772972</v>
      </c>
      <c r="AP38" s="40">
        <v>5724.8248612014613</v>
      </c>
      <c r="AQ38" s="40">
        <v>6288.8042500869606</v>
      </c>
      <c r="AR38" s="40">
        <v>7685.0888161377597</v>
      </c>
      <c r="AS38" s="40">
        <v>9335.6668209275522</v>
      </c>
      <c r="AT38" s="40">
        <v>11156.665467715975</v>
      </c>
      <c r="AU38" s="40">
        <v>12705.608251835476</v>
      </c>
      <c r="AV38" s="40">
        <v>14445.72526715254</v>
      </c>
      <c r="AW38" s="40">
        <v>17467.431998594217</v>
      </c>
      <c r="AX38" s="40">
        <v>21627.161582539462</v>
      </c>
      <c r="AY38" s="40">
        <v>18805.650639887765</v>
      </c>
      <c r="AZ38" s="40">
        <v>18866.855225859697</v>
      </c>
      <c r="BA38" s="40">
        <v>20580.177674977898</v>
      </c>
      <c r="BB38" s="40">
        <v>9666.1904076858355</v>
      </c>
    </row>
    <row r="39" spans="1:54">
      <c r="A39" s="41">
        <v>59</v>
      </c>
      <c r="B39" s="41" t="s">
        <v>117</v>
      </c>
      <c r="C39" s="40">
        <v>1503.5370134281618</v>
      </c>
      <c r="D39" s="40">
        <v>1681.0299129875996</v>
      </c>
      <c r="E39" s="40">
        <v>1775.370384687885</v>
      </c>
      <c r="F39" s="40">
        <v>2013.2430769326788</v>
      </c>
      <c r="G39" s="40">
        <v>2243.9315948353569</v>
      </c>
      <c r="H39" s="40">
        <v>2443.2597913502009</v>
      </c>
      <c r="I39" s="40">
        <v>2644.7866468916036</v>
      </c>
      <c r="J39" s="40">
        <v>2712.6124003393297</v>
      </c>
      <c r="K39" s="40">
        <v>3068.2367411441319</v>
      </c>
      <c r="L39" s="40">
        <v>3366.0684292882229</v>
      </c>
      <c r="M39" s="40">
        <v>3730.6218096564107</v>
      </c>
      <c r="N39" s="40">
        <v>4525.81746123014</v>
      </c>
      <c r="O39" s="40">
        <v>5966.277247824105</v>
      </c>
      <c r="P39" s="40">
        <v>6609.4361625228985</v>
      </c>
      <c r="Q39" s="40">
        <v>7824.9755505952598</v>
      </c>
      <c r="R39" s="40">
        <v>8610.2058880824916</v>
      </c>
      <c r="S39" s="40">
        <v>9601.1703147923927</v>
      </c>
      <c r="T39" s="40">
        <v>11617.035814283377</v>
      </c>
      <c r="U39" s="40">
        <v>13516.415027754934</v>
      </c>
      <c r="V39" s="40">
        <v>13607.065352096073</v>
      </c>
      <c r="W39" s="40">
        <v>11788.173380756516</v>
      </c>
      <c r="X39" s="40">
        <v>11516.090077987996</v>
      </c>
      <c r="Y39" s="40">
        <v>11576.334219998293</v>
      </c>
      <c r="Z39" s="40">
        <v>11290.864490245291</v>
      </c>
      <c r="AA39" s="40">
        <v>11968.616223755293</v>
      </c>
      <c r="AB39" s="40">
        <v>16866.496307559435</v>
      </c>
      <c r="AC39" s="40">
        <v>20941.260189424091</v>
      </c>
      <c r="AD39" s="40">
        <v>22074.359580533521</v>
      </c>
      <c r="AE39" s="40">
        <v>21443.038653469986</v>
      </c>
      <c r="AF39" s="40">
        <v>26422.829375167261</v>
      </c>
      <c r="AG39" s="40">
        <v>26520.386145044427</v>
      </c>
      <c r="AH39" s="40">
        <v>29043.655833115416</v>
      </c>
      <c r="AI39" s="40">
        <v>27102.854364389652</v>
      </c>
      <c r="AJ39" s="40">
        <v>29502.094525471977</v>
      </c>
      <c r="AK39" s="40">
        <v>34773.675441318192</v>
      </c>
      <c r="AL39" s="40">
        <v>35043.3647374391</v>
      </c>
      <c r="AM39" s="40">
        <v>32248.959491275349</v>
      </c>
      <c r="AN39" s="40">
        <v>32738.683280804904</v>
      </c>
      <c r="AO39" s="40">
        <v>32685.318946923686</v>
      </c>
      <c r="AP39" s="40">
        <v>29980.155472954604</v>
      </c>
      <c r="AQ39" s="40">
        <v>29946.381831210911</v>
      </c>
      <c r="AR39" s="40">
        <v>32344.319792028593</v>
      </c>
      <c r="AS39" s="40">
        <v>39443.268171985648</v>
      </c>
      <c r="AT39" s="40">
        <v>45282.068004999521</v>
      </c>
      <c r="AU39" s="40">
        <v>47546.59459413719</v>
      </c>
      <c r="AV39" s="40">
        <v>50462.233575607679</v>
      </c>
      <c r="AW39" s="40">
        <v>57021.173177950681</v>
      </c>
      <c r="AX39" s="40">
        <v>62596.488537966456</v>
      </c>
      <c r="AY39" s="40">
        <v>56226.580145794542</v>
      </c>
      <c r="AZ39" s="40">
        <v>56485.894435376424</v>
      </c>
      <c r="BA39" s="40">
        <v>59889.005096349021</v>
      </c>
      <c r="BB39" s="40">
        <v>21996.712053367937</v>
      </c>
    </row>
    <row r="40" spans="1:54">
      <c r="A40" s="41">
        <v>62</v>
      </c>
      <c r="B40" s="41" t="s">
        <v>116</v>
      </c>
      <c r="C40" s="40">
        <v>190.9947668439473</v>
      </c>
      <c r="D40" s="40">
        <v>232.77562502136107</v>
      </c>
      <c r="E40" s="40">
        <v>257.17112597669279</v>
      </c>
      <c r="F40" s="40">
        <v>271.4584466836593</v>
      </c>
      <c r="G40" s="40">
        <v>227.74690524743659</v>
      </c>
      <c r="H40" s="40">
        <v>244.61665173292707</v>
      </c>
      <c r="I40" s="40">
        <v>249.58370557033783</v>
      </c>
      <c r="J40" s="40">
        <v>252.65361964755863</v>
      </c>
      <c r="K40" s="40">
        <v>279.84817195800707</v>
      </c>
      <c r="L40" s="40">
        <v>328.34379233748098</v>
      </c>
      <c r="M40" s="40">
        <v>358.23439286644054</v>
      </c>
      <c r="N40" s="40">
        <v>415.72851816513793</v>
      </c>
      <c r="O40" s="40">
        <v>477.58873064092262</v>
      </c>
      <c r="P40" s="40">
        <v>580.5941524627226</v>
      </c>
      <c r="Q40" s="40">
        <v>696.36198052902841</v>
      </c>
      <c r="R40" s="40">
        <v>745.75399893932843</v>
      </c>
      <c r="S40" s="40">
        <v>844.99593721855956</v>
      </c>
      <c r="T40" s="40">
        <v>858.8134688948137</v>
      </c>
      <c r="U40" s="40">
        <v>966.13962990886262</v>
      </c>
      <c r="V40" s="40">
        <v>1138.2293957050765</v>
      </c>
      <c r="W40" s="40">
        <v>1218.8727545116071</v>
      </c>
      <c r="X40" s="40">
        <v>1305.4914166892745</v>
      </c>
      <c r="Y40" s="40">
        <v>1381.6466510052273</v>
      </c>
      <c r="Z40" s="40">
        <v>1618.7784421529266</v>
      </c>
      <c r="AA40" s="40">
        <v>773.27023801711698</v>
      </c>
      <c r="AB40" s="40">
        <v>918.35197826090689</v>
      </c>
      <c r="AC40" s="40">
        <v>855.68642547430125</v>
      </c>
      <c r="AD40" s="40">
        <v>772.84492691603577</v>
      </c>
      <c r="AE40" s="40">
        <v>941.90482685741438</v>
      </c>
      <c r="AF40" s="40">
        <v>976.33550406961467</v>
      </c>
      <c r="AG40" s="40">
        <v>1315.4582394974555</v>
      </c>
      <c r="AH40" s="40">
        <v>1495.6319464057447</v>
      </c>
      <c r="AI40" s="40">
        <v>1687.8352216826938</v>
      </c>
      <c r="AJ40" s="40">
        <v>1852.2427834408559</v>
      </c>
      <c r="AK40" s="40">
        <v>2050.4594935640248</v>
      </c>
      <c r="AL40" s="40">
        <v>2233.3752127071743</v>
      </c>
      <c r="AM40" s="40">
        <v>2373.0950639660036</v>
      </c>
      <c r="AN40" s="40">
        <v>2522.6273730735907</v>
      </c>
      <c r="AO40" s="40">
        <v>2545.6547985747425</v>
      </c>
      <c r="AP40" s="40">
        <v>2769.8823219872975</v>
      </c>
      <c r="AQ40" s="40">
        <v>2829.1924463911428</v>
      </c>
      <c r="AR40" s="40">
        <v>2973.6571454147816</v>
      </c>
      <c r="AS40" s="40">
        <v>2344.5339196874038</v>
      </c>
      <c r="AT40" s="40">
        <v>2393.6462997224639</v>
      </c>
      <c r="AU40" s="40">
        <v>3639.3788235908864</v>
      </c>
      <c r="AV40" s="40">
        <v>3787.453471743986</v>
      </c>
      <c r="AW40" s="40">
        <v>4287.8007009676785</v>
      </c>
      <c r="AX40" s="40">
        <v>4688.3552780488208</v>
      </c>
      <c r="AY40" s="40">
        <v>4725.7074436578832</v>
      </c>
      <c r="AZ40" s="40">
        <v>5156.7285201280974</v>
      </c>
      <c r="BA40" s="40">
        <v>5485.8847055373417</v>
      </c>
      <c r="BB40" s="40">
        <v>1638.0277919626433</v>
      </c>
    </row>
    <row r="41" spans="1:54">
      <c r="A41" s="41">
        <v>63</v>
      </c>
      <c r="B41" s="41" t="s">
        <v>115</v>
      </c>
      <c r="C41" s="40">
        <v>210.802120700643</v>
      </c>
      <c r="D41" s="40">
        <v>200.56205667263686</v>
      </c>
      <c r="E41" s="40">
        <v>211.08809973201036</v>
      </c>
      <c r="F41" s="40">
        <v>228.32383827221389</v>
      </c>
      <c r="G41" s="40">
        <v>457.92406622436744</v>
      </c>
      <c r="H41" s="40">
        <v>452.67587241431642</v>
      </c>
      <c r="I41" s="40">
        <v>462.19519375314729</v>
      </c>
      <c r="J41" s="40">
        <v>453.99911354800628</v>
      </c>
      <c r="K41" s="40">
        <v>531.60022190393227</v>
      </c>
      <c r="L41" s="40">
        <v>475.12303718434964</v>
      </c>
      <c r="M41" s="40">
        <v>444.31600295755987</v>
      </c>
      <c r="N41" s="40">
        <v>499.65822594912987</v>
      </c>
      <c r="O41" s="40">
        <v>593.50358723798354</v>
      </c>
      <c r="P41" s="40">
        <v>978.91280438460478</v>
      </c>
      <c r="Q41" s="40">
        <v>1115.8924404526776</v>
      </c>
      <c r="R41" s="40">
        <v>1277.1194262459169</v>
      </c>
      <c r="S41" s="40">
        <v>1507.8655278807748</v>
      </c>
      <c r="T41" s="40">
        <v>1587.7829986314264</v>
      </c>
      <c r="U41" s="40">
        <v>1839.045032084297</v>
      </c>
      <c r="V41" s="40">
        <v>2260.7836672568124</v>
      </c>
      <c r="W41" s="40">
        <v>2688.3063660909979</v>
      </c>
      <c r="X41" s="40">
        <v>2395.6019615724258</v>
      </c>
      <c r="Y41" s="40">
        <v>2011.1271590960118</v>
      </c>
      <c r="Z41" s="40">
        <v>1934.4592838896383</v>
      </c>
      <c r="AA41" s="40">
        <v>1913.5238593297865</v>
      </c>
      <c r="AB41" s="40">
        <v>1666.9372289918649</v>
      </c>
      <c r="AC41" s="40">
        <v>1480.8735239617522</v>
      </c>
      <c r="AD41" s="40">
        <v>1352.400132416348</v>
      </c>
      <c r="AE41" s="40">
        <v>1404.9779482850581</v>
      </c>
      <c r="AF41" s="40">
        <v>1505.3230706084476</v>
      </c>
      <c r="AG41" s="40">
        <v>1639.6864337497698</v>
      </c>
      <c r="AH41" s="40">
        <v>1707.2634133441436</v>
      </c>
      <c r="AI41" s="40">
        <v>1747.6702462083053</v>
      </c>
      <c r="AJ41" s="40">
        <v>2050.3181544398558</v>
      </c>
      <c r="AK41" s="40">
        <v>2159.1385412990303</v>
      </c>
      <c r="AL41" s="40">
        <v>2182.7068171155097</v>
      </c>
      <c r="AM41" s="40">
        <v>2386.7091892545454</v>
      </c>
      <c r="AN41" s="40">
        <v>2323.556239046944</v>
      </c>
      <c r="AO41" s="40">
        <v>1598.8341301862326</v>
      </c>
      <c r="AP41" s="40">
        <v>1462.3202101726695</v>
      </c>
      <c r="AQ41" s="40">
        <v>1914.4491661717211</v>
      </c>
      <c r="AR41" s="40">
        <v>2191.0096061861968</v>
      </c>
      <c r="AS41" s="40">
        <v>2442.2690361591126</v>
      </c>
      <c r="AT41" s="40">
        <v>2704.665154517772</v>
      </c>
      <c r="AU41" s="40">
        <v>3012.7524373543374</v>
      </c>
      <c r="AV41" s="40">
        <v>3337.4003628052137</v>
      </c>
      <c r="AW41" s="40">
        <v>3574.8778927303465</v>
      </c>
      <c r="AX41" s="40">
        <v>4255.8519947283712</v>
      </c>
      <c r="AY41" s="40">
        <v>4236.7775553209913</v>
      </c>
      <c r="AZ41" s="40">
        <v>4500.5915577233418</v>
      </c>
      <c r="BA41" s="40">
        <v>5035.2424930054349</v>
      </c>
      <c r="BB41" s="40">
        <v>1776.6038137107648</v>
      </c>
    </row>
    <row r="42" spans="1:54">
      <c r="A42" s="41">
        <v>64</v>
      </c>
      <c r="B42" s="41" t="s">
        <v>114</v>
      </c>
      <c r="C42" s="40">
        <v>150.56183552691525</v>
      </c>
      <c r="D42" s="40">
        <v>135.29017888311941</v>
      </c>
      <c r="E42" s="40">
        <v>136.81259371067392</v>
      </c>
      <c r="F42" s="40">
        <v>153.05424800497261</v>
      </c>
      <c r="G42" s="40">
        <v>159.32016469570667</v>
      </c>
      <c r="H42" s="40">
        <v>162.11282478532723</v>
      </c>
      <c r="I42" s="40">
        <v>165.069919424566</v>
      </c>
      <c r="J42" s="40">
        <v>176.25625660162737</v>
      </c>
      <c r="K42" s="40">
        <v>193.23103528218894</v>
      </c>
      <c r="L42" s="40">
        <v>211.3927522164648</v>
      </c>
      <c r="M42" s="40">
        <v>222.49022981198584</v>
      </c>
      <c r="N42" s="40">
        <v>230.96223228600323</v>
      </c>
      <c r="O42" s="40">
        <v>248.27746008101448</v>
      </c>
      <c r="P42" s="40">
        <v>228.03581890245232</v>
      </c>
      <c r="Q42" s="40">
        <v>283.40530398747632</v>
      </c>
      <c r="R42" s="40">
        <v>324.18496769080474</v>
      </c>
      <c r="S42" s="40">
        <v>347.70142921488861</v>
      </c>
      <c r="T42" s="40">
        <v>345.30036427719796</v>
      </c>
      <c r="U42" s="40">
        <v>412.95661080117139</v>
      </c>
      <c r="V42" s="40">
        <v>509.93756120249651</v>
      </c>
      <c r="W42" s="40">
        <v>509.41496887739618</v>
      </c>
      <c r="X42" s="40">
        <v>544.61825578084836</v>
      </c>
      <c r="Y42" s="40">
        <v>585.31901737035037</v>
      </c>
      <c r="Z42" s="40">
        <v>622.94394535576964</v>
      </c>
      <c r="AA42" s="40">
        <v>689.01562893237508</v>
      </c>
      <c r="AB42" s="40">
        <v>696.09573763416813</v>
      </c>
      <c r="AC42" s="40">
        <v>767.53224385826672</v>
      </c>
      <c r="AD42" s="40">
        <v>648.83994796740717</v>
      </c>
      <c r="AE42" s="40">
        <v>718.17450774508973</v>
      </c>
      <c r="AF42" s="40">
        <v>765.58408630061854</v>
      </c>
      <c r="AG42" s="40">
        <v>644.22562031014616</v>
      </c>
      <c r="AH42" s="40">
        <v>717.06309671237</v>
      </c>
      <c r="AI42" s="40">
        <v>785.37137595363049</v>
      </c>
      <c r="AJ42" s="40">
        <v>861.63668644819552</v>
      </c>
      <c r="AK42" s="40">
        <v>983.50206047099971</v>
      </c>
      <c r="AL42" s="40">
        <v>1088.6317999727924</v>
      </c>
      <c r="AM42" s="40">
        <v>1243.1687635149553</v>
      </c>
      <c r="AN42" s="40">
        <v>1323.7035901137963</v>
      </c>
      <c r="AO42" s="40">
        <v>1393.4531733619854</v>
      </c>
      <c r="AP42" s="40">
        <v>1509.5810200876842</v>
      </c>
      <c r="AQ42" s="40">
        <v>1452.7667025479982</v>
      </c>
      <c r="AR42" s="40">
        <v>1286.1922783087909</v>
      </c>
      <c r="AS42" s="40">
        <v>1194.3068172772128</v>
      </c>
      <c r="AT42" s="40">
        <v>1116.9251609265398</v>
      </c>
      <c r="AU42" s="40">
        <v>1249.4932601353134</v>
      </c>
      <c r="AV42" s="40">
        <v>1472.5705484319992</v>
      </c>
      <c r="AW42" s="40">
        <v>1757.760483996987</v>
      </c>
      <c r="AX42" s="40">
        <v>2156.7629688668121</v>
      </c>
      <c r="AY42" s="40">
        <v>2461.530856555979</v>
      </c>
      <c r="AZ42" s="40">
        <v>2803.5329626527396</v>
      </c>
      <c r="BA42" s="40">
        <v>2972.3667129023324</v>
      </c>
      <c r="BB42" s="40">
        <v>819.96937385801152</v>
      </c>
    </row>
    <row r="43" spans="1:54">
      <c r="A43" s="41">
        <v>65</v>
      </c>
      <c r="B43" s="41" t="s">
        <v>113</v>
      </c>
      <c r="C43" s="40">
        <v>222.55032514720034</v>
      </c>
      <c r="D43" s="40">
        <v>239.29512862519852</v>
      </c>
      <c r="E43" s="40">
        <v>244.90187677380413</v>
      </c>
      <c r="F43" s="40">
        <v>261.51029360609124</v>
      </c>
      <c r="AF43" s="40">
        <v>898.33549231204677</v>
      </c>
      <c r="AG43" s="40">
        <v>978.93268315950127</v>
      </c>
      <c r="AH43" s="40">
        <v>1080.4794664258434</v>
      </c>
      <c r="AI43" s="40">
        <v>1239.5192747079998</v>
      </c>
      <c r="AJ43" s="40">
        <v>1424.0789492786639</v>
      </c>
      <c r="AK43" s="40">
        <v>1652.8305396267249</v>
      </c>
      <c r="AL43" s="40">
        <v>1776.4744232389719</v>
      </c>
      <c r="AM43" s="40">
        <v>1901.6715068039048</v>
      </c>
      <c r="AN43" s="40">
        <v>2037.0452085860638</v>
      </c>
      <c r="AO43" s="40">
        <v>2102.3876977652681</v>
      </c>
      <c r="AP43" s="40">
        <v>2204.1620784339921</v>
      </c>
      <c r="AQ43" s="40">
        <v>2307.7784542388108</v>
      </c>
      <c r="AR43" s="40">
        <v>2381.1528969553492</v>
      </c>
      <c r="AS43" s="40">
        <v>2495.5691858812352</v>
      </c>
      <c r="AT43" s="40">
        <v>2611.1610719275436</v>
      </c>
      <c r="AU43" s="40">
        <v>2814.9350403406288</v>
      </c>
      <c r="AV43" s="40">
        <v>3042.7484281639945</v>
      </c>
      <c r="AW43" s="40">
        <v>3283.5305584626499</v>
      </c>
      <c r="AX43" s="40">
        <v>3483.7094198488371</v>
      </c>
      <c r="AY43" s="40">
        <v>3341.320200715325</v>
      </c>
      <c r="AZ43" s="40">
        <v>3444.4561484482233</v>
      </c>
      <c r="BA43" s="40">
        <v>3698.5461879511695</v>
      </c>
      <c r="BB43" s="40">
        <v>1968.041636054809</v>
      </c>
    </row>
    <row r="44" spans="1:54">
      <c r="A44" s="41">
        <v>67</v>
      </c>
      <c r="B44" s="41" t="s">
        <v>112</v>
      </c>
      <c r="AH44" s="40">
        <v>143.19129451816508</v>
      </c>
      <c r="AI44" s="40">
        <v>139.88897225185374</v>
      </c>
      <c r="AJ44" s="40">
        <v>157.96164442022811</v>
      </c>
      <c r="AK44" s="40">
        <v>169.61488045702052</v>
      </c>
      <c r="AL44" s="40">
        <v>199.67068401587815</v>
      </c>
      <c r="AM44" s="40">
        <v>192.81640785000485</v>
      </c>
      <c r="AN44" s="40">
        <v>203.23201153091986</v>
      </c>
      <c r="AO44" s="40">
        <v>181.51557937537882</v>
      </c>
      <c r="AP44" s="40">
        <v>179.31160493794971</v>
      </c>
      <c r="AQ44" s="40">
        <v>183.43252476328911</v>
      </c>
      <c r="AR44" s="40">
        <v>170.33946474266673</v>
      </c>
      <c r="AS44" s="40">
        <v>194.57602698670684</v>
      </c>
      <c r="AT44" s="40">
        <v>237.71273662860472</v>
      </c>
      <c r="AU44" s="40">
        <v>226.28985677138323</v>
      </c>
      <c r="AV44" s="40">
        <v>240.54681625089034</v>
      </c>
      <c r="AW44" s="40">
        <v>252.97762993549961</v>
      </c>
      <c r="AX44" s="40">
        <v>256.43756980817437</v>
      </c>
      <c r="AY44" s="40">
        <v>334.06488515129587</v>
      </c>
      <c r="AZ44" s="40">
        <v>368.74775819689802</v>
      </c>
      <c r="BA44" s="40">
        <v>439.54237142581241</v>
      </c>
      <c r="BB44" s="40">
        <v>223.59353600093104</v>
      </c>
    </row>
    <row r="45" spans="1:54">
      <c r="A45" s="41">
        <v>68</v>
      </c>
      <c r="B45" s="41" t="s">
        <v>111</v>
      </c>
      <c r="AK45" s="40">
        <v>2629.0195113754348</v>
      </c>
      <c r="AL45" s="40">
        <v>3339.8593713486193</v>
      </c>
      <c r="AM45" s="40">
        <v>3609.8261335478287</v>
      </c>
      <c r="AN45" s="40">
        <v>4035.564360641753</v>
      </c>
      <c r="AO45" s="40">
        <v>4150.033723757906</v>
      </c>
      <c r="AP45" s="40">
        <v>4143.9302686540905</v>
      </c>
      <c r="AQ45" s="40">
        <v>4572.9122700206417</v>
      </c>
      <c r="AR45" s="40">
        <v>5386.3902000055141</v>
      </c>
      <c r="AS45" s="40">
        <v>7270.2834363429465</v>
      </c>
      <c r="AT45" s="40">
        <v>8912.7939212436522</v>
      </c>
      <c r="AU45" s="40">
        <v>10330.28165880847</v>
      </c>
      <c r="AV45" s="40">
        <v>12503.094679790895</v>
      </c>
      <c r="AW45" s="40">
        <v>16392.724126172201</v>
      </c>
      <c r="AX45" s="40">
        <v>17738.482256309904</v>
      </c>
      <c r="AY45" s="40">
        <v>14263.986143572107</v>
      </c>
      <c r="AZ45" s="40">
        <v>14062.232891971071</v>
      </c>
      <c r="BA45" s="40">
        <v>16534.220538964284</v>
      </c>
      <c r="BB45" s="40">
        <v>8816.2138525016053</v>
      </c>
    </row>
    <row r="46" spans="1:54">
      <c r="A46" s="41">
        <v>69</v>
      </c>
      <c r="B46" s="41" t="s">
        <v>110</v>
      </c>
      <c r="W46" s="40">
        <v>201.39235285618264</v>
      </c>
      <c r="X46" s="40">
        <v>206.11710174997677</v>
      </c>
      <c r="Y46" s="40">
        <v>222.23977791077357</v>
      </c>
      <c r="Z46" s="40">
        <v>203.44440883575041</v>
      </c>
      <c r="AA46" s="40">
        <v>230.7357477435657</v>
      </c>
      <c r="AB46" s="40">
        <v>232.15022494758162</v>
      </c>
      <c r="AC46" s="40">
        <v>240.29008829911854</v>
      </c>
      <c r="AD46" s="40">
        <v>241.02243273462042</v>
      </c>
      <c r="AE46" s="40">
        <v>245.27169721546247</v>
      </c>
      <c r="AF46" s="40">
        <v>251.49633769481227</v>
      </c>
      <c r="AG46" s="40">
        <v>268.60481999708514</v>
      </c>
      <c r="AH46" s="40">
        <v>202.09662559301071</v>
      </c>
      <c r="AI46" s="40">
        <v>164.24114356130252</v>
      </c>
      <c r="AJ46" s="40">
        <v>124.55028984006057</v>
      </c>
      <c r="AK46" s="40">
        <v>133.37784565262541</v>
      </c>
      <c r="AL46" s="40">
        <v>144.22964451211635</v>
      </c>
      <c r="AM46" s="40">
        <v>146.75139689788517</v>
      </c>
      <c r="AN46" s="40">
        <v>129.41342202476415</v>
      </c>
      <c r="AO46" s="40">
        <v>121.99507364700685</v>
      </c>
      <c r="AP46" s="40">
        <v>123.88690666545753</v>
      </c>
      <c r="AQ46" s="40">
        <v>120.2025771278138</v>
      </c>
      <c r="AR46" s="40">
        <v>111.38262135607053</v>
      </c>
      <c r="AS46" s="40">
        <v>118.87836665009483</v>
      </c>
      <c r="AT46" s="40">
        <v>135.74312003028746</v>
      </c>
      <c r="AU46" s="40">
        <v>161.57347270199168</v>
      </c>
      <c r="AV46" s="40">
        <v>193.6923581943399</v>
      </c>
      <c r="AW46" s="40">
        <v>243.12006203236629</v>
      </c>
      <c r="AX46" s="40">
        <v>325.10502667313568</v>
      </c>
      <c r="AY46" s="40">
        <v>379.41661307423743</v>
      </c>
      <c r="AZ46" s="40">
        <v>341.07721845763342</v>
      </c>
      <c r="BA46" s="40">
        <v>354.7126249924022</v>
      </c>
      <c r="BB46" s="40">
        <v>203.81327095708167</v>
      </c>
    </row>
    <row r="47" spans="1:54">
      <c r="A47" s="41">
        <v>73</v>
      </c>
      <c r="B47" s="41" t="s">
        <v>109</v>
      </c>
      <c r="C47" s="40">
        <v>1327.427224365998</v>
      </c>
      <c r="D47" s="40">
        <v>1411.7023981804352</v>
      </c>
      <c r="E47" s="40">
        <v>1522.3192420995049</v>
      </c>
      <c r="F47" s="40">
        <v>1707.5039382470122</v>
      </c>
      <c r="G47" s="40">
        <v>1882.0868576484877</v>
      </c>
      <c r="H47" s="40">
        <v>2010.2134561972505</v>
      </c>
      <c r="I47" s="40">
        <v>2034.189049654778</v>
      </c>
      <c r="J47" s="40">
        <v>1907.0772721766712</v>
      </c>
      <c r="K47" s="40">
        <v>2178.0352504498242</v>
      </c>
      <c r="L47" s="40">
        <v>2436.341683519724</v>
      </c>
      <c r="M47" s="40">
        <v>2683.9091768347052</v>
      </c>
      <c r="N47" s="40">
        <v>3139.8805098810308</v>
      </c>
      <c r="O47" s="40">
        <v>4123.5765003831611</v>
      </c>
      <c r="P47" s="40">
        <v>5234.647834469677</v>
      </c>
      <c r="Q47" s="40">
        <v>6181.2000835159788</v>
      </c>
      <c r="R47" s="40">
        <v>6659.5922896285138</v>
      </c>
      <c r="S47" s="40">
        <v>6985.0922016231289</v>
      </c>
      <c r="T47" s="40">
        <v>7538.1503818857545</v>
      </c>
      <c r="U47" s="40">
        <v>9221.3351847536887</v>
      </c>
      <c r="V47" s="40">
        <v>11090.54554922456</v>
      </c>
      <c r="W47" s="40">
        <v>10789.899055959646</v>
      </c>
      <c r="X47" s="40">
        <v>10809.582580606124</v>
      </c>
      <c r="Y47" s="40">
        <v>10355.687514622135</v>
      </c>
      <c r="Z47" s="40">
        <v>10675.999063873216</v>
      </c>
      <c r="AA47" s="40">
        <v>11215.329217632921</v>
      </c>
      <c r="AB47" s="40">
        <v>14704.696613352431</v>
      </c>
      <c r="AC47" s="40">
        <v>18257.044572789295</v>
      </c>
      <c r="AD47" s="40">
        <v>21668.466559940698</v>
      </c>
      <c r="AE47" s="40">
        <v>23526.659712265398</v>
      </c>
      <c r="AF47" s="40">
        <v>27852.292127891833</v>
      </c>
      <c r="AG47" s="40">
        <v>24991.461678276482</v>
      </c>
      <c r="AH47" s="40">
        <v>21850.733556401061</v>
      </c>
      <c r="AI47" s="40">
        <v>17240.232917737652</v>
      </c>
      <c r="AJ47" s="40">
        <v>19776.736384124291</v>
      </c>
      <c r="AK47" s="40">
        <v>25609.138241365621</v>
      </c>
      <c r="AL47" s="40">
        <v>25037.853808294811</v>
      </c>
      <c r="AM47" s="40">
        <v>23928.211238456497</v>
      </c>
      <c r="AN47" s="40">
        <v>25179.599828403017</v>
      </c>
      <c r="AO47" s="40">
        <v>25229.595816975991</v>
      </c>
      <c r="AP47" s="40">
        <v>23529.538458378953</v>
      </c>
      <c r="AQ47" s="40">
        <v>24025.118232824847</v>
      </c>
      <c r="AR47" s="40">
        <v>25993.839966102722</v>
      </c>
      <c r="AS47" s="40">
        <v>31508.875225530486</v>
      </c>
      <c r="AT47" s="40">
        <v>36162.656014887798</v>
      </c>
      <c r="AU47" s="40">
        <v>37318.797317915691</v>
      </c>
      <c r="AV47" s="40">
        <v>39487.054058231093</v>
      </c>
      <c r="AW47" s="40">
        <v>46538.17127517792</v>
      </c>
      <c r="AX47" s="40">
        <v>51186.48516038579</v>
      </c>
      <c r="AY47" s="40">
        <v>44837.710874646305</v>
      </c>
      <c r="AZ47" s="40">
        <v>43863.966925318739</v>
      </c>
      <c r="BA47" s="40">
        <v>48842.962394375543</v>
      </c>
      <c r="BB47" s="40">
        <v>17711.161225048723</v>
      </c>
    </row>
    <row r="48" spans="1:54">
      <c r="A48" s="41">
        <v>74</v>
      </c>
      <c r="B48" s="41" t="s">
        <v>108</v>
      </c>
      <c r="C48" s="40">
        <v>1445.1519143683652</v>
      </c>
      <c r="D48" s="40">
        <v>1590.1964869859348</v>
      </c>
      <c r="E48" s="40">
        <v>1756.8040621662894</v>
      </c>
      <c r="F48" s="40">
        <v>1922.6975981687367</v>
      </c>
      <c r="G48" s="40">
        <v>2045.4421464815991</v>
      </c>
      <c r="H48" s="40">
        <v>2193.0613400146581</v>
      </c>
      <c r="I48" s="40">
        <v>2350.3440289198397</v>
      </c>
      <c r="J48" s="40">
        <v>2537.3134625226753</v>
      </c>
      <c r="K48" s="40">
        <v>2731.5404415197368</v>
      </c>
      <c r="L48" s="40">
        <v>2821.8303623413649</v>
      </c>
      <c r="M48" s="40">
        <v>3128.7384683145783</v>
      </c>
      <c r="N48" s="40">
        <v>3807.6386528951866</v>
      </c>
      <c r="O48" s="40">
        <v>4911.3579448597666</v>
      </c>
      <c r="P48" s="40">
        <v>5257.7238038991736</v>
      </c>
      <c r="Q48" s="40">
        <v>6581.1682128730845</v>
      </c>
      <c r="R48" s="40">
        <v>6760.2272655248389</v>
      </c>
      <c r="S48" s="40">
        <v>7429.3853002191472</v>
      </c>
      <c r="T48" s="40">
        <v>9129.9294295230229</v>
      </c>
      <c r="U48" s="40">
        <v>11003.862707951059</v>
      </c>
      <c r="V48" s="40">
        <v>12500.290783191183</v>
      </c>
      <c r="W48" s="40">
        <v>10903.853882063735</v>
      </c>
      <c r="X48" s="40">
        <v>10294.319514495415</v>
      </c>
      <c r="Y48" s="40">
        <v>9801.3415234760068</v>
      </c>
      <c r="Z48" s="40">
        <v>9235.0388636180705</v>
      </c>
      <c r="AA48" s="40">
        <v>9564.1674471896931</v>
      </c>
      <c r="AB48" s="40">
        <v>13271.24207070175</v>
      </c>
      <c r="AC48" s="40">
        <v>15968.195592847856</v>
      </c>
      <c r="AD48" s="40">
        <v>17319.951943052194</v>
      </c>
      <c r="AE48" s="40">
        <v>17328.284173448767</v>
      </c>
      <c r="AF48" s="40">
        <v>21300.820993066496</v>
      </c>
      <c r="AG48" s="40">
        <v>21268.24831847908</v>
      </c>
      <c r="AH48" s="40">
        <v>23330.266204895015</v>
      </c>
      <c r="AI48" s="40">
        <v>21944.035533103557</v>
      </c>
      <c r="AJ48" s="40">
        <v>23059.245647613421</v>
      </c>
      <c r="AK48" s="40">
        <v>26403.140683990372</v>
      </c>
      <c r="AL48" s="40">
        <v>26321.727392435983</v>
      </c>
      <c r="AM48" s="40">
        <v>23705.839361840295</v>
      </c>
      <c r="AN48" s="40">
        <v>24405.88950474844</v>
      </c>
      <c r="AO48" s="40">
        <v>24075.043429655329</v>
      </c>
      <c r="AP48" s="40">
        <v>21774.944729266364</v>
      </c>
      <c r="AQ48" s="40">
        <v>21812.191426178182</v>
      </c>
      <c r="AR48" s="40">
        <v>23494.408407533254</v>
      </c>
      <c r="AS48" s="40">
        <v>28794.071090730773</v>
      </c>
      <c r="AT48" s="40">
        <v>32784.83759245494</v>
      </c>
      <c r="AU48" s="40">
        <v>33818.96875022399</v>
      </c>
      <c r="AV48" s="40">
        <v>35457.046179952085</v>
      </c>
      <c r="AW48" s="40">
        <v>40341.914918780749</v>
      </c>
      <c r="AX48" s="40">
        <v>43991.699527808953</v>
      </c>
      <c r="AY48" s="40">
        <v>40487.89390446699</v>
      </c>
      <c r="AZ48" s="40">
        <v>39186.022443069494</v>
      </c>
      <c r="BA48" s="40">
        <v>42521.812946546081</v>
      </c>
      <c r="BB48" s="40">
        <v>16585.709184519092</v>
      </c>
    </row>
    <row r="49" spans="1:54">
      <c r="A49" s="41">
        <v>78</v>
      </c>
      <c r="B49" s="41" t="s">
        <v>107</v>
      </c>
      <c r="C49" s="40">
        <v>332.77203827365935</v>
      </c>
      <c r="D49" s="40">
        <v>358.88338938046945</v>
      </c>
      <c r="E49" s="40">
        <v>299.51846852060038</v>
      </c>
      <c r="F49" s="40">
        <v>412.20377651235287</v>
      </c>
      <c r="G49" s="40">
        <v>425.78277834993571</v>
      </c>
      <c r="H49" s="40">
        <v>453.68527429834103</v>
      </c>
      <c r="I49" s="40">
        <v>490.95039265968325</v>
      </c>
      <c r="J49" s="40">
        <v>521.10951464282743</v>
      </c>
      <c r="K49" s="40">
        <v>551.1124487847344</v>
      </c>
      <c r="L49" s="40">
        <v>549.59557251529986</v>
      </c>
      <c r="M49" s="40">
        <v>635.41227960178946</v>
      </c>
      <c r="N49" s="40">
        <v>703.45652334828389</v>
      </c>
      <c r="O49" s="40">
        <v>1159.4637274886718</v>
      </c>
      <c r="P49" s="40">
        <v>2430.6190033716975</v>
      </c>
      <c r="Q49" s="40">
        <v>3328.7249050519167</v>
      </c>
      <c r="R49" s="40">
        <v>4545.689314335089</v>
      </c>
      <c r="S49" s="40">
        <v>4150.7516288122752</v>
      </c>
      <c r="T49" s="40">
        <v>3450.3371947826108</v>
      </c>
      <c r="U49" s="40">
        <v>4273.4244870341045</v>
      </c>
      <c r="V49" s="40">
        <v>5891.134103262224</v>
      </c>
      <c r="W49" s="40">
        <v>5186.8716653323327</v>
      </c>
      <c r="X49" s="40">
        <v>4737.8510584833857</v>
      </c>
      <c r="Y49" s="40">
        <v>4328.2180847862764</v>
      </c>
      <c r="Z49" s="40">
        <v>4427.9092775822664</v>
      </c>
      <c r="AA49" s="40">
        <v>4043.357960561355</v>
      </c>
      <c r="AB49" s="40">
        <v>4010.6311801736888</v>
      </c>
      <c r="AC49" s="40">
        <v>3762.8469138686337</v>
      </c>
      <c r="AD49" s="40">
        <v>4277.5316040513035</v>
      </c>
      <c r="AE49" s="40">
        <v>4543.9572799902126</v>
      </c>
      <c r="AF49" s="40">
        <v>6287.3929477828178</v>
      </c>
      <c r="AG49" s="40">
        <v>5555.4787913199625</v>
      </c>
      <c r="AH49" s="40">
        <v>5598.9808331088616</v>
      </c>
      <c r="AI49" s="40">
        <v>4269.5204088869496</v>
      </c>
      <c r="AJ49" s="40">
        <v>3980.7473477841659</v>
      </c>
      <c r="AK49" s="40">
        <v>4589.4967213816008</v>
      </c>
      <c r="AL49" s="40">
        <v>5135.7899084018172</v>
      </c>
      <c r="AM49" s="40">
        <v>4683.2784525841298</v>
      </c>
      <c r="AN49" s="40">
        <v>3843.3958235942059</v>
      </c>
      <c r="AO49" s="40">
        <v>3899.0866388559384</v>
      </c>
      <c r="AP49" s="40">
        <v>4135.2540603347634</v>
      </c>
      <c r="AQ49" s="40">
        <v>3754.3639241720375</v>
      </c>
      <c r="AR49" s="40">
        <v>3836.796680936282</v>
      </c>
      <c r="AS49" s="40">
        <v>4601.60445352641</v>
      </c>
      <c r="AT49" s="40">
        <v>5328.4851861663055</v>
      </c>
      <c r="AU49" s="40">
        <v>6281.9546835552928</v>
      </c>
      <c r="AV49" s="40">
        <v>6756.2711587421791</v>
      </c>
      <c r="AW49" s="40">
        <v>7994.3048251245982</v>
      </c>
      <c r="AX49" s="40">
        <v>10609.542083815104</v>
      </c>
      <c r="AY49" s="40">
        <v>7948.9863606116178</v>
      </c>
      <c r="AZ49" s="40">
        <v>9342.7145735406739</v>
      </c>
      <c r="BA49" s="40">
        <v>11788.548574588085</v>
      </c>
      <c r="BB49" s="40">
        <v>4009.9175742092111</v>
      </c>
    </row>
    <row r="50" spans="1:54">
      <c r="A50" s="41">
        <v>79</v>
      </c>
      <c r="B50" s="41" t="s">
        <v>106</v>
      </c>
      <c r="H50" s="40">
        <v>108.31464498392641</v>
      </c>
      <c r="I50" s="40">
        <v>112.1554125360564</v>
      </c>
      <c r="J50" s="40">
        <v>96.731363695485086</v>
      </c>
      <c r="K50" s="40">
        <v>103.64403911296068</v>
      </c>
      <c r="L50" s="40">
        <v>116.91945288897624</v>
      </c>
      <c r="M50" s="40">
        <v>121.09844303535886</v>
      </c>
      <c r="N50" s="40">
        <v>124.66983784132273</v>
      </c>
      <c r="O50" s="40">
        <v>153.48827899712754</v>
      </c>
      <c r="P50" s="40">
        <v>189.50298638887151</v>
      </c>
      <c r="Q50" s="40">
        <v>221.04465376279444</v>
      </c>
      <c r="R50" s="40">
        <v>209.15163774064857</v>
      </c>
      <c r="S50" s="40">
        <v>250.24894842425718</v>
      </c>
      <c r="T50" s="40">
        <v>302.61463256208094</v>
      </c>
      <c r="U50" s="40">
        <v>353.94498059671923</v>
      </c>
      <c r="V50" s="40">
        <v>398.89924176879362</v>
      </c>
      <c r="W50" s="40">
        <v>349.79717459017832</v>
      </c>
      <c r="X50" s="40">
        <v>333.30740968662593</v>
      </c>
      <c r="Y50" s="40">
        <v>317.0515308364117</v>
      </c>
      <c r="Z50" s="40">
        <v>252.94775623094134</v>
      </c>
      <c r="AA50" s="40">
        <v>308.33058946184644</v>
      </c>
      <c r="AB50" s="40">
        <v>242.16993060090675</v>
      </c>
      <c r="AC50" s="40">
        <v>274.36531838974201</v>
      </c>
      <c r="AD50" s="40">
        <v>316.31462157556575</v>
      </c>
      <c r="AE50" s="40">
        <v>322.44410486995952</v>
      </c>
      <c r="AF50" s="40">
        <v>345.85502214475252</v>
      </c>
      <c r="AG50" s="40">
        <v>727.04198507893443</v>
      </c>
      <c r="AH50" s="40">
        <v>729.07936229406778</v>
      </c>
      <c r="AI50" s="40">
        <v>748.86876219540341</v>
      </c>
      <c r="AJ50" s="40">
        <v>720.15084140445231</v>
      </c>
      <c r="AK50" s="40">
        <v>737.51145407727347</v>
      </c>
      <c r="AL50" s="40">
        <v>773.9904928891666</v>
      </c>
      <c r="AM50" s="40">
        <v>713.08194276416646</v>
      </c>
      <c r="AN50" s="40">
        <v>724.83937654288604</v>
      </c>
      <c r="AO50" s="40">
        <v>682.83856988670698</v>
      </c>
      <c r="AP50" s="40">
        <v>637.10427126204593</v>
      </c>
      <c r="AQ50" s="40">
        <v>542.68217635131555</v>
      </c>
      <c r="AR50" s="40">
        <v>442.5269098882988</v>
      </c>
      <c r="AS50" s="40">
        <v>361.15783661016491</v>
      </c>
      <c r="AT50" s="40">
        <v>415.81396865665778</v>
      </c>
      <c r="AU50" s="40">
        <v>434.49544450812851</v>
      </c>
      <c r="AV50" s="40">
        <v>441.91965608515881</v>
      </c>
      <c r="AW50" s="40">
        <v>522.33991830153934</v>
      </c>
      <c r="AX50" s="40">
        <v>612.02857762725421</v>
      </c>
      <c r="AY50" s="40">
        <v>553.09935136050342</v>
      </c>
      <c r="AZ50" s="40">
        <v>566.33532544388584</v>
      </c>
      <c r="BA50" s="40">
        <v>517.75243196196448</v>
      </c>
      <c r="BB50" s="40">
        <v>402.81892756331058</v>
      </c>
    </row>
    <row r="51" spans="1:54">
      <c r="A51" s="41">
        <v>80</v>
      </c>
      <c r="B51" s="41" t="s">
        <v>105</v>
      </c>
      <c r="AF51" s="40">
        <v>1611.410842154399</v>
      </c>
      <c r="AG51" s="40">
        <v>1310.4726424949695</v>
      </c>
      <c r="AH51" s="40">
        <v>757.38393919697023</v>
      </c>
      <c r="AI51" s="40">
        <v>550.01539449418624</v>
      </c>
      <c r="AJ51" s="40">
        <v>517.08711304956569</v>
      </c>
      <c r="AK51" s="40">
        <v>569.01814110095984</v>
      </c>
      <c r="AL51" s="40">
        <v>670.46110484943608</v>
      </c>
      <c r="AM51" s="40">
        <v>774.68021087100783</v>
      </c>
      <c r="AN51" s="40">
        <v>805.27268997132569</v>
      </c>
      <c r="AO51" s="40">
        <v>628.86565797527635</v>
      </c>
      <c r="AP51" s="40">
        <v>691.99770519198455</v>
      </c>
      <c r="AQ51" s="40">
        <v>733.97041379006009</v>
      </c>
      <c r="AR51" s="40">
        <v>779.38459063659047</v>
      </c>
      <c r="AS51" s="40">
        <v>922.02973961527255</v>
      </c>
      <c r="AT51" s="40">
        <v>1186.8730466262598</v>
      </c>
      <c r="AU51" s="40">
        <v>1469.9746235616303</v>
      </c>
      <c r="AV51" s="40">
        <v>1764.8704363604079</v>
      </c>
      <c r="AW51" s="40">
        <v>2317.9885011600268</v>
      </c>
      <c r="AX51" s="40">
        <v>2919.690052002723</v>
      </c>
      <c r="AY51" s="40">
        <v>2440.9613177727679</v>
      </c>
      <c r="AZ51" s="40">
        <v>2613.6814129315339</v>
      </c>
      <c r="BA51" s="40">
        <v>3219.558512125654</v>
      </c>
      <c r="BB51" s="40">
        <v>1329.8021858151369</v>
      </c>
    </row>
    <row r="52" spans="1:54">
      <c r="A52" s="41">
        <v>81</v>
      </c>
      <c r="B52" s="41" t="s">
        <v>104</v>
      </c>
      <c r="L52" s="40">
        <v>2672.0183042427057</v>
      </c>
      <c r="M52" s="40">
        <v>3089.0706583132433</v>
      </c>
      <c r="N52" s="40">
        <v>3686.9703171530446</v>
      </c>
      <c r="O52" s="40">
        <v>4883.8128308893893</v>
      </c>
      <c r="P52" s="40">
        <v>5457.0112959770613</v>
      </c>
      <c r="Q52" s="40">
        <v>6035.0084153742482</v>
      </c>
      <c r="R52" s="40">
        <v>6420.6403063883163</v>
      </c>
      <c r="S52" s="40">
        <v>7434.8977583240348</v>
      </c>
      <c r="T52" s="40">
        <v>9175.9004610992033</v>
      </c>
      <c r="U52" s="40">
        <v>10916.798076017738</v>
      </c>
      <c r="V52" s="40">
        <v>11746.40409710747</v>
      </c>
      <c r="W52" s="40">
        <v>9879.4574345207402</v>
      </c>
      <c r="X52" s="40">
        <v>9593.6573261425383</v>
      </c>
      <c r="Y52" s="40">
        <v>9545.8593421636706</v>
      </c>
      <c r="Z52" s="40">
        <v>9012.4793689101261</v>
      </c>
      <c r="AA52" s="40">
        <v>9125.1210202011698</v>
      </c>
      <c r="AB52" s="40">
        <v>13027.195018610904</v>
      </c>
      <c r="AC52" s="40">
        <v>16139.051616963017</v>
      </c>
      <c r="AD52" s="40">
        <v>17352.343206354042</v>
      </c>
      <c r="AE52" s="40">
        <v>17190.82613453472</v>
      </c>
      <c r="AF52" s="40">
        <v>21583.843524630025</v>
      </c>
      <c r="AG52" s="40">
        <v>22603.616474269802</v>
      </c>
      <c r="AH52" s="40">
        <v>25604.725434453947</v>
      </c>
      <c r="AI52" s="40">
        <v>24735.620240584834</v>
      </c>
      <c r="AJ52" s="40">
        <v>26375.84572714577</v>
      </c>
      <c r="AK52" s="40">
        <v>30887.865485203634</v>
      </c>
      <c r="AL52" s="40">
        <v>29749.971259161255</v>
      </c>
      <c r="AM52" s="40">
        <v>26296.530612699415</v>
      </c>
      <c r="AN52" s="40">
        <v>26547.775353907025</v>
      </c>
      <c r="AO52" s="40">
        <v>25956.637413113138</v>
      </c>
      <c r="AP52" s="40">
        <v>22945.708850150691</v>
      </c>
      <c r="AQ52" s="40">
        <v>22840.274045011334</v>
      </c>
      <c r="AR52" s="40">
        <v>24325.666449403248</v>
      </c>
      <c r="AS52" s="40">
        <v>29367.408943658258</v>
      </c>
      <c r="AT52" s="40">
        <v>33040.051409262203</v>
      </c>
      <c r="AU52" s="40">
        <v>33542.781383458998</v>
      </c>
      <c r="AV52" s="40">
        <v>35237.603258242445</v>
      </c>
      <c r="AW52" s="40">
        <v>40402.990083871926</v>
      </c>
      <c r="AX52" s="40">
        <v>44132.041815745237</v>
      </c>
      <c r="AY52" s="40">
        <v>40275.250763838412</v>
      </c>
      <c r="AZ52" s="40">
        <v>40163.817401931403</v>
      </c>
      <c r="BA52" s="40">
        <v>44021.219690850296</v>
      </c>
      <c r="BB52" s="40">
        <v>20310.042109759066</v>
      </c>
    </row>
    <row r="53" spans="1:54">
      <c r="A53" s="41">
        <v>82</v>
      </c>
      <c r="B53" s="41" t="s">
        <v>103</v>
      </c>
      <c r="C53" s="40">
        <v>189.66592491206546</v>
      </c>
      <c r="D53" s="40">
        <v>195.11354484391344</v>
      </c>
      <c r="E53" s="40">
        <v>211.00063387202826</v>
      </c>
      <c r="F53" s="40">
        <v>230.46170758261573</v>
      </c>
      <c r="G53" s="40">
        <v>266.38398701176277</v>
      </c>
      <c r="H53" s="40">
        <v>269.52333984715835</v>
      </c>
      <c r="I53" s="40">
        <v>216.87970372564374</v>
      </c>
      <c r="J53" s="40">
        <v>202.78144049390917</v>
      </c>
      <c r="K53" s="40">
        <v>233.61173655940587</v>
      </c>
      <c r="L53" s="40">
        <v>257.68158327792901</v>
      </c>
      <c r="M53" s="40">
        <v>273.87271744739053</v>
      </c>
      <c r="N53" s="40">
        <v>232.56875228853184</v>
      </c>
      <c r="O53" s="40">
        <v>263.69608236503291</v>
      </c>
      <c r="P53" s="40">
        <v>301.36702772394312</v>
      </c>
      <c r="Q53" s="40">
        <v>285.82285674312243</v>
      </c>
      <c r="R53" s="40">
        <v>275.87902084200306</v>
      </c>
      <c r="S53" s="40">
        <v>313.00095052090234</v>
      </c>
      <c r="T53" s="40">
        <v>353.69839312526352</v>
      </c>
      <c r="U53" s="40">
        <v>381.02130513590811</v>
      </c>
      <c r="V53" s="40">
        <v>411.50004771096155</v>
      </c>
      <c r="W53" s="40">
        <v>379.77979609058031</v>
      </c>
      <c r="X53" s="40">
        <v>351.30175858628417</v>
      </c>
      <c r="Y53" s="40">
        <v>341.06952274528135</v>
      </c>
      <c r="Z53" s="40">
        <v>358.37798677028815</v>
      </c>
      <c r="AA53" s="40">
        <v>354.20162910011828</v>
      </c>
      <c r="AB53" s="40">
        <v>437.06757306867905</v>
      </c>
      <c r="AC53" s="40">
        <v>376.44323281063527</v>
      </c>
      <c r="AD53" s="40">
        <v>375.20947108967442</v>
      </c>
      <c r="AE53" s="40">
        <v>368.9849070263395</v>
      </c>
      <c r="AF53" s="40">
        <v>402.57703804577011</v>
      </c>
      <c r="AG53" s="40">
        <v>438.94888197946875</v>
      </c>
      <c r="AH53" s="40">
        <v>414.69791014949703</v>
      </c>
      <c r="AI53" s="40">
        <v>375.23142280530232</v>
      </c>
      <c r="AJ53" s="40">
        <v>333.32991302168216</v>
      </c>
      <c r="AK53" s="40">
        <v>385.68213094031864</v>
      </c>
      <c r="AL53" s="40">
        <v>403.80474466279651</v>
      </c>
      <c r="AM53" s="40">
        <v>392.26166941481944</v>
      </c>
      <c r="AN53" s="40">
        <v>416.3917394865498</v>
      </c>
      <c r="AO53" s="40">
        <v>419.82071339712257</v>
      </c>
      <c r="AP53" s="40">
        <v>264.69269877701703</v>
      </c>
      <c r="AQ53" s="40">
        <v>275.47627102182452</v>
      </c>
      <c r="AR53" s="40">
        <v>311.63961985260534</v>
      </c>
      <c r="AS53" s="40">
        <v>375.96486716823381</v>
      </c>
      <c r="AT53" s="40">
        <v>426.26351086015632</v>
      </c>
      <c r="AU53" s="40">
        <v>501.86429470911224</v>
      </c>
      <c r="AV53" s="40">
        <v>929.94638071209579</v>
      </c>
      <c r="AW53" s="40">
        <v>1099.0862579115108</v>
      </c>
      <c r="AX53" s="40">
        <v>1234.4385298078962</v>
      </c>
      <c r="AY53" s="40">
        <v>1096.503695743703</v>
      </c>
      <c r="AZ53" s="40">
        <v>1326.06611191972</v>
      </c>
      <c r="BA53" s="40">
        <v>1594.0308091873801</v>
      </c>
      <c r="BB53" s="40">
        <v>433.85658519395992</v>
      </c>
    </row>
    <row r="54" spans="1:54">
      <c r="A54" s="41">
        <v>84</v>
      </c>
      <c r="B54" s="41" t="s">
        <v>102</v>
      </c>
      <c r="C54" s="40">
        <v>597.28732101232174</v>
      </c>
      <c r="D54" s="40">
        <v>630.6139412938104</v>
      </c>
      <c r="E54" s="40">
        <v>701.62041775284979</v>
      </c>
      <c r="F54" s="40">
        <v>784.95434843291764</v>
      </c>
      <c r="G54" s="40">
        <v>888.92199790532152</v>
      </c>
      <c r="H54" s="40">
        <v>981.65239447005251</v>
      </c>
      <c r="I54" s="40">
        <v>1052.1209927656578</v>
      </c>
      <c r="J54" s="40">
        <v>1134.3561514753821</v>
      </c>
      <c r="K54" s="40">
        <v>1284.2123155908214</v>
      </c>
      <c r="L54" s="40">
        <v>1424.9944969872115</v>
      </c>
      <c r="M54" s="40">
        <v>1575.5991341523445</v>
      </c>
      <c r="N54" s="40">
        <v>1811.4619914075502</v>
      </c>
      <c r="O54" s="40">
        <v>2386.5937039545865</v>
      </c>
      <c r="P54" s="40">
        <v>2697.3926753304495</v>
      </c>
      <c r="Q54" s="40">
        <v>3006.8116516710033</v>
      </c>
      <c r="R54" s="40">
        <v>3233.1020879923021</v>
      </c>
      <c r="S54" s="40">
        <v>3705.9065847096649</v>
      </c>
      <c r="T54" s="40">
        <v>4476.6336628889894</v>
      </c>
      <c r="U54" s="40">
        <v>5440.9878598532168</v>
      </c>
      <c r="V54" s="40">
        <v>5619.9837094061704</v>
      </c>
      <c r="W54" s="40">
        <v>5130.429582124214</v>
      </c>
      <c r="X54" s="40">
        <v>5320.1574091162965</v>
      </c>
      <c r="Y54" s="40">
        <v>4786.7755552757098</v>
      </c>
      <c r="Z54" s="40">
        <v>4627.2319956424963</v>
      </c>
      <c r="AA54" s="40">
        <v>4590.181679918187</v>
      </c>
      <c r="AB54" s="40">
        <v>5393.8398821547762</v>
      </c>
      <c r="AC54" s="40">
        <v>6260.0375384664367</v>
      </c>
      <c r="AD54" s="40">
        <v>7245.2060359569041</v>
      </c>
      <c r="AE54" s="40">
        <v>7482.3098299424573</v>
      </c>
      <c r="AF54" s="40">
        <v>9190.3437095290265</v>
      </c>
      <c r="AG54" s="40">
        <v>9775.5408484408126</v>
      </c>
      <c r="AH54" s="40">
        <v>10687.473134344995</v>
      </c>
      <c r="AI54" s="40">
        <v>9914.1105483017527</v>
      </c>
      <c r="AJ54" s="40">
        <v>10536.047771452262</v>
      </c>
      <c r="AK54" s="40">
        <v>12273.608915175208</v>
      </c>
      <c r="AL54" s="40">
        <v>12888.819427513177</v>
      </c>
      <c r="AM54" s="40">
        <v>12495.064514271417</v>
      </c>
      <c r="AN54" s="40">
        <v>12485.061683081269</v>
      </c>
      <c r="AO54" s="40">
        <v>12238.59337035207</v>
      </c>
      <c r="AP54" s="40">
        <v>11396.232616202407</v>
      </c>
      <c r="AQ54" s="40">
        <v>11857.735820436968</v>
      </c>
      <c r="AR54" s="40">
        <v>13292.349001993813</v>
      </c>
      <c r="AS54" s="40">
        <v>17494.441359092521</v>
      </c>
      <c r="AT54" s="40">
        <v>20607.176065029147</v>
      </c>
      <c r="AU54" s="40">
        <v>21620.717494362485</v>
      </c>
      <c r="AV54" s="40">
        <v>23475.281139783605</v>
      </c>
      <c r="AW54" s="40">
        <v>27288.326497648432</v>
      </c>
      <c r="AX54" s="40">
        <v>30398.782419459469</v>
      </c>
      <c r="AY54" s="40">
        <v>28451.917325303188</v>
      </c>
      <c r="AZ54" s="40">
        <v>25850.501958671703</v>
      </c>
      <c r="BA54" s="40">
        <v>25630.794514150595</v>
      </c>
      <c r="BB54" s="40">
        <v>9100.3979820048316</v>
      </c>
    </row>
    <row r="55" spans="1:54">
      <c r="A55" s="41">
        <v>89</v>
      </c>
      <c r="B55" s="41" t="s">
        <v>101</v>
      </c>
      <c r="C55" s="40">
        <v>253.14471358461128</v>
      </c>
      <c r="D55" s="40">
        <v>261.74409548029104</v>
      </c>
      <c r="E55" s="40">
        <v>281.35819273036202</v>
      </c>
      <c r="F55" s="40">
        <v>281.77021898304173</v>
      </c>
      <c r="G55" s="40">
        <v>281.12561230972977</v>
      </c>
      <c r="H55" s="40">
        <v>285.8878531070543</v>
      </c>
      <c r="I55" s="40">
        <v>290.92116466938165</v>
      </c>
      <c r="J55" s="40">
        <v>313.84181125215969</v>
      </c>
      <c r="K55" s="40">
        <v>325.4256459094143</v>
      </c>
      <c r="L55" s="40">
        <v>351.57588721209186</v>
      </c>
      <c r="M55" s="40">
        <v>356.65120902567628</v>
      </c>
      <c r="N55" s="40">
        <v>367.4041328375863</v>
      </c>
      <c r="O55" s="40">
        <v>437.17686536103503</v>
      </c>
      <c r="P55" s="40">
        <v>523.81314508423338</v>
      </c>
      <c r="Q55" s="40">
        <v>588.59730671410011</v>
      </c>
      <c r="R55" s="40">
        <v>687.22439694499781</v>
      </c>
      <c r="S55" s="40">
        <v>841.89000942892199</v>
      </c>
      <c r="T55" s="40">
        <v>910.27484613452589</v>
      </c>
      <c r="U55" s="40">
        <v>1010.3066899701018</v>
      </c>
      <c r="V55" s="40">
        <v>1125.3515742738177</v>
      </c>
      <c r="W55" s="40">
        <v>1199.4001937433602</v>
      </c>
      <c r="X55" s="40">
        <v>1184.7403587791343</v>
      </c>
      <c r="Y55" s="40">
        <v>1199.7333786889976</v>
      </c>
      <c r="Z55" s="40">
        <v>1224.9053030508808</v>
      </c>
      <c r="AA55" s="40">
        <v>1227.5008784211195</v>
      </c>
      <c r="AB55" s="40">
        <v>891.85471078022795</v>
      </c>
      <c r="AC55" s="40">
        <v>853.63779565662173</v>
      </c>
      <c r="AD55" s="40">
        <v>923.45479259924321</v>
      </c>
      <c r="AE55" s="40">
        <v>968.05848010768023</v>
      </c>
      <c r="AF55" s="40">
        <v>860.49971564188411</v>
      </c>
      <c r="AG55" s="40">
        <v>1033.7946521195636</v>
      </c>
      <c r="AH55" s="40">
        <v>1121.1143118612158</v>
      </c>
      <c r="AI55" s="40">
        <v>1195.8964621622629</v>
      </c>
      <c r="AJ55" s="40">
        <v>1330.7406195096805</v>
      </c>
      <c r="AK55" s="40">
        <v>1468.0610938165223</v>
      </c>
      <c r="AL55" s="40">
        <v>1544.9987679832357</v>
      </c>
      <c r="AM55" s="40">
        <v>1702.3231425380343</v>
      </c>
      <c r="AN55" s="40">
        <v>1814.0032722519948</v>
      </c>
      <c r="AO55" s="40">
        <v>1674.0298952377327</v>
      </c>
      <c r="AP55" s="40">
        <v>1721.7289801539575</v>
      </c>
      <c r="AQ55" s="40">
        <v>1629.3094204577462</v>
      </c>
      <c r="AR55" s="40">
        <v>1765.8595625991568</v>
      </c>
      <c r="AS55" s="40">
        <v>1816.9511648860605</v>
      </c>
      <c r="AT55" s="40">
        <v>1937.7157062765473</v>
      </c>
      <c r="AU55" s="40">
        <v>2146.179053106227</v>
      </c>
      <c r="AV55" s="40">
        <v>2326.2993849182908</v>
      </c>
      <c r="AW55" s="40">
        <v>2561.4419001064971</v>
      </c>
      <c r="AX55" s="40">
        <v>2867.4828677445198</v>
      </c>
      <c r="AY55" s="40">
        <v>2697.3924839279643</v>
      </c>
      <c r="AZ55" s="40">
        <v>2882.4002187143305</v>
      </c>
      <c r="BA55" s="40">
        <v>3242.6907959936279</v>
      </c>
      <c r="BB55" s="40">
        <v>1191.9546026440676</v>
      </c>
    </row>
    <row r="56" spans="1:54">
      <c r="A56" s="41">
        <v>91</v>
      </c>
      <c r="B56" s="41" t="s">
        <v>100</v>
      </c>
      <c r="AB56" s="40">
        <v>368.89638505966536</v>
      </c>
      <c r="AC56" s="40">
        <v>380.66600616716414</v>
      </c>
      <c r="AD56" s="40">
        <v>430.69564320235418</v>
      </c>
      <c r="AE56" s="40">
        <v>422.89830695559186</v>
      </c>
      <c r="AF56" s="40">
        <v>442.95118329441419</v>
      </c>
      <c r="AG56" s="40">
        <v>474.65435864091006</v>
      </c>
      <c r="AH56" s="40">
        <v>487.74981314331478</v>
      </c>
      <c r="AI56" s="40">
        <v>459.50291091851807</v>
      </c>
      <c r="AJ56" s="40">
        <v>450.25220380976344</v>
      </c>
      <c r="AK56" s="40">
        <v>471.31196147640424</v>
      </c>
      <c r="AL56" s="40">
        <v>477.96804014309208</v>
      </c>
      <c r="AM56" s="40">
        <v>456.07166692684478</v>
      </c>
      <c r="AN56" s="40">
        <v>424.29729393186494</v>
      </c>
      <c r="AO56" s="40">
        <v>402.43204350055862</v>
      </c>
      <c r="AP56" s="40">
        <v>342.47851954307919</v>
      </c>
      <c r="AQ56" s="40">
        <v>318.53066993731545</v>
      </c>
      <c r="AR56" s="40">
        <v>326.07994817714967</v>
      </c>
      <c r="AS56" s="40">
        <v>374.42684451343189</v>
      </c>
      <c r="AT56" s="40">
        <v>390.88456232979485</v>
      </c>
      <c r="AU56" s="40">
        <v>306.7011790880569</v>
      </c>
      <c r="AV56" s="40">
        <v>287.92298567922177</v>
      </c>
      <c r="AW56" s="40">
        <v>418.96544896388127</v>
      </c>
      <c r="AX56" s="40">
        <v>366.29935846074892</v>
      </c>
      <c r="AY56" s="40">
        <v>393.14213839715256</v>
      </c>
      <c r="AZ56" s="40">
        <v>435.4488880125715</v>
      </c>
      <c r="BA56" s="40">
        <v>456.5525088325108</v>
      </c>
      <c r="BB56" s="40">
        <v>406.45311035020677</v>
      </c>
    </row>
    <row r="57" spans="1:54">
      <c r="A57" s="41">
        <v>92</v>
      </c>
      <c r="B57" s="41" t="s">
        <v>99</v>
      </c>
      <c r="L57" s="40">
        <v>115.28178387560773</v>
      </c>
      <c r="M57" s="40">
        <v>112.41970021413279</v>
      </c>
      <c r="N57" s="40">
        <v>122.00659835659161</v>
      </c>
      <c r="O57" s="40">
        <v>120.60805249031343</v>
      </c>
      <c r="P57" s="40">
        <v>129.69225005839539</v>
      </c>
      <c r="Q57" s="40">
        <v>140.06723107914704</v>
      </c>
      <c r="R57" s="40">
        <v>142.36021840439324</v>
      </c>
      <c r="S57" s="40">
        <v>144.30448846274234</v>
      </c>
      <c r="T57" s="40">
        <v>152.94634492132315</v>
      </c>
      <c r="U57" s="40">
        <v>146.62175589814441</v>
      </c>
      <c r="V57" s="40">
        <v>135.22734360614081</v>
      </c>
      <c r="W57" s="40">
        <v>185.94435295643368</v>
      </c>
      <c r="X57" s="40">
        <v>194.89465291598279</v>
      </c>
      <c r="Y57" s="40">
        <v>188.25643142722677</v>
      </c>
      <c r="Z57" s="40">
        <v>155.66562486739249</v>
      </c>
      <c r="AA57" s="40">
        <v>158.02544598917353</v>
      </c>
      <c r="AB57" s="40">
        <v>139.88221146353268</v>
      </c>
      <c r="AC57" s="40">
        <v>182.63652257519456</v>
      </c>
      <c r="AD57" s="40">
        <v>169.01875111261535</v>
      </c>
      <c r="AE57" s="40">
        <v>214.25370871907359</v>
      </c>
      <c r="AF57" s="40">
        <v>239.79319039142842</v>
      </c>
      <c r="AG57" s="40">
        <v>247.0898164476244</v>
      </c>
      <c r="AH57" s="40">
        <v>212.56260532833005</v>
      </c>
      <c r="AI57" s="40">
        <v>217.47447894391479</v>
      </c>
      <c r="AJ57" s="40">
        <v>211.46080888725857</v>
      </c>
      <c r="AK57" s="40">
        <v>222.84309346305474</v>
      </c>
      <c r="AL57" s="40">
        <v>232.02737055980364</v>
      </c>
      <c r="AM57" s="40">
        <v>225.35648310913021</v>
      </c>
      <c r="AN57" s="40">
        <v>169.45863324898406</v>
      </c>
      <c r="AO57" s="40">
        <v>180.20172307498328</v>
      </c>
      <c r="AP57" s="40">
        <v>169.20960278392837</v>
      </c>
      <c r="AQ57" s="40">
        <v>152.89791584184738</v>
      </c>
      <c r="AR57" s="40">
        <v>152.9957395856799</v>
      </c>
      <c r="AS57" s="40">
        <v>349.28415301637182</v>
      </c>
      <c r="AT57" s="40">
        <v>375.79462888655701</v>
      </c>
      <c r="AU57" s="40">
        <v>402.98804692912006</v>
      </c>
      <c r="AV57" s="40">
        <v>398.24717909840007</v>
      </c>
      <c r="AW57" s="40">
        <v>465.34026250495054</v>
      </c>
      <c r="AX57" s="40">
        <v>555.6594652889404</v>
      </c>
      <c r="AY57" s="40">
        <v>536.80280658716663</v>
      </c>
      <c r="AZ57" s="40">
        <v>526.52102387731384</v>
      </c>
      <c r="BA57" s="40">
        <v>595.82924852790484</v>
      </c>
      <c r="BB57" s="40">
        <v>235.47504156610117</v>
      </c>
    </row>
    <row r="58" spans="1:54">
      <c r="A58" s="41">
        <v>94</v>
      </c>
      <c r="B58" s="41" t="s">
        <v>98</v>
      </c>
      <c r="AG58" s="40">
        <v>479.16280586077562</v>
      </c>
      <c r="AH58" s="40">
        <v>285.33043260580797</v>
      </c>
      <c r="AI58" s="40">
        <v>239.40223940170603</v>
      </c>
      <c r="AJ58" s="40">
        <v>276.28829017548105</v>
      </c>
      <c r="AK58" s="40">
        <v>343.89089724841068</v>
      </c>
      <c r="AL58" s="40">
        <v>371.96920274069277</v>
      </c>
      <c r="AM58" s="40">
        <v>398.53970924809244</v>
      </c>
      <c r="AN58" s="40">
        <v>453.49275452340424</v>
      </c>
      <c r="AO58" s="40">
        <v>484.82613110395982</v>
      </c>
      <c r="AP58" s="40">
        <v>427.18627698532379</v>
      </c>
      <c r="AQ58" s="40">
        <v>402.28011265462749</v>
      </c>
      <c r="AR58" s="40">
        <v>362.84028389797987</v>
      </c>
      <c r="AS58" s="40">
        <v>314.18509599538515</v>
      </c>
      <c r="AT58" s="40">
        <v>400.93217394772472</v>
      </c>
      <c r="AU58" s="40">
        <v>448.58483005684604</v>
      </c>
      <c r="AV58" s="40">
        <v>519.7491432686287</v>
      </c>
      <c r="AW58" s="40">
        <v>627.65018346224929</v>
      </c>
      <c r="AX58" s="40">
        <v>664.82026927646211</v>
      </c>
      <c r="AY58" s="40">
        <v>662.58605882389224</v>
      </c>
      <c r="AZ58" s="40">
        <v>670.40329244585132</v>
      </c>
      <c r="BA58" s="40">
        <v>732.20933749768562</v>
      </c>
      <c r="BB58" s="40">
        <v>455.53950101052317</v>
      </c>
    </row>
    <row r="59" spans="1:54">
      <c r="A59" s="41">
        <v>97</v>
      </c>
      <c r="B59" s="41" t="s">
        <v>97</v>
      </c>
      <c r="C59" s="40">
        <v>172.15339147497565</v>
      </c>
      <c r="D59" s="40">
        <v>181.25867891294348</v>
      </c>
      <c r="E59" s="40">
        <v>185.51482852315362</v>
      </c>
      <c r="F59" s="40">
        <v>200.19590286161863</v>
      </c>
      <c r="G59" s="40">
        <v>216.20419979792888</v>
      </c>
      <c r="H59" s="40">
        <v>227.23010089107086</v>
      </c>
      <c r="I59" s="40">
        <v>240.55941387321178</v>
      </c>
      <c r="J59" s="40">
        <v>253.42842097014341</v>
      </c>
      <c r="K59" s="40">
        <v>254.96048189055477</v>
      </c>
      <c r="L59" s="40">
        <v>268.6425081623849</v>
      </c>
      <c r="M59" s="40">
        <v>264.23803834885564</v>
      </c>
      <c r="N59" s="40">
        <v>282.22365821624095</v>
      </c>
      <c r="O59" s="40">
        <v>311.62583588297349</v>
      </c>
      <c r="P59" s="40">
        <v>343.04867975170504</v>
      </c>
      <c r="Q59" s="40">
        <v>361.67819971780091</v>
      </c>
      <c r="R59" s="40">
        <v>420.60855195826366</v>
      </c>
      <c r="S59" s="40">
        <v>504.84050214923866</v>
      </c>
      <c r="T59" s="40">
        <v>565.26851001722025</v>
      </c>
      <c r="U59" s="40">
        <v>639.03538947667778</v>
      </c>
      <c r="V59" s="40">
        <v>705.74736664922921</v>
      </c>
      <c r="W59" s="40">
        <v>751.69628217604009</v>
      </c>
      <c r="X59" s="40">
        <v>750.58540542468893</v>
      </c>
      <c r="Y59" s="40">
        <v>771.48653145468711</v>
      </c>
      <c r="Z59" s="40">
        <v>807.26288507339552</v>
      </c>
      <c r="AA59" s="40">
        <v>858.87539262370092</v>
      </c>
      <c r="AB59" s="40">
        <v>872.21026851525926</v>
      </c>
      <c r="AC59" s="40">
        <v>923.1975178047619</v>
      </c>
      <c r="AD59" s="40">
        <v>857.24324794513439</v>
      </c>
      <c r="AE59" s="40">
        <v>747.53041193330512</v>
      </c>
      <c r="AF59" s="40">
        <v>621.75498325196634</v>
      </c>
      <c r="AG59" s="40">
        <v>608.60677211556708</v>
      </c>
      <c r="AH59" s="40">
        <v>660.0176685809065</v>
      </c>
      <c r="AI59" s="40">
        <v>654.5291036602365</v>
      </c>
      <c r="AJ59" s="40">
        <v>628.96054705493736</v>
      </c>
      <c r="AK59" s="40">
        <v>699.40962840166162</v>
      </c>
      <c r="AL59" s="40">
        <v>704.8028644298081</v>
      </c>
      <c r="AM59" s="40">
        <v>796.7568435029616</v>
      </c>
      <c r="AN59" s="40">
        <v>869.91361713074673</v>
      </c>
      <c r="AO59" s="40">
        <v>879.67985545482532</v>
      </c>
      <c r="AP59" s="40">
        <v>1139.5191555791178</v>
      </c>
      <c r="AQ59" s="40">
        <v>1188.7594540786474</v>
      </c>
      <c r="AR59" s="40">
        <v>1197.1484410976357</v>
      </c>
      <c r="AS59" s="40">
        <v>1242.265574745049</v>
      </c>
      <c r="AT59" s="40">
        <v>1311.8238109383806</v>
      </c>
      <c r="AU59" s="40">
        <v>1408.1301517126662</v>
      </c>
      <c r="AV59" s="40">
        <v>1550.9514263888732</v>
      </c>
      <c r="AW59" s="40">
        <v>1721.5522866057331</v>
      </c>
      <c r="AX59" s="40">
        <v>1896.1751257915562</v>
      </c>
      <c r="AY59" s="40">
        <v>1952.3452277871247</v>
      </c>
      <c r="AZ59" s="40">
        <v>2077.7869343529051</v>
      </c>
      <c r="BA59" s="40">
        <v>2277.0160878433917</v>
      </c>
      <c r="BB59" s="40">
        <v>784.83247378395799</v>
      </c>
    </row>
    <row r="60" spans="1:54">
      <c r="A60" s="41">
        <v>98</v>
      </c>
      <c r="B60" s="41" t="s">
        <v>96</v>
      </c>
    </row>
    <row r="61" spans="1:54">
      <c r="A61" s="41">
        <v>99</v>
      </c>
      <c r="B61" s="41" t="s">
        <v>95</v>
      </c>
      <c r="J61" s="40">
        <v>456.78151794534773</v>
      </c>
      <c r="K61" s="40">
        <v>505.4834071628751</v>
      </c>
      <c r="L61" s="40">
        <v>536.13028810143123</v>
      </c>
      <c r="M61" s="40">
        <v>581.82046956678903</v>
      </c>
      <c r="N61" s="40">
        <v>680.37948270900176</v>
      </c>
      <c r="O61" s="40">
        <v>839.84733429228379</v>
      </c>
      <c r="P61" s="40">
        <v>916.44454431467489</v>
      </c>
      <c r="Q61" s="40">
        <v>1038.7808033555514</v>
      </c>
      <c r="R61" s="40">
        <v>1197.2857762797055</v>
      </c>
      <c r="S61" s="40">
        <v>1331.1251385962173</v>
      </c>
      <c r="T61" s="40">
        <v>1551.1427744799505</v>
      </c>
      <c r="U61" s="40">
        <v>1787.7545883283551</v>
      </c>
      <c r="V61" s="40">
        <v>2069.1955357192537</v>
      </c>
      <c r="W61" s="40">
        <v>2121.7645934115963</v>
      </c>
      <c r="X61" s="40">
        <v>2162.0449897880112</v>
      </c>
      <c r="Y61" s="40">
        <v>1965.1642127942025</v>
      </c>
      <c r="Z61" s="40">
        <v>1909.1006586000972</v>
      </c>
      <c r="AA61" s="40">
        <v>1936.6960410382599</v>
      </c>
      <c r="AB61" s="40">
        <v>2234.6950069771242</v>
      </c>
      <c r="AC61" s="40">
        <v>2460.1295764687279</v>
      </c>
      <c r="AD61" s="40">
        <v>2696.2350853396329</v>
      </c>
      <c r="AE61" s="40">
        <v>2782.7116506496145</v>
      </c>
      <c r="AF61" s="40">
        <v>3186.4442873330941</v>
      </c>
      <c r="AG61" s="40">
        <v>3287.8887476608134</v>
      </c>
      <c r="AH61" s="40">
        <v>3665.5702427321944</v>
      </c>
      <c r="AI61" s="40">
        <v>3801.8695972064202</v>
      </c>
      <c r="AJ61" s="40">
        <v>4095.681356860538</v>
      </c>
      <c r="AK61" s="40">
        <v>4411.0337512819442</v>
      </c>
      <c r="AL61" s="40">
        <v>4454.4303791343636</v>
      </c>
      <c r="AM61" s="40">
        <v>4521.9639991362164</v>
      </c>
      <c r="AN61" s="40">
        <v>4670.6548393297771</v>
      </c>
      <c r="AO61" s="40">
        <v>4713.5404594458805</v>
      </c>
      <c r="AP61" s="40">
        <v>4542.7207200800303</v>
      </c>
      <c r="AQ61" s="40">
        <v>5175.025627624459</v>
      </c>
      <c r="AR61" s="40">
        <v>6535.2939363679625</v>
      </c>
      <c r="AS61" s="40">
        <v>8246.9958257473372</v>
      </c>
      <c r="AT61" s="40">
        <v>10084.52184246933</v>
      </c>
      <c r="AU61" s="40">
        <v>10936.948614181474</v>
      </c>
      <c r="AV61" s="40">
        <v>11173.56950607354</v>
      </c>
      <c r="AW61" s="40">
        <v>13534.705499395212</v>
      </c>
      <c r="AX61" s="40">
        <v>15364.679546972839</v>
      </c>
      <c r="AY61" s="40">
        <v>12634.551144934985</v>
      </c>
      <c r="AZ61" s="40">
        <v>12795.651535664641</v>
      </c>
      <c r="BA61" s="40">
        <v>13909.016098188447</v>
      </c>
      <c r="BB61" s="40">
        <v>4534.1697962213675</v>
      </c>
    </row>
    <row r="62" spans="1:54">
      <c r="A62" s="41">
        <v>101</v>
      </c>
      <c r="B62" s="41" t="s">
        <v>94</v>
      </c>
      <c r="L62" s="40">
        <v>114.40419404787167</v>
      </c>
      <c r="M62" s="40">
        <v>120.69683069156265</v>
      </c>
      <c r="N62" s="40">
        <v>125.20101499263902</v>
      </c>
      <c r="O62" s="40">
        <v>146.44223295770638</v>
      </c>
      <c r="P62" s="40">
        <v>166.56424576041476</v>
      </c>
      <c r="Q62" s="40">
        <v>161.03231141204287</v>
      </c>
      <c r="R62" s="40">
        <v>164.10863708759831</v>
      </c>
      <c r="S62" s="40">
        <v>189.61677290390566</v>
      </c>
      <c r="T62" s="40">
        <v>209.35189514436047</v>
      </c>
      <c r="U62" s="40">
        <v>227.91642875131117</v>
      </c>
      <c r="V62" s="40">
        <v>271.24958385522416</v>
      </c>
      <c r="W62" s="40">
        <v>275.32100638718981</v>
      </c>
      <c r="X62" s="40">
        <v>279.22087776672004</v>
      </c>
      <c r="Y62" s="40">
        <v>296.91758806253898</v>
      </c>
      <c r="Z62" s="40">
        <v>282.28624350127274</v>
      </c>
      <c r="AA62" s="40">
        <v>302.64558501892725</v>
      </c>
      <c r="AB62" s="40">
        <v>317.11001258080347</v>
      </c>
      <c r="AC62" s="40">
        <v>347.80958396277242</v>
      </c>
      <c r="AD62" s="40">
        <v>361.93190557056624</v>
      </c>
      <c r="AE62" s="40">
        <v>353.82039088627135</v>
      </c>
      <c r="AF62" s="40">
        <v>375.89079303739237</v>
      </c>
      <c r="AG62" s="40">
        <v>310.08376773541897</v>
      </c>
      <c r="AH62" s="40">
        <v>324.49512639193705</v>
      </c>
      <c r="AI62" s="40">
        <v>308.53478694412757</v>
      </c>
      <c r="AJ62" s="40">
        <v>354.85487613786182</v>
      </c>
      <c r="AK62" s="40">
        <v>383.55092618206044</v>
      </c>
      <c r="AL62" s="40">
        <v>410.81835680820956</v>
      </c>
      <c r="AM62" s="40">
        <v>427.23619678940622</v>
      </c>
      <c r="AN62" s="40">
        <v>425.44529434966472</v>
      </c>
      <c r="AO62" s="40">
        <v>453.01242082994941</v>
      </c>
      <c r="AP62" s="40">
        <v>455.44377318325513</v>
      </c>
      <c r="AQ62" s="40">
        <v>464.72691546782227</v>
      </c>
      <c r="AR62" s="40">
        <v>485.55370939643495</v>
      </c>
      <c r="AS62" s="40">
        <v>564.61880858167945</v>
      </c>
      <c r="AT62" s="40">
        <v>649.71036431850064</v>
      </c>
      <c r="AU62" s="40">
        <v>740.11593227584319</v>
      </c>
      <c r="AV62" s="40">
        <v>830.16322125209672</v>
      </c>
      <c r="AW62" s="40">
        <v>1068.6785194261624</v>
      </c>
      <c r="AX62" s="40">
        <v>1042.0838316294166</v>
      </c>
      <c r="AY62" s="40">
        <v>1147.2390880970077</v>
      </c>
      <c r="AZ62" s="40">
        <v>1419.1126739622159</v>
      </c>
      <c r="BA62" s="40">
        <v>1533.665573903417</v>
      </c>
      <c r="BB62" s="40">
        <v>449.73053090575195</v>
      </c>
    </row>
    <row r="63" spans="1:54">
      <c r="A63" s="41">
        <v>102</v>
      </c>
      <c r="B63" s="41" t="s">
        <v>93</v>
      </c>
      <c r="I63" s="40">
        <v>56.633653665473702</v>
      </c>
      <c r="J63" s="40">
        <v>68.909792353699942</v>
      </c>
      <c r="K63" s="40">
        <v>79.135904790707301</v>
      </c>
      <c r="L63" s="40">
        <v>84.658574174464192</v>
      </c>
      <c r="M63" s="40">
        <v>84.183369070013171</v>
      </c>
      <c r="N63" s="40">
        <v>96.729638186363417</v>
      </c>
      <c r="O63" s="40">
        <v>139.60073702602594</v>
      </c>
      <c r="P63" s="40">
        <v>215.95489099112231</v>
      </c>
      <c r="Q63" s="40">
        <v>248.80371971897281</v>
      </c>
      <c r="R63" s="40">
        <v>297.0771011579543</v>
      </c>
      <c r="S63" s="40">
        <v>356.90040180515388</v>
      </c>
      <c r="T63" s="40">
        <v>391.03440432713921</v>
      </c>
      <c r="U63" s="40">
        <v>387.76124108012976</v>
      </c>
      <c r="V63" s="40">
        <v>536.19368274997532</v>
      </c>
      <c r="W63" s="40">
        <v>621.16202827071447</v>
      </c>
      <c r="X63" s="40">
        <v>621.97733877610085</v>
      </c>
      <c r="Y63" s="40">
        <v>548.2990561807527</v>
      </c>
      <c r="Z63" s="40">
        <v>550.68313321541643</v>
      </c>
      <c r="AA63" s="40">
        <v>537.60606479946728</v>
      </c>
      <c r="AB63" s="40">
        <v>482.95623159677342</v>
      </c>
      <c r="AC63" s="40">
        <v>449.18379772462475</v>
      </c>
      <c r="AD63" s="40">
        <v>515.41269648797379</v>
      </c>
      <c r="AE63" s="40">
        <v>578.22206062600037</v>
      </c>
      <c r="AF63" s="40">
        <v>640.56666433169039</v>
      </c>
      <c r="AG63" s="40">
        <v>705.04751678284583</v>
      </c>
      <c r="AH63" s="40">
        <v>752.31798268833575</v>
      </c>
      <c r="AI63" s="40">
        <v>840.37579316148469</v>
      </c>
      <c r="AJ63" s="40">
        <v>925.72166958581727</v>
      </c>
      <c r="AK63" s="40">
        <v>1041.3135399863513</v>
      </c>
      <c r="AL63" s="40">
        <v>1153.5875640784977</v>
      </c>
      <c r="AM63" s="40">
        <v>1078.4722609598628</v>
      </c>
      <c r="AN63" s="40">
        <v>470.19614018677606</v>
      </c>
      <c r="AO63" s="40">
        <v>679.79367221834366</v>
      </c>
      <c r="AP63" s="40">
        <v>789.80588010320935</v>
      </c>
      <c r="AQ63" s="40">
        <v>756.93101295894542</v>
      </c>
      <c r="AR63" s="40">
        <v>909.88733022051917</v>
      </c>
      <c r="AS63" s="40">
        <v>1076.2190047489996</v>
      </c>
      <c r="AT63" s="40">
        <v>1160.6149236282183</v>
      </c>
      <c r="AU63" s="40">
        <v>1273.4651756257492</v>
      </c>
      <c r="AV63" s="40">
        <v>1601.0311913470528</v>
      </c>
      <c r="AW63" s="40">
        <v>1871.28840627361</v>
      </c>
      <c r="AX63" s="40">
        <v>2178.2656633839952</v>
      </c>
      <c r="AY63" s="40">
        <v>2272.0409954609918</v>
      </c>
      <c r="AZ63" s="40">
        <v>2946.9685135846044</v>
      </c>
      <c r="BA63" s="40">
        <v>3472.0171232285147</v>
      </c>
      <c r="BB63" s="40">
        <v>812.11127874043189</v>
      </c>
    </row>
    <row r="64" spans="1:54">
      <c r="A64" s="41">
        <v>103</v>
      </c>
      <c r="B64" s="41" t="s">
        <v>92</v>
      </c>
      <c r="G64" s="40">
        <v>245.95760019004859</v>
      </c>
      <c r="H64" s="40">
        <v>260.97183186151034</v>
      </c>
      <c r="I64" s="40">
        <v>281.32988359840448</v>
      </c>
      <c r="J64" s="40">
        <v>311.57953833045934</v>
      </c>
      <c r="K64" s="40">
        <v>340.46783853515109</v>
      </c>
      <c r="L64" s="40">
        <v>370.12641549622111</v>
      </c>
      <c r="M64" s="40">
        <v>449.37302138476673</v>
      </c>
      <c r="N64" s="40">
        <v>541.56244837056795</v>
      </c>
      <c r="O64" s="40">
        <v>831.24913701541811</v>
      </c>
      <c r="P64" s="40">
        <v>1388.8872187015552</v>
      </c>
      <c r="Q64" s="40">
        <v>1488.6093359951756</v>
      </c>
      <c r="R64" s="40">
        <v>1876.818792359592</v>
      </c>
      <c r="S64" s="40">
        <v>2138.0862763835089</v>
      </c>
      <c r="T64" s="40">
        <v>2019.0646724511207</v>
      </c>
      <c r="U64" s="40">
        <v>2299.9205405248999</v>
      </c>
      <c r="V64" s="40">
        <v>2315.3083046953011</v>
      </c>
      <c r="W64" s="40">
        <v>2400.732471540975</v>
      </c>
      <c r="X64" s="40">
        <v>2886.5922027656611</v>
      </c>
      <c r="Y64" s="40">
        <v>3357.2091210156559</v>
      </c>
      <c r="Z64" s="40">
        <v>3351.433497382272</v>
      </c>
      <c r="AA64" s="40">
        <v>3590.7164813715613</v>
      </c>
      <c r="AB64" s="40">
        <v>4020.4856852152475</v>
      </c>
      <c r="AC64" s="40">
        <v>2488.4608120070025</v>
      </c>
      <c r="AD64" s="40">
        <v>2184.1292678028808</v>
      </c>
      <c r="AE64" s="40">
        <v>2075.1126210302859</v>
      </c>
      <c r="AF64" s="40">
        <v>2058.7506015431695</v>
      </c>
      <c r="AI64" s="40">
        <v>1018.7493036591308</v>
      </c>
      <c r="AJ64" s="40">
        <v>1125.1210236615982</v>
      </c>
      <c r="AK64" s="40">
        <v>1502.0997293169025</v>
      </c>
      <c r="AL64" s="40">
        <v>1799.6719209313067</v>
      </c>
      <c r="AM64" s="40">
        <v>1683.6338293552624</v>
      </c>
      <c r="AN64" s="40">
        <v>1611.3077191180842</v>
      </c>
      <c r="AO64" s="40">
        <v>1613.5993017642747</v>
      </c>
      <c r="AP64" s="40">
        <v>1536.7151927336456</v>
      </c>
      <c r="AQ64" s="40">
        <v>1726.630110007033</v>
      </c>
      <c r="AR64" s="40">
        <v>1718.9652926777446</v>
      </c>
      <c r="AS64" s="40">
        <v>1975.5386212305266</v>
      </c>
      <c r="AT64" s="40">
        <v>2353.9309888060798</v>
      </c>
      <c r="AU64" s="40">
        <v>2737.112117587531</v>
      </c>
      <c r="AV64" s="40">
        <v>3140.1980899966488</v>
      </c>
      <c r="AW64" s="40">
        <v>3983.5822935982383</v>
      </c>
      <c r="AX64" s="40">
        <v>4899.3121598090802</v>
      </c>
      <c r="AY64" s="40">
        <v>4931.282897340112</v>
      </c>
      <c r="AZ64" s="40">
        <v>5674.9239273508483</v>
      </c>
      <c r="BA64" s="40">
        <v>6815.5701908728843</v>
      </c>
      <c r="BB64" s="40">
        <v>2164.9084517196738</v>
      </c>
    </row>
    <row r="65" spans="1:54">
      <c r="A65" s="41">
        <v>104</v>
      </c>
      <c r="B65" s="41" t="s">
        <v>91</v>
      </c>
      <c r="C65" s="40">
        <v>245.00241986950584</v>
      </c>
      <c r="D65" s="40">
        <v>254.6707673697745</v>
      </c>
      <c r="E65" s="40">
        <v>250.7568717654857</v>
      </c>
      <c r="F65" s="40">
        <v>288.12872706661858</v>
      </c>
      <c r="G65" s="40">
        <v>305.5170339558735</v>
      </c>
      <c r="H65" s="40">
        <v>320.42520298711162</v>
      </c>
      <c r="I65" s="40">
        <v>312.41431582924849</v>
      </c>
      <c r="J65" s="40">
        <v>342.66799424834062</v>
      </c>
      <c r="K65" s="40">
        <v>344.72591274701858</v>
      </c>
      <c r="L65" s="40">
        <v>362.11309324812999</v>
      </c>
      <c r="M65" s="40">
        <v>404.11400548777146</v>
      </c>
      <c r="N65" s="40">
        <v>505.29820015455363</v>
      </c>
      <c r="O65" s="40">
        <v>591.94611722138416</v>
      </c>
      <c r="P65" s="40">
        <v>1148.8528797161923</v>
      </c>
      <c r="Q65" s="40">
        <v>1377.4170935190814</v>
      </c>
      <c r="R65" s="40">
        <v>1606.1141771445286</v>
      </c>
      <c r="S65" s="40">
        <v>1871.908024106986</v>
      </c>
      <c r="T65" s="40">
        <v>2154.1588418359629</v>
      </c>
      <c r="U65" s="40">
        <v>2984.1157457914646</v>
      </c>
      <c r="V65" s="40">
        <v>3483.5493315386107</v>
      </c>
      <c r="W65" s="40">
        <v>2319.6012951148305</v>
      </c>
      <c r="X65" s="40">
        <v>2547.5733563324084</v>
      </c>
      <c r="Y65" s="40">
        <v>2529.5902905737189</v>
      </c>
      <c r="Z65" s="40">
        <v>2797.5457860880942</v>
      </c>
      <c r="AA65" s="40">
        <v>2837.9114018246141</v>
      </c>
      <c r="AB65" s="40">
        <v>2508.693052643644</v>
      </c>
      <c r="AC65" s="40">
        <v>2680.8115027700533</v>
      </c>
      <c r="AD65" s="40">
        <v>2603.674044436118</v>
      </c>
      <c r="AE65" s="40">
        <v>2836.1163358374629</v>
      </c>
      <c r="AM65" s="40">
        <v>466.21421787542596</v>
      </c>
      <c r="AN65" s="40">
        <v>467.6216796637745</v>
      </c>
      <c r="AO65" s="40">
        <v>777.01466173326924</v>
      </c>
      <c r="AP65" s="40">
        <v>1086.3802890813915</v>
      </c>
      <c r="AQ65" s="40">
        <v>772.37088152736624</v>
      </c>
      <c r="AR65" s="40">
        <v>751.62019686364761</v>
      </c>
      <c r="AT65" s="40">
        <v>956.35482734763036</v>
      </c>
      <c r="AU65" s="40">
        <v>1342.1331704736249</v>
      </c>
      <c r="AV65" s="40">
        <v>2321.1521706985591</v>
      </c>
      <c r="AW65" s="40">
        <v>3091.0153285225992</v>
      </c>
      <c r="AX65" s="40">
        <v>4472.0551823211554</v>
      </c>
      <c r="AY65" s="40">
        <v>3701.8616257807698</v>
      </c>
      <c r="AZ65" s="40">
        <v>4375.9062245060413</v>
      </c>
      <c r="BA65" s="40">
        <v>5686.6083640273273</v>
      </c>
      <c r="BB65" s="40">
        <v>1699.6214567824923</v>
      </c>
    </row>
    <row r="66" spans="1:54">
      <c r="A66" s="41">
        <v>105</v>
      </c>
      <c r="B66" s="41" t="s">
        <v>90</v>
      </c>
      <c r="C66" s="40">
        <v>739.27640644266637</v>
      </c>
      <c r="D66" s="40">
        <v>797.00628835395923</v>
      </c>
      <c r="E66" s="40">
        <v>852.13530171788807</v>
      </c>
      <c r="F66" s="40">
        <v>965.13542267674484</v>
      </c>
      <c r="G66" s="40">
        <v>1023.773726409361</v>
      </c>
      <c r="H66" s="40">
        <v>1074.5065055495788</v>
      </c>
      <c r="I66" s="40">
        <v>1152.0049521499373</v>
      </c>
      <c r="J66" s="40">
        <v>1124.5166360824637</v>
      </c>
      <c r="K66" s="40">
        <v>1291.3499202863707</v>
      </c>
      <c r="L66" s="40">
        <v>1460.1314359331939</v>
      </c>
      <c r="M66" s="40">
        <v>1673.690148906599</v>
      </c>
      <c r="N66" s="40">
        <v>2043.5406743337383</v>
      </c>
      <c r="O66" s="40">
        <v>2381.2424474854647</v>
      </c>
      <c r="P66" s="40">
        <v>2472.2563556945702</v>
      </c>
      <c r="Q66" s="40">
        <v>2920.6273446931041</v>
      </c>
      <c r="R66" s="40">
        <v>2867.7656674469617</v>
      </c>
      <c r="S66" s="40">
        <v>3366.2486801835539</v>
      </c>
      <c r="T66" s="40">
        <v>4321.8946094308212</v>
      </c>
      <c r="U66" s="40">
        <v>5333.5896331335089</v>
      </c>
      <c r="V66" s="40">
        <v>6259.3382172889551</v>
      </c>
      <c r="W66" s="40">
        <v>5879.9101604570469</v>
      </c>
      <c r="X66" s="40">
        <v>6051.297817932772</v>
      </c>
      <c r="Y66" s="40">
        <v>5810.256561172323</v>
      </c>
      <c r="Z66" s="40">
        <v>5591.0038559568029</v>
      </c>
      <c r="AA66" s="40">
        <v>5905.0376197304577</v>
      </c>
      <c r="AB66" s="40">
        <v>7968.1942886085462</v>
      </c>
      <c r="AC66" s="40">
        <v>9411.850795796423</v>
      </c>
      <c r="AD66" s="40">
        <v>10525.682376862471</v>
      </c>
      <c r="AE66" s="40">
        <v>10977.465226165388</v>
      </c>
      <c r="AF66" s="40">
        <v>13782.271235258453</v>
      </c>
      <c r="AG66" s="40">
        <v>13837.184152770094</v>
      </c>
      <c r="AH66" s="40">
        <v>15435.481570117252</v>
      </c>
      <c r="AI66" s="40">
        <v>14396.924042992918</v>
      </c>
      <c r="AJ66" s="40">
        <v>15620.680279877904</v>
      </c>
      <c r="AK66" s="40">
        <v>18818.4271738223</v>
      </c>
      <c r="AL66" s="40">
        <v>20401.530450287646</v>
      </c>
      <c r="AM66" s="40">
        <v>22146.058171799952</v>
      </c>
      <c r="AN66" s="40">
        <v>23767.466067319532</v>
      </c>
      <c r="AO66" s="40">
        <v>25731.117148860958</v>
      </c>
      <c r="AP66" s="40">
        <v>25610.441102352546</v>
      </c>
      <c r="AQ66" s="40">
        <v>27228.81144057036</v>
      </c>
      <c r="AR66" s="40">
        <v>31324.709875129654</v>
      </c>
      <c r="AS66" s="40">
        <v>39771.454614298644</v>
      </c>
      <c r="AT66" s="40">
        <v>45818.245671966826</v>
      </c>
      <c r="AU66" s="40">
        <v>48739.52718226477</v>
      </c>
      <c r="AV66" s="40">
        <v>52333.432958249075</v>
      </c>
      <c r="AW66" s="40">
        <v>59286.557150977693</v>
      </c>
      <c r="AX66" s="40">
        <v>59206.754110117632</v>
      </c>
      <c r="AY66" s="40">
        <v>50245.552069047779</v>
      </c>
      <c r="AZ66" s="40">
        <v>46018.578874520535</v>
      </c>
      <c r="BA66" s="40">
        <v>48248.941380794109</v>
      </c>
      <c r="BB66" s="40">
        <v>16274.723054907419</v>
      </c>
    </row>
    <row r="67" spans="1:54">
      <c r="A67" s="41">
        <v>107</v>
      </c>
      <c r="B67" s="41" t="s">
        <v>89</v>
      </c>
      <c r="C67" s="40">
        <v>1595.8601652298125</v>
      </c>
      <c r="D67" s="40">
        <v>1132.382866258911</v>
      </c>
      <c r="E67" s="40">
        <v>1257.7431616190113</v>
      </c>
      <c r="F67" s="40">
        <v>1375.9428290730061</v>
      </c>
      <c r="G67" s="40">
        <v>1429.319390569317</v>
      </c>
      <c r="H67" s="40">
        <v>1513.8886743565477</v>
      </c>
      <c r="I67" s="40">
        <v>1428.4464108917928</v>
      </c>
      <c r="J67" s="40">
        <v>1412.4702788970242</v>
      </c>
      <c r="K67" s="40">
        <v>1587.7695786231614</v>
      </c>
      <c r="L67" s="40">
        <v>1806.422694878657</v>
      </c>
      <c r="M67" s="40">
        <v>1815.9362700280649</v>
      </c>
      <c r="N67" s="40">
        <v>2278.8400383871544</v>
      </c>
      <c r="O67" s="40">
        <v>2819.4511843951859</v>
      </c>
      <c r="P67" s="40">
        <v>3721.5246679481588</v>
      </c>
      <c r="Q67" s="40">
        <v>3570.7631721187299</v>
      </c>
      <c r="R67" s="40">
        <v>3531.2617373658263</v>
      </c>
      <c r="S67" s="40">
        <v>3812.9719251436127</v>
      </c>
      <c r="T67" s="40">
        <v>3690.7436364604941</v>
      </c>
      <c r="U67" s="40">
        <v>4625.2866514800753</v>
      </c>
      <c r="V67" s="40">
        <v>5616.5468401544131</v>
      </c>
      <c r="W67" s="40">
        <v>5863.5827111964518</v>
      </c>
      <c r="X67" s="40">
        <v>6095.9345197145631</v>
      </c>
      <c r="Y67" s="40">
        <v>6683.4352830076496</v>
      </c>
      <c r="Z67" s="40">
        <v>6261.7857962697972</v>
      </c>
      <c r="AA67" s="40">
        <v>5698.7150859883259</v>
      </c>
      <c r="AB67" s="40">
        <v>6908.9193478583693</v>
      </c>
      <c r="AC67" s="40">
        <v>8120.0147095914526</v>
      </c>
      <c r="AD67" s="40">
        <v>9881.24270633366</v>
      </c>
      <c r="AE67" s="40">
        <v>9871.5743253431374</v>
      </c>
      <c r="AF67" s="40">
        <v>11264.018379448689</v>
      </c>
      <c r="AG67" s="40">
        <v>11956.008904802726</v>
      </c>
      <c r="AH67" s="40">
        <v>12838.418157529222</v>
      </c>
      <c r="AI67" s="40">
        <v>12530.998379204058</v>
      </c>
      <c r="AJ67" s="40">
        <v>13830.286754328034</v>
      </c>
      <c r="AK67" s="40">
        <v>17310.091211396055</v>
      </c>
      <c r="AL67" s="40">
        <v>18464.529865798941</v>
      </c>
      <c r="AM67" s="40">
        <v>18586.737439150398</v>
      </c>
      <c r="AN67" s="40">
        <v>18392.141757624857</v>
      </c>
      <c r="AO67" s="40">
        <v>18088.977446379435</v>
      </c>
      <c r="AP67" s="40">
        <v>19859.302147082522</v>
      </c>
      <c r="AQ67" s="40">
        <v>19093.109657718574</v>
      </c>
      <c r="AR67" s="40">
        <v>17195.491064352227</v>
      </c>
      <c r="AS67" s="40">
        <v>17739.701842376307</v>
      </c>
      <c r="AT67" s="40">
        <v>18588.805049672752</v>
      </c>
      <c r="AU67" s="40">
        <v>19330.024354992162</v>
      </c>
      <c r="AV67" s="40">
        <v>20624.579954203229</v>
      </c>
      <c r="AW67" s="40">
        <v>23274.300289708848</v>
      </c>
      <c r="AX67" s="40">
        <v>27591.622420131709</v>
      </c>
      <c r="AY67" s="40">
        <v>26032.163513560849</v>
      </c>
      <c r="AZ67" s="40">
        <v>30389.122186575631</v>
      </c>
      <c r="BA67" s="40">
        <v>33250.090902415963</v>
      </c>
      <c r="BB67" s="40">
        <v>10620.378398777166</v>
      </c>
    </row>
    <row r="68" spans="1:54">
      <c r="A68" s="41">
        <v>108</v>
      </c>
      <c r="B68" s="41" t="s">
        <v>88</v>
      </c>
      <c r="C68" s="40">
        <v>887.33674460447548</v>
      </c>
      <c r="D68" s="40">
        <v>990.26015216342</v>
      </c>
      <c r="E68" s="40">
        <v>1126.0193369982469</v>
      </c>
      <c r="F68" s="40">
        <v>1222.5445404628979</v>
      </c>
      <c r="G68" s="40">
        <v>1304.4538166196512</v>
      </c>
      <c r="H68" s="40">
        <v>1402.4423544103229</v>
      </c>
      <c r="I68" s="40">
        <v>1533.6928774854725</v>
      </c>
      <c r="J68" s="40">
        <v>1651.9393767975566</v>
      </c>
      <c r="K68" s="40">
        <v>1813.3881257570581</v>
      </c>
      <c r="L68" s="40">
        <v>2029.9332984997495</v>
      </c>
      <c r="M68" s="40">
        <v>2221.4220563336826</v>
      </c>
      <c r="N68" s="40">
        <v>2573.6026095783845</v>
      </c>
      <c r="O68" s="40">
        <v>3088.2145367064031</v>
      </c>
      <c r="P68" s="40">
        <v>3488.9222444792786</v>
      </c>
      <c r="Q68" s="40">
        <v>3957.0298618396791</v>
      </c>
      <c r="R68" s="40">
        <v>3885.8335776992408</v>
      </c>
      <c r="S68" s="40">
        <v>4435.5024856376904</v>
      </c>
      <c r="T68" s="40">
        <v>5405.6347131727362</v>
      </c>
      <c r="U68" s="40">
        <v>6735.0404220099481</v>
      </c>
      <c r="V68" s="40">
        <v>8148.1205324485791</v>
      </c>
      <c r="W68" s="40">
        <v>7344.4909298502853</v>
      </c>
      <c r="X68" s="40">
        <v>7280.6022886862565</v>
      </c>
      <c r="Y68" s="40">
        <v>7546.5744063630664</v>
      </c>
      <c r="Z68" s="40">
        <v>7457.1050184524529</v>
      </c>
      <c r="AA68" s="40">
        <v>7698.9122602575972</v>
      </c>
      <c r="AB68" s="40">
        <v>10901.855341803703</v>
      </c>
      <c r="AC68" s="40">
        <v>13714.957538699151</v>
      </c>
      <c r="AD68" s="40">
        <v>15169.756033564994</v>
      </c>
      <c r="AE68" s="40">
        <v>15788.314766752983</v>
      </c>
      <c r="AF68" s="40">
        <v>20065.345340250013</v>
      </c>
      <c r="AG68" s="40">
        <v>21154.80251087555</v>
      </c>
      <c r="AH68" s="40">
        <v>22394.755409470705</v>
      </c>
      <c r="AI68" s="40">
        <v>18054.53111421008</v>
      </c>
      <c r="AJ68" s="40">
        <v>18631.530909513243</v>
      </c>
      <c r="AK68" s="40">
        <v>19910.000672169786</v>
      </c>
      <c r="AL68" s="40">
        <v>22271.330922435343</v>
      </c>
      <c r="AM68" s="40">
        <v>21069.547792121579</v>
      </c>
      <c r="AN68" s="40">
        <v>21519.064120256822</v>
      </c>
      <c r="AO68" s="40">
        <v>21227.310873050272</v>
      </c>
      <c r="AP68" s="40">
        <v>19388.278750800535</v>
      </c>
      <c r="AQ68" s="40">
        <v>19721.965202988704</v>
      </c>
      <c r="AR68" s="40">
        <v>21435.139299277023</v>
      </c>
      <c r="AS68" s="40">
        <v>26291.338043904187</v>
      </c>
      <c r="AT68" s="40">
        <v>29832.612903508067</v>
      </c>
      <c r="AU68" s="40">
        <v>30478.845588688309</v>
      </c>
      <c r="AV68" s="40">
        <v>31776.977752640974</v>
      </c>
      <c r="AW68" s="40">
        <v>35826.023457385716</v>
      </c>
      <c r="AX68" s="40">
        <v>38563.053086972512</v>
      </c>
      <c r="AY68" s="40">
        <v>35073.158021785661</v>
      </c>
      <c r="AZ68" s="40">
        <v>33760.589748738435</v>
      </c>
      <c r="BA68" s="40">
        <v>36103.890644746563</v>
      </c>
      <c r="BB68" s="40">
        <v>14026.548910076963</v>
      </c>
    </row>
    <row r="69" spans="1:54">
      <c r="A69" s="41">
        <v>109</v>
      </c>
      <c r="B69" s="41" t="s">
        <v>87</v>
      </c>
      <c r="C69" s="40">
        <v>452.83402810137812</v>
      </c>
      <c r="D69" s="40">
        <v>463.35588625535775</v>
      </c>
      <c r="E69" s="40">
        <v>484.29840098214765</v>
      </c>
      <c r="F69" s="40">
        <v>517.62046922978186</v>
      </c>
      <c r="G69" s="40">
        <v>552.36339273029989</v>
      </c>
      <c r="H69" s="40">
        <v>615.07726001426556</v>
      </c>
      <c r="I69" s="40">
        <v>636.40996536840544</v>
      </c>
      <c r="J69" s="40">
        <v>594.30595353448473</v>
      </c>
      <c r="K69" s="40">
        <v>645.68069330145249</v>
      </c>
      <c r="L69" s="40">
        <v>751.58933068931435</v>
      </c>
      <c r="M69" s="40">
        <v>812.32266638647013</v>
      </c>
      <c r="N69" s="40">
        <v>974.01998761694063</v>
      </c>
      <c r="O69" s="40">
        <v>974.32687458462669</v>
      </c>
      <c r="P69" s="40">
        <v>1196.021580021096</v>
      </c>
      <c r="Q69" s="40">
        <v>1420.9849849359416</v>
      </c>
      <c r="R69" s="40">
        <v>1455.5723737750616</v>
      </c>
      <c r="S69" s="40">
        <v>1578.0007388253455</v>
      </c>
      <c r="T69" s="40">
        <v>1271.2199817611781</v>
      </c>
      <c r="U69" s="40">
        <v>1152.5200074923266</v>
      </c>
      <c r="V69" s="40">
        <v>1256.1553684182834</v>
      </c>
      <c r="W69" s="40">
        <v>1377.7126028402195</v>
      </c>
      <c r="X69" s="40">
        <v>1496.975729940064</v>
      </c>
      <c r="Y69" s="40">
        <v>1615.1652482958168</v>
      </c>
      <c r="Z69" s="40">
        <v>1041.0827231740579</v>
      </c>
      <c r="AA69" s="40">
        <v>908.76164014299968</v>
      </c>
      <c r="AB69" s="40">
        <v>1179.2746288700116</v>
      </c>
      <c r="AC69" s="40">
        <v>1398.369451353572</v>
      </c>
      <c r="AD69" s="40">
        <v>1624.6574522501162</v>
      </c>
      <c r="AE69" s="40">
        <v>1854.7888451712508</v>
      </c>
      <c r="AF69" s="40">
        <v>1921.4260299317955</v>
      </c>
      <c r="AG69" s="40">
        <v>1706.6227328125092</v>
      </c>
      <c r="AH69" s="40">
        <v>1459.0956487959331</v>
      </c>
      <c r="AI69" s="40">
        <v>2003.7558445852055</v>
      </c>
      <c r="AJ69" s="40">
        <v>2007.3692655917732</v>
      </c>
      <c r="AK69" s="40">
        <v>2344.141928080629</v>
      </c>
      <c r="AL69" s="40">
        <v>2600.59834595335</v>
      </c>
      <c r="AM69" s="40">
        <v>2948.8278401898506</v>
      </c>
      <c r="AN69" s="40">
        <v>3419.2043204095589</v>
      </c>
      <c r="AO69" s="40">
        <v>3430.4259387082429</v>
      </c>
      <c r="AP69" s="40">
        <v>3479.0567543913708</v>
      </c>
      <c r="AQ69" s="40">
        <v>3495.2993358382391</v>
      </c>
      <c r="AR69" s="40">
        <v>3713.087774118314</v>
      </c>
      <c r="AS69" s="40">
        <v>3591.5131451126786</v>
      </c>
      <c r="AT69" s="40">
        <v>3856.2734244765661</v>
      </c>
      <c r="AU69" s="40">
        <v>4178.9082708318201</v>
      </c>
      <c r="AV69" s="40">
        <v>4469.6108458542358</v>
      </c>
      <c r="AW69" s="40">
        <v>4791.1110787862608</v>
      </c>
      <c r="AX69" s="40">
        <v>5091.2111410270372</v>
      </c>
      <c r="AY69" s="40">
        <v>4477.1671705983754</v>
      </c>
      <c r="AZ69" s="40">
        <v>4887.7761982102884</v>
      </c>
      <c r="BA69" s="40">
        <v>5330.1007762532308</v>
      </c>
      <c r="BB69" s="40">
        <v>2068.7069034631272</v>
      </c>
    </row>
    <row r="70" spans="1:54">
      <c r="A70" s="41">
        <v>110</v>
      </c>
      <c r="B70" s="41" t="s">
        <v>86</v>
      </c>
      <c r="C70" s="40">
        <v>563.58675983882722</v>
      </c>
      <c r="D70" s="40">
        <v>633.64031517377634</v>
      </c>
      <c r="E70" s="40">
        <v>717.86691523089416</v>
      </c>
      <c r="F70" s="40">
        <v>835.65725248411582</v>
      </c>
      <c r="G70" s="40">
        <v>919.77668818480197</v>
      </c>
      <c r="H70" s="40">
        <v>1058.5035609090201</v>
      </c>
      <c r="I70" s="40">
        <v>1228.9092104005958</v>
      </c>
      <c r="J70" s="40">
        <v>1450.6196523437441</v>
      </c>
      <c r="K70" s="40">
        <v>1669.0981999078131</v>
      </c>
      <c r="L70" s="40">
        <v>2003.6470473595045</v>
      </c>
      <c r="M70" s="40">
        <v>2234.2616658496554</v>
      </c>
      <c r="N70" s="40">
        <v>2917.6589757236015</v>
      </c>
      <c r="O70" s="40">
        <v>3931.3016274214115</v>
      </c>
      <c r="P70" s="40">
        <v>4281.3599284105139</v>
      </c>
      <c r="Q70" s="40">
        <v>4581.57438948033</v>
      </c>
      <c r="R70" s="40">
        <v>5111.29514922012</v>
      </c>
      <c r="S70" s="40">
        <v>6230.3356881102527</v>
      </c>
      <c r="T70" s="40">
        <v>8675.0139967336054</v>
      </c>
      <c r="U70" s="40">
        <v>8953.5915202795113</v>
      </c>
      <c r="V70" s="40">
        <v>9307.8392945914984</v>
      </c>
      <c r="W70" s="40">
        <v>10212.378135896759</v>
      </c>
      <c r="X70" s="40">
        <v>9428.8746503714301</v>
      </c>
      <c r="Y70" s="40">
        <v>10213.958279306718</v>
      </c>
      <c r="Z70" s="40">
        <v>10786.786180946263</v>
      </c>
      <c r="AA70" s="40">
        <v>11465.725781626896</v>
      </c>
      <c r="AB70" s="40">
        <v>16882.273952066676</v>
      </c>
      <c r="AC70" s="40">
        <v>20355.605222435584</v>
      </c>
      <c r="AD70" s="40">
        <v>24592.772005353385</v>
      </c>
      <c r="AE70" s="40">
        <v>24505.767295867885</v>
      </c>
      <c r="AF70" s="40">
        <v>25123.631786214184</v>
      </c>
      <c r="AG70" s="40">
        <v>28540.771482601562</v>
      </c>
      <c r="AH70" s="40">
        <v>31013.647148362648</v>
      </c>
      <c r="AI70" s="40">
        <v>35451.29751157463</v>
      </c>
      <c r="AJ70" s="40">
        <v>38814.894378981378</v>
      </c>
      <c r="AK70" s="40">
        <v>42522.066590605355</v>
      </c>
      <c r="AL70" s="40">
        <v>37421.673857711154</v>
      </c>
      <c r="AM70" s="40">
        <v>34294.898976658827</v>
      </c>
      <c r="AN70" s="40">
        <v>30967.288089092821</v>
      </c>
      <c r="AO70" s="40">
        <v>34998.809971753093</v>
      </c>
      <c r="AP70" s="40">
        <v>37291.706158044806</v>
      </c>
      <c r="AQ70" s="40">
        <v>32716.418674889748</v>
      </c>
      <c r="AR70" s="40">
        <v>31235.588184391381</v>
      </c>
      <c r="AS70" s="40">
        <v>33690.937729715421</v>
      </c>
      <c r="AT70" s="40">
        <v>36441.504493942208</v>
      </c>
      <c r="AU70" s="40">
        <v>35781.234980593836</v>
      </c>
      <c r="AV70" s="40">
        <v>34102.206167125485</v>
      </c>
      <c r="AW70" s="40">
        <v>34094.887105768161</v>
      </c>
      <c r="AX70" s="40">
        <v>37972.237212883534</v>
      </c>
      <c r="AY70" s="40">
        <v>39473.362905816502</v>
      </c>
      <c r="AZ70" s="40">
        <v>43117.768273275658</v>
      </c>
      <c r="BA70" s="40">
        <v>46134.568238835695</v>
      </c>
      <c r="BB70" s="40">
        <v>19351.981946281634</v>
      </c>
    </row>
    <row r="71" spans="1:54">
      <c r="A71" s="41">
        <v>112</v>
      </c>
      <c r="B71" s="41" t="s">
        <v>85</v>
      </c>
      <c r="G71" s="40">
        <v>531.70191497880853</v>
      </c>
      <c r="H71" s="40">
        <v>548.20081487009907</v>
      </c>
      <c r="I71" s="40">
        <v>494.11126529087642</v>
      </c>
      <c r="J71" s="40">
        <v>412.91646029083853</v>
      </c>
      <c r="K71" s="40">
        <v>486.50995271904367</v>
      </c>
      <c r="L71" s="40">
        <v>424.08471100272038</v>
      </c>
      <c r="M71" s="40">
        <v>430.89321088519728</v>
      </c>
      <c r="N71" s="40">
        <v>482.67615324198158</v>
      </c>
      <c r="O71" s="40">
        <v>558.47365419512846</v>
      </c>
      <c r="P71" s="40">
        <v>685.1729832845698</v>
      </c>
      <c r="Q71" s="40">
        <v>753.07928053787441</v>
      </c>
      <c r="R71" s="40">
        <v>878.80552777878347</v>
      </c>
      <c r="S71" s="40">
        <v>1055.29016536684</v>
      </c>
      <c r="T71" s="40">
        <v>1261.6138573529136</v>
      </c>
      <c r="U71" s="40">
        <v>1555.9260960256527</v>
      </c>
      <c r="V71" s="40">
        <v>1816.4765410703876</v>
      </c>
      <c r="W71" s="40">
        <v>1961.2291710576228</v>
      </c>
      <c r="X71" s="40">
        <v>2045.0956638971602</v>
      </c>
      <c r="Y71" s="40">
        <v>2050.8380312103177</v>
      </c>
      <c r="Z71" s="40">
        <v>2020.0107643661393</v>
      </c>
      <c r="AA71" s="40">
        <v>1936.1915528108659</v>
      </c>
      <c r="AB71" s="40">
        <v>2253.0301944033913</v>
      </c>
      <c r="AC71" s="40">
        <v>2292.8524356445291</v>
      </c>
      <c r="AD71" s="40">
        <v>2052.1784477805086</v>
      </c>
      <c r="AE71" s="40">
        <v>1350.9278720035177</v>
      </c>
      <c r="AF71" s="40">
        <v>1268.2232892773834</v>
      </c>
      <c r="AG71" s="40">
        <v>1182.8874848204703</v>
      </c>
      <c r="AH71" s="40">
        <v>1422.6716183207507</v>
      </c>
      <c r="AI71" s="40">
        <v>1435.1703332165225</v>
      </c>
      <c r="AJ71" s="40">
        <v>1535.8944075361821</v>
      </c>
      <c r="AK71" s="40">
        <v>1603.6839834675168</v>
      </c>
      <c r="AL71" s="40">
        <v>1601.9632002192716</v>
      </c>
      <c r="AM71" s="40">
        <v>1625.4873565104442</v>
      </c>
      <c r="AN71" s="40">
        <v>1721.5832666846075</v>
      </c>
      <c r="AO71" s="40">
        <v>1741.4101868144398</v>
      </c>
      <c r="AP71" s="40">
        <v>1764.4137813702255</v>
      </c>
      <c r="AQ71" s="40">
        <v>1826.4063290624356</v>
      </c>
      <c r="AR71" s="40">
        <v>1902.3882810639134</v>
      </c>
      <c r="AS71" s="40">
        <v>1974.7784972889226</v>
      </c>
      <c r="AT71" s="40">
        <v>2157.1626742635867</v>
      </c>
      <c r="AU71" s="40">
        <v>2326.4951890247553</v>
      </c>
      <c r="AV71" s="40">
        <v>2719.8224693160423</v>
      </c>
      <c r="AW71" s="40">
        <v>3022.5419537406351</v>
      </c>
      <c r="AX71" s="40">
        <v>3797.4136286817784</v>
      </c>
      <c r="AY71" s="40">
        <v>4027.0520809155764</v>
      </c>
      <c r="AZ71" s="40">
        <v>4370.7210331811511</v>
      </c>
      <c r="BA71" s="40">
        <v>4665.94353968012</v>
      </c>
      <c r="BB71" s="40">
        <v>1702.8170490749465</v>
      </c>
    </row>
    <row r="72" spans="1:54">
      <c r="A72" s="41">
        <v>113</v>
      </c>
      <c r="B72" s="41" t="s">
        <v>84</v>
      </c>
      <c r="AF72" s="40">
        <v>1647.4632309037563</v>
      </c>
      <c r="AG72" s="40">
        <v>1512.4850664963958</v>
      </c>
      <c r="AH72" s="40">
        <v>1515.1040431739889</v>
      </c>
      <c r="AI72" s="40">
        <v>1433.4615339500749</v>
      </c>
      <c r="AJ72" s="40">
        <v>1320.3216276434964</v>
      </c>
      <c r="AK72" s="40">
        <v>1288.2390210039523</v>
      </c>
      <c r="AL72" s="40">
        <v>1350.3338439627778</v>
      </c>
      <c r="AM72" s="40">
        <v>1445.5694104086695</v>
      </c>
      <c r="AN72" s="40">
        <v>1468.7017861456816</v>
      </c>
      <c r="AO72" s="40">
        <v>1130.1136033840257</v>
      </c>
      <c r="AP72" s="40">
        <v>1229.0009584450054</v>
      </c>
      <c r="AQ72" s="40">
        <v>1490.9267511843198</v>
      </c>
      <c r="AR72" s="40">
        <v>1658.03114601521</v>
      </c>
      <c r="AS72" s="40">
        <v>2068.1235184820353</v>
      </c>
      <c r="AT72" s="40">
        <v>2874.2884827299908</v>
      </c>
      <c r="AU72" s="40">
        <v>3771.2789573384489</v>
      </c>
      <c r="AV72" s="40">
        <v>5291.5740221943934</v>
      </c>
      <c r="AW72" s="40">
        <v>6771.4166385663057</v>
      </c>
      <c r="AX72" s="40">
        <v>8513.5675472310268</v>
      </c>
      <c r="AY72" s="40">
        <v>7164.9313906649777</v>
      </c>
      <c r="AZ72" s="40">
        <v>9070.0097292678147</v>
      </c>
      <c r="BA72" s="40">
        <v>11258.636057031623</v>
      </c>
      <c r="BB72" s="40">
        <v>3421.5262893738163</v>
      </c>
    </row>
    <row r="73" spans="1:54">
      <c r="A73" s="41">
        <v>114</v>
      </c>
      <c r="B73" s="41" t="s">
        <v>83</v>
      </c>
      <c r="C73" s="40">
        <v>94.835252949702664</v>
      </c>
      <c r="D73" s="40">
        <v>100.60425512153803</v>
      </c>
      <c r="E73" s="40">
        <v>104.01270205310036</v>
      </c>
      <c r="F73" s="40">
        <v>108.55893244847906</v>
      </c>
      <c r="G73" s="40">
        <v>104.99217334473622</v>
      </c>
      <c r="H73" s="40">
        <v>118.55628204726221</v>
      </c>
      <c r="I73" s="40">
        <v>121.38075149977472</v>
      </c>
      <c r="J73" s="40">
        <v>128.85766931066982</v>
      </c>
      <c r="K73" s="40">
        <v>134.1937239803012</v>
      </c>
      <c r="L73" s="40">
        <v>142.49741854293021</v>
      </c>
      <c r="M73" s="40">
        <v>152.55370344719879</v>
      </c>
      <c r="N73" s="40">
        <v>174.39803261575523</v>
      </c>
      <c r="O73" s="40">
        <v>199.695321883974</v>
      </c>
      <c r="P73" s="40">
        <v>228.76118139820039</v>
      </c>
      <c r="Q73" s="40">
        <v>241.67927413973746</v>
      </c>
      <c r="R73" s="40">
        <v>248.25259967536181</v>
      </c>
      <c r="S73" s="40">
        <v>309.37591975971986</v>
      </c>
      <c r="T73" s="40">
        <v>351.66744935006869</v>
      </c>
      <c r="U73" s="40">
        <v>398.07163660769658</v>
      </c>
      <c r="V73" s="40">
        <v>446.60421148380914</v>
      </c>
      <c r="W73" s="40">
        <v>405.56320483163722</v>
      </c>
      <c r="X73" s="40">
        <v>366.26631519634969</v>
      </c>
      <c r="Y73" s="40">
        <v>327.78134337663244</v>
      </c>
      <c r="Z73" s="40">
        <v>326.85489440205168</v>
      </c>
      <c r="AA73" s="40">
        <v>312.05639477564603</v>
      </c>
      <c r="AB73" s="40">
        <v>354.99293640329705</v>
      </c>
      <c r="AC73" s="40">
        <v>377.07825989470291</v>
      </c>
      <c r="AD73" s="40">
        <v>381.57842867775048</v>
      </c>
      <c r="AE73" s="40">
        <v>365.43066876818335</v>
      </c>
      <c r="AF73" s="40">
        <v>365.61454653599054</v>
      </c>
      <c r="AG73" s="40">
        <v>336.32339183307988</v>
      </c>
      <c r="AH73" s="40">
        <v>327.88033803715939</v>
      </c>
      <c r="AI73" s="40">
        <v>222.59983847380141</v>
      </c>
      <c r="AJ73" s="40">
        <v>268.37770155204106</v>
      </c>
      <c r="AK73" s="40">
        <v>329.93999530940681</v>
      </c>
      <c r="AL73" s="40">
        <v>427.36712325972792</v>
      </c>
      <c r="AM73" s="40">
        <v>453.1482999610671</v>
      </c>
      <c r="AN73" s="40">
        <v>474.50953182912104</v>
      </c>
      <c r="AO73" s="40">
        <v>423.11693417173331</v>
      </c>
      <c r="AP73" s="40">
        <v>406.11570553351066</v>
      </c>
      <c r="AQ73" s="40">
        <v>404.21620628402547</v>
      </c>
      <c r="AR73" s="40">
        <v>398.40994507147741</v>
      </c>
      <c r="AS73" s="40">
        <v>439.59590573198852</v>
      </c>
      <c r="AT73" s="40">
        <v>462.04976828691332</v>
      </c>
      <c r="AU73" s="40">
        <v>523.6137891876308</v>
      </c>
      <c r="AV73" s="40">
        <v>612.23253123009499</v>
      </c>
      <c r="AW73" s="40">
        <v>721.45901071196272</v>
      </c>
      <c r="AX73" s="40">
        <v>785.73420028577743</v>
      </c>
      <c r="AY73" s="40">
        <v>768.37074699413006</v>
      </c>
      <c r="AZ73" s="40">
        <v>787.85742826013131</v>
      </c>
      <c r="BA73" s="40">
        <v>816.83670936353383</v>
      </c>
      <c r="BB73" s="40">
        <v>350.63765854687404</v>
      </c>
    </row>
    <row r="74" spans="1:54">
      <c r="A74" s="41">
        <v>116</v>
      </c>
      <c r="B74" s="41" t="s">
        <v>82</v>
      </c>
    </row>
    <row r="75" spans="1:54">
      <c r="A75" s="41">
        <v>117</v>
      </c>
      <c r="B75" s="41" t="s">
        <v>81</v>
      </c>
      <c r="C75" s="40">
        <v>91.623606005276287</v>
      </c>
      <c r="D75" s="40">
        <v>103.8672749488739</v>
      </c>
      <c r="E75" s="40">
        <v>142.36265268091077</v>
      </c>
      <c r="F75" s="40">
        <v>120.6360499990672</v>
      </c>
      <c r="G75" s="40">
        <v>105.7698691365264</v>
      </c>
      <c r="H75" s="40">
        <v>130.26484011968483</v>
      </c>
      <c r="I75" s="40">
        <v>157.29025386734787</v>
      </c>
      <c r="J75" s="40">
        <v>194.77956080580765</v>
      </c>
      <c r="K75" s="40">
        <v>239.23146398011562</v>
      </c>
      <c r="L75" s="40">
        <v>278.78737965935323</v>
      </c>
      <c r="M75" s="40">
        <v>302.22777926790621</v>
      </c>
      <c r="N75" s="40">
        <v>322.72255279173663</v>
      </c>
      <c r="O75" s="40">
        <v>403.46415092227755</v>
      </c>
      <c r="P75" s="40">
        <v>555.66772963622714</v>
      </c>
      <c r="Q75" s="40">
        <v>608.22777975456086</v>
      </c>
      <c r="R75" s="40">
        <v>824.42333303901648</v>
      </c>
      <c r="S75" s="40">
        <v>1041.5862811551544</v>
      </c>
      <c r="T75" s="40">
        <v>1382.9210043974749</v>
      </c>
      <c r="U75" s="40">
        <v>1746.7303474051296</v>
      </c>
      <c r="V75" s="40">
        <v>1674.387558579253</v>
      </c>
      <c r="W75" s="40">
        <v>1845.653619658045</v>
      </c>
      <c r="X75" s="40">
        <v>1938.112132809287</v>
      </c>
      <c r="Y75" s="40">
        <v>2117.5295074568762</v>
      </c>
      <c r="Z75" s="40">
        <v>2306.8603126146727</v>
      </c>
      <c r="AA75" s="40">
        <v>2367.7825045263912</v>
      </c>
      <c r="AB75" s="40">
        <v>2702.6412208498541</v>
      </c>
      <c r="AC75" s="40">
        <v>3367.5428076784788</v>
      </c>
      <c r="AD75" s="40">
        <v>4465.6703232559021</v>
      </c>
      <c r="AE75" s="40">
        <v>5438.2526678954628</v>
      </c>
      <c r="AF75" s="40">
        <v>6153.0939968068469</v>
      </c>
      <c r="AG75" s="40">
        <v>7122.7013323717874</v>
      </c>
      <c r="AH75" s="40">
        <v>7555.2725269407974</v>
      </c>
      <c r="AI75" s="40">
        <v>8219.8961990324242</v>
      </c>
      <c r="AJ75" s="40">
        <v>9525.4356298874336</v>
      </c>
      <c r="AK75" s="40">
        <v>11467.813847776817</v>
      </c>
      <c r="AL75" s="40">
        <v>12249.1731451653</v>
      </c>
      <c r="AM75" s="40">
        <v>11234.776996783463</v>
      </c>
      <c r="AN75" s="40">
        <v>7462.8386453181665</v>
      </c>
      <c r="AO75" s="40">
        <v>9554.4394429295025</v>
      </c>
      <c r="AP75" s="40">
        <v>11346.664987420338</v>
      </c>
      <c r="AQ75" s="40">
        <v>10654.935553429088</v>
      </c>
      <c r="AR75" s="40">
        <v>12093.757296847849</v>
      </c>
      <c r="AS75" s="40">
        <v>13451.22941768531</v>
      </c>
      <c r="AT75" s="40">
        <v>15028.940149122587</v>
      </c>
      <c r="AU75" s="40">
        <v>17550.85388540092</v>
      </c>
      <c r="AV75" s="40">
        <v>19676.124183099888</v>
      </c>
      <c r="AW75" s="40">
        <v>21590.105584323755</v>
      </c>
      <c r="AX75" s="40">
        <v>19028.012931451616</v>
      </c>
      <c r="AY75" s="40">
        <v>16958.652389918629</v>
      </c>
      <c r="AZ75" s="40">
        <v>20540.176925139524</v>
      </c>
      <c r="BA75" s="40">
        <v>22388.395967900899</v>
      </c>
      <c r="BB75" s="40">
        <v>6428.045247051954</v>
      </c>
    </row>
    <row r="76" spans="1:54">
      <c r="A76" s="41">
        <v>118</v>
      </c>
      <c r="B76" s="41" t="s">
        <v>80</v>
      </c>
      <c r="D76" s="40">
        <v>5454.222600459776</v>
      </c>
      <c r="E76" s="40">
        <v>4980.4297211916091</v>
      </c>
      <c r="F76" s="40">
        <v>4802.3421664816033</v>
      </c>
      <c r="G76" s="40">
        <v>4348.8068872989079</v>
      </c>
      <c r="H76" s="40">
        <v>4480.9802716537934</v>
      </c>
      <c r="I76" s="40">
        <v>4166.7786006629885</v>
      </c>
      <c r="J76" s="40">
        <v>4164.9964110873943</v>
      </c>
      <c r="K76" s="40">
        <v>3989.8032884012823</v>
      </c>
      <c r="L76" s="40">
        <v>3829.3586711915323</v>
      </c>
      <c r="M76" s="40">
        <v>4800.8199386236784</v>
      </c>
      <c r="N76" s="40">
        <v>5131.3322391390675</v>
      </c>
      <c r="O76" s="40">
        <v>5832.2050966780498</v>
      </c>
      <c r="P76" s="40">
        <v>13160.55885238822</v>
      </c>
      <c r="Q76" s="40">
        <v>11450.427551194842</v>
      </c>
      <c r="R76" s="40">
        <v>11808.443165292905</v>
      </c>
      <c r="S76" s="40">
        <v>12034.77552099606</v>
      </c>
      <c r="T76" s="40">
        <v>12519.498013188919</v>
      </c>
      <c r="U76" s="40">
        <v>18982.328021451725</v>
      </c>
      <c r="V76" s="40">
        <v>20881.512637696589</v>
      </c>
      <c r="W76" s="40">
        <v>17406.710226564421</v>
      </c>
      <c r="X76" s="40">
        <v>14317.391311734635</v>
      </c>
      <c r="Y76" s="40">
        <v>13240.837239357907</v>
      </c>
      <c r="Z76" s="40">
        <v>13148.473657946011</v>
      </c>
      <c r="AA76" s="40">
        <v>12393.355620258279</v>
      </c>
      <c r="AB76" s="40">
        <v>9828.9322890695803</v>
      </c>
      <c r="AC76" s="40">
        <v>11650.487657463462</v>
      </c>
      <c r="AD76" s="40">
        <v>10306.947583345744</v>
      </c>
      <c r="AE76" s="40">
        <v>11807.302425570626</v>
      </c>
      <c r="AF76" s="40">
        <v>8946.5050879626051</v>
      </c>
      <c r="AG76" s="40">
        <v>5505.9385577789135</v>
      </c>
      <c r="AK76" s="40">
        <v>17143.492449244899</v>
      </c>
      <c r="AL76" s="40">
        <v>19866.302727454029</v>
      </c>
      <c r="AM76" s="40">
        <v>18551.620789479017</v>
      </c>
      <c r="AN76" s="40">
        <v>15065.651764219016</v>
      </c>
      <c r="AO76" s="40">
        <v>16564.455643094127</v>
      </c>
      <c r="AP76" s="40">
        <v>19786.695037786554</v>
      </c>
      <c r="AQ76" s="40">
        <v>17616.229059528207</v>
      </c>
      <c r="AR76" s="40">
        <v>18620.352331789476</v>
      </c>
      <c r="AS76" s="40">
        <v>22621.858292144025</v>
      </c>
      <c r="AT76" s="40">
        <v>27061.885766389096</v>
      </c>
      <c r="AU76" s="40">
        <v>35185.930672146518</v>
      </c>
      <c r="AV76" s="40">
        <v>42011.774334634028</v>
      </c>
      <c r="AW76" s="40">
        <v>44902.318266683695</v>
      </c>
      <c r="AX76" s="40">
        <v>54548.615305052772</v>
      </c>
      <c r="AY76" s="40">
        <v>37160.543239644656</v>
      </c>
      <c r="AZ76" s="40">
        <v>40090.746272744211</v>
      </c>
      <c r="BA76" s="40">
        <v>51496.927148569877</v>
      </c>
      <c r="BB76" s="40">
        <v>16673.785115164581</v>
      </c>
    </row>
    <row r="77" spans="1:54">
      <c r="A77" s="41">
        <v>119</v>
      </c>
      <c r="B77" s="41" t="s">
        <v>79</v>
      </c>
      <c r="AF77" s="40">
        <v>608.94516305337947</v>
      </c>
      <c r="AG77" s="40">
        <v>575.95513337515308</v>
      </c>
      <c r="AH77" s="40">
        <v>513.03592151304429</v>
      </c>
      <c r="AI77" s="40">
        <v>449.0657901887339</v>
      </c>
      <c r="AJ77" s="40">
        <v>372.30781001683084</v>
      </c>
      <c r="AK77" s="40">
        <v>364.22649735078465</v>
      </c>
      <c r="AL77" s="40">
        <v>394.86012146051439</v>
      </c>
      <c r="AM77" s="40">
        <v>376.42961326109986</v>
      </c>
      <c r="AN77" s="40">
        <v>345.13813164845078</v>
      </c>
      <c r="AO77" s="40">
        <v>258.04933995910545</v>
      </c>
      <c r="AP77" s="40">
        <v>279.62027499226787</v>
      </c>
      <c r="AQ77" s="40">
        <v>308.40903138669466</v>
      </c>
      <c r="AR77" s="40">
        <v>321.72653804514169</v>
      </c>
      <c r="AS77" s="40">
        <v>380.50736243548067</v>
      </c>
      <c r="AT77" s="40">
        <v>433.23511893516621</v>
      </c>
      <c r="AU77" s="40">
        <v>476.4800976123073</v>
      </c>
      <c r="AV77" s="40">
        <v>543.11070240307208</v>
      </c>
      <c r="AW77" s="40">
        <v>721.76869083885708</v>
      </c>
      <c r="AX77" s="40">
        <v>966.39362718537234</v>
      </c>
      <c r="AY77" s="40">
        <v>871.21829748441257</v>
      </c>
      <c r="AZ77" s="40">
        <v>880.03851414418637</v>
      </c>
      <c r="BA77" s="40">
        <v>1123.8831359808048</v>
      </c>
      <c r="BB77" s="40">
        <v>525.6547687850391</v>
      </c>
    </row>
    <row r="78" spans="1:54">
      <c r="A78" s="41">
        <v>120</v>
      </c>
      <c r="B78" s="41" t="s">
        <v>78</v>
      </c>
      <c r="Z78" s="40">
        <v>491.19507411994113</v>
      </c>
      <c r="AA78" s="40">
        <v>643.51952677566987</v>
      </c>
      <c r="AB78" s="40">
        <v>469.79122985183835</v>
      </c>
      <c r="AC78" s="40">
        <v>279.40839823521287</v>
      </c>
      <c r="AD78" s="40">
        <v>149.55782192295038</v>
      </c>
      <c r="AE78" s="40">
        <v>173.19727239314767</v>
      </c>
      <c r="AF78" s="40">
        <v>203.92408474876075</v>
      </c>
      <c r="AG78" s="40">
        <v>235.26362999551844</v>
      </c>
      <c r="AH78" s="40">
        <v>250.74484139522923</v>
      </c>
      <c r="AI78" s="40">
        <v>287.02735655976949</v>
      </c>
      <c r="AJ78" s="40">
        <v>324.89165381061929</v>
      </c>
      <c r="AK78" s="40">
        <v>362.01302177738364</v>
      </c>
      <c r="AL78" s="40">
        <v>375.74189157123476</v>
      </c>
      <c r="AM78" s="40">
        <v>342.77153018525547</v>
      </c>
      <c r="AN78" s="40">
        <v>246.14554009611888</v>
      </c>
      <c r="AO78" s="40">
        <v>274.51690497334795</v>
      </c>
      <c r="AP78" s="40">
        <v>321.28948405848172</v>
      </c>
      <c r="AQ78" s="40">
        <v>323.32073439531291</v>
      </c>
      <c r="AR78" s="40">
        <v>317.06022963412045</v>
      </c>
      <c r="AS78" s="40">
        <v>360.08178708995541</v>
      </c>
      <c r="AT78" s="40">
        <v>415.22225214832758</v>
      </c>
      <c r="AU78" s="40">
        <v>472.4084630620755</v>
      </c>
      <c r="AV78" s="40">
        <v>585.64057515489742</v>
      </c>
      <c r="AW78" s="40">
        <v>702.27013114008821</v>
      </c>
      <c r="AX78" s="40">
        <v>886.75965239858442</v>
      </c>
      <c r="AY78" s="40">
        <v>930.58594452076773</v>
      </c>
      <c r="AZ78" s="40">
        <v>1122.8523155898163</v>
      </c>
      <c r="BA78" s="40">
        <v>1261.5435929873211</v>
      </c>
      <c r="BB78" s="40">
        <v>457.45517644970522</v>
      </c>
    </row>
    <row r="79" spans="1:54">
      <c r="A79" s="41">
        <v>121</v>
      </c>
      <c r="B79" s="41" t="s">
        <v>77</v>
      </c>
      <c r="AC79" s="40">
        <v>2176.1557327058867</v>
      </c>
      <c r="AD79" s="40">
        <v>2572.8965027835679</v>
      </c>
      <c r="AE79" s="40">
        <v>2883.5565613767963</v>
      </c>
      <c r="AF79" s="40">
        <v>2796.3126599863481</v>
      </c>
      <c r="AG79" s="40">
        <v>2549.0329341734923</v>
      </c>
      <c r="AH79" s="40">
        <v>1854.4108574765976</v>
      </c>
      <c r="AI79" s="40">
        <v>1743.0674138712443</v>
      </c>
      <c r="AJ79" s="40">
        <v>2007.6845353688584</v>
      </c>
      <c r="AK79" s="40">
        <v>2106.8820093678355</v>
      </c>
      <c r="AL79" s="40">
        <v>2273.0110598754304</v>
      </c>
      <c r="AM79" s="40">
        <v>2521.0069090765255</v>
      </c>
      <c r="AN79" s="40">
        <v>2745.6039480360851</v>
      </c>
      <c r="AO79" s="40">
        <v>3048.9769312218259</v>
      </c>
      <c r="AP79" s="40">
        <v>3300.9346563048607</v>
      </c>
      <c r="AQ79" s="40">
        <v>3529.9400909682395</v>
      </c>
      <c r="AR79" s="40">
        <v>3983.0191086839604</v>
      </c>
      <c r="AS79" s="40">
        <v>4810.669828664425</v>
      </c>
      <c r="AT79" s="40">
        <v>5950.1281963666952</v>
      </c>
      <c r="AU79" s="40">
        <v>6973.1609425495744</v>
      </c>
      <c r="AV79" s="40">
        <v>8713.067953124928</v>
      </c>
      <c r="AW79" s="40">
        <v>12638.147287751173</v>
      </c>
      <c r="AX79" s="40">
        <v>14857.886619207275</v>
      </c>
      <c r="AY79" s="40">
        <v>11475.692334779411</v>
      </c>
      <c r="AZ79" s="40">
        <v>10743.281633815557</v>
      </c>
      <c r="BA79" s="40">
        <v>13806.974234613181</v>
      </c>
      <c r="BB79" s="40">
        <v>5282.4600376859898</v>
      </c>
    </row>
    <row r="80" spans="1:54">
      <c r="A80" s="41">
        <v>122</v>
      </c>
      <c r="B80" s="41" t="s">
        <v>76</v>
      </c>
      <c r="AD80" s="40">
        <v>1241.6805331848389</v>
      </c>
      <c r="AE80" s="40">
        <v>1015.4612124065646</v>
      </c>
      <c r="AF80" s="40">
        <v>1050.1167020603691</v>
      </c>
      <c r="AG80" s="40">
        <v>1617.2719359717144</v>
      </c>
      <c r="AH80" s="40">
        <v>1965.3370820164282</v>
      </c>
      <c r="AI80" s="40">
        <v>2597.5933754958664</v>
      </c>
      <c r="AJ80" s="40">
        <v>3226.9802734412733</v>
      </c>
      <c r="AK80" s="40">
        <v>3863.2465789472067</v>
      </c>
      <c r="AL80" s="40">
        <v>4457.9252515026019</v>
      </c>
      <c r="AM80" s="40">
        <v>5093.2116958108127</v>
      </c>
      <c r="AN80" s="40">
        <v>5538.5683825492542</v>
      </c>
      <c r="AO80" s="40">
        <v>5509.2417338855375</v>
      </c>
      <c r="AP80" s="40">
        <v>5334.8802435739835</v>
      </c>
      <c r="AQ80" s="40">
        <v>5256.6569108235326</v>
      </c>
      <c r="AR80" s="40">
        <v>5447.7804684401744</v>
      </c>
      <c r="AS80" s="40">
        <v>5442.363165226825</v>
      </c>
      <c r="AT80" s="40">
        <v>5654.234093466328</v>
      </c>
      <c r="AU80" s="40">
        <v>5483.1795201023706</v>
      </c>
      <c r="AV80" s="40">
        <v>5499.864649812188</v>
      </c>
      <c r="AW80" s="40">
        <v>6052.6203521536954</v>
      </c>
      <c r="AX80" s="40">
        <v>7185.6114802292141</v>
      </c>
      <c r="AY80" s="40">
        <v>8159.0219812402374</v>
      </c>
      <c r="AZ80" s="40">
        <v>8551.8524162705453</v>
      </c>
      <c r="BA80" s="40">
        <v>9148.1290133017901</v>
      </c>
      <c r="BB80" s="40">
        <v>4766.3678771630557</v>
      </c>
    </row>
    <row r="81" spans="1:54">
      <c r="A81" s="41">
        <v>123</v>
      </c>
      <c r="B81" s="41" t="s">
        <v>75</v>
      </c>
      <c r="C81" s="40">
        <v>41.211962018354555</v>
      </c>
      <c r="D81" s="40">
        <v>47.465141877006346</v>
      </c>
      <c r="E81" s="40">
        <v>52.363110266272194</v>
      </c>
      <c r="F81" s="40">
        <v>56.735675705110118</v>
      </c>
      <c r="G81" s="40">
        <v>58.80516395906433</v>
      </c>
      <c r="H81" s="40">
        <v>59.575320616945284</v>
      </c>
      <c r="I81" s="40">
        <v>61.033661443290065</v>
      </c>
      <c r="J81" s="40">
        <v>62.012208925890498</v>
      </c>
      <c r="K81" s="40">
        <v>65.230348854352684</v>
      </c>
      <c r="L81" s="40">
        <v>66.593013767638297</v>
      </c>
      <c r="M81" s="40">
        <v>72.594725047881425</v>
      </c>
      <c r="N81" s="40">
        <v>75.250429263303033</v>
      </c>
      <c r="O81" s="40">
        <v>110.36890388728644</v>
      </c>
      <c r="P81" s="40">
        <v>134.39061557637839</v>
      </c>
      <c r="Q81" s="40">
        <v>130.1542484955317</v>
      </c>
      <c r="R81" s="40">
        <v>125.35070767342262</v>
      </c>
      <c r="S81" s="40">
        <v>159.91830143369324</v>
      </c>
      <c r="T81" s="40">
        <v>214.7750608650463</v>
      </c>
      <c r="U81" s="40">
        <v>227.69666185618999</v>
      </c>
      <c r="V81" s="40">
        <v>330.07625210896038</v>
      </c>
      <c r="W81" s="40">
        <v>323.84273768393246</v>
      </c>
      <c r="X81" s="40">
        <v>237.94223843469314</v>
      </c>
      <c r="Y81" s="40">
        <v>252.6580240706665</v>
      </c>
      <c r="Z81" s="40">
        <v>210.6687049677646</v>
      </c>
      <c r="AA81" s="40">
        <v>168.73644073456097</v>
      </c>
      <c r="AB81" s="40">
        <v>194.35929918020045</v>
      </c>
      <c r="AC81" s="40">
        <v>242.95154134807564</v>
      </c>
      <c r="AD81" s="40">
        <v>278.22452295836626</v>
      </c>
      <c r="AE81" s="40">
        <v>287.55760884046771</v>
      </c>
      <c r="AF81" s="40">
        <v>340.88712425203289</v>
      </c>
      <c r="AG81" s="40">
        <v>373.95904169681762</v>
      </c>
      <c r="AH81" s="40">
        <v>433.96817885000701</v>
      </c>
      <c r="AI81" s="40">
        <v>426.10968912161269</v>
      </c>
      <c r="AJ81" s="40">
        <v>437.67526157303405</v>
      </c>
      <c r="AK81" s="40">
        <v>489.83939142738939</v>
      </c>
      <c r="AL81" s="40">
        <v>458.59871110276828</v>
      </c>
      <c r="AM81" s="40">
        <v>477.23050580771843</v>
      </c>
      <c r="AN81" s="40">
        <v>449.83441658173172</v>
      </c>
      <c r="AO81" s="40">
        <v>435.71204168295293</v>
      </c>
      <c r="AP81" s="40">
        <v>415.46721571168661</v>
      </c>
      <c r="AQ81" s="40">
        <v>377.46777077371468</v>
      </c>
      <c r="AR81" s="40">
        <v>348.3464320413193</v>
      </c>
      <c r="AS81" s="40">
        <v>510.42948149368493</v>
      </c>
      <c r="AT81" s="40">
        <v>645.49346421652399</v>
      </c>
      <c r="AU81" s="40">
        <v>710.54836281881467</v>
      </c>
      <c r="AV81" s="40">
        <v>736.38288464339257</v>
      </c>
      <c r="AW81" s="40">
        <v>816.78261714633356</v>
      </c>
      <c r="AX81" s="40">
        <v>826.80813091285552</v>
      </c>
      <c r="AY81" s="40">
        <v>862.79212652326692</v>
      </c>
      <c r="AZ81" s="40">
        <v>1097.0401877652239</v>
      </c>
      <c r="BA81" s="40">
        <v>1243.9110853769962</v>
      </c>
      <c r="BB81" s="40">
        <v>338.50640692902402</v>
      </c>
    </row>
    <row r="82" spans="1:54">
      <c r="A82" s="41">
        <v>124</v>
      </c>
      <c r="B82" s="41" t="s">
        <v>74</v>
      </c>
      <c r="C82" s="40">
        <v>160.64423668175974</v>
      </c>
      <c r="D82" s="40">
        <v>163.94703772728786</v>
      </c>
      <c r="E82" s="40">
        <v>167.33379910211369</v>
      </c>
      <c r="F82" s="40">
        <v>178.84990531772885</v>
      </c>
      <c r="G82" s="40">
        <v>182.97416693802236</v>
      </c>
      <c r="H82" s="40">
        <v>190.49223878363972</v>
      </c>
      <c r="I82" s="40">
        <v>198.47959310146078</v>
      </c>
      <c r="J82" s="40">
        <v>205.2883403735257</v>
      </c>
      <c r="K82" s="40">
        <v>221.9046587701194</v>
      </c>
      <c r="L82" s="40">
        <v>227.57861224121802</v>
      </c>
      <c r="M82" s="40">
        <v>234.30045674254347</v>
      </c>
      <c r="N82" s="40">
        <v>245.83200788590023</v>
      </c>
      <c r="O82" s="40">
        <v>251.46066300080187</v>
      </c>
      <c r="P82" s="40">
        <v>307.69616273133056</v>
      </c>
      <c r="Q82" s="40">
        <v>354.61712725093577</v>
      </c>
      <c r="R82" s="40">
        <v>356.0083722351099</v>
      </c>
      <c r="S82" s="40">
        <v>390.3065209158662</v>
      </c>
      <c r="T82" s="40">
        <v>404.0336007210455</v>
      </c>
      <c r="U82" s="40">
        <v>444.6118638115571</v>
      </c>
      <c r="V82" s="40">
        <v>451.62399308015887</v>
      </c>
      <c r="W82" s="40">
        <v>431.49997629721759</v>
      </c>
      <c r="X82" s="40">
        <v>424.26093673652292</v>
      </c>
      <c r="Y82" s="40">
        <v>390.68372871850033</v>
      </c>
      <c r="Z82" s="40">
        <v>392.11785371805149</v>
      </c>
      <c r="AA82" s="40">
        <v>387.40320791174463</v>
      </c>
      <c r="AB82" s="40">
        <v>381.06710372668584</v>
      </c>
      <c r="AC82" s="40">
        <v>442.94610154612229</v>
      </c>
      <c r="AD82" s="40">
        <v>478.38534923558785</v>
      </c>
      <c r="AE82" s="40">
        <v>367.94261910756018</v>
      </c>
      <c r="AF82" s="40">
        <v>182.79718690156392</v>
      </c>
      <c r="AG82" s="40">
        <v>168.43654104914668</v>
      </c>
      <c r="AH82" s="40">
        <v>110.17059435926556</v>
      </c>
      <c r="AI82" s="40">
        <v>79.946210753961552</v>
      </c>
      <c r="AJ82" s="40">
        <v>65.473159966480907</v>
      </c>
      <c r="AK82" s="40">
        <v>64.810153847189383</v>
      </c>
      <c r="AL82" s="40">
        <v>72.527039527236539</v>
      </c>
      <c r="AM82" s="40">
        <v>125.10093899690948</v>
      </c>
      <c r="AN82" s="40">
        <v>140.57390549427353</v>
      </c>
      <c r="AO82" s="40">
        <v>161.13767254124409</v>
      </c>
      <c r="AP82" s="40">
        <v>182.94277345524918</v>
      </c>
      <c r="AQ82" s="40">
        <v>171.73707886900263</v>
      </c>
      <c r="AR82" s="40">
        <v>174.5545683307864</v>
      </c>
      <c r="AS82" s="40">
        <v>130.91259199890396</v>
      </c>
      <c r="AT82" s="40">
        <v>146.64124047813178</v>
      </c>
      <c r="AU82" s="40">
        <v>165.76008338160332</v>
      </c>
      <c r="AV82" s="40">
        <v>178.45373076393497</v>
      </c>
      <c r="AW82" s="40">
        <v>209.81408486250115</v>
      </c>
      <c r="AX82" s="40">
        <v>231.44749600421687</v>
      </c>
      <c r="AY82" s="40">
        <v>302.28035237659043</v>
      </c>
      <c r="AZ82" s="40">
        <v>326.60428044353245</v>
      </c>
      <c r="BA82" s="40">
        <v>378.80570835311977</v>
      </c>
      <c r="BB82" s="40">
        <v>251.08269857186201</v>
      </c>
    </row>
    <row r="83" spans="1:54">
      <c r="A83" s="41">
        <v>125</v>
      </c>
      <c r="B83" s="41" t="s">
        <v>73</v>
      </c>
      <c r="AF83" s="40">
        <v>6785.4883978980442</v>
      </c>
      <c r="AG83" s="40">
        <v>7338.5991268195639</v>
      </c>
      <c r="AH83" s="40">
        <v>7599.3320592540822</v>
      </c>
      <c r="AI83" s="40">
        <v>6726.6148862639438</v>
      </c>
      <c r="AJ83" s="40">
        <v>6146.880279392687</v>
      </c>
      <c r="AK83" s="40">
        <v>5379.8291705054226</v>
      </c>
      <c r="AL83" s="40">
        <v>5764.4355539444459</v>
      </c>
      <c r="AM83" s="40">
        <v>6234.5114742869164</v>
      </c>
      <c r="AN83" s="40">
        <v>5440.2533177865607</v>
      </c>
      <c r="AO83" s="40">
        <v>5985.6204630856864</v>
      </c>
      <c r="AP83" s="40">
        <v>6548.5682738871601</v>
      </c>
      <c r="AQ83" s="40">
        <v>5404.4623679191536</v>
      </c>
      <c r="AR83" s="40">
        <v>3715.556991267747</v>
      </c>
      <c r="AS83" s="40">
        <v>4437.4371612794721</v>
      </c>
      <c r="AT83" s="40">
        <v>6062.2145241720327</v>
      </c>
      <c r="AU83" s="40">
        <v>7864.9375720580219</v>
      </c>
      <c r="AV83" s="40">
        <v>9933.1088240078425</v>
      </c>
      <c r="AW83" s="40">
        <v>12418.183591265435</v>
      </c>
      <c r="AX83" s="40">
        <v>15853.461508992392</v>
      </c>
      <c r="AY83" s="40">
        <v>10455.574867394531</v>
      </c>
      <c r="BB83" s="40">
        <v>7304.7535205740569</v>
      </c>
    </row>
    <row r="84" spans="1:54">
      <c r="A84" s="41">
        <v>127</v>
      </c>
      <c r="B84" s="41" t="s">
        <v>72</v>
      </c>
      <c r="AF84" s="40">
        <v>2841.3075623662799</v>
      </c>
      <c r="AG84" s="40">
        <v>2777.1736244514873</v>
      </c>
      <c r="AH84" s="40">
        <v>2314.0668171004286</v>
      </c>
      <c r="AI84" s="40">
        <v>2016.1222165754893</v>
      </c>
      <c r="AJ84" s="40">
        <v>1902.7516963527512</v>
      </c>
      <c r="AK84" s="40">
        <v>2178.196091205959</v>
      </c>
      <c r="AL84" s="40">
        <v>2339.6739183249283</v>
      </c>
      <c r="AM84" s="40">
        <v>2833.0942282771261</v>
      </c>
      <c r="AN84" s="40">
        <v>3170.7524601114969</v>
      </c>
      <c r="AO84" s="40">
        <v>3113.1197722741767</v>
      </c>
      <c r="AP84" s="40">
        <v>3267.3474426323946</v>
      </c>
      <c r="AQ84" s="40">
        <v>3492.7334449394075</v>
      </c>
      <c r="AR84" s="40">
        <v>4082.9239945864133</v>
      </c>
      <c r="AS84" s="40">
        <v>5387.2627295074062</v>
      </c>
      <c r="AT84" s="40">
        <v>6564.0942284621533</v>
      </c>
      <c r="AU84" s="40">
        <v>7603.9667764800279</v>
      </c>
      <c r="AV84" s="40">
        <v>8864.9923007456146</v>
      </c>
      <c r="AW84" s="40">
        <v>11584.241182097367</v>
      </c>
      <c r="AX84" s="40">
        <v>14071.265108154375</v>
      </c>
      <c r="AY84" s="40">
        <v>11033.58845641408</v>
      </c>
      <c r="AZ84" s="40">
        <v>11148.941278758188</v>
      </c>
      <c r="BA84" s="40">
        <v>14154.609030796826</v>
      </c>
      <c r="BB84" s="40">
        <v>5761.010198209744</v>
      </c>
    </row>
    <row r="85" spans="1:54">
      <c r="A85" s="41">
        <v>130</v>
      </c>
      <c r="B85" s="41" t="s">
        <v>71</v>
      </c>
      <c r="AF85" s="40">
        <v>2225.1113951307043</v>
      </c>
      <c r="AG85" s="40">
        <v>2341.7370131710973</v>
      </c>
      <c r="AH85" s="40">
        <v>1162.3309223676288</v>
      </c>
      <c r="AI85" s="40">
        <v>1288.6287255523944</v>
      </c>
      <c r="AJ85" s="40">
        <v>1717.3825072154943</v>
      </c>
      <c r="AK85" s="40">
        <v>2261.9959937020758</v>
      </c>
      <c r="AL85" s="40">
        <v>2238.8336255082572</v>
      </c>
      <c r="AM85" s="40">
        <v>1875.4514141695947</v>
      </c>
      <c r="AN85" s="40">
        <v>1773.8875591972128</v>
      </c>
      <c r="AO85" s="40">
        <v>1805.5107581764034</v>
      </c>
      <c r="AP85" s="40">
        <v>1747.8842650517854</v>
      </c>
      <c r="AQ85" s="40">
        <v>1664.3090956518347</v>
      </c>
      <c r="AR85" s="40">
        <v>1827.6281454437044</v>
      </c>
      <c r="AS85" s="40">
        <v>2285.6933741101593</v>
      </c>
      <c r="AT85" s="40">
        <v>2643.802568398884</v>
      </c>
      <c r="AU85" s="40">
        <v>2863.9631797082166</v>
      </c>
      <c r="AV85" s="40">
        <v>3133.3192123038853</v>
      </c>
      <c r="AW85" s="40">
        <v>3891.8953460278931</v>
      </c>
      <c r="AX85" s="40">
        <v>4685.6220798422164</v>
      </c>
      <c r="AY85" s="40">
        <v>4433.8570822515103</v>
      </c>
      <c r="AZ85" s="40">
        <v>4442.3007685395778</v>
      </c>
      <c r="BA85" s="40">
        <v>4940.9398065194418</v>
      </c>
      <c r="BB85" s="40">
        <v>2602.3674926381805</v>
      </c>
    </row>
    <row r="86" spans="1:54">
      <c r="A86" s="41">
        <v>131</v>
      </c>
      <c r="B86" s="41" t="s">
        <v>70</v>
      </c>
      <c r="C86" s="40">
        <v>133.84622339361798</v>
      </c>
      <c r="D86" s="40">
        <v>138.11543669821893</v>
      </c>
      <c r="E86" s="40">
        <v>138.40025365284239</v>
      </c>
      <c r="F86" s="40">
        <v>142.65332974751254</v>
      </c>
      <c r="G86" s="40">
        <v>144.48463008036339</v>
      </c>
      <c r="H86" s="40">
        <v>152.12157072594275</v>
      </c>
      <c r="I86" s="40">
        <v>157.50895983634126</v>
      </c>
      <c r="J86" s="40">
        <v>165.52520969255144</v>
      </c>
      <c r="K86" s="40">
        <v>165.04939414218029</v>
      </c>
      <c r="L86" s="40">
        <v>169.07066296678519</v>
      </c>
      <c r="M86" s="40">
        <v>177.43271800198747</v>
      </c>
      <c r="N86" s="40">
        <v>192.96846584917438</v>
      </c>
      <c r="O86" s="40">
        <v>231.12024333797962</v>
      </c>
      <c r="P86" s="40">
        <v>260.52141152044231</v>
      </c>
      <c r="Q86" s="40">
        <v>301.3625217873938</v>
      </c>
      <c r="R86" s="40">
        <v>279.73645379594171</v>
      </c>
      <c r="S86" s="40">
        <v>293.70656380565509</v>
      </c>
      <c r="T86" s="40">
        <v>322.86694350452757</v>
      </c>
      <c r="U86" s="40">
        <v>407.09720030700447</v>
      </c>
      <c r="V86" s="40">
        <v>462.14285798601577</v>
      </c>
      <c r="W86" s="40">
        <v>400.16370122552655</v>
      </c>
      <c r="X86" s="40">
        <v>382.42223978677208</v>
      </c>
      <c r="Y86" s="40">
        <v>371.11041022670008</v>
      </c>
      <c r="Z86" s="40">
        <v>302.5923394347339</v>
      </c>
      <c r="AA86" s="40">
        <v>286.32976229447291</v>
      </c>
      <c r="AB86" s="40">
        <v>317.43687388399837</v>
      </c>
      <c r="AC86" s="40">
        <v>242.87750916279435</v>
      </c>
      <c r="AD86" s="40">
        <v>224.54147380093838</v>
      </c>
      <c r="AE86" s="40">
        <v>222.93055321704901</v>
      </c>
      <c r="AF86" s="40">
        <v>266.89225556810726</v>
      </c>
      <c r="AG86" s="40">
        <v>222.98557920241385</v>
      </c>
      <c r="AH86" s="40">
        <v>246.61482403298447</v>
      </c>
      <c r="AI86" s="40">
        <v>266.5990563378582</v>
      </c>
      <c r="AJ86" s="40">
        <v>228.30498829253835</v>
      </c>
      <c r="AK86" s="40">
        <v>234.89277095947557</v>
      </c>
      <c r="AL86" s="40">
        <v>287.77139666992031</v>
      </c>
      <c r="AM86" s="40">
        <v>247.45046217546212</v>
      </c>
      <c r="AN86" s="40">
        <v>252.78178840332637</v>
      </c>
      <c r="AO86" s="40">
        <v>243.56678603555193</v>
      </c>
      <c r="AP86" s="40">
        <v>246.28264096587367</v>
      </c>
      <c r="AQ86" s="40">
        <v>278.98744992984257</v>
      </c>
      <c r="AR86" s="40">
        <v>262.7418197520671</v>
      </c>
      <c r="AS86" s="40">
        <v>317.42203169192851</v>
      </c>
      <c r="AT86" s="40">
        <v>245.67045293540556</v>
      </c>
      <c r="AU86" s="40">
        <v>275.47670758205464</v>
      </c>
      <c r="AV86" s="40">
        <v>292.9565189612776</v>
      </c>
      <c r="AW86" s="40">
        <v>379.06649964584233</v>
      </c>
      <c r="AX86" s="40">
        <v>471.44235100432843</v>
      </c>
      <c r="AY86" s="40">
        <v>419.09094287601636</v>
      </c>
      <c r="AZ86" s="40">
        <v>419.22381329404357</v>
      </c>
      <c r="BA86" s="40">
        <v>457.20796495998138</v>
      </c>
      <c r="BB86" s="40">
        <v>269.5993140223876</v>
      </c>
    </row>
    <row r="87" spans="1:54">
      <c r="A87" s="41">
        <v>132</v>
      </c>
      <c r="B87" s="41" t="s">
        <v>69</v>
      </c>
      <c r="C87" s="40">
        <v>48.395232712682891</v>
      </c>
      <c r="D87" s="40">
        <v>49.576613730994978</v>
      </c>
      <c r="E87" s="40">
        <v>50.431277402070521</v>
      </c>
      <c r="F87" s="40">
        <v>50.226632450359624</v>
      </c>
      <c r="G87" s="40">
        <v>57.740939442196954</v>
      </c>
      <c r="H87" s="40">
        <v>63.921075816443071</v>
      </c>
      <c r="I87" s="40">
        <v>64.589506641049937</v>
      </c>
      <c r="J87" s="40">
        <v>57.194471416323466</v>
      </c>
      <c r="K87" s="40">
        <v>60.363239023161192</v>
      </c>
      <c r="L87" s="40">
        <v>64.136029670992954</v>
      </c>
      <c r="M87" s="40">
        <v>78.305695651822347</v>
      </c>
      <c r="N87" s="40">
        <v>84.386111800773563</v>
      </c>
      <c r="O87" s="40">
        <v>89.447956318697791</v>
      </c>
      <c r="P87" s="40">
        <v>106.94500590053245</v>
      </c>
      <c r="Q87" s="40">
        <v>115.70774033645587</v>
      </c>
      <c r="R87" s="40">
        <v>122.34642212975476</v>
      </c>
      <c r="S87" s="40">
        <v>142.24425623991672</v>
      </c>
      <c r="T87" s="40">
        <v>161.88412317170378</v>
      </c>
      <c r="U87" s="40">
        <v>174.84026558369646</v>
      </c>
      <c r="V87" s="40">
        <v>198.44428930397405</v>
      </c>
      <c r="W87" s="40">
        <v>193.26978148304372</v>
      </c>
      <c r="X87" s="40">
        <v>179.91210644608529</v>
      </c>
      <c r="Y87" s="40">
        <v>181.72544568715352</v>
      </c>
      <c r="Z87" s="40">
        <v>173.60992263111362</v>
      </c>
      <c r="AA87" s="40">
        <v>155.73639130311616</v>
      </c>
      <c r="AB87" s="40">
        <v>154.36850610828176</v>
      </c>
      <c r="AC87" s="40">
        <v>145.16141975891455</v>
      </c>
      <c r="AD87" s="40">
        <v>159.4331961994086</v>
      </c>
      <c r="AE87" s="40">
        <v>174.64324516601445</v>
      </c>
      <c r="AF87" s="40">
        <v>199.08539279954749</v>
      </c>
      <c r="AG87" s="40">
        <v>228.16794553454591</v>
      </c>
      <c r="AH87" s="40">
        <v>184.38870212696028</v>
      </c>
      <c r="AI87" s="40">
        <v>211.27683359424995</v>
      </c>
      <c r="AJ87" s="40">
        <v>119.95873571226964</v>
      </c>
      <c r="AK87" s="40">
        <v>140.24939852045151</v>
      </c>
      <c r="AL87" s="40">
        <v>224.65954210149636</v>
      </c>
      <c r="AM87" s="40">
        <v>255.97584422861539</v>
      </c>
      <c r="AN87" s="40">
        <v>163.60334168645079</v>
      </c>
      <c r="AO87" s="40">
        <v>161.26099051653355</v>
      </c>
      <c r="AP87" s="40">
        <v>153.9996380907447</v>
      </c>
      <c r="AQ87" s="40">
        <v>147.67939039084288</v>
      </c>
      <c r="AR87" s="40">
        <v>223.46009483002888</v>
      </c>
      <c r="AS87" s="40">
        <v>198.11327507395947</v>
      </c>
      <c r="AT87" s="40">
        <v>208.85576353292362</v>
      </c>
      <c r="AU87" s="40">
        <v>213.15667453754935</v>
      </c>
      <c r="AV87" s="40">
        <v>234.21239605174901</v>
      </c>
      <c r="AW87" s="40">
        <v>265.99690752705021</v>
      </c>
      <c r="AX87" s="40">
        <v>302.49731895224119</v>
      </c>
      <c r="AY87" s="40">
        <v>345.19476144433901</v>
      </c>
      <c r="AZ87" s="40">
        <v>359.57952683673221</v>
      </c>
      <c r="BA87" s="40">
        <v>363.64155943787011</v>
      </c>
      <c r="BB87" s="40">
        <v>162.0392339814488</v>
      </c>
    </row>
    <row r="88" spans="1:54">
      <c r="A88" s="41">
        <v>133</v>
      </c>
      <c r="B88" s="41" t="s">
        <v>68</v>
      </c>
      <c r="C88" s="40">
        <v>287.4146979478802</v>
      </c>
      <c r="D88" s="40">
        <v>292.03362019403681</v>
      </c>
      <c r="E88" s="40">
        <v>300.96683860356433</v>
      </c>
      <c r="F88" s="40">
        <v>312.2228260251556</v>
      </c>
      <c r="G88" s="40">
        <v>333.11632467654755</v>
      </c>
      <c r="H88" s="40">
        <v>344.64929986212007</v>
      </c>
      <c r="I88" s="40">
        <v>347.69370569572123</v>
      </c>
      <c r="J88" s="40">
        <v>353.43612322832251</v>
      </c>
      <c r="K88" s="40">
        <v>380.69839417405097</v>
      </c>
      <c r="L88" s="40">
        <v>392.04407130659735</v>
      </c>
      <c r="M88" s="40">
        <v>403.71161022639922</v>
      </c>
      <c r="N88" s="40">
        <v>468.09079478138636</v>
      </c>
      <c r="O88" s="40">
        <v>694.15717750098327</v>
      </c>
      <c r="P88" s="40">
        <v>839.92369910365051</v>
      </c>
      <c r="Q88" s="40">
        <v>803.32475226417205</v>
      </c>
      <c r="R88" s="40">
        <v>932.84894468701691</v>
      </c>
      <c r="S88" s="40">
        <v>1084.0511652803846</v>
      </c>
      <c r="T88" s="40">
        <v>1262.7882472628783</v>
      </c>
      <c r="U88" s="40">
        <v>1599.6706487592846</v>
      </c>
      <c r="V88" s="40">
        <v>1802.625097535448</v>
      </c>
      <c r="W88" s="40">
        <v>1795.6890994069979</v>
      </c>
      <c r="X88" s="40">
        <v>1876.2336468697551</v>
      </c>
      <c r="Y88" s="40">
        <v>2055.5110003604532</v>
      </c>
      <c r="Z88" s="40">
        <v>2254.2892673383412</v>
      </c>
      <c r="AA88" s="40">
        <v>2015.4503288156923</v>
      </c>
      <c r="AB88" s="40">
        <v>1741.0620569103974</v>
      </c>
      <c r="AC88" s="40">
        <v>1926.6438566046254</v>
      </c>
      <c r="AD88" s="40">
        <v>2050.4485746698233</v>
      </c>
      <c r="AE88" s="40">
        <v>2193.9586331288506</v>
      </c>
      <c r="AF88" s="40">
        <v>2417.4369215384918</v>
      </c>
      <c r="AG88" s="40">
        <v>2626.0795919398738</v>
      </c>
      <c r="AH88" s="40">
        <v>3079.9762533514327</v>
      </c>
      <c r="AI88" s="40">
        <v>3395.414351165221</v>
      </c>
      <c r="AJ88" s="40">
        <v>3685.9746385338367</v>
      </c>
      <c r="AK88" s="40">
        <v>4286.1688532975959</v>
      </c>
      <c r="AL88" s="40">
        <v>4743.771709545771</v>
      </c>
      <c r="AM88" s="40">
        <v>4593.6717312219207</v>
      </c>
      <c r="AN88" s="40">
        <v>3228.5898581262923</v>
      </c>
      <c r="AO88" s="40">
        <v>3456.8595938948347</v>
      </c>
      <c r="AP88" s="40">
        <v>4004.5571912747491</v>
      </c>
      <c r="AQ88" s="40">
        <v>3877.996651824677</v>
      </c>
      <c r="AR88" s="40">
        <v>4130.6780169076328</v>
      </c>
      <c r="AS88" s="40">
        <v>4427.4597373396718</v>
      </c>
      <c r="AT88" s="40">
        <v>4918.1563559351407</v>
      </c>
      <c r="AU88" s="40">
        <v>5553.9435820831113</v>
      </c>
      <c r="AV88" s="40">
        <v>6179.6582208113587</v>
      </c>
      <c r="AW88" s="40">
        <v>7218.3974536302521</v>
      </c>
      <c r="AX88" s="40">
        <v>8460.3682770336072</v>
      </c>
      <c r="AY88" s="40">
        <v>7277.7627562565094</v>
      </c>
      <c r="AZ88" s="40">
        <v>8729.0997904091055</v>
      </c>
      <c r="BA88" s="40">
        <v>10011.985035219057</v>
      </c>
      <c r="BB88" s="40">
        <v>2773.5051191090329</v>
      </c>
    </row>
    <row r="89" spans="1:54">
      <c r="A89" s="41">
        <v>135</v>
      </c>
      <c r="B89" s="41" t="s">
        <v>67</v>
      </c>
      <c r="I89" s="40">
        <v>50.103041167538926</v>
      </c>
      <c r="J89" s="40">
        <v>61.766503077965453</v>
      </c>
      <c r="K89" s="40">
        <v>60.290576085255864</v>
      </c>
      <c r="L89" s="40">
        <v>62.938035551512556</v>
      </c>
      <c r="M89" s="40">
        <v>74.135795528212313</v>
      </c>
      <c r="N89" s="40">
        <v>82.573892501681556</v>
      </c>
      <c r="O89" s="40">
        <v>94.106637741338503</v>
      </c>
      <c r="P89" s="40">
        <v>88.469431146918623</v>
      </c>
      <c r="Q89" s="40">
        <v>134.1774566613033</v>
      </c>
      <c r="R89" s="40">
        <v>149.244474927444</v>
      </c>
      <c r="S89" s="40">
        <v>164.12982725922362</v>
      </c>
      <c r="T89" s="40">
        <v>188.03018561026465</v>
      </c>
      <c r="U89" s="40">
        <v>241.18049364074085</v>
      </c>
      <c r="V89" s="40">
        <v>265.37083276445367</v>
      </c>
      <c r="W89" s="40">
        <v>217.55846261400325</v>
      </c>
      <c r="X89" s="40">
        <v>189.50492365302065</v>
      </c>
      <c r="Y89" s="40">
        <v>181.14749353000161</v>
      </c>
      <c r="Z89" s="40">
        <v>180.09868521951267</v>
      </c>
      <c r="AA89" s="40">
        <v>177.40031736426101</v>
      </c>
      <c r="AB89" s="40">
        <v>223.33727959250373</v>
      </c>
      <c r="AC89" s="40">
        <v>253.68372433099699</v>
      </c>
      <c r="AD89" s="40">
        <v>252.5307153204632</v>
      </c>
      <c r="AE89" s="40">
        <v>256.54105104692155</v>
      </c>
      <c r="AF89" s="40">
        <v>304.01210846143368</v>
      </c>
      <c r="AG89" s="40">
        <v>297.99499595420929</v>
      </c>
      <c r="AH89" s="40">
        <v>342.74538518193731</v>
      </c>
      <c r="AI89" s="40">
        <v>313.75053981646226</v>
      </c>
      <c r="AJ89" s="40">
        <v>201.2346287888588</v>
      </c>
      <c r="AK89" s="40">
        <v>274.35760884433137</v>
      </c>
      <c r="AL89" s="40">
        <v>283.99933200082796</v>
      </c>
      <c r="AM89" s="40">
        <v>261.58513988753543</v>
      </c>
      <c r="AN89" s="40">
        <v>267.37342920060019</v>
      </c>
      <c r="AO89" s="40">
        <v>257.62757398092793</v>
      </c>
      <c r="AP89" s="40">
        <v>236.09611014733315</v>
      </c>
      <c r="AQ89" s="40">
        <v>248.9630622832442</v>
      </c>
      <c r="AR89" s="40">
        <v>307.16972187732489</v>
      </c>
      <c r="AS89" s="40">
        <v>388.81837307950309</v>
      </c>
      <c r="AT89" s="40">
        <v>421.17042876514967</v>
      </c>
      <c r="AU89" s="40">
        <v>444.28464360496616</v>
      </c>
      <c r="AV89" s="40">
        <v>496.74428309554162</v>
      </c>
      <c r="AW89" s="40">
        <v>561.49633273385098</v>
      </c>
      <c r="AX89" s="40">
        <v>665.05468879196508</v>
      </c>
      <c r="AY89" s="40">
        <v>661.13171143437035</v>
      </c>
      <c r="AZ89" s="40">
        <v>673.69466138146663</v>
      </c>
      <c r="BA89" s="40">
        <v>739.16833844076166</v>
      </c>
      <c r="BB89" s="40">
        <v>273.26206520195876</v>
      </c>
    </row>
    <row r="90" spans="1:54">
      <c r="A90" s="41">
        <v>139</v>
      </c>
      <c r="B90" s="41" t="s">
        <v>66</v>
      </c>
      <c r="C90" s="40">
        <v>121.9496575805541</v>
      </c>
      <c r="D90" s="40">
        <v>122.23398665167433</v>
      </c>
      <c r="E90" s="40">
        <v>121.55967134971326</v>
      </c>
      <c r="F90" s="40">
        <v>157.59174575814868</v>
      </c>
      <c r="G90" s="40">
        <v>174.07731853766239</v>
      </c>
      <c r="H90" s="40">
        <v>176.46339999730827</v>
      </c>
      <c r="I90" s="40">
        <v>181.70756946376642</v>
      </c>
      <c r="J90" s="40">
        <v>194.43174646277325</v>
      </c>
      <c r="K90" s="40">
        <v>178.91858813668458</v>
      </c>
      <c r="L90" s="40">
        <v>182.21054358523529</v>
      </c>
      <c r="M90" s="40">
        <v>191.93501006331815</v>
      </c>
      <c r="N90" s="40">
        <v>217.59286434170517</v>
      </c>
      <c r="O90" s="40">
        <v>266.16974312058761</v>
      </c>
      <c r="P90" s="40">
        <v>321.34436814711228</v>
      </c>
      <c r="Q90" s="40">
        <v>358.18961647133136</v>
      </c>
      <c r="R90" s="40">
        <v>383.44312112127517</v>
      </c>
      <c r="S90" s="40">
        <v>384.07792890212539</v>
      </c>
      <c r="T90" s="40">
        <v>375.80813739176023</v>
      </c>
      <c r="U90" s="40">
        <v>432.01785604405796</v>
      </c>
      <c r="V90" s="40">
        <v>462.17489246099478</v>
      </c>
      <c r="W90" s="40">
        <v>473.81319784909039</v>
      </c>
      <c r="X90" s="40">
        <v>461.8332556347093</v>
      </c>
      <c r="Y90" s="40">
        <v>471.73066553934143</v>
      </c>
      <c r="Z90" s="40">
        <v>422.92394237766217</v>
      </c>
      <c r="AA90" s="40">
        <v>386.61890760129597</v>
      </c>
      <c r="AB90" s="40">
        <v>442.12459413825718</v>
      </c>
      <c r="AC90" s="40">
        <v>487.66006341682476</v>
      </c>
      <c r="AD90" s="40">
        <v>499.51581586998537</v>
      </c>
      <c r="AE90" s="40">
        <v>498.41664178426078</v>
      </c>
      <c r="AF90" s="40">
        <v>503.71475536095045</v>
      </c>
      <c r="AG90" s="40">
        <v>693.62098999227771</v>
      </c>
      <c r="AH90" s="40">
        <v>683.98964077018559</v>
      </c>
      <c r="AI90" s="40">
        <v>567.39187166684337</v>
      </c>
      <c r="AJ90" s="40">
        <v>580.36232056247206</v>
      </c>
      <c r="AK90" s="40">
        <v>606.28166576830563</v>
      </c>
      <c r="AL90" s="40">
        <v>600.13122094592325</v>
      </c>
      <c r="AM90" s="40">
        <v>566.2770767934677</v>
      </c>
      <c r="AN90" s="40">
        <v>539.19551176382038</v>
      </c>
      <c r="AO90" s="40">
        <v>534.93234220484908</v>
      </c>
      <c r="AP90" s="40">
        <v>477.69870452112724</v>
      </c>
      <c r="AQ90" s="40">
        <v>464.11672877959188</v>
      </c>
      <c r="AR90" s="40">
        <v>460.28018166554472</v>
      </c>
      <c r="AS90" s="40">
        <v>527.05602257755459</v>
      </c>
      <c r="AT90" s="40">
        <v>600.06227710346934</v>
      </c>
      <c r="AU90" s="40">
        <v>694.32008278937565</v>
      </c>
      <c r="AV90" s="40">
        <v>939.15629352595147</v>
      </c>
      <c r="AW90" s="40">
        <v>1008.0243953947295</v>
      </c>
      <c r="AX90" s="40">
        <v>1107.318274955333</v>
      </c>
      <c r="AY90" s="40">
        <v>860.90836791011623</v>
      </c>
      <c r="AZ90" s="40">
        <v>1017.1662775218101</v>
      </c>
      <c r="BA90" s="40">
        <v>1154.0659361227956</v>
      </c>
      <c r="BB90" s="40">
        <v>477.14913310775898</v>
      </c>
    </row>
    <row r="91" spans="1:54">
      <c r="A91" s="41">
        <v>140</v>
      </c>
      <c r="B91" s="41" t="s">
        <v>65</v>
      </c>
      <c r="R91" s="40">
        <v>779.90404009518784</v>
      </c>
      <c r="S91" s="40">
        <v>897.66909251336688</v>
      </c>
      <c r="T91" s="40">
        <v>1088.8473418731216</v>
      </c>
      <c r="U91" s="40">
        <v>1278.3301046095651</v>
      </c>
      <c r="V91" s="40">
        <v>1176.5468233587067</v>
      </c>
      <c r="W91" s="40">
        <v>1171.6360426372025</v>
      </c>
      <c r="X91" s="40">
        <v>1093.0411007252667</v>
      </c>
      <c r="Y91" s="40">
        <v>1093.9779487184242</v>
      </c>
      <c r="Z91" s="40">
        <v>1035.366046029226</v>
      </c>
      <c r="AA91" s="40">
        <v>1063.625199097529</v>
      </c>
      <c r="AB91" s="40">
        <v>1433.6677383050203</v>
      </c>
      <c r="AC91" s="40">
        <v>1828.8394274633038</v>
      </c>
      <c r="AD91" s="40">
        <v>2059.3743054935048</v>
      </c>
      <c r="AE91" s="40">
        <v>2088.9101178021369</v>
      </c>
      <c r="AF91" s="40">
        <v>2506.184932712983</v>
      </c>
      <c r="AG91" s="40">
        <v>2669.326281588485</v>
      </c>
      <c r="AH91" s="40">
        <v>2973.2053880177186</v>
      </c>
      <c r="AI91" s="40">
        <v>2973.7936089484388</v>
      </c>
      <c r="AJ91" s="40">
        <v>3197.3369560051933</v>
      </c>
      <c r="AK91" s="40">
        <v>3599.5517508175494</v>
      </c>
      <c r="AL91" s="40">
        <v>3899.4424332067283</v>
      </c>
      <c r="AM91" s="40">
        <v>3646.6378419097318</v>
      </c>
      <c r="AN91" s="40">
        <v>3593.24156856113</v>
      </c>
      <c r="AO91" s="40">
        <v>3651.2310783088933</v>
      </c>
      <c r="AP91" s="40">
        <v>3861.0385424077667</v>
      </c>
      <c r="AQ91" s="40">
        <v>3780.8288480751594</v>
      </c>
      <c r="AR91" s="40">
        <v>3939.2818626440589</v>
      </c>
      <c r="AS91" s="40">
        <v>4587.6561083959086</v>
      </c>
      <c r="AT91" s="40">
        <v>5177.3664653444639</v>
      </c>
      <c r="AU91" s="40">
        <v>5054.318111629058</v>
      </c>
      <c r="AV91" s="40">
        <v>5194.4671409688654</v>
      </c>
      <c r="AW91" s="40">
        <v>6182.1973286412895</v>
      </c>
      <c r="AX91" s="40">
        <v>7599.9762426450052</v>
      </c>
      <c r="AY91" s="40">
        <v>6928.9615831243882</v>
      </c>
      <c r="AZ91" s="40">
        <v>7586.9695334291637</v>
      </c>
      <c r="BA91" s="40">
        <v>8741.3993637094845</v>
      </c>
      <c r="BB91" s="40">
        <v>3317.615230550361</v>
      </c>
    </row>
    <row r="92" spans="1:54">
      <c r="A92" s="41">
        <v>142</v>
      </c>
      <c r="B92" s="41" t="s">
        <v>64</v>
      </c>
      <c r="C92" s="40">
        <v>354.38689777511621</v>
      </c>
      <c r="D92" s="40">
        <v>369.13527709758131</v>
      </c>
      <c r="E92" s="40">
        <v>397.90251262412937</v>
      </c>
      <c r="F92" s="40">
        <v>456.85172005980127</v>
      </c>
      <c r="G92" s="40">
        <v>481.4794909423872</v>
      </c>
      <c r="H92" s="40">
        <v>520.20929597875659</v>
      </c>
      <c r="I92" s="40">
        <v>550.22582399270323</v>
      </c>
      <c r="J92" s="40">
        <v>589.77792714765098</v>
      </c>
      <c r="K92" s="40">
        <v>633.08447672309183</v>
      </c>
      <c r="L92" s="40">
        <v>670.74845072659991</v>
      </c>
      <c r="M92" s="40">
        <v>717.05820548907866</v>
      </c>
      <c r="N92" s="40">
        <v>801.09009755200429</v>
      </c>
      <c r="O92" s="40">
        <v>950.40396248053662</v>
      </c>
      <c r="P92" s="40">
        <v>1200.9833540595398</v>
      </c>
      <c r="Q92" s="40">
        <v>1426.1271868753909</v>
      </c>
      <c r="R92" s="40">
        <v>1402.2562647603097</v>
      </c>
      <c r="S92" s="40">
        <v>1253.8179109655755</v>
      </c>
      <c r="T92" s="40">
        <v>1529.8173553165275</v>
      </c>
      <c r="U92" s="40">
        <v>1957.9342927732537</v>
      </c>
      <c r="V92" s="40">
        <v>2762.5942006094133</v>
      </c>
      <c r="W92" s="40">
        <v>3477.4187958235711</v>
      </c>
      <c r="X92" s="40">
        <v>2366.2617787695353</v>
      </c>
      <c r="Y92" s="40">
        <v>1988.0644207421735</v>
      </c>
      <c r="Z92" s="40">
        <v>2300.3224503966749</v>
      </c>
      <c r="AA92" s="40">
        <v>2369.3122471728093</v>
      </c>
      <c r="AB92" s="40">
        <v>1630.0193426014396</v>
      </c>
      <c r="AC92" s="40">
        <v>1731.6679327169777</v>
      </c>
      <c r="AD92" s="40">
        <v>2216.2950382300132</v>
      </c>
      <c r="AE92" s="40">
        <v>2644.1976026434254</v>
      </c>
      <c r="AF92" s="40">
        <v>3052.0321733399446</v>
      </c>
      <c r="AG92" s="40">
        <v>3577.8081613128338</v>
      </c>
      <c r="AH92" s="40">
        <v>4050.9994549050848</v>
      </c>
      <c r="AI92" s="40">
        <v>4399.1126866200439</v>
      </c>
      <c r="AJ92" s="40">
        <v>4508.4235543510695</v>
      </c>
      <c r="AK92" s="40">
        <v>3005.4544112191438</v>
      </c>
      <c r="AL92" s="40">
        <v>3424.9355042139014</v>
      </c>
      <c r="AM92" s="40">
        <v>4056.6432162859369</v>
      </c>
      <c r="AN92" s="40">
        <v>4183.7459615077214</v>
      </c>
      <c r="AO92" s="40">
        <v>4703.0646363556971</v>
      </c>
      <c r="AP92" s="40">
        <v>5597.4413401419006</v>
      </c>
      <c r="AQ92" s="40">
        <v>5905.5758832066722</v>
      </c>
      <c r="AR92" s="40">
        <v>6081.8338615809043</v>
      </c>
      <c r="AS92" s="40">
        <v>6481.1083403158491</v>
      </c>
      <c r="AT92" s="40">
        <v>6946.1209150030445</v>
      </c>
      <c r="AU92" s="40">
        <v>7666.6979609726432</v>
      </c>
      <c r="AV92" s="40">
        <v>8492.4692474780277</v>
      </c>
      <c r="AW92" s="40">
        <v>9124.2689149499511</v>
      </c>
      <c r="AX92" s="40">
        <v>9500.8227318598292</v>
      </c>
      <c r="AY92" s="40">
        <v>7590.7931353378781</v>
      </c>
      <c r="AZ92" s="40">
        <v>8779.1371924060113</v>
      </c>
      <c r="BA92" s="40">
        <v>9698.678739165538</v>
      </c>
      <c r="BB92" s="40">
        <v>3344.6394575603085</v>
      </c>
    </row>
    <row r="93" spans="1:54">
      <c r="A93" s="41">
        <v>144</v>
      </c>
      <c r="B93" s="41" t="s">
        <v>63</v>
      </c>
      <c r="AF93" s="40">
        <v>972.093095245982</v>
      </c>
      <c r="AG93" s="40">
        <v>835.01541017616171</v>
      </c>
      <c r="AH93" s="40">
        <v>625.30153859962866</v>
      </c>
      <c r="AI93" s="40">
        <v>640.16543154758085</v>
      </c>
      <c r="AJ93" s="40">
        <v>460.83225575105286</v>
      </c>
      <c r="AK93" s="40">
        <v>476.99267795694504</v>
      </c>
      <c r="AL93" s="40">
        <v>462.17201504552173</v>
      </c>
      <c r="AM93" s="40">
        <v>527.39163806750571</v>
      </c>
      <c r="AN93" s="40">
        <v>448.83657001873661</v>
      </c>
      <c r="AO93" s="40">
        <v>321.02697253128031</v>
      </c>
      <c r="AP93" s="40">
        <v>354.00166803161954</v>
      </c>
      <c r="AQ93" s="40">
        <v>407.73046774151936</v>
      </c>
      <c r="AR93" s="40">
        <v>458.6781966351096</v>
      </c>
      <c r="AS93" s="40">
        <v>548.29044549145215</v>
      </c>
      <c r="AT93" s="40">
        <v>720.94313254257997</v>
      </c>
      <c r="AU93" s="40">
        <v>831.1602651732469</v>
      </c>
      <c r="AV93" s="40">
        <v>950.61642325016032</v>
      </c>
      <c r="AW93" s="40">
        <v>1230.811875659319</v>
      </c>
      <c r="AX93" s="40">
        <v>1695.9732861919281</v>
      </c>
      <c r="AY93" s="40">
        <v>1525.5265466728265</v>
      </c>
      <c r="AZ93" s="40">
        <v>1631.5331945336395</v>
      </c>
      <c r="BA93" s="40">
        <v>1970.1189271107889</v>
      </c>
      <c r="BB93" s="40">
        <v>822.50963790793571</v>
      </c>
    </row>
    <row r="94" spans="1:54">
      <c r="A94" s="41">
        <v>146</v>
      </c>
      <c r="B94" s="41" t="s">
        <v>62</v>
      </c>
      <c r="W94" s="40">
        <v>1332.639033956993</v>
      </c>
      <c r="X94" s="40">
        <v>1435.7695120277388</v>
      </c>
      <c r="Y94" s="40">
        <v>1495.0198406364741</v>
      </c>
      <c r="Z94" s="40">
        <v>1121.6683557062941</v>
      </c>
      <c r="AA94" s="40">
        <v>1137.6903523162985</v>
      </c>
      <c r="AB94" s="40">
        <v>1465.4483983358202</v>
      </c>
      <c r="AC94" s="40">
        <v>1485.5366959008963</v>
      </c>
      <c r="AD94" s="40">
        <v>1533.4399032215306</v>
      </c>
      <c r="AE94" s="40">
        <v>1670.6866247924661</v>
      </c>
      <c r="AF94" s="40">
        <v>1172.4355520432898</v>
      </c>
      <c r="AG94" s="40">
        <v>1072.626645042782</v>
      </c>
      <c r="AH94" s="40">
        <v>587.29537793229883</v>
      </c>
      <c r="AI94" s="40">
        <v>339.51640041830018</v>
      </c>
      <c r="AJ94" s="40">
        <v>405.96771591371453</v>
      </c>
      <c r="AK94" s="40">
        <v>631.90828647740841</v>
      </c>
      <c r="AL94" s="40">
        <v>580.90330525605918</v>
      </c>
      <c r="AM94" s="40">
        <v>505.59686118653065</v>
      </c>
      <c r="AN94" s="40">
        <v>477.34405074401371</v>
      </c>
      <c r="AO94" s="40">
        <v>445.00039703601453</v>
      </c>
      <c r="AP94" s="40">
        <v>474.20603366218575</v>
      </c>
      <c r="AQ94" s="40">
        <v>524.03776013690083</v>
      </c>
      <c r="AR94" s="40">
        <v>571.60201881767853</v>
      </c>
      <c r="AS94" s="40">
        <v>646.23694913767224</v>
      </c>
      <c r="AT94" s="40">
        <v>798.02437852498235</v>
      </c>
      <c r="AU94" s="40">
        <v>998.75635986517648</v>
      </c>
      <c r="AV94" s="40">
        <v>1333.8771582161044</v>
      </c>
      <c r="AW94" s="40">
        <v>1631.9010400330903</v>
      </c>
      <c r="AX94" s="40">
        <v>2135.8113377162072</v>
      </c>
      <c r="AY94" s="40">
        <v>1715.3637354983987</v>
      </c>
      <c r="AZ94" s="40">
        <v>2285.6453775170312</v>
      </c>
      <c r="BA94" s="40">
        <v>3181.1044007766932</v>
      </c>
      <c r="BB94" s="40">
        <v>1135.2599954466791</v>
      </c>
    </row>
    <row r="95" spans="1:54">
      <c r="A95" s="41">
        <v>148</v>
      </c>
      <c r="B95" s="41" t="s">
        <v>61</v>
      </c>
      <c r="C95" s="40">
        <v>159.66098499199765</v>
      </c>
      <c r="D95" s="40">
        <v>182.49505610262392</v>
      </c>
      <c r="E95" s="40">
        <v>198.48869384570219</v>
      </c>
      <c r="F95" s="40">
        <v>203.7062410227748</v>
      </c>
      <c r="G95" s="40">
        <v>209.21579514994684</v>
      </c>
      <c r="H95" s="40">
        <v>198.99564006845389</v>
      </c>
      <c r="I95" s="40">
        <v>205.5232016689454</v>
      </c>
      <c r="J95" s="40">
        <v>215.33982162553417</v>
      </c>
      <c r="K95" s="40">
        <v>234.7148937667298</v>
      </c>
      <c r="L95" s="40">
        <v>248.56950425023322</v>
      </c>
      <c r="M95" s="40">
        <v>267.82352943428521</v>
      </c>
      <c r="N95" s="40">
        <v>305.44947677938393</v>
      </c>
      <c r="O95" s="40">
        <v>368.09436854297923</v>
      </c>
      <c r="P95" s="40">
        <v>443.31334720406966</v>
      </c>
      <c r="Q95" s="40">
        <v>508.03836935792594</v>
      </c>
      <c r="R95" s="40">
        <v>530.27997988508264</v>
      </c>
      <c r="S95" s="40">
        <v>597.97343784684006</v>
      </c>
      <c r="T95" s="40">
        <v>700.32670837354692</v>
      </c>
      <c r="U95" s="40">
        <v>822.71654614193903</v>
      </c>
      <c r="V95" s="40">
        <v>950.60822094755395</v>
      </c>
      <c r="W95" s="40">
        <v>753.65830689383029</v>
      </c>
      <c r="X95" s="40">
        <v>742.69012479209425</v>
      </c>
      <c r="Y95" s="40">
        <v>655.43740928209809</v>
      </c>
      <c r="Z95" s="40">
        <v>585.5616481177542</v>
      </c>
      <c r="AA95" s="40">
        <v>577.69443440271812</v>
      </c>
      <c r="AB95" s="40">
        <v>746.28266666437514</v>
      </c>
      <c r="AC95" s="40">
        <v>805.92896472934603</v>
      </c>
      <c r="AD95" s="40">
        <v>935.0634829386463</v>
      </c>
      <c r="AE95" s="40">
        <v>943.64216218355557</v>
      </c>
      <c r="AF95" s="40">
        <v>1046.4337537989247</v>
      </c>
      <c r="AG95" s="40">
        <v>1107.7876843751794</v>
      </c>
      <c r="AH95" s="40">
        <v>1112.6714333032567</v>
      </c>
      <c r="AI95" s="40">
        <v>1030.7965002235717</v>
      </c>
      <c r="AJ95" s="40">
        <v>1148.7419450549214</v>
      </c>
      <c r="AK95" s="40">
        <v>1229.309743375064</v>
      </c>
      <c r="AL95" s="40">
        <v>1345.1761156680086</v>
      </c>
      <c r="AM95" s="40">
        <v>1209.2631509154642</v>
      </c>
      <c r="AN95" s="40">
        <v>1428.6530849550006</v>
      </c>
      <c r="AO95" s="40">
        <v>1400.357350752445</v>
      </c>
      <c r="AP95" s="40">
        <v>1289.4619025128402</v>
      </c>
      <c r="AQ95" s="40">
        <v>1299.9025560897733</v>
      </c>
      <c r="AR95" s="40">
        <v>1378.8510749926918</v>
      </c>
      <c r="AS95" s="40">
        <v>1683.9408453037565</v>
      </c>
      <c r="AT95" s="40">
        <v>1907.4343071481435</v>
      </c>
      <c r="AU95" s="40">
        <v>1975.8665097899898</v>
      </c>
      <c r="AV95" s="40">
        <v>2159.4636719291252</v>
      </c>
      <c r="AW95" s="40">
        <v>2452.9985783251464</v>
      </c>
      <c r="AX95" s="40">
        <v>2871.346605349639</v>
      </c>
      <c r="AY95" s="40">
        <v>2906.5981362675361</v>
      </c>
      <c r="AZ95" s="40">
        <v>2868.6441666067135</v>
      </c>
      <c r="BA95" s="40">
        <v>3094.6076582436608</v>
      </c>
      <c r="BB95" s="40">
        <v>1024.4235253331728</v>
      </c>
    </row>
    <row r="96" spans="1:54">
      <c r="A96" s="41">
        <v>149</v>
      </c>
      <c r="B96" s="41" t="s">
        <v>60</v>
      </c>
      <c r="V96" s="40">
        <v>290.41810171505716</v>
      </c>
      <c r="W96" s="40">
        <v>283.9659237972968</v>
      </c>
      <c r="X96" s="40">
        <v>283.996587766635</v>
      </c>
      <c r="Y96" s="40">
        <v>249.20207897414173</v>
      </c>
      <c r="Z96" s="40">
        <v>255.49692285784101</v>
      </c>
      <c r="AA96" s="40">
        <v>334.22936488910983</v>
      </c>
      <c r="AB96" s="40">
        <v>391.56778339678925</v>
      </c>
      <c r="AC96" s="40">
        <v>175.99486633346399</v>
      </c>
      <c r="AD96" s="40">
        <v>156.82066101635925</v>
      </c>
      <c r="AE96" s="40">
        <v>172.76320130777447</v>
      </c>
      <c r="AF96" s="40">
        <v>185.15013978329702</v>
      </c>
      <c r="AG96" s="40">
        <v>197.85843544505946</v>
      </c>
      <c r="AH96" s="40">
        <v>137.2012874169435</v>
      </c>
      <c r="AI96" s="40">
        <v>136.14589659684518</v>
      </c>
      <c r="AJ96" s="40">
        <v>139.95382798237011</v>
      </c>
      <c r="AK96" s="40">
        <v>140.58639097505312</v>
      </c>
      <c r="AL96" s="40">
        <v>196.90430161878291</v>
      </c>
      <c r="AM96" s="40">
        <v>225.2503258537368</v>
      </c>
      <c r="AN96" s="40">
        <v>249.23860690853559</v>
      </c>
      <c r="AO96" s="40">
        <v>254.87431035646065</v>
      </c>
      <c r="AP96" s="40">
        <v>235.83830608830863</v>
      </c>
      <c r="AQ96" s="40">
        <v>216.92273555089082</v>
      </c>
      <c r="AR96" s="40">
        <v>217.46148738104648</v>
      </c>
      <c r="AS96" s="40">
        <v>234.79541033380463</v>
      </c>
      <c r="AT96" s="40">
        <v>278.78269342212349</v>
      </c>
      <c r="AU96" s="40">
        <v>313.10792968181966</v>
      </c>
      <c r="AV96" s="40">
        <v>328.70739924482638</v>
      </c>
      <c r="AW96" s="40">
        <v>362.43242480998691</v>
      </c>
      <c r="AX96" s="40">
        <v>434.53015009459489</v>
      </c>
      <c r="AY96" s="40">
        <v>414.11004480012815</v>
      </c>
      <c r="AZ96" s="40">
        <v>386.96316546406609</v>
      </c>
      <c r="BA96" s="40">
        <v>511.29949415585611</v>
      </c>
      <c r="BB96" s="40">
        <v>262.26782050059393</v>
      </c>
    </row>
    <row r="97" spans="1:54">
      <c r="A97" s="41">
        <v>150</v>
      </c>
      <c r="B97" s="41" t="s">
        <v>59</v>
      </c>
    </row>
    <row r="98" spans="1:54">
      <c r="A98" s="41">
        <v>151</v>
      </c>
      <c r="B98" s="41" t="s">
        <v>58</v>
      </c>
      <c r="V98" s="40">
        <v>2141.3020104614102</v>
      </c>
      <c r="W98" s="40">
        <v>1885.8612713737637</v>
      </c>
      <c r="X98" s="40">
        <v>1706.4005132537388</v>
      </c>
      <c r="Y98" s="40">
        <v>1783.1560534207695</v>
      </c>
      <c r="Z98" s="40">
        <v>1461.683985382479</v>
      </c>
      <c r="AA98" s="40">
        <v>1178.9439690957331</v>
      </c>
      <c r="AB98" s="40">
        <v>1278.3484767729299</v>
      </c>
      <c r="AC98" s="40">
        <v>1551.207406940164</v>
      </c>
      <c r="AD98" s="40">
        <v>1632.4112577752969</v>
      </c>
      <c r="AE98" s="40">
        <v>1594.1693696394452</v>
      </c>
      <c r="AF98" s="40">
        <v>1660.4702756495749</v>
      </c>
      <c r="AG98" s="40">
        <v>1699.8856944701545</v>
      </c>
      <c r="AH98" s="40">
        <v>1874.6543633839506</v>
      </c>
      <c r="AI98" s="40">
        <v>1825.3612258806952</v>
      </c>
      <c r="AJ98" s="40">
        <v>2025.089082051649</v>
      </c>
      <c r="AK98" s="40">
        <v>2117.6755657782264</v>
      </c>
      <c r="AL98" s="40">
        <v>2047.4053018170177</v>
      </c>
      <c r="AM98" s="40">
        <v>2067.857791444103</v>
      </c>
      <c r="AN98" s="40">
        <v>1878.0284269487404</v>
      </c>
      <c r="AO98" s="40">
        <v>1822.9855939190743</v>
      </c>
      <c r="AP98" s="40">
        <v>2059.3756132762778</v>
      </c>
      <c r="AQ98" s="40">
        <v>1836.4977533865333</v>
      </c>
      <c r="AR98" s="40">
        <v>1716.4054599077729</v>
      </c>
      <c r="AS98" s="40">
        <v>2488.9973850711153</v>
      </c>
      <c r="AT98" s="40">
        <v>3298.0107235251185</v>
      </c>
      <c r="AU98" s="40">
        <v>3582.2438599574662</v>
      </c>
      <c r="AV98" s="40">
        <v>3886.4805830170803</v>
      </c>
      <c r="AW98" s="40">
        <v>4234.9251535053208</v>
      </c>
      <c r="AX98" s="40">
        <v>4183.2313693783644</v>
      </c>
      <c r="AY98" s="40">
        <v>4133.0586994715322</v>
      </c>
      <c r="AZ98" s="40">
        <v>5078.5130198766728</v>
      </c>
      <c r="BA98" s="40">
        <v>5692.1888307463123</v>
      </c>
      <c r="BB98" s="40">
        <v>2419.4633152055776</v>
      </c>
    </row>
    <row r="99" spans="1:54">
      <c r="A99" s="41">
        <v>153</v>
      </c>
      <c r="B99" s="41" t="s">
        <v>57</v>
      </c>
      <c r="C99" s="40">
        <v>54.783867322035078</v>
      </c>
      <c r="D99" s="40">
        <v>58.095903141286776</v>
      </c>
      <c r="E99" s="40">
        <v>49.395137702591143</v>
      </c>
      <c r="F99" s="40">
        <v>48.410110053801269</v>
      </c>
      <c r="G99" s="40">
        <v>70.401366331064537</v>
      </c>
      <c r="H99" s="40">
        <v>85.15092330620044</v>
      </c>
      <c r="I99" s="40">
        <v>77.498466125020173</v>
      </c>
      <c r="J99" s="40">
        <v>69.644239303315175</v>
      </c>
      <c r="K99" s="40">
        <v>69.667403025384431</v>
      </c>
      <c r="L99" s="40">
        <v>74.914890766214782</v>
      </c>
      <c r="M99" s="40">
        <v>74.77073842843609</v>
      </c>
      <c r="N99" s="40">
        <v>84.910709306552249</v>
      </c>
      <c r="O99" s="40">
        <v>78.884004781355941</v>
      </c>
      <c r="P99" s="40">
        <v>96.71500057554141</v>
      </c>
      <c r="Q99" s="40">
        <v>122.42928499953918</v>
      </c>
      <c r="R99" s="40">
        <v>110.42419211558897</v>
      </c>
      <c r="S99" s="40">
        <v>102.78311454250213</v>
      </c>
      <c r="T99" s="40">
        <v>116.6534515817779</v>
      </c>
      <c r="U99" s="40">
        <v>131.63967069164661</v>
      </c>
      <c r="V99" s="40">
        <v>135.27528565210395</v>
      </c>
      <c r="W99" s="40">
        <v>154.60986997438371</v>
      </c>
      <c r="X99" s="40">
        <v>159.02712143171937</v>
      </c>
      <c r="Y99" s="40">
        <v>158.73010192868449</v>
      </c>
      <c r="Z99" s="40">
        <v>163.59535343522722</v>
      </c>
      <c r="AA99" s="40">
        <v>162.28431818988534</v>
      </c>
      <c r="AB99" s="40">
        <v>172.63603304956214</v>
      </c>
      <c r="AC99" s="40">
        <v>175.11282051503827</v>
      </c>
      <c r="AD99" s="40">
        <v>201.86923912161268</v>
      </c>
      <c r="AE99" s="40">
        <v>199.39595958228082</v>
      </c>
      <c r="AF99" s="40">
        <v>200.29369960056593</v>
      </c>
      <c r="AG99" s="40">
        <v>211.17896010843182</v>
      </c>
      <c r="AH99" s="40">
        <v>178.53305253220913</v>
      </c>
      <c r="AI99" s="40">
        <v>187.20004432737471</v>
      </c>
      <c r="AJ99" s="40">
        <v>202.67589359880515</v>
      </c>
      <c r="AK99" s="40">
        <v>213.7791253872831</v>
      </c>
      <c r="AL99" s="40">
        <v>214.1379280176603</v>
      </c>
      <c r="AM99" s="40">
        <v>227.21959692142542</v>
      </c>
      <c r="AN99" s="40">
        <v>218.99258888770356</v>
      </c>
      <c r="AO99" s="40">
        <v>221.842544424149</v>
      </c>
      <c r="AP99" s="40">
        <v>236.98284428664536</v>
      </c>
      <c r="AQ99" s="40">
        <v>253.94339485207391</v>
      </c>
      <c r="AR99" s="40">
        <v>251.04387216190474</v>
      </c>
      <c r="AS99" s="40">
        <v>258.11785551231452</v>
      </c>
      <c r="AT99" s="40">
        <v>291.86904184893859</v>
      </c>
      <c r="AU99" s="40">
        <v>321.45501864774525</v>
      </c>
      <c r="AV99" s="40">
        <v>352.8009746994689</v>
      </c>
      <c r="AW99" s="40">
        <v>397.90401786090854</v>
      </c>
      <c r="AX99" s="40">
        <v>477.93217636249824</v>
      </c>
      <c r="AY99" s="40">
        <v>484.26681403305236</v>
      </c>
      <c r="AZ99" s="40">
        <v>594.34187558376914</v>
      </c>
      <c r="BA99" s="40">
        <v>698.81446259300128</v>
      </c>
      <c r="BB99" s="40">
        <v>195.196752141731</v>
      </c>
    </row>
    <row r="100" spans="1:54">
      <c r="A100" s="41">
        <v>154</v>
      </c>
      <c r="B100" s="41" t="s">
        <v>56</v>
      </c>
      <c r="C100" s="40">
        <v>1159.3923571607356</v>
      </c>
      <c r="D100" s="40">
        <v>1240.6778943729407</v>
      </c>
      <c r="E100" s="40">
        <v>1328.0366487996835</v>
      </c>
      <c r="F100" s="40">
        <v>1541.9473651902895</v>
      </c>
      <c r="G100" s="40">
        <v>1708.096356488621</v>
      </c>
      <c r="H100" s="40">
        <v>1835.8014235103449</v>
      </c>
      <c r="I100" s="40">
        <v>1991.3606856504159</v>
      </c>
      <c r="J100" s="40">
        <v>2185.248658886575</v>
      </c>
      <c r="K100" s="40">
        <v>2446.3354539953862</v>
      </c>
      <c r="L100" s="40">
        <v>2711.3620143907574</v>
      </c>
      <c r="M100" s="40">
        <v>3129.6274233964964</v>
      </c>
      <c r="N100" s="40">
        <v>3801.9730917045213</v>
      </c>
      <c r="O100" s="40">
        <v>4980.9597579259989</v>
      </c>
      <c r="P100" s="40">
        <v>5845.028883199363</v>
      </c>
      <c r="Q100" s="40">
        <v>6821.6976561334586</v>
      </c>
      <c r="R100" s="40">
        <v>7384.4450204750729</v>
      </c>
      <c r="S100" s="40">
        <v>8575.2426842386412</v>
      </c>
      <c r="T100" s="40">
        <v>10424.123751854098</v>
      </c>
      <c r="U100" s="40">
        <v>11855.35325190631</v>
      </c>
      <c r="V100" s="40">
        <v>12775.469559351759</v>
      </c>
      <c r="W100" s="40">
        <v>10671.447280388935</v>
      </c>
      <c r="X100" s="40">
        <v>10256.657771962247</v>
      </c>
      <c r="Y100" s="40">
        <v>9893.2688917091673</v>
      </c>
      <c r="Z100" s="40">
        <v>9241.8923637837452</v>
      </c>
      <c r="AA100" s="40">
        <v>9194.6228163636533</v>
      </c>
      <c r="AB100" s="40">
        <v>12768.047870297862</v>
      </c>
      <c r="AC100" s="40">
        <v>15478.146963504227</v>
      </c>
      <c r="AD100" s="40">
        <v>16436.818526297113</v>
      </c>
      <c r="AE100" s="40">
        <v>16115.566993854101</v>
      </c>
      <c r="AF100" s="40">
        <v>19721.828242555905</v>
      </c>
      <c r="AG100" s="40">
        <v>20130.671820840987</v>
      </c>
      <c r="AH100" s="40">
        <v>22142.426901437044</v>
      </c>
      <c r="AI100" s="40">
        <v>21418.40235078186</v>
      </c>
      <c r="AJ100" s="40">
        <v>22830.001637751153</v>
      </c>
      <c r="AK100" s="40">
        <v>27101.953133830444</v>
      </c>
      <c r="AL100" s="40">
        <v>26913.521521129762</v>
      </c>
      <c r="AM100" s="40">
        <v>24760.901695152745</v>
      </c>
      <c r="AN100" s="40">
        <v>25634.617860989427</v>
      </c>
      <c r="AO100" s="40">
        <v>26021.637652279995</v>
      </c>
      <c r="AP100" s="40">
        <v>24179.731407438598</v>
      </c>
      <c r="AQ100" s="40">
        <v>24968.817419626408</v>
      </c>
      <c r="AR100" s="40">
        <v>27110.606851919998</v>
      </c>
      <c r="AS100" s="40">
        <v>33177.357258652039</v>
      </c>
      <c r="AT100" s="40">
        <v>37458.432870626064</v>
      </c>
      <c r="AU100" s="40">
        <v>39122.291079479655</v>
      </c>
      <c r="AV100" s="40">
        <v>41458.932710176283</v>
      </c>
      <c r="AW100" s="40">
        <v>47770.80120631442</v>
      </c>
      <c r="AX100" s="40">
        <v>52951.033588442915</v>
      </c>
      <c r="AY100" s="40">
        <v>48173.906573578352</v>
      </c>
      <c r="AZ100" s="40">
        <v>46622.902516596478</v>
      </c>
      <c r="BA100" s="40">
        <v>50085.05989436763</v>
      </c>
      <c r="BB100" s="40">
        <v>17912.833051191388</v>
      </c>
    </row>
    <row r="101" spans="1:54">
      <c r="A101" s="41">
        <v>157</v>
      </c>
      <c r="B101" s="41" t="s">
        <v>55</v>
      </c>
      <c r="C101" s="40">
        <v>2343.2922131742489</v>
      </c>
      <c r="D101" s="40">
        <v>2448.6286332646832</v>
      </c>
      <c r="E101" s="40">
        <v>2622.2202714035971</v>
      </c>
      <c r="F101" s="40">
        <v>2813.5469756393927</v>
      </c>
      <c r="G101" s="40">
        <v>2151.2949269531509</v>
      </c>
      <c r="H101" s="40">
        <v>2191.3125419395928</v>
      </c>
      <c r="I101" s="40">
        <v>2188.3991386256102</v>
      </c>
      <c r="J101" s="40">
        <v>1885.1561517562504</v>
      </c>
      <c r="K101" s="40">
        <v>2077.8955430230139</v>
      </c>
      <c r="M101" s="40">
        <v>2747.7526524250698</v>
      </c>
      <c r="N101" s="40">
        <v>3262.8315447669715</v>
      </c>
      <c r="O101" s="40">
        <v>4277.3838112034846</v>
      </c>
      <c r="P101" s="40">
        <v>4557.1295617353198</v>
      </c>
      <c r="Q101" s="40">
        <v>4118.7853296749827</v>
      </c>
      <c r="R101" s="40">
        <v>4320.0781885156794</v>
      </c>
      <c r="S101" s="40">
        <v>4881.3118235281363</v>
      </c>
      <c r="T101" s="40">
        <v>5851.2947161808961</v>
      </c>
      <c r="U101" s="40">
        <v>6565.3351160143684</v>
      </c>
      <c r="V101" s="40">
        <v>7346.5541053244206</v>
      </c>
      <c r="W101" s="40">
        <v>7673.0892401295159</v>
      </c>
      <c r="X101" s="40">
        <v>7501.8342934004977</v>
      </c>
      <c r="Y101" s="40">
        <v>7445.5858353018393</v>
      </c>
      <c r="Z101" s="40">
        <v>6581.6617066785393</v>
      </c>
      <c r="AA101" s="40">
        <v>7447.9353877128688</v>
      </c>
      <c r="AB101" s="40">
        <v>9231.9492835631627</v>
      </c>
      <c r="AC101" s="40">
        <v>12061.801788395056</v>
      </c>
      <c r="AD101" s="40">
        <v>13466.835151928548</v>
      </c>
      <c r="AE101" s="40">
        <v>13033.695437803197</v>
      </c>
      <c r="AF101" s="40">
        <v>13366.78502591699</v>
      </c>
      <c r="AG101" s="40">
        <v>11967.019836903204</v>
      </c>
      <c r="AH101" s="40">
        <v>11538.171435724757</v>
      </c>
      <c r="AI101" s="40">
        <v>12830.868798696431</v>
      </c>
      <c r="AJ101" s="40">
        <v>14992.217500579336</v>
      </c>
      <c r="AK101" s="40">
        <v>17097.713379821627</v>
      </c>
      <c r="AL101" s="40">
        <v>18457.613299770634</v>
      </c>
      <c r="AM101" s="40">
        <v>17172.249732635268</v>
      </c>
      <c r="AN101" s="40">
        <v>14471.404751453774</v>
      </c>
      <c r="AO101" s="40">
        <v>15047.996407084724</v>
      </c>
      <c r="AP101" s="40">
        <v>13379.440827387774</v>
      </c>
      <c r="AQ101" s="40">
        <v>13628.60336833795</v>
      </c>
      <c r="AR101" s="40">
        <v>16582.950794350745</v>
      </c>
      <c r="AS101" s="40">
        <v>21541.293541283387</v>
      </c>
      <c r="AT101" s="40">
        <v>25012.358029450312</v>
      </c>
      <c r="AU101" s="40">
        <v>27357.860786237055</v>
      </c>
      <c r="AV101" s="40">
        <v>26127.650488401814</v>
      </c>
      <c r="AW101" s="40">
        <v>31895.727806057501</v>
      </c>
      <c r="AX101" s="40">
        <v>30452.809857340297</v>
      </c>
      <c r="AY101" s="40">
        <v>26989.636915519717</v>
      </c>
      <c r="AZ101" s="40">
        <v>31999.548033170151</v>
      </c>
      <c r="BA101" s="40">
        <v>36080.301662101556</v>
      </c>
      <c r="BB101" s="40">
        <v>12021.696272965743</v>
      </c>
    </row>
    <row r="102" spans="1:54">
      <c r="A102" s="41">
        <v>158</v>
      </c>
      <c r="B102" s="41" t="s">
        <v>54</v>
      </c>
      <c r="C102" s="40">
        <v>133.38999240197793</v>
      </c>
      <c r="D102" s="40">
        <v>142.74223838742165</v>
      </c>
      <c r="E102" s="40">
        <v>152.97584747057928</v>
      </c>
      <c r="F102" s="40">
        <v>173.36544305218416</v>
      </c>
      <c r="G102" s="40">
        <v>273.53786765046306</v>
      </c>
      <c r="H102" s="40">
        <v>285.60905161699588</v>
      </c>
      <c r="I102" s="40">
        <v>299.96558696819955</v>
      </c>
      <c r="J102" s="40">
        <v>306.85722435728673</v>
      </c>
      <c r="K102" s="40">
        <v>322.22834342109002</v>
      </c>
      <c r="L102" s="40">
        <v>324.44780645508291</v>
      </c>
      <c r="M102" s="40">
        <v>334.86882555423733</v>
      </c>
      <c r="N102" s="40">
        <v>344.34484471926322</v>
      </c>
      <c r="O102" s="40">
        <v>415.3831299514905</v>
      </c>
      <c r="P102" s="40">
        <v>560.72210994052227</v>
      </c>
      <c r="Q102" s="40">
        <v>565.25118890416411</v>
      </c>
      <c r="R102" s="40">
        <v>636.64509588829037</v>
      </c>
      <c r="S102" s="40">
        <v>748.6436082122267</v>
      </c>
      <c r="T102" s="40">
        <v>694.00681670612391</v>
      </c>
      <c r="U102" s="40">
        <v>496.40111772621032</v>
      </c>
      <c r="V102" s="40">
        <v>659.68921607994366</v>
      </c>
      <c r="W102" s="40">
        <v>740.14463341529699</v>
      </c>
      <c r="X102" s="40">
        <v>714.13666910897234</v>
      </c>
      <c r="Y102" s="40">
        <v>779.9293918393771</v>
      </c>
      <c r="Z102" s="40">
        <v>860.96166464087219</v>
      </c>
      <c r="AA102" s="40">
        <v>723.42619292957716</v>
      </c>
      <c r="AB102" s="40">
        <v>760.43703493372323</v>
      </c>
      <c r="AC102" s="40">
        <v>993.26213761751683</v>
      </c>
      <c r="AD102" s="40">
        <v>664.42978485699962</v>
      </c>
      <c r="AE102" s="40">
        <v>250.44350077848614</v>
      </c>
      <c r="AF102" s="40">
        <v>243.96017918602288</v>
      </c>
      <c r="AG102" s="40">
        <v>351.36889612965223</v>
      </c>
      <c r="AH102" s="40">
        <v>412.8669496644535</v>
      </c>
      <c r="AI102" s="40">
        <v>394.67592279628462</v>
      </c>
      <c r="AJ102" s="40">
        <v>847.72419365777307</v>
      </c>
      <c r="AK102" s="40">
        <v>888.61622946561022</v>
      </c>
      <c r="AL102" s="40">
        <v>905.75701692730343</v>
      </c>
      <c r="AM102" s="40">
        <v>905.28343029104497</v>
      </c>
      <c r="AN102" s="40">
        <v>938.82252436113299</v>
      </c>
      <c r="AO102" s="40">
        <v>967.06661499923985</v>
      </c>
      <c r="AP102" s="40">
        <v>1001.2564419097761</v>
      </c>
      <c r="AQ102" s="40">
        <v>1028.2925400602853</v>
      </c>
      <c r="AR102" s="40">
        <v>995.35798348628555</v>
      </c>
      <c r="AS102" s="40">
        <v>1000.8574186129375</v>
      </c>
      <c r="AT102" s="40">
        <v>1075.9833797761778</v>
      </c>
      <c r="AU102" s="40">
        <v>1158.9970077014664</v>
      </c>
      <c r="AV102" s="40">
        <v>1228.304847011528</v>
      </c>
      <c r="AW102" s="40">
        <v>1330.8181105749802</v>
      </c>
      <c r="AX102" s="40">
        <v>1456.3103487914505</v>
      </c>
      <c r="AY102" s="40">
        <v>1420.1051660687297</v>
      </c>
      <c r="AZ102" s="40">
        <v>1474.7488188903944</v>
      </c>
      <c r="BA102" s="40">
        <v>1631.7239283309689</v>
      </c>
      <c r="BB102" s="40">
        <v>706.21851596623685</v>
      </c>
    </row>
    <row r="103" spans="1:54">
      <c r="A103" s="41">
        <v>159</v>
      </c>
      <c r="B103" s="41" t="s">
        <v>53</v>
      </c>
      <c r="C103" s="40">
        <v>141.65721577459789</v>
      </c>
      <c r="D103" s="40">
        <v>150.81316360994606</v>
      </c>
      <c r="E103" s="40">
        <v>161.68192574550017</v>
      </c>
      <c r="F103" s="40">
        <v>156.25473094821123</v>
      </c>
      <c r="G103" s="40">
        <v>175.52607895405947</v>
      </c>
      <c r="H103" s="40">
        <v>177.99465829961747</v>
      </c>
      <c r="I103" s="40">
        <v>164.02580722398673</v>
      </c>
      <c r="J103" s="40">
        <v>153.65674986460286</v>
      </c>
      <c r="K103" s="40">
        <v>145.8464571045391</v>
      </c>
      <c r="L103" s="40">
        <v>147.28527950069434</v>
      </c>
      <c r="M103" s="40">
        <v>152.86752178342041</v>
      </c>
      <c r="N103" s="40">
        <v>159.23284444558752</v>
      </c>
      <c r="O103" s="40">
        <v>197.33104824344665</v>
      </c>
      <c r="P103" s="40">
        <v>208.09518217299836</v>
      </c>
      <c r="Q103" s="40">
        <v>206.81861074132408</v>
      </c>
      <c r="R103" s="40">
        <v>204.13662760058148</v>
      </c>
      <c r="S103" s="40">
        <v>240.78351685445875</v>
      </c>
      <c r="T103" s="40">
        <v>321.63281628586549</v>
      </c>
      <c r="U103" s="40">
        <v>371.76227606064145</v>
      </c>
      <c r="V103" s="40">
        <v>429.96538983916355</v>
      </c>
      <c r="W103" s="40">
        <v>361.89265277405514</v>
      </c>
      <c r="X103" s="40">
        <v>327.1219374240913</v>
      </c>
      <c r="Y103" s="40">
        <v>284.32728238407128</v>
      </c>
      <c r="Z103" s="40">
        <v>224.09648667415132</v>
      </c>
      <c r="AA103" s="40">
        <v>214.84512092120127</v>
      </c>
      <c r="AB103" s="40">
        <v>276.12684548873517</v>
      </c>
      <c r="AC103" s="40">
        <v>314.80656888534327</v>
      </c>
      <c r="AD103" s="40">
        <v>312.36814701649251</v>
      </c>
      <c r="AE103" s="40">
        <v>289.84985069606557</v>
      </c>
      <c r="AF103" s="40">
        <v>319.92559424924701</v>
      </c>
      <c r="AG103" s="40">
        <v>290.85073385819686</v>
      </c>
      <c r="AH103" s="40">
        <v>283.54501676079332</v>
      </c>
      <c r="AI103" s="40">
        <v>187.8425181932482</v>
      </c>
      <c r="AJ103" s="40">
        <v>176.59840609115633</v>
      </c>
      <c r="AK103" s="40">
        <v>205.1693314010181</v>
      </c>
      <c r="AL103" s="40">
        <v>209.24772987492273</v>
      </c>
      <c r="AM103" s="40">
        <v>187.37773726633884</v>
      </c>
      <c r="AN103" s="40">
        <v>203.28669575359967</v>
      </c>
      <c r="AO103" s="40">
        <v>190.46285945858216</v>
      </c>
      <c r="AP103" s="40">
        <v>163.640109769687</v>
      </c>
      <c r="AQ103" s="40">
        <v>170.69616214055685</v>
      </c>
      <c r="AR103" s="40">
        <v>183.66987794434863</v>
      </c>
      <c r="AS103" s="40">
        <v>222.89924639768509</v>
      </c>
      <c r="AT103" s="40">
        <v>240.21743867270698</v>
      </c>
      <c r="AU103" s="40">
        <v>258.28176033125334</v>
      </c>
      <c r="AV103" s="40">
        <v>266.57943230771286</v>
      </c>
      <c r="AW103" s="40">
        <v>302.26640782087276</v>
      </c>
      <c r="AX103" s="40">
        <v>364.37785183933067</v>
      </c>
      <c r="AY103" s="40">
        <v>343.35886570420934</v>
      </c>
      <c r="AZ103" s="40">
        <v>340.42371463805631</v>
      </c>
      <c r="BA103" s="40">
        <v>364.41183030797106</v>
      </c>
      <c r="BB103" s="40">
        <v>238.19474733527343</v>
      </c>
    </row>
    <row r="104" spans="1:54">
      <c r="A104" s="41">
        <v>160</v>
      </c>
      <c r="B104" s="41" t="s">
        <v>52</v>
      </c>
      <c r="C104" s="40">
        <v>96.811564298998093</v>
      </c>
      <c r="D104" s="40">
        <v>104.19401749536007</v>
      </c>
      <c r="E104" s="40">
        <v>107.32921714639114</v>
      </c>
      <c r="F104" s="40">
        <v>112.93372701271704</v>
      </c>
      <c r="G104" s="40">
        <v>116.93052791012499</v>
      </c>
      <c r="H104" s="40">
        <v>124.02107745483859</v>
      </c>
      <c r="I104" s="40">
        <v>99.166673634922518</v>
      </c>
      <c r="J104" s="40">
        <v>96.958291423906914</v>
      </c>
      <c r="K104" s="40">
        <v>120.93116695816455</v>
      </c>
      <c r="L104" s="40">
        <v>223.50680051614799</v>
      </c>
      <c r="M104" s="40">
        <v>159.81154073802904</v>
      </c>
      <c r="N104" s="40">
        <v>208.64452978808905</v>
      </c>
      <c r="O104" s="40">
        <v>251.51790406373664</v>
      </c>
      <c r="P104" s="40">
        <v>401.67856954200766</v>
      </c>
      <c r="Q104" s="40">
        <v>437.01206608110789</v>
      </c>
      <c r="R104" s="40">
        <v>554.95277030490684</v>
      </c>
      <c r="S104" s="40">
        <v>534.44824772029858</v>
      </c>
      <c r="T104" s="40">
        <v>525.4882350312148</v>
      </c>
      <c r="U104" s="40">
        <v>659.87750989400104</v>
      </c>
      <c r="V104" s="40">
        <v>871.14578188276403</v>
      </c>
      <c r="W104" s="40">
        <v>791.21712753124825</v>
      </c>
      <c r="X104" s="40">
        <v>640.21014798230647</v>
      </c>
      <c r="Y104" s="40">
        <v>438.36397681736361</v>
      </c>
      <c r="Z104" s="40">
        <v>344.63428203359757</v>
      </c>
      <c r="AA104" s="40">
        <v>338.58639620121744</v>
      </c>
      <c r="AB104" s="40">
        <v>234.68702926379376</v>
      </c>
      <c r="AC104" s="40">
        <v>265.13471977362985</v>
      </c>
      <c r="AD104" s="40">
        <v>251.70008280282121</v>
      </c>
      <c r="AE104" s="40">
        <v>255.88720874036179</v>
      </c>
      <c r="AF104" s="40">
        <v>297.77515326357309</v>
      </c>
      <c r="AG104" s="40">
        <v>278.46508981294699</v>
      </c>
      <c r="AH104" s="40">
        <v>325.17785065161985</v>
      </c>
      <c r="AI104" s="40">
        <v>207.01741570866062</v>
      </c>
      <c r="AJ104" s="40">
        <v>223.761359855384</v>
      </c>
      <c r="AK104" s="40">
        <v>259.2471375354034</v>
      </c>
      <c r="AL104" s="40">
        <v>317.53488762457584</v>
      </c>
      <c r="AM104" s="40">
        <v>317.85869416150365</v>
      </c>
      <c r="AN104" s="40">
        <v>275.04527488530721</v>
      </c>
      <c r="AO104" s="40">
        <v>290.20689551460873</v>
      </c>
      <c r="AP104" s="40">
        <v>374.2242385154197</v>
      </c>
      <c r="AQ104" s="40">
        <v>380.93464868175505</v>
      </c>
      <c r="AR104" s="40">
        <v>457.47365047045605</v>
      </c>
      <c r="AS104" s="40">
        <v>510.41694119872454</v>
      </c>
      <c r="AT104" s="40">
        <v>645.92565007303483</v>
      </c>
      <c r="AU104" s="40">
        <v>804.15236398613729</v>
      </c>
      <c r="AV104" s="40">
        <v>1014.745587651353</v>
      </c>
      <c r="AW104" s="40">
        <v>1127.2756803429663</v>
      </c>
      <c r="AX104" s="40">
        <v>1369.7415887959214</v>
      </c>
      <c r="AY104" s="40">
        <v>1084.9926699937844</v>
      </c>
      <c r="AZ104" s="40">
        <v>1431.6012391418221</v>
      </c>
      <c r="BA104" s="40">
        <v>1485.9703137654526</v>
      </c>
      <c r="BB104" s="40">
        <v>447.98677493479386</v>
      </c>
    </row>
    <row r="105" spans="1:54">
      <c r="A105" s="41">
        <v>164</v>
      </c>
      <c r="B105" s="41" t="s">
        <v>51</v>
      </c>
      <c r="C105" s="40">
        <v>1560.3249311722964</v>
      </c>
      <c r="D105" s="40">
        <v>1667.2474297782023</v>
      </c>
      <c r="E105" s="40">
        <v>1775.5826554497855</v>
      </c>
      <c r="F105" s="40">
        <v>1937.8846138592774</v>
      </c>
      <c r="G105" s="40">
        <v>2164.4688233673587</v>
      </c>
      <c r="H105" s="40">
        <v>2317.1948838265644</v>
      </c>
      <c r="I105" s="40">
        <v>2514.0437721470475</v>
      </c>
      <c r="J105" s="40">
        <v>2662.1174915311713</v>
      </c>
      <c r="K105" s="40">
        <v>2875.2358439685754</v>
      </c>
      <c r="L105" s="40">
        <v>3284.4380891654801</v>
      </c>
      <c r="M105" s="40">
        <v>3708.9698348295256</v>
      </c>
      <c r="N105" s="40">
        <v>4378.2630724770488</v>
      </c>
      <c r="O105" s="40">
        <v>5641.0253408800454</v>
      </c>
      <c r="P105" s="40">
        <v>6743.8102126778213</v>
      </c>
      <c r="Q105" s="40">
        <v>8126.6317048169531</v>
      </c>
      <c r="R105" s="40">
        <v>8836.163006636476</v>
      </c>
      <c r="S105" s="40">
        <v>10157.73004731117</v>
      </c>
      <c r="T105" s="40">
        <v>11337.52862167557</v>
      </c>
      <c r="U105" s="40">
        <v>12903.012559273462</v>
      </c>
      <c r="V105" s="40">
        <v>15594.785295514655</v>
      </c>
      <c r="W105" s="40">
        <v>15334.607963588114</v>
      </c>
      <c r="X105" s="40">
        <v>15031.309096911207</v>
      </c>
      <c r="Y105" s="40">
        <v>14722.290129921772</v>
      </c>
      <c r="Z105" s="40">
        <v>14757.756412664883</v>
      </c>
      <c r="AA105" s="40">
        <v>15474.281139099934</v>
      </c>
      <c r="AB105" s="40">
        <v>18525.630774087957</v>
      </c>
      <c r="AC105" s="40">
        <v>22080.222075206435</v>
      </c>
      <c r="AD105" s="40">
        <v>23769.418389886898</v>
      </c>
      <c r="AE105" s="40">
        <v>23840.282037581994</v>
      </c>
      <c r="AF105" s="40">
        <v>27731.801672713202</v>
      </c>
      <c r="AG105" s="40">
        <v>28077.177637548823</v>
      </c>
      <c r="AH105" s="40">
        <v>29931.6322005697</v>
      </c>
      <c r="AI105" s="40">
        <v>27404.588058934227</v>
      </c>
      <c r="AJ105" s="40">
        <v>28713.477930485355</v>
      </c>
      <c r="AK105" s="40">
        <v>34162.321360456051</v>
      </c>
      <c r="AL105" s="40">
        <v>36554.671790101122</v>
      </c>
      <c r="AM105" s="40">
        <v>35917.689436632449</v>
      </c>
      <c r="AN105" s="40">
        <v>34105.918475669292</v>
      </c>
      <c r="AO105" s="40">
        <v>35645.089157065901</v>
      </c>
      <c r="AP105" s="40">
        <v>37472.671674319601</v>
      </c>
      <c r="AQ105" s="40">
        <v>37867.142222459333</v>
      </c>
      <c r="AR105" s="40">
        <v>42291.82521593912</v>
      </c>
      <c r="AS105" s="40">
        <v>49263.513151643121</v>
      </c>
      <c r="AT105" s="40">
        <v>56627.657381784316</v>
      </c>
      <c r="AU105" s="40">
        <v>65767.019607604467</v>
      </c>
      <c r="AV105" s="40">
        <v>72959.768013036912</v>
      </c>
      <c r="AW105" s="40">
        <v>83556.249304661746</v>
      </c>
      <c r="AX105" s="40">
        <v>95189.865927292631</v>
      </c>
      <c r="AY105" s="40">
        <v>78457.42178081903</v>
      </c>
      <c r="AZ105" s="40">
        <v>86155.529049276214</v>
      </c>
      <c r="BA105" s="40">
        <v>99143.16511811853</v>
      </c>
      <c r="BB105" s="40">
        <v>27386.636321890954</v>
      </c>
    </row>
    <row r="106" spans="1:54">
      <c r="A106" s="41">
        <v>165</v>
      </c>
      <c r="B106" s="41" t="s">
        <v>50</v>
      </c>
      <c r="C106" s="40">
        <v>80.7840276010796</v>
      </c>
      <c r="D106" s="40">
        <v>97.219710858263596</v>
      </c>
      <c r="E106" s="40">
        <v>100.94752399437586</v>
      </c>
      <c r="F106" s="40">
        <v>101.61543801054303</v>
      </c>
      <c r="G106" s="40">
        <v>101.24682137772231</v>
      </c>
      <c r="H106" s="40">
        <v>105.54430279018666</v>
      </c>
      <c r="I106" s="40">
        <v>162.32249255104423</v>
      </c>
      <c r="J106" s="40">
        <v>277.9308238701359</v>
      </c>
      <c r="K106" s="40">
        <v>342.50016729514647</v>
      </c>
      <c r="L106" s="40">
        <v>354.10621829122442</v>
      </c>
      <c r="M106" s="40">
        <v>401.90464581530023</v>
      </c>
      <c r="N106" s="40">
        <v>472.5572809896604</v>
      </c>
      <c r="O106" s="40">
        <v>598.60418227449998</v>
      </c>
      <c r="P106" s="40">
        <v>1954.8946160025605</v>
      </c>
      <c r="Q106" s="40">
        <v>2377.0912498852676</v>
      </c>
      <c r="R106" s="40">
        <v>2760.5445202350616</v>
      </c>
      <c r="S106" s="40">
        <v>2803.4399938185134</v>
      </c>
      <c r="T106" s="40">
        <v>2653.3458825861285</v>
      </c>
      <c r="U106" s="40">
        <v>3419.350308766283</v>
      </c>
      <c r="V106" s="40">
        <v>5181.8170773564907</v>
      </c>
      <c r="W106" s="40">
        <v>5947.6023355100397</v>
      </c>
      <c r="X106" s="40">
        <v>5857.088875575977</v>
      </c>
      <c r="Y106" s="40">
        <v>5830.0204788238816</v>
      </c>
      <c r="Z106" s="40">
        <v>6165.909338267873</v>
      </c>
      <c r="AA106" s="40">
        <v>6677.4817321274577</v>
      </c>
      <c r="AB106" s="40">
        <v>4688.5353616199363</v>
      </c>
      <c r="AC106" s="40">
        <v>4815.4074946981527</v>
      </c>
      <c r="AD106" s="40">
        <v>4988.6179233229022</v>
      </c>
      <c r="AE106" s="40">
        <v>5377.1890915081949</v>
      </c>
      <c r="AF106" s="40">
        <v>6455.4589478316184</v>
      </c>
      <c r="AG106" s="40">
        <v>6016.5867064382373</v>
      </c>
      <c r="AH106" s="40">
        <v>6335.1467645189514</v>
      </c>
      <c r="AI106" s="40">
        <v>6112.3512366914902</v>
      </c>
      <c r="AJ106" s="40">
        <v>6124.8691576224819</v>
      </c>
      <c r="AK106" s="40">
        <v>6406.1082820478377</v>
      </c>
      <c r="AL106" s="40">
        <v>7021.0374585624231</v>
      </c>
      <c r="AM106" s="40">
        <v>7272.4820288169039</v>
      </c>
      <c r="AN106" s="40">
        <v>6487.5621473143756</v>
      </c>
      <c r="AO106" s="40">
        <v>7232.0776859046309</v>
      </c>
      <c r="AP106" s="40">
        <v>9061.6024602897342</v>
      </c>
      <c r="AQ106" s="40">
        <v>8909.8089457932474</v>
      </c>
      <c r="AR106" s="40">
        <v>8685.3824370226375</v>
      </c>
      <c r="AS106" s="40">
        <v>9016.8153276686662</v>
      </c>
      <c r="AT106" s="40">
        <v>10013.633224790599</v>
      </c>
      <c r="AU106" s="40">
        <v>12252.612875256431</v>
      </c>
      <c r="AV106" s="40">
        <v>14405.091926705929</v>
      </c>
      <c r="AW106" s="40">
        <v>16305.613406213337</v>
      </c>
      <c r="AX106" s="40">
        <v>23353.165011166515</v>
      </c>
      <c r="AY106" s="40">
        <v>17597.490934195215</v>
      </c>
      <c r="AZ106" s="40">
        <v>20983.900335404142</v>
      </c>
      <c r="BA106" s="40">
        <v>23132.93890304309</v>
      </c>
      <c r="BB106" s="40">
        <v>6154.4579631200477</v>
      </c>
    </row>
    <row r="107" spans="1:54">
      <c r="A107" s="41">
        <v>166</v>
      </c>
      <c r="B107" s="41" t="s">
        <v>49</v>
      </c>
      <c r="C107" s="40">
        <v>86.871309687589658</v>
      </c>
      <c r="D107" s="40">
        <v>88.43943612484648</v>
      </c>
      <c r="E107" s="40">
        <v>92.457507667735825</v>
      </c>
      <c r="F107" s="40">
        <v>101.78491432582372</v>
      </c>
      <c r="G107" s="40">
        <v>113.72155928967834</v>
      </c>
      <c r="H107" s="40">
        <v>121.69392322641016</v>
      </c>
      <c r="I107" s="40">
        <v>135.6467023278571</v>
      </c>
      <c r="J107" s="40">
        <v>144.2730539852227</v>
      </c>
      <c r="K107" s="40">
        <v>149.836961476406</v>
      </c>
      <c r="L107" s="40">
        <v>169.36444786580495</v>
      </c>
      <c r="M107" s="40">
        <v>174.25983900678793</v>
      </c>
      <c r="N107" s="40">
        <v>148.86885475798013</v>
      </c>
      <c r="O107" s="40">
        <v>98.366389117641589</v>
      </c>
      <c r="P107" s="40">
        <v>132.58907336724232</v>
      </c>
      <c r="Q107" s="40">
        <v>166.3848397569248</v>
      </c>
      <c r="R107" s="40">
        <v>189.82153978238708</v>
      </c>
      <c r="S107" s="40">
        <v>208.620563353476</v>
      </c>
      <c r="T107" s="40">
        <v>238.01744026595998</v>
      </c>
      <c r="U107" s="40">
        <v>254.74962608779114</v>
      </c>
      <c r="V107" s="40">
        <v>296.17935725117047</v>
      </c>
      <c r="W107" s="40">
        <v>339.65381925049383</v>
      </c>
      <c r="X107" s="40">
        <v>358.94175319383805</v>
      </c>
      <c r="Y107" s="40">
        <v>323.92004609640486</v>
      </c>
      <c r="Z107" s="40">
        <v>339.92526063199625</v>
      </c>
      <c r="AA107" s="40">
        <v>328.59024011934514</v>
      </c>
      <c r="AB107" s="40">
        <v>325.50585044243496</v>
      </c>
      <c r="AC107" s="40">
        <v>329.30630399236634</v>
      </c>
      <c r="AD107" s="40">
        <v>367.86636617929975</v>
      </c>
      <c r="AE107" s="40">
        <v>372.41803212635028</v>
      </c>
      <c r="AF107" s="40">
        <v>360.15941135133914</v>
      </c>
      <c r="AG107" s="40">
        <v>397.90152058521846</v>
      </c>
      <c r="AH107" s="40">
        <v>414.65329508166207</v>
      </c>
      <c r="AI107" s="40">
        <v>427.7859135828038</v>
      </c>
      <c r="AJ107" s="40">
        <v>420.36778821080969</v>
      </c>
      <c r="AK107" s="40">
        <v>478.61926071622923</v>
      </c>
      <c r="AL107" s="40">
        <v>486.76482975505428</v>
      </c>
      <c r="AM107" s="40">
        <v>467.32419548731332</v>
      </c>
      <c r="AN107" s="40">
        <v>453.49480673516541</v>
      </c>
      <c r="AO107" s="40">
        <v>447.95616326884607</v>
      </c>
      <c r="AP107" s="40">
        <v>514.15796047880872</v>
      </c>
      <c r="AQ107" s="40">
        <v>492.38169810370175</v>
      </c>
      <c r="AR107" s="40">
        <v>483.03187191406516</v>
      </c>
      <c r="AS107" s="40">
        <v>546.15414835794149</v>
      </c>
      <c r="AT107" s="40">
        <v>631.49781430692394</v>
      </c>
      <c r="AU107" s="40">
        <v>693.79640614094649</v>
      </c>
      <c r="AV107" s="40">
        <v>792.38911682695527</v>
      </c>
      <c r="AW107" s="40">
        <v>873.37669770974549</v>
      </c>
      <c r="AX107" s="40">
        <v>981.33987935344749</v>
      </c>
      <c r="AY107" s="40">
        <v>951.35061964325439</v>
      </c>
      <c r="AZ107" s="40">
        <v>1019.2216912603388</v>
      </c>
      <c r="BA107" s="40">
        <v>1196.2617510187681</v>
      </c>
      <c r="BB107" s="40">
        <v>386.8247421695412</v>
      </c>
    </row>
    <row r="108" spans="1:54">
      <c r="A108" s="41">
        <v>168</v>
      </c>
      <c r="B108" s="41" t="s">
        <v>48</v>
      </c>
    </row>
    <row r="109" spans="1:54">
      <c r="A109" s="41">
        <v>169</v>
      </c>
      <c r="B109" s="41" t="s">
        <v>47</v>
      </c>
      <c r="C109" s="40">
        <v>396.15585489607423</v>
      </c>
      <c r="D109" s="40">
        <v>418.53322024314389</v>
      </c>
      <c r="E109" s="40">
        <v>450.17285349227905</v>
      </c>
      <c r="F109" s="40">
        <v>469.15471719919009</v>
      </c>
      <c r="G109" s="40">
        <v>500.20430528909748</v>
      </c>
      <c r="H109" s="40">
        <v>529.15777070762158</v>
      </c>
      <c r="I109" s="40">
        <v>572.29772631919013</v>
      </c>
      <c r="J109" s="40">
        <v>598.06486372397092</v>
      </c>
      <c r="K109" s="40">
        <v>637.70872751678758</v>
      </c>
      <c r="L109" s="40">
        <v>666.12791254801948</v>
      </c>
      <c r="M109" s="40">
        <v>730.43848092751102</v>
      </c>
      <c r="N109" s="40">
        <v>780.19300488859028</v>
      </c>
      <c r="O109" s="40">
        <v>867.76881896856412</v>
      </c>
      <c r="P109" s="40">
        <v>964.84478013770604</v>
      </c>
      <c r="Q109" s="40">
        <v>1051.9437123440302</v>
      </c>
      <c r="R109" s="40">
        <v>1088.1880349855264</v>
      </c>
      <c r="S109" s="40">
        <v>1124.4068172370792</v>
      </c>
      <c r="T109" s="40">
        <v>1299.8685691999237</v>
      </c>
      <c r="U109" s="40">
        <v>1451.4205314924955</v>
      </c>
      <c r="V109" s="40">
        <v>1914.6639652432939</v>
      </c>
      <c r="W109" s="40">
        <v>2116.0674813905098</v>
      </c>
      <c r="X109" s="40">
        <v>2283.7699291243816</v>
      </c>
      <c r="Y109" s="40">
        <v>2291.4168477853555</v>
      </c>
      <c r="Z109" s="40">
        <v>2338.2924873601787</v>
      </c>
      <c r="AA109" s="40">
        <v>2419.0977061114236</v>
      </c>
      <c r="AB109" s="40">
        <v>2459.1312941399106</v>
      </c>
      <c r="AC109" s="40">
        <v>2416.7512498885558</v>
      </c>
      <c r="AD109" s="40">
        <v>2044.9112774056707</v>
      </c>
      <c r="AE109" s="40">
        <v>2007.2165337968036</v>
      </c>
      <c r="AF109" s="40">
        <v>2136.5816623612259</v>
      </c>
      <c r="AG109" s="40">
        <v>2300.8971541545561</v>
      </c>
      <c r="AH109" s="40">
        <v>2562.1528657849935</v>
      </c>
      <c r="AI109" s="40">
        <v>2741.0860939967242</v>
      </c>
      <c r="AJ109" s="40">
        <v>2863.5345596508914</v>
      </c>
      <c r="AK109" s="40">
        <v>2867.641831495348</v>
      </c>
      <c r="AL109" s="40">
        <v>3312.139703857667</v>
      </c>
      <c r="AM109" s="40">
        <v>3509.5681323974486</v>
      </c>
      <c r="AN109" s="40">
        <v>3727.2851249531213</v>
      </c>
      <c r="AO109" s="40">
        <v>3826.8221272445162</v>
      </c>
      <c r="AP109" s="40">
        <v>3803.9984129956279</v>
      </c>
      <c r="AQ109" s="40">
        <v>3788.8159095933815</v>
      </c>
      <c r="AR109" s="40">
        <v>3861.1272790196481</v>
      </c>
      <c r="AS109" s="40">
        <v>3990.7368693889325</v>
      </c>
      <c r="AT109" s="40">
        <v>4292.4196304643638</v>
      </c>
      <c r="AU109" s="40">
        <v>4594.4819394586157</v>
      </c>
      <c r="AV109" s="40">
        <v>4998.3826788846118</v>
      </c>
      <c r="AW109" s="40">
        <v>5669.8674375557503</v>
      </c>
      <c r="AX109" s="40">
        <v>6472.9786012584846</v>
      </c>
      <c r="AY109" s="40">
        <v>6682.5025180829052</v>
      </c>
      <c r="AZ109" s="40">
        <v>7229.1122005541947</v>
      </c>
      <c r="BA109" s="40">
        <v>8372.5772548700879</v>
      </c>
      <c r="BB109" s="40">
        <v>2558.6799894585492</v>
      </c>
    </row>
    <row r="110" spans="1:54">
      <c r="A110" s="41">
        <v>170</v>
      </c>
      <c r="B110" s="41" t="s">
        <v>46</v>
      </c>
      <c r="C110" s="40">
        <v>122.35190511347231</v>
      </c>
      <c r="D110" s="40">
        <v>128.20962738526512</v>
      </c>
      <c r="E110" s="40">
        <v>132.95634213895872</v>
      </c>
      <c r="F110" s="40">
        <v>144.23071264320967</v>
      </c>
      <c r="G110" s="40">
        <v>159.25184482034786</v>
      </c>
      <c r="H110" s="40">
        <v>177.03745494396327</v>
      </c>
      <c r="I110" s="40">
        <v>195.54278569896343</v>
      </c>
      <c r="J110" s="40">
        <v>209.75247028150673</v>
      </c>
      <c r="K110" s="40">
        <v>232.44110115663358</v>
      </c>
      <c r="L110" s="40">
        <v>265.13444790579922</v>
      </c>
      <c r="M110" s="40">
        <v>286.73400238664965</v>
      </c>
      <c r="N110" s="40">
        <v>333.37385346701433</v>
      </c>
      <c r="O110" s="40">
        <v>489.75067195997127</v>
      </c>
      <c r="P110" s="40">
        <v>537.32034716107501</v>
      </c>
      <c r="Q110" s="40">
        <v>482.82559751955347</v>
      </c>
      <c r="R110" s="40">
        <v>523.40363359206071</v>
      </c>
      <c r="S110" s="40">
        <v>552.88856525200038</v>
      </c>
      <c r="T110" s="40">
        <v>639.1388189830385</v>
      </c>
      <c r="U110" s="40">
        <v>732.75728406705502</v>
      </c>
      <c r="V110" s="40">
        <v>791.78865514223287</v>
      </c>
      <c r="W110" s="40">
        <v>756.03093730400565</v>
      </c>
      <c r="X110" s="40">
        <v>697.50467181288082</v>
      </c>
      <c r="Y110" s="40">
        <v>734.36436574079801</v>
      </c>
      <c r="Z110" s="40">
        <v>712.25863571562263</v>
      </c>
      <c r="AA110" s="40">
        <v>658.90953911568477</v>
      </c>
      <c r="AB110" s="40">
        <v>702.09974955963855</v>
      </c>
      <c r="AC110" s="40">
        <v>813.32056095950395</v>
      </c>
      <c r="AD110" s="40">
        <v>923.15398868671514</v>
      </c>
      <c r="AE110" s="40">
        <v>874.05767612925763</v>
      </c>
      <c r="AF110" s="40">
        <v>774.363991896877</v>
      </c>
      <c r="AG110" s="40">
        <v>888.6749619155172</v>
      </c>
      <c r="AH110" s="40">
        <v>1002.0363751053706</v>
      </c>
      <c r="AI110" s="40">
        <v>1110.3556012475215</v>
      </c>
      <c r="AJ110" s="40">
        <v>1197.3313016059808</v>
      </c>
      <c r="AK110" s="40">
        <v>983.0753346795542</v>
      </c>
      <c r="AL110" s="40">
        <v>1064.9585045506931</v>
      </c>
      <c r="AM110" s="40">
        <v>993.1162465450858</v>
      </c>
      <c r="AN110" s="40">
        <v>742.36777002952044</v>
      </c>
      <c r="AO110" s="40">
        <v>663.44195409437498</v>
      </c>
      <c r="AP110" s="40">
        <v>654.61985698252215</v>
      </c>
      <c r="AQ110" s="40">
        <v>558.26161543199521</v>
      </c>
      <c r="AR110" s="40">
        <v>529.92948378957533</v>
      </c>
      <c r="AS110" s="40">
        <v>609.38740046306384</v>
      </c>
      <c r="AT110" s="40">
        <v>660.1899981933326</v>
      </c>
      <c r="AU110" s="40">
        <v>804.07110942331337</v>
      </c>
      <c r="AV110" s="40">
        <v>896.39487873916562</v>
      </c>
      <c r="AW110" s="40">
        <v>989.31945963257431</v>
      </c>
      <c r="AX110" s="40">
        <v>1222.7935847933597</v>
      </c>
      <c r="AY110" s="40">
        <v>1180.4319249452224</v>
      </c>
      <c r="AZ110" s="40">
        <v>1382.1437493387666</v>
      </c>
      <c r="BA110" s="40">
        <v>1767.2386619059023</v>
      </c>
      <c r="BB110" s="40">
        <v>680.06066690102273</v>
      </c>
    </row>
    <row r="111" spans="1:54">
      <c r="A111" s="41">
        <v>171</v>
      </c>
      <c r="B111" s="41" t="s">
        <v>45</v>
      </c>
      <c r="G111" s="40">
        <v>183.71402201376745</v>
      </c>
      <c r="H111" s="40">
        <v>188.4955867881101</v>
      </c>
      <c r="I111" s="40">
        <v>196.47859739577351</v>
      </c>
      <c r="J111" s="40">
        <v>202.11469673712605</v>
      </c>
      <c r="K111" s="40">
        <v>211.65412631272997</v>
      </c>
      <c r="L111" s="40">
        <v>220.85167129497671</v>
      </c>
      <c r="M111" s="40">
        <v>239.1488396732037</v>
      </c>
      <c r="N111" s="40">
        <v>267.27555756098684</v>
      </c>
      <c r="O111" s="40">
        <v>332.84358468337734</v>
      </c>
      <c r="P111" s="40">
        <v>438.2726937097421</v>
      </c>
      <c r="Q111" s="40">
        <v>481.91714731029003</v>
      </c>
      <c r="R111" s="40">
        <v>535.68556477919878</v>
      </c>
      <c r="S111" s="40">
        <v>648.13409150536359</v>
      </c>
      <c r="T111" s="40">
        <v>776.05962102648004</v>
      </c>
      <c r="U111" s="40">
        <v>1007.7090325442259</v>
      </c>
      <c r="V111" s="40">
        <v>1280.0891096286678</v>
      </c>
      <c r="W111" s="40">
        <v>1585.5371079261386</v>
      </c>
      <c r="X111" s="40">
        <v>1494.7784748640383</v>
      </c>
      <c r="Y111" s="40">
        <v>1499.7108040274572</v>
      </c>
      <c r="Z111" s="40">
        <v>1130.6838414705423</v>
      </c>
      <c r="AA111" s="40">
        <v>800.92464236313083</v>
      </c>
      <c r="AB111" s="40">
        <v>902.56585975991516</v>
      </c>
      <c r="AC111" s="40">
        <v>963.92802225232526</v>
      </c>
      <c r="AD111" s="40">
        <v>1013.2589379980536</v>
      </c>
      <c r="AE111" s="40">
        <v>1111.2956723656873</v>
      </c>
      <c r="AF111" s="40">
        <v>1340.1272036763999</v>
      </c>
      <c r="AG111" s="40">
        <v>1601.7876887365817</v>
      </c>
      <c r="AH111" s="40">
        <v>1600.8789284382174</v>
      </c>
      <c r="AI111" s="40">
        <v>1582.38735848955</v>
      </c>
      <c r="AJ111" s="40">
        <v>1677.641450440175</v>
      </c>
      <c r="AK111" s="40">
        <v>1887.2229808486459</v>
      </c>
      <c r="AL111" s="40">
        <v>1992.8720784403699</v>
      </c>
      <c r="AM111" s="40">
        <v>1984.6022407582959</v>
      </c>
      <c r="AN111" s="40">
        <v>1758.9270069051768</v>
      </c>
      <c r="AO111" s="40">
        <v>1601.5335584729571</v>
      </c>
      <c r="AP111" s="40">
        <v>1531.8889015658742</v>
      </c>
      <c r="AQ111" s="40">
        <v>1403.2460514628576</v>
      </c>
      <c r="AR111" s="40">
        <v>1135.2953914257016</v>
      </c>
      <c r="AS111" s="40">
        <v>1159.3977767084643</v>
      </c>
      <c r="AT111" s="40">
        <v>1386.7460440062105</v>
      </c>
      <c r="AU111" s="40">
        <v>1479.4037694723818</v>
      </c>
      <c r="AV111" s="40">
        <v>1772.6353285860098</v>
      </c>
      <c r="AW111" s="40">
        <v>2259.0827349694373</v>
      </c>
      <c r="AX111" s="40">
        <v>2967.4063621543005</v>
      </c>
      <c r="AY111" s="40">
        <v>2513.6282795377056</v>
      </c>
      <c r="AZ111" s="40">
        <v>3100.5016399172205</v>
      </c>
      <c r="BA111" s="40">
        <v>3956.7294818098148</v>
      </c>
      <c r="BB111" s="40">
        <v>1263.9802034641202</v>
      </c>
    </row>
    <row r="112" spans="1:54">
      <c r="A112" s="41">
        <v>172</v>
      </c>
      <c r="B112" s="41" t="s">
        <v>44</v>
      </c>
      <c r="C112" s="40">
        <v>276.24939469936959</v>
      </c>
      <c r="D112" s="40">
        <v>304.23154629513937</v>
      </c>
      <c r="E112" s="40">
        <v>323.78737944717096</v>
      </c>
      <c r="F112" s="40">
        <v>380.59711663679184</v>
      </c>
      <c r="G112" s="40">
        <v>438.27006545453764</v>
      </c>
      <c r="H112" s="40">
        <v>504.08150897369472</v>
      </c>
      <c r="I112" s="40">
        <v>496.93457019087316</v>
      </c>
      <c r="J112" s="40">
        <v>447.52173342920997</v>
      </c>
      <c r="K112" s="40">
        <v>487.16413068824698</v>
      </c>
      <c r="L112" s="40">
        <v>548.34328938912961</v>
      </c>
      <c r="M112" s="40">
        <v>594.71657024381966</v>
      </c>
      <c r="N112" s="40">
        <v>641.10593530499011</v>
      </c>
      <c r="O112" s="40">
        <v>745.95282037806749</v>
      </c>
      <c r="P112" s="40">
        <v>914.54069272229549</v>
      </c>
      <c r="Q112" s="40">
        <v>1082.3731921305466</v>
      </c>
      <c r="R112" s="40">
        <v>995.72660173038469</v>
      </c>
      <c r="S112" s="40">
        <v>888.56341628972655</v>
      </c>
      <c r="T112" s="40">
        <v>739.27620505007633</v>
      </c>
      <c r="U112" s="40">
        <v>920.24320046486457</v>
      </c>
      <c r="V112" s="40">
        <v>1192.3230516621911</v>
      </c>
      <c r="W112" s="40">
        <v>1405.2832606265367</v>
      </c>
      <c r="X112" s="40">
        <v>1363.3332025551676</v>
      </c>
      <c r="Y112" s="40">
        <v>1026.2223643956495</v>
      </c>
      <c r="Z112" s="40">
        <v>1040.0568316044341</v>
      </c>
      <c r="AA112" s="40">
        <v>964.8249685482366</v>
      </c>
      <c r="AB112" s="40">
        <v>900.07851769350123</v>
      </c>
      <c r="AC112" s="40">
        <v>1170.4466752838491</v>
      </c>
      <c r="AD112" s="40">
        <v>592.82334648240862</v>
      </c>
      <c r="AE112" s="40">
        <v>964.87603142865146</v>
      </c>
      <c r="AF112" s="40">
        <v>1207.7130789593305</v>
      </c>
      <c r="AG112" s="40">
        <v>1555.1219657025958</v>
      </c>
      <c r="AH112" s="40">
        <v>1593.1402329881785</v>
      </c>
      <c r="AI112" s="40">
        <v>1509.1875849835642</v>
      </c>
      <c r="AJ112" s="40">
        <v>1910.1405640786975</v>
      </c>
      <c r="AK112" s="40">
        <v>2242.094526285935</v>
      </c>
      <c r="AL112" s="40">
        <v>2293.2010007898098</v>
      </c>
      <c r="AM112" s="40">
        <v>2388.9965992964626</v>
      </c>
      <c r="AN112" s="40">
        <v>2251.4417268289048</v>
      </c>
      <c r="AO112" s="40">
        <v>2011.1883883318581</v>
      </c>
      <c r="AP112" s="40">
        <v>2049.6240903114485</v>
      </c>
      <c r="AQ112" s="40">
        <v>2045.1626276728903</v>
      </c>
      <c r="AR112" s="40">
        <v>2123.92563010393</v>
      </c>
      <c r="AS112" s="40">
        <v>2265.9464538077273</v>
      </c>
      <c r="AT112" s="40">
        <v>2544.3513479524504</v>
      </c>
      <c r="AU112" s="40">
        <v>2863.4804597020861</v>
      </c>
      <c r="AV112" s="40">
        <v>3292.9555576918756</v>
      </c>
      <c r="AW112" s="40">
        <v>3785.3517608959487</v>
      </c>
      <c r="AX112" s="40">
        <v>4430.3915218846159</v>
      </c>
      <c r="AY112" s="40">
        <v>4386.5923966913606</v>
      </c>
      <c r="AZ112" s="40">
        <v>5247.0959345042274</v>
      </c>
      <c r="BA112" s="40">
        <v>5970.3633636568102</v>
      </c>
      <c r="BB112" s="40">
        <v>1614.066949665103</v>
      </c>
    </row>
    <row r="113" spans="1:54">
      <c r="A113" s="41">
        <v>173</v>
      </c>
      <c r="B113" s="41" t="s">
        <v>43</v>
      </c>
      <c r="C113" s="40">
        <v>267.16352992905399</v>
      </c>
      <c r="D113" s="40">
        <v>156.68862107820775</v>
      </c>
      <c r="E113" s="40">
        <v>168.02137342045256</v>
      </c>
      <c r="F113" s="40">
        <v>175.93544773137495</v>
      </c>
      <c r="G113" s="40">
        <v>187.11782751531211</v>
      </c>
      <c r="H113" s="40">
        <v>199.9401352861114</v>
      </c>
      <c r="I113" s="40">
        <v>207.42700464254804</v>
      </c>
      <c r="J113" s="40">
        <v>224.62417198731657</v>
      </c>
      <c r="K113" s="40">
        <v>241.70230275081761</v>
      </c>
      <c r="L113" s="40">
        <v>186.76755899522371</v>
      </c>
      <c r="M113" s="40">
        <v>201.03056429906459</v>
      </c>
      <c r="N113" s="40">
        <v>211.3956641547253</v>
      </c>
      <c r="O113" s="40">
        <v>258.35747071595716</v>
      </c>
      <c r="P113" s="40">
        <v>343.2340592533659</v>
      </c>
      <c r="Q113" s="40">
        <v>360.6611505667093</v>
      </c>
      <c r="R113" s="40">
        <v>402.65350210518369</v>
      </c>
      <c r="S113" s="40">
        <v>450.10951444917913</v>
      </c>
      <c r="T113" s="40">
        <v>506.0719891099132</v>
      </c>
      <c r="U113" s="40">
        <v>596.38055431224598</v>
      </c>
      <c r="V113" s="40">
        <v>684.63021603685286</v>
      </c>
      <c r="W113" s="40">
        <v>731.71716378406506</v>
      </c>
      <c r="X113" s="40">
        <v>741.79583424811256</v>
      </c>
      <c r="Y113" s="40">
        <v>645.48167855847987</v>
      </c>
      <c r="Z113" s="40">
        <v>594.04061998095528</v>
      </c>
      <c r="AA113" s="40">
        <v>565.74861699234873</v>
      </c>
      <c r="AB113" s="40">
        <v>535.16393256074684</v>
      </c>
      <c r="AC113" s="40">
        <v>579.03912616896366</v>
      </c>
      <c r="AD113" s="40">
        <v>643.57514098172976</v>
      </c>
      <c r="AE113" s="40">
        <v>704.76591172775272</v>
      </c>
      <c r="AF113" s="40">
        <v>715.29513635315402</v>
      </c>
      <c r="AG113" s="40">
        <v>715.50167060053752</v>
      </c>
      <c r="AH113" s="40">
        <v>815.06477182907361</v>
      </c>
      <c r="AI113" s="40">
        <v>817.3566816957582</v>
      </c>
      <c r="AJ113" s="40">
        <v>941.7161385788595</v>
      </c>
      <c r="AK113" s="40">
        <v>1064.8405920872583</v>
      </c>
      <c r="AL113" s="40">
        <v>1163.8480382089917</v>
      </c>
      <c r="AM113" s="40">
        <v>1131.4004461984041</v>
      </c>
      <c r="AN113" s="40">
        <v>970.61389904091891</v>
      </c>
      <c r="AO113" s="40">
        <v>1091.7827231712558</v>
      </c>
      <c r="AP113" s="40">
        <v>1043.4561026962785</v>
      </c>
      <c r="AQ113" s="40">
        <v>961.71698254477485</v>
      </c>
      <c r="AR113" s="40">
        <v>1004.9905814059342</v>
      </c>
      <c r="AS113" s="40">
        <v>1015.7802766625437</v>
      </c>
      <c r="AT113" s="40">
        <v>1084.7654670059746</v>
      </c>
      <c r="AU113" s="40">
        <v>1200.938178383946</v>
      </c>
      <c r="AV113" s="40">
        <v>1398.826977520823</v>
      </c>
      <c r="AW113" s="40">
        <v>1680.5513256177028</v>
      </c>
      <c r="AX113" s="40">
        <v>1920.9921547933411</v>
      </c>
      <c r="AY113" s="40">
        <v>1831.9744857249179</v>
      </c>
      <c r="AZ113" s="40">
        <v>2135.9184137048051</v>
      </c>
      <c r="BA113" s="40">
        <v>2357.5709719952524</v>
      </c>
      <c r="BB113" s="40">
        <v>761.4929941012407</v>
      </c>
    </row>
    <row r="114" spans="1:54">
      <c r="A114" s="41">
        <v>175</v>
      </c>
      <c r="B114" s="41" t="s">
        <v>42</v>
      </c>
      <c r="AA114" s="40">
        <v>1908.6333573573779</v>
      </c>
      <c r="AB114" s="40">
        <v>1972.7210252093789</v>
      </c>
      <c r="AC114" s="40">
        <v>1695.7982489646977</v>
      </c>
      <c r="AD114" s="40">
        <v>1819.5600555753238</v>
      </c>
      <c r="AE114" s="40">
        <v>2165.6513600754629</v>
      </c>
      <c r="AF114" s="40">
        <v>1693.7358096138128</v>
      </c>
      <c r="AG114" s="40">
        <v>2187.1505805637184</v>
      </c>
      <c r="AH114" s="40">
        <v>2405.7926905357681</v>
      </c>
      <c r="AI114" s="40">
        <v>2443.0777302491992</v>
      </c>
      <c r="AJ114" s="40">
        <v>2812.6030983031847</v>
      </c>
      <c r="AK114" s="40">
        <v>3603.1033207427408</v>
      </c>
      <c r="AL114" s="40">
        <v>4056.6124251212045</v>
      </c>
      <c r="AM114" s="40">
        <v>4066.1117103991492</v>
      </c>
      <c r="AN114" s="40">
        <v>4471.9598970869329</v>
      </c>
      <c r="AO114" s="40">
        <v>4340.4183557962606</v>
      </c>
      <c r="AP114" s="40">
        <v>4454.0802196318955</v>
      </c>
      <c r="AQ114" s="40">
        <v>4978.5738261707493</v>
      </c>
      <c r="AR114" s="40">
        <v>5183.8226063263664</v>
      </c>
      <c r="AS114" s="40">
        <v>5674.7370443390382</v>
      </c>
      <c r="AT114" s="40">
        <v>6620.0704241166031</v>
      </c>
      <c r="AU114" s="40">
        <v>7963.0212080808969</v>
      </c>
      <c r="AV114" s="40">
        <v>8958.0124224472129</v>
      </c>
      <c r="AW114" s="40">
        <v>11157.273191961935</v>
      </c>
      <c r="AX114" s="40">
        <v>13886.472428753867</v>
      </c>
      <c r="AY114" s="40">
        <v>11294.867750186466</v>
      </c>
      <c r="AZ114" s="40">
        <v>12302.029919186125</v>
      </c>
      <c r="BA114" s="40">
        <v>13382.072148011499</v>
      </c>
      <c r="BB114" s="40">
        <v>5462.8875131409959</v>
      </c>
    </row>
    <row r="115" spans="1:54">
      <c r="A115" s="41">
        <v>176</v>
      </c>
      <c r="B115" s="41" t="s">
        <v>41</v>
      </c>
      <c r="C115" s="40">
        <v>382.72994699436811</v>
      </c>
      <c r="D115" s="40">
        <v>407.85284361237183</v>
      </c>
      <c r="E115" s="40">
        <v>432.51172957507521</v>
      </c>
      <c r="F115" s="40">
        <v>468.78108163544283</v>
      </c>
      <c r="G115" s="40">
        <v>520.91065936788448</v>
      </c>
      <c r="H115" s="40">
        <v>575.00768066822127</v>
      </c>
      <c r="I115" s="40">
        <v>646.82272006083997</v>
      </c>
      <c r="J115" s="40">
        <v>719.08049185329003</v>
      </c>
      <c r="K115" s="40">
        <v>795.75937139109908</v>
      </c>
      <c r="L115" s="40">
        <v>921.62125294206487</v>
      </c>
      <c r="M115" s="40">
        <v>1050.3368874271869</v>
      </c>
      <c r="N115" s="40">
        <v>1284.8937143167066</v>
      </c>
      <c r="O115" s="40">
        <v>1724.6708755222783</v>
      </c>
      <c r="P115" s="40">
        <v>1973.7319530464142</v>
      </c>
      <c r="Q115" s="40">
        <v>2099.2545533482298</v>
      </c>
      <c r="R115" s="40">
        <v>2144.292184038773</v>
      </c>
      <c r="S115" s="40">
        <v>2237.1240673526754</v>
      </c>
      <c r="T115" s="40">
        <v>2424.5320988101385</v>
      </c>
      <c r="U115" s="40">
        <v>2718.8640246576424</v>
      </c>
      <c r="V115" s="40">
        <v>3323.4322088740987</v>
      </c>
      <c r="W115" s="40">
        <v>3202.6732161634195</v>
      </c>
      <c r="X115" s="40">
        <v>3038.8624646715134</v>
      </c>
      <c r="Y115" s="40">
        <v>2698.9991230105234</v>
      </c>
      <c r="Z115" s="40">
        <v>2489.0936194706946</v>
      </c>
      <c r="AA115" s="40">
        <v>2669.1051865794429</v>
      </c>
      <c r="AB115" s="40">
        <v>3810.429405424346</v>
      </c>
      <c r="AC115" s="40">
        <v>4739.7815897002156</v>
      </c>
      <c r="AD115" s="40">
        <v>5548.67591060614</v>
      </c>
      <c r="AE115" s="40">
        <v>5975.5878412447073</v>
      </c>
      <c r="AF115" s="40">
        <v>7779.435720516115</v>
      </c>
      <c r="AG115" s="40">
        <v>8832.6931301240202</v>
      </c>
      <c r="AH115" s="40">
        <v>10647.673154706252</v>
      </c>
      <c r="AI115" s="40">
        <v>9390.5785279856282</v>
      </c>
      <c r="AJ115" s="40">
        <v>9831.8652667884398</v>
      </c>
      <c r="AK115" s="40">
        <v>11619.328981929972</v>
      </c>
      <c r="AL115" s="40">
        <v>12045.781498162694</v>
      </c>
      <c r="AM115" s="40">
        <v>11461.701626579636</v>
      </c>
      <c r="AN115" s="40">
        <v>12129.0802716575</v>
      </c>
      <c r="AO115" s="40">
        <v>12428.672490855139</v>
      </c>
      <c r="AP115" s="40">
        <v>11470.897921103837</v>
      </c>
      <c r="AQ115" s="40">
        <v>11690.672517981666</v>
      </c>
      <c r="AR115" s="40">
        <v>12758.542881262842</v>
      </c>
      <c r="AS115" s="40">
        <v>15509.125383090828</v>
      </c>
      <c r="AT115" s="40">
        <v>17653.573979724886</v>
      </c>
      <c r="AU115" s="40">
        <v>18185.624023508568</v>
      </c>
      <c r="AV115" s="40">
        <v>19064.988669719365</v>
      </c>
      <c r="AW115" s="40">
        <v>21845.235261011443</v>
      </c>
      <c r="AX115" s="40">
        <v>23716.39041719522</v>
      </c>
      <c r="AY115" s="40">
        <v>22019.259883605497</v>
      </c>
      <c r="AZ115" s="40">
        <v>21381.903956712114</v>
      </c>
      <c r="BA115" s="40">
        <v>22503.909491703089</v>
      </c>
      <c r="BB115" s="40">
        <v>7548.8696815351095</v>
      </c>
    </row>
    <row r="116" spans="1:54">
      <c r="A116" s="41">
        <v>177</v>
      </c>
      <c r="B116" s="41" t="s">
        <v>40</v>
      </c>
      <c r="C116" s="40">
        <v>777.21511695356662</v>
      </c>
      <c r="D116" s="40">
        <v>852.50022364411268</v>
      </c>
      <c r="E116" s="40">
        <v>929.11651273756149</v>
      </c>
      <c r="F116" s="40">
        <v>1006.3953502212315</v>
      </c>
      <c r="G116" s="40">
        <v>1111.0253939861218</v>
      </c>
      <c r="H116" s="40">
        <v>1207.545040844265</v>
      </c>
      <c r="I116" s="40">
        <v>1341.8133393325616</v>
      </c>
      <c r="J116" s="40">
        <v>1497.6724706844013</v>
      </c>
      <c r="K116" s="40">
        <v>1661.8666971865659</v>
      </c>
      <c r="L116" s="40">
        <v>1852.3178572479765</v>
      </c>
      <c r="M116" s="40">
        <v>2044.3920158436581</v>
      </c>
      <c r="N116" s="40">
        <v>2246.5122090431255</v>
      </c>
      <c r="O116" s="40">
        <v>2432.275609548693</v>
      </c>
      <c r="P116" s="40">
        <v>2614.5688060609818</v>
      </c>
      <c r="Q116" s="40">
        <v>2738.1429525718104</v>
      </c>
      <c r="R116" s="40">
        <v>2946.592977640455</v>
      </c>
      <c r="S116" s="40">
        <v>3208.8041478820014</v>
      </c>
      <c r="T116" s="40">
        <v>3567.7528570143077</v>
      </c>
      <c r="U116" s="40">
        <v>4024.5094201928732</v>
      </c>
      <c r="V116" s="40">
        <v>4502.8072364316904</v>
      </c>
      <c r="W116" s="40">
        <v>4920.8154564676215</v>
      </c>
      <c r="X116" s="40">
        <v>5114.9478033672985</v>
      </c>
      <c r="Y116" s="40">
        <v>5217.8441632869617</v>
      </c>
      <c r="Z116" s="40">
        <v>5730.2359339348623</v>
      </c>
      <c r="AA116" s="40">
        <v>6007.9952620669237</v>
      </c>
      <c r="AB116" s="40">
        <v>6443.3654892534905</v>
      </c>
      <c r="AC116" s="40">
        <v>6937.5489271814777</v>
      </c>
      <c r="AD116" s="40">
        <v>7535.6279931797644</v>
      </c>
      <c r="AE116" s="40">
        <v>8063.2702138856093</v>
      </c>
      <c r="AF116" s="40">
        <v>8652.5303929884085</v>
      </c>
      <c r="AG116" s="40">
        <v>9064.0098144077529</v>
      </c>
      <c r="AH116" s="40">
        <v>9659.2189616353571</v>
      </c>
      <c r="AI116" s="40">
        <v>10212.4272264643</v>
      </c>
      <c r="AJ116" s="40">
        <v>10876.520215047694</v>
      </c>
      <c r="AK116" s="40">
        <v>11579.095127125143</v>
      </c>
      <c r="AL116" s="40">
        <v>12173.207988390872</v>
      </c>
      <c r="AM116" s="40">
        <v>12817.63458822215</v>
      </c>
      <c r="AN116" s="40">
        <v>14304.299197508873</v>
      </c>
      <c r="AO116" s="40">
        <v>15220.991342026657</v>
      </c>
      <c r="AP116" s="40">
        <v>16192.179457067841</v>
      </c>
      <c r="AQ116" s="40">
        <v>18123.093956332581</v>
      </c>
      <c r="AR116" s="40">
        <v>18731.590153100358</v>
      </c>
      <c r="AS116" s="40">
        <v>19557.015704001078</v>
      </c>
      <c r="AT116" s="40">
        <v>20698.072946145658</v>
      </c>
      <c r="AU116" s="40">
        <v>21670.022363754077</v>
      </c>
      <c r="AV116" s="40">
        <v>22641.827765797141</v>
      </c>
      <c r="AW116" s="40">
        <v>23369.050183782954</v>
      </c>
      <c r="AX116" s="40">
        <v>24623.504267368207</v>
      </c>
      <c r="AY116" s="40">
        <v>25497.151381800391</v>
      </c>
      <c r="AZ116" s="40">
        <v>26106.388033133328</v>
      </c>
      <c r="BA116" s="40">
        <v>26733.761169521178</v>
      </c>
      <c r="BB116" s="40">
        <v>9353.7072492806674</v>
      </c>
    </row>
    <row r="117" spans="1:54">
      <c r="A117" s="41">
        <v>178</v>
      </c>
      <c r="B117" s="41" t="s">
        <v>39</v>
      </c>
      <c r="L117" s="40">
        <v>2760.0676025613247</v>
      </c>
      <c r="M117" s="40">
        <v>3250.8810364694555</v>
      </c>
      <c r="N117" s="40">
        <v>3913.3363671202301</v>
      </c>
      <c r="O117" s="40">
        <v>5585.7785527897977</v>
      </c>
      <c r="P117" s="40">
        <v>15633.117399408504</v>
      </c>
      <c r="Q117" s="40">
        <v>15288.852054820392</v>
      </c>
      <c r="R117" s="40">
        <v>18898.538632804408</v>
      </c>
      <c r="S117" s="40">
        <v>19832.789103320756</v>
      </c>
      <c r="T117" s="40">
        <v>21097.685882095768</v>
      </c>
      <c r="U117" s="40">
        <v>27439.76895297907</v>
      </c>
      <c r="V117" s="40">
        <v>34990.053653933079</v>
      </c>
      <c r="W117" s="40">
        <v>34913.609501203369</v>
      </c>
      <c r="X117" s="40">
        <v>27400.68534126116</v>
      </c>
      <c r="Y117" s="40">
        <v>20913.360211906336</v>
      </c>
      <c r="Z117" s="40">
        <v>19646.638150339149</v>
      </c>
      <c r="AA117" s="40">
        <v>16584.541999228935</v>
      </c>
      <c r="AB117" s="40">
        <v>12686.981688474405</v>
      </c>
      <c r="AC117" s="40">
        <v>12866.592340043373</v>
      </c>
      <c r="AD117" s="40">
        <v>13562.954978894137</v>
      </c>
      <c r="AE117" s="40">
        <v>14010.378144833994</v>
      </c>
      <c r="AF117" s="40">
        <v>15446.330787051935</v>
      </c>
      <c r="AG117" s="40">
        <v>14189.043089847704</v>
      </c>
      <c r="AH117" s="40">
        <v>15616.95274660104</v>
      </c>
      <c r="AI117" s="40">
        <v>14546.039899705402</v>
      </c>
      <c r="AJ117" s="40">
        <v>14894.69036022908</v>
      </c>
      <c r="AK117" s="40">
        <v>16238.345394597995</v>
      </c>
      <c r="AL117" s="40">
        <v>17677.589032331955</v>
      </c>
      <c r="AM117" s="40">
        <v>21337.098839964834</v>
      </c>
      <c r="AN117" s="40">
        <v>18633.920161284081</v>
      </c>
      <c r="AO117" s="40">
        <v>21660.444304364984</v>
      </c>
      <c r="AP117" s="40">
        <v>29914.264776665957</v>
      </c>
      <c r="AQ117" s="40">
        <v>28666.6095131252</v>
      </c>
      <c r="AR117" s="40">
        <v>30748.534257003594</v>
      </c>
      <c r="AS117" s="40">
        <v>35644.404791228932</v>
      </c>
      <c r="AT117" s="40">
        <v>43970.04622874051</v>
      </c>
      <c r="AU117" s="40">
        <v>52413.854868181872</v>
      </c>
      <c r="AV117" s="40">
        <v>62522.298996073536</v>
      </c>
      <c r="AW117" s="40">
        <v>69023.692582076968</v>
      </c>
      <c r="AX117" s="40">
        <v>84628.498348872876</v>
      </c>
      <c r="AY117" s="40">
        <v>62390.279839021467</v>
      </c>
      <c r="AZ117" s="40">
        <v>71510.155746257253</v>
      </c>
      <c r="BA117" s="40">
        <v>89735.681871277193</v>
      </c>
      <c r="BB117" s="40">
        <v>27921.080667356953</v>
      </c>
    </row>
    <row r="118" spans="1:54">
      <c r="A118" s="41">
        <v>180</v>
      </c>
      <c r="B118" s="41" t="s">
        <v>38</v>
      </c>
      <c r="AC118" s="40">
        <v>1658.7586341178794</v>
      </c>
      <c r="AD118" s="40">
        <v>1753.192792304369</v>
      </c>
      <c r="AE118" s="40">
        <v>1789.6446375989121</v>
      </c>
      <c r="AF118" s="40">
        <v>1650.692978375474</v>
      </c>
      <c r="AG118" s="40">
        <v>1254.1482705144756</v>
      </c>
      <c r="AH118" s="40">
        <v>1100.7278761993839</v>
      </c>
      <c r="AI118" s="40">
        <v>1158.0563937904667</v>
      </c>
      <c r="AJ118" s="40">
        <v>1323.0244031734876</v>
      </c>
      <c r="AK118" s="40">
        <v>1563.9496276020627</v>
      </c>
      <c r="AL118" s="40">
        <v>1562.1235000117297</v>
      </c>
      <c r="AM118" s="40">
        <v>1564.5084198471732</v>
      </c>
      <c r="AN118" s="40">
        <v>1871.1889803289723</v>
      </c>
      <c r="AO118" s="40">
        <v>1583.8498455351814</v>
      </c>
      <c r="AP118" s="40">
        <v>1650.9684210345324</v>
      </c>
      <c r="AQ118" s="40">
        <v>1815.5069843842946</v>
      </c>
      <c r="AR118" s="40">
        <v>2101.7409874673112</v>
      </c>
      <c r="AS118" s="40">
        <v>2736.9749825029098</v>
      </c>
      <c r="AT118" s="40">
        <v>3481.2000596775106</v>
      </c>
      <c r="AU118" s="40">
        <v>4572.0484534524849</v>
      </c>
      <c r="AV118" s="40">
        <v>5681.0916366669935</v>
      </c>
      <c r="AW118" s="40">
        <v>7856.4760603589357</v>
      </c>
      <c r="AX118" s="40">
        <v>9497.9462637093475</v>
      </c>
      <c r="AY118" s="40">
        <v>7650.961389851861</v>
      </c>
      <c r="AZ118" s="40">
        <v>7686.9225234910555</v>
      </c>
      <c r="BA118" s="40">
        <v>8539.2612210206626</v>
      </c>
      <c r="BB118" s="40">
        <v>3324.1986137206986</v>
      </c>
    </row>
    <row r="119" spans="1:54">
      <c r="A119" s="41">
        <v>181</v>
      </c>
      <c r="B119" s="41" t="s">
        <v>37</v>
      </c>
      <c r="AE119" s="40">
        <v>3428.7619655134608</v>
      </c>
      <c r="AF119" s="40">
        <v>3485.1122022467052</v>
      </c>
      <c r="AG119" s="40">
        <v>3427.3175187472634</v>
      </c>
      <c r="AH119" s="40">
        <v>3095.0871599497705</v>
      </c>
      <c r="AI119" s="40">
        <v>2929.3032823238091</v>
      </c>
      <c r="AJ119" s="40">
        <v>2663.4569884385082</v>
      </c>
      <c r="AK119" s="40">
        <v>2669.9461233262282</v>
      </c>
      <c r="AL119" s="40">
        <v>2651.442018188086</v>
      </c>
      <c r="AM119" s="40">
        <v>2748.9174370011492</v>
      </c>
      <c r="AN119" s="40">
        <v>1844.4857824084968</v>
      </c>
      <c r="AO119" s="40">
        <v>1338.9864442280525</v>
      </c>
      <c r="AP119" s="40">
        <v>1775.1412907960209</v>
      </c>
      <c r="AQ119" s="40">
        <v>2100.7437861492881</v>
      </c>
      <c r="AR119" s="40">
        <v>2375.1629338744842</v>
      </c>
      <c r="AS119" s="40">
        <v>2976.1370489983128</v>
      </c>
      <c r="AT119" s="40">
        <v>4108.5744882763584</v>
      </c>
      <c r="AU119" s="40">
        <v>5337.0653242094295</v>
      </c>
      <c r="AV119" s="40">
        <v>6946.8809984469062</v>
      </c>
      <c r="AW119" s="40">
        <v>9146.4163604819259</v>
      </c>
      <c r="AX119" s="40">
        <v>11700.221117478008</v>
      </c>
      <c r="AY119" s="40">
        <v>8615.6587571380096</v>
      </c>
      <c r="AZ119" s="40">
        <v>10709.502432563364</v>
      </c>
      <c r="BA119" s="40">
        <v>13284.039125012281</v>
      </c>
      <c r="BB119" s="40">
        <v>4754.7113298172135</v>
      </c>
    </row>
    <row r="120" spans="1:54">
      <c r="A120" s="41">
        <v>182</v>
      </c>
      <c r="B120" s="41" t="s">
        <v>36</v>
      </c>
      <c r="C120" s="40">
        <v>40.719729635047806</v>
      </c>
      <c r="D120" s="40">
        <v>40.975602080708164</v>
      </c>
      <c r="E120" s="40">
        <v>41.250828280536567</v>
      </c>
      <c r="F120" s="40">
        <v>41.116871869384973</v>
      </c>
      <c r="G120" s="40">
        <v>46.026254043552342</v>
      </c>
      <c r="H120" s="40">
        <v>37.518172283253101</v>
      </c>
      <c r="I120" s="40">
        <v>46.678001130838517</v>
      </c>
      <c r="J120" s="40">
        <v>48.819768911903296</v>
      </c>
      <c r="K120" s="40">
        <v>51.832253968847375</v>
      </c>
      <c r="L120" s="40">
        <v>58.569000518278372</v>
      </c>
      <c r="M120" s="40">
        <v>57.635337224277741</v>
      </c>
      <c r="N120" s="40">
        <v>61.867202727867543</v>
      </c>
      <c r="O120" s="40">
        <v>70.874594847035468</v>
      </c>
      <c r="P120" s="40">
        <v>72.977281718276473</v>
      </c>
      <c r="Q120" s="40">
        <v>131.1864478125274</v>
      </c>
      <c r="R120" s="40">
        <v>141.73041756316661</v>
      </c>
      <c r="S120" s="40">
        <v>160.6357983238178</v>
      </c>
      <c r="T120" s="40">
        <v>188.51838997090101</v>
      </c>
      <c r="U120" s="40">
        <v>223.27137150642818</v>
      </c>
      <c r="V120" s="40">
        <v>244.08050507061901</v>
      </c>
      <c r="W120" s="40">
        <v>264.80235387181568</v>
      </c>
      <c r="X120" s="40">
        <v>256.54676127252952</v>
      </c>
      <c r="Y120" s="40">
        <v>261.11026396507896</v>
      </c>
      <c r="Z120" s="40">
        <v>270.25344965548283</v>
      </c>
      <c r="AA120" s="40">
        <v>280.6725857588014</v>
      </c>
      <c r="AB120" s="40">
        <v>303.57667907351646</v>
      </c>
      <c r="AC120" s="40">
        <v>320.05227035673983</v>
      </c>
      <c r="AD120" s="40">
        <v>339.9894682132134</v>
      </c>
      <c r="AE120" s="40">
        <v>332.93048725201999</v>
      </c>
      <c r="AF120" s="40">
        <v>353.4709837444579</v>
      </c>
      <c r="AG120" s="40">
        <v>274.1170541689894</v>
      </c>
      <c r="AH120" s="40">
        <v>310.0070215284216</v>
      </c>
      <c r="AI120" s="40">
        <v>324.99812369904566</v>
      </c>
      <c r="AJ120" s="40">
        <v>131.55993833917466</v>
      </c>
      <c r="AK120" s="40">
        <v>228.38492062251632</v>
      </c>
      <c r="AL120" s="40">
        <v>233.12545662163527</v>
      </c>
      <c r="AM120" s="40">
        <v>286.14814500208331</v>
      </c>
      <c r="AN120" s="40">
        <v>277.46700725283739</v>
      </c>
      <c r="AO120" s="40">
        <v>231.45953392972828</v>
      </c>
      <c r="AP120" s="40">
        <v>206.64907132382316</v>
      </c>
      <c r="AQ120" s="40">
        <v>191.17403562860042</v>
      </c>
      <c r="AR120" s="40">
        <v>186.64174801838908</v>
      </c>
      <c r="AS120" s="40">
        <v>202.27323818992656</v>
      </c>
      <c r="AT120" s="40">
        <v>225.7513897748897</v>
      </c>
      <c r="AU120" s="40">
        <v>273.74708922605618</v>
      </c>
      <c r="AV120" s="40">
        <v>322.0379666292871</v>
      </c>
      <c r="AW120" s="40">
        <v>376.52022829832458</v>
      </c>
      <c r="AX120" s="40">
        <v>460.89732489791794</v>
      </c>
      <c r="AY120" s="40">
        <v>498.84545880388015</v>
      </c>
      <c r="AZ120" s="40">
        <v>519.0223544709487</v>
      </c>
      <c r="BA120" s="40">
        <v>570.16688276037439</v>
      </c>
      <c r="BB120" s="40">
        <v>218.05261023211315</v>
      </c>
    </row>
    <row r="121" spans="1:54">
      <c r="A121" s="41">
        <v>191</v>
      </c>
      <c r="B121" s="41" t="s">
        <v>35</v>
      </c>
      <c r="J121" s="40">
        <v>780.99596942664925</v>
      </c>
      <c r="K121" s="40">
        <v>805.17752218396572</v>
      </c>
      <c r="L121" s="40">
        <v>864.11731439374989</v>
      </c>
      <c r="M121" s="40">
        <v>1121.713306181289</v>
      </c>
      <c r="N121" s="40">
        <v>1455.4352257516664</v>
      </c>
      <c r="O121" s="40">
        <v>2170.3918763720721</v>
      </c>
      <c r="P121" s="40">
        <v>6428.7908241337263</v>
      </c>
      <c r="Q121" s="40">
        <v>6306.5373964721612</v>
      </c>
      <c r="R121" s="40">
        <v>8194.27778330207</v>
      </c>
      <c r="S121" s="40">
        <v>8987.8072557605192</v>
      </c>
      <c r="T121" s="40">
        <v>9181.7530569113715</v>
      </c>
      <c r="U121" s="40">
        <v>12069.013428421164</v>
      </c>
      <c r="V121" s="40">
        <v>16692.446250998564</v>
      </c>
      <c r="W121" s="40">
        <v>17543.524270736925</v>
      </c>
      <c r="X121" s="40">
        <v>13685.885053150947</v>
      </c>
      <c r="Y121" s="40">
        <v>10842.128276290701</v>
      </c>
      <c r="Z121" s="40">
        <v>9473.1004283624425</v>
      </c>
      <c r="AA121" s="40">
        <v>7827.2956497525165</v>
      </c>
      <c r="AB121" s="40">
        <v>6248.0174880394825</v>
      </c>
      <c r="AC121" s="40">
        <v>5898.50752616302</v>
      </c>
      <c r="AD121" s="40">
        <v>5841.7613121841541</v>
      </c>
      <c r="AE121" s="40">
        <v>6086.4307991724336</v>
      </c>
      <c r="AF121" s="40">
        <v>7205.8219132203512</v>
      </c>
      <c r="AG121" s="40">
        <v>7845.6833494446291</v>
      </c>
      <c r="AH121" s="40">
        <v>7895.458465800516</v>
      </c>
      <c r="AI121" s="40">
        <v>7441.7553313589833</v>
      </c>
      <c r="AJ121" s="40">
        <v>7381.8224653198968</v>
      </c>
      <c r="AK121" s="40">
        <v>7672.4861093913414</v>
      </c>
      <c r="AL121" s="40">
        <v>8369.068213760218</v>
      </c>
      <c r="AM121" s="40">
        <v>8656.1647897298826</v>
      </c>
      <c r="AN121" s="40">
        <v>7559.6672809601632</v>
      </c>
      <c r="AO121" s="40">
        <v>8203.4345486829243</v>
      </c>
      <c r="AP121" s="40">
        <v>9354.4679242155926</v>
      </c>
      <c r="AQ121" s="40">
        <v>8760.0911850766388</v>
      </c>
      <c r="AR121" s="40">
        <v>8639.1441789070559</v>
      </c>
      <c r="AS121" s="40">
        <v>9389.5358517662062</v>
      </c>
      <c r="AT121" s="40">
        <v>10853.627507251947</v>
      </c>
      <c r="AU121" s="40">
        <v>13303.309738451131</v>
      </c>
      <c r="AV121" s="40">
        <v>14855.000955045309</v>
      </c>
      <c r="AW121" s="40">
        <v>16048.582050079503</v>
      </c>
      <c r="AX121" s="40">
        <v>19714.395139442466</v>
      </c>
      <c r="AY121" s="40">
        <v>16013.280403288381</v>
      </c>
      <c r="AZ121" s="40">
        <v>19326.582554817593</v>
      </c>
      <c r="BA121" s="40">
        <v>24116.174132484353</v>
      </c>
      <c r="BB121" s="40">
        <v>9252.5150477876468</v>
      </c>
    </row>
    <row r="122" spans="1:54">
      <c r="A122" s="41">
        <v>192</v>
      </c>
      <c r="B122" s="41" t="s">
        <v>34</v>
      </c>
      <c r="C122" s="40">
        <v>256.14276247219846</v>
      </c>
      <c r="D122" s="40">
        <v>255.44626775440267</v>
      </c>
      <c r="E122" s="40">
        <v>256.88164707256919</v>
      </c>
      <c r="F122" s="40">
        <v>264.69107742474642</v>
      </c>
      <c r="G122" s="40">
        <v>261.91157249690821</v>
      </c>
      <c r="H122" s="40">
        <v>262.34158150952231</v>
      </c>
      <c r="I122" s="40">
        <v>254.88335337018023</v>
      </c>
      <c r="J122" s="40">
        <v>260.14560783852113</v>
      </c>
      <c r="K122" s="40">
        <v>240.25825033203907</v>
      </c>
      <c r="L122" s="40">
        <v>242.96329344544372</v>
      </c>
      <c r="M122" s="40">
        <v>243.30976553427524</v>
      </c>
      <c r="N122" s="40">
        <v>285.41959985541041</v>
      </c>
      <c r="O122" s="40">
        <v>318.19131891750601</v>
      </c>
      <c r="P122" s="40">
        <v>347.9989785020727</v>
      </c>
      <c r="Q122" s="40">
        <v>456.17679328325028</v>
      </c>
      <c r="R122" s="40">
        <v>450.45374233855426</v>
      </c>
      <c r="S122" s="40">
        <v>449.69425686596026</v>
      </c>
      <c r="T122" s="40">
        <v>489.83780982180798</v>
      </c>
      <c r="U122" s="40">
        <v>594.81859943387519</v>
      </c>
      <c r="V122" s="40">
        <v>629.07895809694571</v>
      </c>
      <c r="W122" s="40">
        <v>555.01957698874787</v>
      </c>
      <c r="X122" s="40">
        <v>528.10746644942913</v>
      </c>
      <c r="Y122" s="40">
        <v>457.58616210944916</v>
      </c>
      <c r="Z122" s="40">
        <v>433.15847142993181</v>
      </c>
      <c r="AA122" s="40">
        <v>460.11963884191437</v>
      </c>
      <c r="AB122" s="40">
        <v>631.1923308760496</v>
      </c>
      <c r="AC122" s="40">
        <v>736.2623123176287</v>
      </c>
      <c r="AD122" s="40">
        <v>705.87944677689893</v>
      </c>
      <c r="AE122" s="40">
        <v>674.38950487457305</v>
      </c>
      <c r="AF122" s="40">
        <v>760.78797420530361</v>
      </c>
      <c r="AG122" s="40">
        <v>724.8414767564276</v>
      </c>
      <c r="AH122" s="40">
        <v>751.45906029836442</v>
      </c>
      <c r="AI122" s="40">
        <v>689.63131966043079</v>
      </c>
      <c r="AJ122" s="40">
        <v>457.44501975661785</v>
      </c>
      <c r="AK122" s="40">
        <v>560.03021284809267</v>
      </c>
      <c r="AL122" s="40">
        <v>566.62877616468074</v>
      </c>
      <c r="AM122" s="40">
        <v>509.87327017962485</v>
      </c>
      <c r="AN122" s="40">
        <v>535.83942991136837</v>
      </c>
      <c r="AO122" s="40">
        <v>534.8038535546691</v>
      </c>
      <c r="AP122" s="40">
        <v>474.52415775888375</v>
      </c>
      <c r="AQ122" s="40">
        <v>482.01849335368075</v>
      </c>
      <c r="AR122" s="40">
        <v>513.36252892210359</v>
      </c>
      <c r="AS122" s="40">
        <v>642.51874230037083</v>
      </c>
      <c r="AT122" s="40">
        <v>732.15666702434521</v>
      </c>
      <c r="AU122" s="40">
        <v>771.8170759716329</v>
      </c>
      <c r="AV122" s="40">
        <v>808.91255336362519</v>
      </c>
      <c r="AW122" s="40">
        <v>950.84192035103615</v>
      </c>
      <c r="AX122" s="40">
        <v>1093.7637993828835</v>
      </c>
      <c r="AY122" s="40">
        <v>1014.4765547703332</v>
      </c>
      <c r="AZ122" s="40">
        <v>992.64383491016144</v>
      </c>
      <c r="BA122" s="40">
        <v>1083.8403451102602</v>
      </c>
      <c r="BB122" s="40">
        <v>542.24661203109224</v>
      </c>
    </row>
    <row r="123" spans="1:54">
      <c r="A123" s="41">
        <v>195</v>
      </c>
      <c r="B123" s="41" t="s">
        <v>33</v>
      </c>
      <c r="C123" s="40">
        <v>149.76188302980134</v>
      </c>
      <c r="D123" s="40">
        <v>154.41402765676204</v>
      </c>
      <c r="E123" s="40">
        <v>154.80220895850772</v>
      </c>
      <c r="F123" s="40">
        <v>162.71212206892906</v>
      </c>
      <c r="G123" s="40">
        <v>154.84784344757736</v>
      </c>
      <c r="H123" s="40">
        <v>159.22138464652869</v>
      </c>
      <c r="I123" s="40">
        <v>145.47855205198644</v>
      </c>
      <c r="J123" s="40">
        <v>135.22682029920509</v>
      </c>
      <c r="K123" s="40">
        <v>164.53223061317826</v>
      </c>
      <c r="L123" s="40">
        <v>171.57661335440412</v>
      </c>
      <c r="M123" s="40">
        <v>162.41459701954301</v>
      </c>
      <c r="N123" s="40">
        <v>176.42366432640969</v>
      </c>
      <c r="O123" s="40">
        <v>213.38143238612122</v>
      </c>
      <c r="P123" s="40">
        <v>235.26852627699063</v>
      </c>
      <c r="Q123" s="40">
        <v>240.83247709724691</v>
      </c>
      <c r="R123" s="40">
        <v>206.00770125578237</v>
      </c>
      <c r="S123" s="40">
        <v>233.89842884966328</v>
      </c>
      <c r="T123" s="40">
        <v>317.07571912409668</v>
      </c>
      <c r="U123" s="40">
        <v>357.36653164440867</v>
      </c>
      <c r="V123" s="40">
        <v>346.10183939273679</v>
      </c>
      <c r="W123" s="40">
        <v>342.40496342328453</v>
      </c>
      <c r="X123" s="40">
        <v>388.88697771497698</v>
      </c>
      <c r="Y123" s="40">
        <v>291.96156732424544</v>
      </c>
      <c r="Z123" s="40">
        <v>311.40253871657734</v>
      </c>
      <c r="AA123" s="40">
        <v>239.06126945630163</v>
      </c>
      <c r="AB123" s="40">
        <v>132.89481355101481</v>
      </c>
      <c r="AC123" s="40">
        <v>184.50797098679348</v>
      </c>
      <c r="AD123" s="40">
        <v>269.94752077804185</v>
      </c>
      <c r="AE123" s="40">
        <v>233.65155871783818</v>
      </c>
      <c r="AF123" s="40">
        <v>160.69665375289532</v>
      </c>
      <c r="AG123" s="40">
        <v>192.43327974248956</v>
      </c>
      <c r="AH123" s="40">
        <v>168.66159132608499</v>
      </c>
      <c r="AI123" s="40">
        <v>192.61556994347447</v>
      </c>
      <c r="AJ123" s="40">
        <v>230.77459612837004</v>
      </c>
      <c r="AK123" s="40">
        <v>221.73044504966882</v>
      </c>
      <c r="AL123" s="40">
        <v>240.25824186645909</v>
      </c>
      <c r="AM123" s="40">
        <v>216.43337321186146</v>
      </c>
      <c r="AN123" s="40">
        <v>169.71180201746895</v>
      </c>
      <c r="AO123" s="40">
        <v>166.08218224960146</v>
      </c>
      <c r="AP123" s="40">
        <v>153.60176991034686</v>
      </c>
      <c r="AQ123" s="40">
        <v>251.29470879278176</v>
      </c>
      <c r="AR123" s="40">
        <v>275.76036657441472</v>
      </c>
      <c r="AS123" s="40">
        <v>291.00605434582764</v>
      </c>
      <c r="AT123" s="40">
        <v>290.41352575822094</v>
      </c>
      <c r="AU123" s="40">
        <v>317.94657633096489</v>
      </c>
      <c r="AV123" s="40">
        <v>357.40610366447851</v>
      </c>
      <c r="AW123" s="40">
        <v>398.43772980833904</v>
      </c>
      <c r="AX123" s="40">
        <v>452.69680269526134</v>
      </c>
      <c r="AY123" s="40">
        <v>435.1094120469607</v>
      </c>
      <c r="AZ123" s="40">
        <v>447.75332377400576</v>
      </c>
      <c r="BA123" s="40">
        <v>501.02322468994095</v>
      </c>
      <c r="BB123" s="40">
        <v>246.42962976174255</v>
      </c>
    </row>
    <row r="124" spans="1:54">
      <c r="A124" s="41">
        <v>196</v>
      </c>
      <c r="B124" s="41" t="s">
        <v>32</v>
      </c>
      <c r="C124" s="40">
        <v>437.94322116974092</v>
      </c>
      <c r="D124" s="40">
        <v>429.53774468875525</v>
      </c>
      <c r="E124" s="40">
        <v>472.18303179988038</v>
      </c>
      <c r="F124" s="40">
        <v>464.37730535391808</v>
      </c>
      <c r="G124" s="40">
        <v>516.26220678884511</v>
      </c>
      <c r="H124" s="40">
        <v>566.65096457345567</v>
      </c>
      <c r="I124" s="40">
        <v>625.58906786765726</v>
      </c>
      <c r="J124" s="40">
        <v>708.26049816747116</v>
      </c>
      <c r="K124" s="40">
        <v>812.06288343143456</v>
      </c>
      <c r="L124" s="40">
        <v>925.05840582172243</v>
      </c>
      <c r="M124" s="40">
        <v>1070.7663841142403</v>
      </c>
      <c r="N124" s="40">
        <v>1263.8942360470235</v>
      </c>
      <c r="O124" s="40">
        <v>1684.3410852713178</v>
      </c>
      <c r="P124" s="40">
        <v>2339.38897866047</v>
      </c>
      <c r="Q124" s="40">
        <v>2488.3414665903547</v>
      </c>
      <c r="R124" s="40">
        <v>2756.6530324920745</v>
      </c>
      <c r="S124" s="40">
        <v>2842.4968445288036</v>
      </c>
      <c r="T124" s="40">
        <v>3187.0067074426647</v>
      </c>
      <c r="U124" s="40">
        <v>3891.7679803334131</v>
      </c>
      <c r="V124" s="40">
        <v>4913.4489497496479</v>
      </c>
      <c r="W124" s="40">
        <v>5579.2139977480256</v>
      </c>
      <c r="X124" s="40">
        <v>6050.9733665055646</v>
      </c>
      <c r="Y124" s="40">
        <v>6605.2469803149643</v>
      </c>
      <c r="Z124" s="40">
        <v>7185.6157066134356</v>
      </c>
      <c r="AA124" s="40">
        <v>6960.4682292127272</v>
      </c>
      <c r="AB124" s="40">
        <v>6783.4910923614834</v>
      </c>
      <c r="AC124" s="40">
        <v>7511.6537180909991</v>
      </c>
      <c r="AD124" s="40">
        <v>8890.4074397180702</v>
      </c>
      <c r="AE124" s="40">
        <v>10383.801787993931</v>
      </c>
      <c r="AF124" s="40">
        <v>11845.409269277987</v>
      </c>
      <c r="AG124" s="40">
        <v>13736.80024876682</v>
      </c>
      <c r="AH124" s="40">
        <v>15180.384860840357</v>
      </c>
      <c r="AI124" s="40">
        <v>18102.905559889608</v>
      </c>
      <c r="AJ124" s="40">
        <v>20248.781387326304</v>
      </c>
      <c r="AK124" s="40">
        <v>22922.114463720754</v>
      </c>
      <c r="AL124" s="40">
        <v>25795.773607321356</v>
      </c>
      <c r="AM124" s="40">
        <v>27545.235113031275</v>
      </c>
      <c r="AN124" s="40">
        <v>24399.982587541068</v>
      </c>
      <c r="AO124" s="40">
        <v>21715.09874513678</v>
      </c>
      <c r="AP124" s="40">
        <v>23814.556614022691</v>
      </c>
      <c r="AQ124" s="40">
        <v>22027.170765683655</v>
      </c>
      <c r="AR124" s="40">
        <v>21691.287891241605</v>
      </c>
      <c r="AS124" s="40">
        <v>22689.528184335741</v>
      </c>
      <c r="AT124" s="40">
        <v>26240.54621495742</v>
      </c>
      <c r="AU124" s="40">
        <v>28952.808914540019</v>
      </c>
      <c r="AV124" s="40">
        <v>31585.60378815189</v>
      </c>
      <c r="AW124" s="40">
        <v>36766.280887925845</v>
      </c>
      <c r="AX124" s="40">
        <v>36972.386025029715</v>
      </c>
      <c r="AY124" s="40">
        <v>38922.782070437257</v>
      </c>
      <c r="AZ124" s="40">
        <v>42783.722448135355</v>
      </c>
      <c r="BA124" s="40">
        <v>47268.228947342388</v>
      </c>
      <c r="BB124" s="40">
        <v>13324.593958982508</v>
      </c>
    </row>
    <row r="125" spans="1:54">
      <c r="A125" s="41">
        <v>197</v>
      </c>
      <c r="B125" s="41" t="s">
        <v>31</v>
      </c>
      <c r="X125" s="40">
        <v>1207.9697995168433</v>
      </c>
      <c r="Y125" s="40">
        <v>1204.0416645997329</v>
      </c>
      <c r="Z125" s="40">
        <v>1121.5861704383235</v>
      </c>
      <c r="AA125" s="40">
        <v>1128.8805607288064</v>
      </c>
      <c r="AB125" s="40">
        <v>1516.0558797059271</v>
      </c>
      <c r="AC125" s="40">
        <v>1815.1330354899555</v>
      </c>
      <c r="AD125" s="40">
        <v>1918.6116474571902</v>
      </c>
      <c r="AE125" s="40">
        <v>1851.7227820155404</v>
      </c>
      <c r="AF125" s="40">
        <v>2210.9981833053862</v>
      </c>
      <c r="AG125" s="40">
        <v>2473.7775129531205</v>
      </c>
      <c r="AH125" s="40">
        <v>2690.1646659961948</v>
      </c>
      <c r="AI125" s="40">
        <v>3031.877331778046</v>
      </c>
      <c r="AJ125" s="40">
        <v>3685.7528200635329</v>
      </c>
      <c r="AK125" s="40">
        <v>4709.735564221648</v>
      </c>
      <c r="AL125" s="40">
        <v>5077.7213103297308</v>
      </c>
      <c r="AM125" s="40">
        <v>5022.770206322788</v>
      </c>
      <c r="AN125" s="40">
        <v>5431.4432397547089</v>
      </c>
      <c r="AO125" s="40">
        <v>5550.0042915436725</v>
      </c>
      <c r="AP125" s="40">
        <v>5330.4016218874895</v>
      </c>
      <c r="AQ125" s="40">
        <v>5636.6390898030122</v>
      </c>
      <c r="AR125" s="40">
        <v>6439.476748668224</v>
      </c>
      <c r="AS125" s="40">
        <v>8520.5883029290617</v>
      </c>
      <c r="AT125" s="40">
        <v>10417.811728875866</v>
      </c>
      <c r="AU125" s="40">
        <v>11384.529459552063</v>
      </c>
      <c r="AV125" s="40">
        <v>12798.527267124115</v>
      </c>
      <c r="AW125" s="40">
        <v>15583.39903033307</v>
      </c>
      <c r="AX125" s="40">
        <v>18109.055660114729</v>
      </c>
      <c r="AY125" s="40">
        <v>16100.082706384255</v>
      </c>
      <c r="AZ125" s="40">
        <v>16062.419819845736</v>
      </c>
      <c r="BA125" s="40">
        <v>17789.562614713279</v>
      </c>
      <c r="BB125" s="40">
        <v>6527.358023881734</v>
      </c>
    </row>
    <row r="126" spans="1:54">
      <c r="A126" s="41">
        <v>198</v>
      </c>
      <c r="B126" s="41" t="s">
        <v>30</v>
      </c>
      <c r="AF126" s="40">
        <v>8698.9000177405796</v>
      </c>
      <c r="AG126" s="40">
        <v>6338.552270238587</v>
      </c>
      <c r="AH126" s="40">
        <v>6272.2508504937441</v>
      </c>
      <c r="AI126" s="40">
        <v>6362.7787816737946</v>
      </c>
      <c r="AJ126" s="40">
        <v>7230.9212308214655</v>
      </c>
      <c r="AK126" s="40">
        <v>10523.724545607894</v>
      </c>
      <c r="AL126" s="40">
        <v>10635.427126523049</v>
      </c>
      <c r="AM126" s="40">
        <v>10282.321490034303</v>
      </c>
      <c r="AN126" s="40">
        <v>10974.488925736498</v>
      </c>
      <c r="AO126" s="40">
        <v>11250.215817788614</v>
      </c>
      <c r="AP126" s="40">
        <v>10045.360076644314</v>
      </c>
      <c r="AQ126" s="40">
        <v>10290.31604519909</v>
      </c>
      <c r="AR126" s="40">
        <v>11599.901924952372</v>
      </c>
      <c r="AS126" s="40">
        <v>14607.200496223833</v>
      </c>
      <c r="AT126" s="40">
        <v>16944.189526738734</v>
      </c>
      <c r="AU126" s="40">
        <v>17854.635330154309</v>
      </c>
      <c r="AV126" s="40">
        <v>19405.93327489974</v>
      </c>
      <c r="AW126" s="40">
        <v>23441.000620478855</v>
      </c>
      <c r="AX126" s="40">
        <v>27015.082379725027</v>
      </c>
      <c r="AY126" s="40">
        <v>24051.036070570903</v>
      </c>
      <c r="AZ126" s="40">
        <v>22942.364428653545</v>
      </c>
      <c r="BA126" s="40">
        <v>24478.281827866562</v>
      </c>
      <c r="BB126" s="40">
        <v>14147.494684489357</v>
      </c>
    </row>
    <row r="127" spans="1:54">
      <c r="A127" s="41">
        <v>200</v>
      </c>
      <c r="B127" s="41" t="s">
        <v>29</v>
      </c>
      <c r="C127" s="40">
        <v>68.093277594116103</v>
      </c>
      <c r="D127" s="40">
        <v>70.795490524446237</v>
      </c>
      <c r="E127" s="40">
        <v>73.585515548962519</v>
      </c>
      <c r="F127" s="40">
        <v>76.455021696659642</v>
      </c>
      <c r="G127" s="40">
        <v>79.400975717545066</v>
      </c>
      <c r="H127" s="40">
        <v>81.856210702591213</v>
      </c>
      <c r="I127" s="40">
        <v>84.214830064504852</v>
      </c>
      <c r="J127" s="40">
        <v>86.593257637895192</v>
      </c>
      <c r="K127" s="40">
        <v>88.683399279414331</v>
      </c>
      <c r="L127" s="40">
        <v>91.758881455419498</v>
      </c>
      <c r="M127" s="40">
        <v>95.211537779168722</v>
      </c>
      <c r="N127" s="40">
        <v>119.45722254707587</v>
      </c>
      <c r="O127" s="40">
        <v>143.7755727735973</v>
      </c>
      <c r="P127" s="40">
        <v>128.29419382602001</v>
      </c>
      <c r="Q127" s="40">
        <v>183.16373622308191</v>
      </c>
      <c r="R127" s="40">
        <v>189.51755477536031</v>
      </c>
      <c r="S127" s="40">
        <v>104.86647897506448</v>
      </c>
      <c r="T127" s="40">
        <v>106.82186486260633</v>
      </c>
      <c r="U127" s="40">
        <v>102.5219417157586</v>
      </c>
      <c r="V127" s="40">
        <v>99.116862920031295</v>
      </c>
      <c r="W127" s="40">
        <v>111.82700573157886</v>
      </c>
      <c r="X127" s="40">
        <v>123.48160306547953</v>
      </c>
      <c r="Y127" s="40">
        <v>118.37746584021652</v>
      </c>
      <c r="Z127" s="40">
        <v>128.95055313070151</v>
      </c>
      <c r="AA127" s="40">
        <v>144.42044104909266</v>
      </c>
      <c r="AB127" s="40">
        <v>152.94445129627999</v>
      </c>
      <c r="AC127" s="40">
        <v>164.49064025756417</v>
      </c>
      <c r="AD127" s="40">
        <v>166.99952315697578</v>
      </c>
      <c r="AE127" s="40">
        <v>173.79694018690043</v>
      </c>
      <c r="AF127" s="40">
        <v>145.06486933960025</v>
      </c>
      <c r="BB127" s="40">
        <v>116.81791065579031</v>
      </c>
    </row>
    <row r="128" spans="1:54">
      <c r="A128" s="41">
        <v>201</v>
      </c>
      <c r="B128" s="41" t="s">
        <v>28</v>
      </c>
      <c r="C128" s="40">
        <v>431.35393896232375</v>
      </c>
      <c r="D128" s="40">
        <v>448.00160720810419</v>
      </c>
      <c r="E128" s="40">
        <v>484.52583078245556</v>
      </c>
      <c r="F128" s="40">
        <v>519.40970222593251</v>
      </c>
      <c r="G128" s="40">
        <v>554.79000275125554</v>
      </c>
      <c r="H128" s="40">
        <v>591.81191568812108</v>
      </c>
      <c r="I128" s="40">
        <v>646.27557160998163</v>
      </c>
      <c r="J128" s="40">
        <v>684.32373890147289</v>
      </c>
      <c r="K128" s="40">
        <v>754.91389874141544</v>
      </c>
      <c r="L128" s="40">
        <v>810.76619431365862</v>
      </c>
      <c r="M128" s="40">
        <v>874.44941752738305</v>
      </c>
      <c r="N128" s="40">
        <v>897.38177953181741</v>
      </c>
      <c r="O128" s="40">
        <v>1202.4683740238074</v>
      </c>
      <c r="P128" s="40">
        <v>1477.0232198655629</v>
      </c>
      <c r="Q128" s="40">
        <v>1494.1585022619961</v>
      </c>
      <c r="R128" s="40">
        <v>1403.9523355927427</v>
      </c>
      <c r="S128" s="40">
        <v>1526.8076697504171</v>
      </c>
      <c r="T128" s="40">
        <v>1719.8957125264997</v>
      </c>
      <c r="U128" s="40">
        <v>2076.2840814227111</v>
      </c>
      <c r="V128" s="40">
        <v>2920.7827143691215</v>
      </c>
      <c r="W128" s="40">
        <v>3073.1224197503675</v>
      </c>
      <c r="X128" s="40">
        <v>2764.2894328437833</v>
      </c>
      <c r="Y128" s="40">
        <v>2893.7251446014184</v>
      </c>
      <c r="Z128" s="40">
        <v>2792.0079094611178</v>
      </c>
      <c r="AA128" s="40">
        <v>2142.1518230356096</v>
      </c>
      <c r="AB128" s="40">
        <v>2475.0445447492525</v>
      </c>
      <c r="AC128" s="40">
        <v>3158.5906033484121</v>
      </c>
      <c r="AD128" s="40">
        <v>3398.6413751998853</v>
      </c>
      <c r="AE128" s="40">
        <v>3621.5229184592199</v>
      </c>
      <c r="AF128" s="40">
        <v>3182.2140463246874</v>
      </c>
      <c r="AG128" s="40">
        <v>3345.8094726707204</v>
      </c>
      <c r="AH128" s="40">
        <v>3557.1110383145392</v>
      </c>
      <c r="AI128" s="40">
        <v>3479.9240539298175</v>
      </c>
      <c r="AJ128" s="40">
        <v>3546.6689921697739</v>
      </c>
      <c r="AK128" s="40">
        <v>3862.8089929619014</v>
      </c>
      <c r="AL128" s="40">
        <v>3593.2775996826686</v>
      </c>
      <c r="AM128" s="40">
        <v>3636.1710586637464</v>
      </c>
      <c r="AN128" s="40">
        <v>3205.1687588454615</v>
      </c>
      <c r="AO128" s="40">
        <v>3102.8138331191226</v>
      </c>
      <c r="AP128" s="40">
        <v>3019.9463672175821</v>
      </c>
      <c r="AQ128" s="40">
        <v>2638.1580501004764</v>
      </c>
      <c r="AR128" s="40">
        <v>2439.9917785480343</v>
      </c>
      <c r="AS128" s="40">
        <v>3647.7041204306965</v>
      </c>
      <c r="AT128" s="40">
        <v>4695.0393627643907</v>
      </c>
      <c r="AU128" s="40">
        <v>5234.3130517902828</v>
      </c>
      <c r="AV128" s="40">
        <v>5468.2980592685508</v>
      </c>
      <c r="AW128" s="40">
        <v>5930.1274095802128</v>
      </c>
      <c r="AX128" s="40">
        <v>5597.9674756109216</v>
      </c>
      <c r="AY128" s="40">
        <v>5758.0025216947915</v>
      </c>
      <c r="AZ128" s="40">
        <v>7266.078871331285</v>
      </c>
      <c r="BA128" s="40">
        <v>7942.8341009557043</v>
      </c>
      <c r="BB128" s="40">
        <v>2784.0961057937502</v>
      </c>
    </row>
    <row r="129" spans="1:54">
      <c r="A129" s="41">
        <v>203</v>
      </c>
      <c r="B129" s="41" t="s">
        <v>27</v>
      </c>
      <c r="C129" s="40">
        <v>450.05328924696846</v>
      </c>
      <c r="D129" s="40">
        <v>520.2061313800051</v>
      </c>
      <c r="E129" s="40">
        <v>609.48738405651261</v>
      </c>
      <c r="F129" s="40">
        <v>675.24163914120777</v>
      </c>
      <c r="G129" s="40">
        <v>774.76160933009623</v>
      </c>
      <c r="H129" s="40">
        <v>889.65987201152882</v>
      </c>
      <c r="I129" s="40">
        <v>968.30678176598303</v>
      </c>
      <c r="J129" s="40">
        <v>950.54574059373374</v>
      </c>
      <c r="K129" s="40">
        <v>1077.6786999459102</v>
      </c>
      <c r="L129" s="40">
        <v>1177.0646642462175</v>
      </c>
      <c r="M129" s="40">
        <v>1323.8551931710881</v>
      </c>
      <c r="N129" s="40">
        <v>1664.0505238242158</v>
      </c>
      <c r="O129" s="40">
        <v>2193.0205040850929</v>
      </c>
      <c r="P129" s="40">
        <v>2686.6550312282989</v>
      </c>
      <c r="Q129" s="40">
        <v>3136.4979161160918</v>
      </c>
      <c r="R129" s="40">
        <v>3201.6027186306901</v>
      </c>
      <c r="S129" s="40">
        <v>3535.8979522581762</v>
      </c>
      <c r="T129" s="40">
        <v>4228.9842829118452</v>
      </c>
      <c r="U129" s="40">
        <v>5601.0784853335372</v>
      </c>
      <c r="V129" s="40">
        <v>6036.5731068896957</v>
      </c>
      <c r="W129" s="40">
        <v>5217.597656248985</v>
      </c>
      <c r="X129" s="40">
        <v>5015.4912467379372</v>
      </c>
      <c r="Y129" s="40">
        <v>4353.9715302831646</v>
      </c>
      <c r="Z129" s="40">
        <v>4365.4245426751049</v>
      </c>
      <c r="AA129" s="40">
        <v>4569.1221670143887</v>
      </c>
      <c r="AB129" s="40">
        <v>6332.2874845621245</v>
      </c>
      <c r="AC129" s="40">
        <v>8011.3828502549477</v>
      </c>
      <c r="AD129" s="40">
        <v>9433.6189453436891</v>
      </c>
      <c r="AE129" s="40">
        <v>10381.295296173603</v>
      </c>
      <c r="AF129" s="40">
        <v>13409.583826580938</v>
      </c>
      <c r="AG129" s="40">
        <v>14391.615973732494</v>
      </c>
      <c r="AH129" s="40">
        <v>15680.042718222297</v>
      </c>
      <c r="AI129" s="40">
        <v>13009.100973092713</v>
      </c>
      <c r="AJ129" s="40">
        <v>13109.730526182504</v>
      </c>
      <c r="AK129" s="40">
        <v>15150.950220994642</v>
      </c>
      <c r="AL129" s="40">
        <v>15766.396670622687</v>
      </c>
      <c r="AM129" s="40">
        <v>14466.967943566249</v>
      </c>
      <c r="AN129" s="40">
        <v>15126.431605450876</v>
      </c>
      <c r="AO129" s="40">
        <v>15475.521554131103</v>
      </c>
      <c r="AP129" s="40">
        <v>14413.788872415951</v>
      </c>
      <c r="AQ129" s="40">
        <v>14952.090840544188</v>
      </c>
      <c r="AR129" s="40">
        <v>16611.713379272634</v>
      </c>
      <c r="AS129" s="40">
        <v>21041.537602061959</v>
      </c>
      <c r="AT129" s="40">
        <v>24468.745434352033</v>
      </c>
      <c r="AU129" s="40">
        <v>26056.388766184005</v>
      </c>
      <c r="AV129" s="40">
        <v>28024.748495565793</v>
      </c>
      <c r="AW129" s="40">
        <v>32118.102020228496</v>
      </c>
      <c r="AX129" s="40">
        <v>34977.389054695988</v>
      </c>
      <c r="AY129" s="40">
        <v>31714.244358335942</v>
      </c>
      <c r="AZ129" s="40">
        <v>29956.1563511721</v>
      </c>
      <c r="BA129" s="40">
        <v>31984.725638331875</v>
      </c>
      <c r="BB129" s="40">
        <v>10809.556589631338</v>
      </c>
    </row>
    <row r="130" spans="1:54">
      <c r="A130" s="41">
        <v>204</v>
      </c>
      <c r="B130" s="41" t="s">
        <v>26</v>
      </c>
      <c r="C130" s="40">
        <v>143.03128747958664</v>
      </c>
      <c r="D130" s="40">
        <v>139.67342906761337</v>
      </c>
      <c r="E130" s="40">
        <v>117.31125624772683</v>
      </c>
      <c r="F130" s="40">
        <v>121.23642355777493</v>
      </c>
      <c r="G130" s="40">
        <v>152.12462627473062</v>
      </c>
      <c r="H130" s="40">
        <v>153.11395998210457</v>
      </c>
      <c r="I130" s="40">
        <v>158.88789375169884</v>
      </c>
      <c r="J130" s="40">
        <v>150.19817132990619</v>
      </c>
      <c r="K130" s="40">
        <v>160.42656043808316</v>
      </c>
      <c r="L130" s="40">
        <v>183.5121134917128</v>
      </c>
      <c r="M130" s="40">
        <v>186.7067454954506</v>
      </c>
      <c r="N130" s="40">
        <v>198.57991978918517</v>
      </c>
      <c r="O130" s="40">
        <v>219.6642731647697</v>
      </c>
      <c r="P130" s="40">
        <v>269.08961654361741</v>
      </c>
      <c r="Q130" s="40">
        <v>280.9201352627756</v>
      </c>
      <c r="R130" s="40">
        <v>261.81525532643599</v>
      </c>
      <c r="S130" s="40">
        <v>294.39890853992148</v>
      </c>
      <c r="T130" s="40">
        <v>192.61337959846668</v>
      </c>
      <c r="U130" s="40">
        <v>232.49111610292218</v>
      </c>
      <c r="V130" s="40">
        <v>272.91122937387451</v>
      </c>
      <c r="W130" s="40">
        <v>297.42332833866482</v>
      </c>
      <c r="X130" s="40">
        <v>313.81712403387979</v>
      </c>
      <c r="Y130" s="40">
        <v>335.20875022166734</v>
      </c>
      <c r="Z130" s="40">
        <v>387.32774740545375</v>
      </c>
      <c r="AA130" s="40">
        <v>377.38044262199679</v>
      </c>
      <c r="AB130" s="40">
        <v>397.17309877118754</v>
      </c>
      <c r="AC130" s="40">
        <v>408.12112133177897</v>
      </c>
      <c r="AD130" s="40">
        <v>420.40915604938573</v>
      </c>
      <c r="AE130" s="40">
        <v>415.29079844116131</v>
      </c>
      <c r="AF130" s="40">
        <v>472.08646331120417</v>
      </c>
      <c r="AG130" s="40">
        <v>521.24645749585079</v>
      </c>
      <c r="AH130" s="40">
        <v>556.81232846699447</v>
      </c>
      <c r="AI130" s="40">
        <v>585.89366631313555</v>
      </c>
      <c r="AJ130" s="40">
        <v>654.94406175296729</v>
      </c>
      <c r="AK130" s="40">
        <v>718.44384434139886</v>
      </c>
      <c r="AL130" s="40">
        <v>757.94820981941416</v>
      </c>
      <c r="AM130" s="40">
        <v>812.79248361346777</v>
      </c>
      <c r="AN130" s="40">
        <v>840.8737674173949</v>
      </c>
      <c r="AO130" s="40">
        <v>821.59645339289671</v>
      </c>
      <c r="AP130" s="40">
        <v>854.92672515526408</v>
      </c>
      <c r="AQ130" s="40">
        <v>837.69880352183623</v>
      </c>
      <c r="AR130" s="40">
        <v>903.89640485324821</v>
      </c>
      <c r="AS130" s="40">
        <v>984.81017249335446</v>
      </c>
      <c r="AT130" s="40">
        <v>1063.1605835502212</v>
      </c>
      <c r="AU130" s="40">
        <v>1242.404349662804</v>
      </c>
      <c r="AV130" s="40">
        <v>1424.1018695030607</v>
      </c>
      <c r="AW130" s="40">
        <v>1614.3644099416938</v>
      </c>
      <c r="AX130" s="40">
        <v>2013.8409032230825</v>
      </c>
      <c r="AY130" s="40">
        <v>2057.027343359744</v>
      </c>
      <c r="AZ130" s="40">
        <v>2399.9200536543817</v>
      </c>
      <c r="BA130" s="40">
        <v>2836.1147141135889</v>
      </c>
      <c r="BB130" s="40">
        <v>631.68160660765761</v>
      </c>
    </row>
    <row r="131" spans="1:54">
      <c r="A131" s="41">
        <v>205</v>
      </c>
      <c r="B131" s="41" t="s">
        <v>25</v>
      </c>
      <c r="C131" s="40">
        <v>157.80272046624879</v>
      </c>
      <c r="D131" s="40">
        <v>166.4236378011598</v>
      </c>
      <c r="E131" s="40">
        <v>164.3271413916853</v>
      </c>
      <c r="F131" s="40">
        <v>163.80144463346471</v>
      </c>
      <c r="G131" s="40">
        <v>165.57029336263997</v>
      </c>
      <c r="H131" s="40">
        <v>164.68763287102317</v>
      </c>
      <c r="I131" s="40">
        <v>172.83275082075286</v>
      </c>
      <c r="J131" s="40">
        <v>174.78574150109844</v>
      </c>
      <c r="K131" s="40">
        <v>186.44395012431031</v>
      </c>
      <c r="L131" s="40">
        <v>205.24571763029914</v>
      </c>
      <c r="M131" s="40">
        <v>216.50509456711211</v>
      </c>
      <c r="N131" s="40">
        <v>227.42485482984688</v>
      </c>
      <c r="O131" s="40">
        <v>272.7198368444503</v>
      </c>
      <c r="P131" s="40">
        <v>339.27862410481197</v>
      </c>
      <c r="Q131" s="40">
        <v>399.39994174402273</v>
      </c>
      <c r="R131" s="40">
        <v>480.82472307659026</v>
      </c>
      <c r="S131" s="40">
        <v>578.70029242570376</v>
      </c>
      <c r="T131" s="40">
        <v>605.27983338698562</v>
      </c>
      <c r="U131" s="40">
        <v>604.88102131476887</v>
      </c>
      <c r="V131" s="40">
        <v>528.30755735091373</v>
      </c>
      <c r="W131" s="40">
        <v>638.63334630505665</v>
      </c>
      <c r="X131" s="40">
        <v>598.25383907928051</v>
      </c>
      <c r="Y131" s="40">
        <v>528.65274863811896</v>
      </c>
      <c r="Z131" s="40">
        <v>606.63837399353952</v>
      </c>
      <c r="AA131" s="40">
        <v>728.71854777670205</v>
      </c>
      <c r="AB131" s="40">
        <v>906.01435890848597</v>
      </c>
      <c r="AC131" s="40">
        <v>1137.3335796952379</v>
      </c>
      <c r="AD131" s="40">
        <v>830.21864746037477</v>
      </c>
      <c r="AE131" s="40">
        <v>792.70547357265457</v>
      </c>
      <c r="AF131" s="40">
        <v>620.15941124303572</v>
      </c>
      <c r="AG131" s="40">
        <v>546.00632284720973</v>
      </c>
      <c r="AH131" s="40">
        <v>322.98383902263936</v>
      </c>
      <c r="AI131" s="40">
        <v>390.45146777278092</v>
      </c>
      <c r="AJ131" s="40">
        <v>540.20539483964694</v>
      </c>
      <c r="AK131" s="40">
        <v>563.82089776059081</v>
      </c>
      <c r="AL131" s="40">
        <v>356.9764341961594</v>
      </c>
      <c r="AM131" s="40">
        <v>450.94630301254608</v>
      </c>
      <c r="AN131" s="40">
        <v>424.67680117108262</v>
      </c>
      <c r="AO131" s="40">
        <v>394.38228684008095</v>
      </c>
      <c r="AP131" s="40">
        <v>442.02626945714394</v>
      </c>
      <c r="AQ131" s="40">
        <v>463.61739553689205</v>
      </c>
      <c r="AR131" s="40">
        <v>507.2023147816048</v>
      </c>
      <c r="AS131" s="40">
        <v>588.71968239168029</v>
      </c>
      <c r="AT131" s="40">
        <v>697.16964774359838</v>
      </c>
      <c r="AU131" s="40">
        <v>839.77396809326899</v>
      </c>
      <c r="AV131" s="40">
        <v>1085.2446331150115</v>
      </c>
      <c r="AW131" s="40">
        <v>1368.4182741445509</v>
      </c>
      <c r="AX131" s="40">
        <v>1575.2344025021785</v>
      </c>
      <c r="AY131" s="40">
        <v>1510.4962469262032</v>
      </c>
      <c r="AZ131" s="40">
        <v>1817.3371277802785</v>
      </c>
      <c r="BA131" s="40">
        <v>1758.2142766458273</v>
      </c>
      <c r="BB131" s="40">
        <v>588.36225732355581</v>
      </c>
    </row>
    <row r="132" spans="1:54">
      <c r="A132" s="41">
        <v>208</v>
      </c>
      <c r="B132" s="41" t="s">
        <v>24</v>
      </c>
      <c r="C132" s="40">
        <v>120.34496564357228</v>
      </c>
      <c r="D132" s="40">
        <v>125.58281206927454</v>
      </c>
      <c r="E132" s="40">
        <v>144.7346614487179</v>
      </c>
      <c r="F132" s="40">
        <v>169.85058520226664</v>
      </c>
      <c r="G132" s="40">
        <v>179.44173864541142</v>
      </c>
      <c r="H132" s="40">
        <v>191.52984534259397</v>
      </c>
      <c r="I132" s="40">
        <v>181.68643311651149</v>
      </c>
      <c r="J132" s="40">
        <v>188.98033019928837</v>
      </c>
      <c r="K132" s="40">
        <v>243.06610624678021</v>
      </c>
      <c r="L132" s="40">
        <v>251.52285370863771</v>
      </c>
      <c r="M132" s="40">
        <v>297.48642611878449</v>
      </c>
      <c r="N132" s="40">
        <v>310.66884422730845</v>
      </c>
      <c r="O132" s="40">
        <v>455.99991822859056</v>
      </c>
      <c r="P132" s="40">
        <v>526.95982338406122</v>
      </c>
      <c r="Q132" s="40">
        <v>557.53216767868616</v>
      </c>
      <c r="R132" s="40">
        <v>511.09769225561826</v>
      </c>
      <c r="S132" s="40">
        <v>552.70070025648249</v>
      </c>
      <c r="T132" s="40">
        <v>600.1656207340194</v>
      </c>
      <c r="U132" s="40">
        <v>704.03115847404024</v>
      </c>
      <c r="V132" s="40">
        <v>898.29590266068794</v>
      </c>
      <c r="W132" s="40">
        <v>919.84796137611897</v>
      </c>
      <c r="X132" s="40">
        <v>840.82647474777741</v>
      </c>
      <c r="Y132" s="40">
        <v>843.34023990310584</v>
      </c>
      <c r="Z132" s="40">
        <v>726.9108156276161</v>
      </c>
      <c r="AA132" s="40">
        <v>511.71707789120069</v>
      </c>
      <c r="AB132" s="40">
        <v>611.25001423203332</v>
      </c>
      <c r="AC132" s="40">
        <v>761.15851083647487</v>
      </c>
      <c r="AD132" s="40">
        <v>863.57595664654127</v>
      </c>
      <c r="AE132" s="40">
        <v>835.85063785753482</v>
      </c>
      <c r="AF132" s="40">
        <v>1292.0574020969618</v>
      </c>
      <c r="AG132" s="40">
        <v>1303.0581385930102</v>
      </c>
      <c r="AH132" s="40">
        <v>1415.0163375036755</v>
      </c>
      <c r="AI132" s="40">
        <v>1465.2931840293504</v>
      </c>
      <c r="AJ132" s="40">
        <v>1503.1344524346273</v>
      </c>
      <c r="AK132" s="40">
        <v>1763.4835934308317</v>
      </c>
      <c r="AL132" s="40">
        <v>1627.9654583755605</v>
      </c>
      <c r="AM132" s="40">
        <v>1705.187139805621</v>
      </c>
      <c r="AN132" s="40">
        <v>1532.9231130016378</v>
      </c>
      <c r="AO132" s="40">
        <v>1476.7800190601286</v>
      </c>
      <c r="AP132" s="40">
        <v>1433.1753891771355</v>
      </c>
      <c r="AQ132" s="40">
        <v>1255.4670136026621</v>
      </c>
      <c r="AR132" s="40">
        <v>1131.2510685061475</v>
      </c>
      <c r="AS132" s="40">
        <v>1704.1741655223261</v>
      </c>
      <c r="AT132" s="40">
        <v>2211.0919295401568</v>
      </c>
      <c r="AU132" s="40">
        <v>2339.2899515516933</v>
      </c>
      <c r="AV132" s="40">
        <v>2636.185355863257</v>
      </c>
      <c r="AW132" s="40">
        <v>2690.6477657595196</v>
      </c>
      <c r="AX132" s="40">
        <v>2616.9466922532552</v>
      </c>
      <c r="AY132" s="40">
        <v>2693.5160414020452</v>
      </c>
      <c r="AZ132" s="40">
        <v>3093.5395296203706</v>
      </c>
      <c r="BA132" s="40">
        <v>3274.3872935278832</v>
      </c>
      <c r="BB132" s="40">
        <v>1103.7397511650506</v>
      </c>
    </row>
    <row r="133" spans="1:54">
      <c r="A133" s="41">
        <v>209</v>
      </c>
      <c r="B133" s="41" t="s">
        <v>23</v>
      </c>
      <c r="C133" s="40">
        <v>2147.2293108040935</v>
      </c>
      <c r="D133" s="40">
        <v>2315.8465274022242</v>
      </c>
      <c r="E133" s="40">
        <v>2492.5453459549381</v>
      </c>
      <c r="F133" s="40">
        <v>2758.943466240341</v>
      </c>
      <c r="G133" s="40">
        <v>3007.5979781713622</v>
      </c>
      <c r="H133" s="40">
        <v>3240.6110369328544</v>
      </c>
      <c r="I133" s="40">
        <v>3490.5503367889492</v>
      </c>
      <c r="J133" s="40">
        <v>3683.3136938765324</v>
      </c>
      <c r="K133" s="40">
        <v>3972.0027487060861</v>
      </c>
      <c r="L133" s="40">
        <v>4401.9737106287475</v>
      </c>
      <c r="M133" s="40">
        <v>4770.4898986302569</v>
      </c>
      <c r="N133" s="40">
        <v>5601.778815099261</v>
      </c>
      <c r="O133" s="40">
        <v>6785.9495496574573</v>
      </c>
      <c r="P133" s="40">
        <v>7518.9982751611251</v>
      </c>
      <c r="Q133" s="40">
        <v>9403.3105281140324</v>
      </c>
      <c r="R133" s="40">
        <v>10101.281529621981</v>
      </c>
      <c r="S133" s="40">
        <v>10640.668421500422</v>
      </c>
      <c r="T133" s="40">
        <v>11729.883947747807</v>
      </c>
      <c r="U133" s="40">
        <v>13827.241330621238</v>
      </c>
      <c r="V133" s="40">
        <v>15891.222573485789</v>
      </c>
      <c r="W133" s="40">
        <v>14486.221091214073</v>
      </c>
      <c r="X133" s="40">
        <v>12765.107919654442</v>
      </c>
      <c r="Y133" s="40">
        <v>11729.244056986332</v>
      </c>
      <c r="Z133" s="40">
        <v>12181.866012764447</v>
      </c>
      <c r="AA133" s="40">
        <v>12732.350446036817</v>
      </c>
      <c r="AB133" s="40">
        <v>16812.232246596333</v>
      </c>
      <c r="AC133" s="40">
        <v>20423.834827155537</v>
      </c>
      <c r="AD133" s="40">
        <v>22968.964781803294</v>
      </c>
      <c r="AE133" s="40">
        <v>24059.796394788784</v>
      </c>
      <c r="AF133" s="40">
        <v>28556.951895070517</v>
      </c>
      <c r="AG133" s="40">
        <v>29912.225186094591</v>
      </c>
      <c r="AH133" s="40">
        <v>30806.189868226284</v>
      </c>
      <c r="AI133" s="40">
        <v>23173.296418003894</v>
      </c>
      <c r="AJ133" s="40">
        <v>24775.391734635432</v>
      </c>
      <c r="AK133" s="40">
        <v>28739.285922102939</v>
      </c>
      <c r="AL133" s="40">
        <v>31269.790883776135</v>
      </c>
      <c r="AM133" s="40">
        <v>28620.40834869066</v>
      </c>
      <c r="AN133" s="40">
        <v>28779.11561659315</v>
      </c>
      <c r="AO133" s="40">
        <v>29218.471707748227</v>
      </c>
      <c r="AP133" s="40">
        <v>27869.377603201607</v>
      </c>
      <c r="AQ133" s="40">
        <v>25557.612544512493</v>
      </c>
      <c r="AR133" s="40">
        <v>28118.984799331389</v>
      </c>
      <c r="AS133" s="40">
        <v>35131.207759112069</v>
      </c>
      <c r="AT133" s="40">
        <v>40261.122012362561</v>
      </c>
      <c r="AU133" s="40">
        <v>41040.665022374669</v>
      </c>
      <c r="AV133" s="40">
        <v>43948.619770912097</v>
      </c>
      <c r="AW133" s="40">
        <v>50558.395528829446</v>
      </c>
      <c r="AX133" s="40">
        <v>52730.775389490453</v>
      </c>
      <c r="AY133" s="40">
        <v>43639.54831877548</v>
      </c>
      <c r="AZ133" s="40">
        <v>49359.866919853121</v>
      </c>
      <c r="BA133" s="40">
        <v>57071.204353388464</v>
      </c>
      <c r="BB133" s="40">
        <v>20687.834596181008</v>
      </c>
    </row>
    <row r="134" spans="1:54">
      <c r="A134" s="41">
        <v>210</v>
      </c>
      <c r="B134" s="41" t="s">
        <v>22</v>
      </c>
      <c r="C134" s="40">
        <v>1971.3163227922828</v>
      </c>
      <c r="D134" s="40">
        <v>2131.3916515998317</v>
      </c>
      <c r="E134" s="40">
        <v>2294.1828473173787</v>
      </c>
      <c r="F134" s="40">
        <v>2501.2931899637747</v>
      </c>
      <c r="G134" s="40">
        <v>2620.4755473530031</v>
      </c>
      <c r="H134" s="40">
        <v>2784.7335477164634</v>
      </c>
      <c r="I134" s="40">
        <v>2960.7225858838383</v>
      </c>
      <c r="J134" s="40">
        <v>3121.8890308772043</v>
      </c>
      <c r="K134" s="40">
        <v>3344.7836025463948</v>
      </c>
      <c r="V134" s="40">
        <v>17807.34012612062</v>
      </c>
      <c r="W134" s="40">
        <v>16219.905522958879</v>
      </c>
      <c r="X134" s="40">
        <v>16527.459504727827</v>
      </c>
      <c r="Y134" s="40">
        <v>16398.235735612565</v>
      </c>
      <c r="Z134" s="40">
        <v>15601.255955389854</v>
      </c>
      <c r="AA134" s="40">
        <v>15748.946459371657</v>
      </c>
      <c r="AB134" s="40">
        <v>22458.884983000724</v>
      </c>
      <c r="AC134" s="40">
        <v>27950.287129194538</v>
      </c>
      <c r="AD134" s="40">
        <v>30016.149087696096</v>
      </c>
      <c r="AE134" s="40">
        <v>28747.407853519679</v>
      </c>
      <c r="AF134" s="40">
        <v>36337.0955329555</v>
      </c>
      <c r="AG134" s="40">
        <v>36309.508347318209</v>
      </c>
      <c r="AH134" s="40">
        <v>37383.05448901411</v>
      </c>
      <c r="AI134" s="40">
        <v>36027.277544247161</v>
      </c>
      <c r="AJ134" s="40">
        <v>39566.600866860397</v>
      </c>
      <c r="AK134" s="40">
        <v>46014.207980823085</v>
      </c>
      <c r="AL134" s="40">
        <v>44123.027148203917</v>
      </c>
      <c r="AM134" s="40">
        <v>38407.953761298137</v>
      </c>
      <c r="AN134" s="40">
        <v>39227.026447186086</v>
      </c>
      <c r="AO134" s="40">
        <v>38290.674879462553</v>
      </c>
      <c r="AP134" s="40">
        <v>35639.478857550101</v>
      </c>
      <c r="AQ134" s="40">
        <v>36328.142909914568</v>
      </c>
      <c r="AR134" s="40">
        <v>39350.442751953015</v>
      </c>
      <c r="AS134" s="40">
        <v>45588.619817472267</v>
      </c>
      <c r="AT134" s="40">
        <v>50641.837203331299</v>
      </c>
      <c r="AU134" s="40">
        <v>51734.30389050021</v>
      </c>
      <c r="AV134" s="40">
        <v>54140.498146131737</v>
      </c>
      <c r="AW134" s="40">
        <v>59663.770255375472</v>
      </c>
      <c r="AX134" s="40">
        <v>68555.371869493771</v>
      </c>
      <c r="AY134" s="40">
        <v>65790.06734998805</v>
      </c>
      <c r="AZ134" s="40">
        <v>70572.656937853608</v>
      </c>
      <c r="BA134" s="40">
        <v>83325.929869167841</v>
      </c>
      <c r="BB134" s="40">
        <v>31322.541647310823</v>
      </c>
    </row>
    <row r="135" spans="1:54">
      <c r="A135" s="41">
        <v>211</v>
      </c>
      <c r="B135" s="41" t="s">
        <v>21</v>
      </c>
      <c r="C135" s="40">
        <v>199.30961461573361</v>
      </c>
      <c r="D135" s="40">
        <v>226.76512292847667</v>
      </c>
      <c r="E135" s="40">
        <v>237.34459334542149</v>
      </c>
      <c r="F135" s="40">
        <v>256.38320128324148</v>
      </c>
      <c r="G135" s="40">
        <v>272.68353848092443</v>
      </c>
      <c r="H135" s="40">
        <v>240.58423996503728</v>
      </c>
      <c r="I135" s="40">
        <v>273.98973919734033</v>
      </c>
      <c r="J135" s="40">
        <v>294.09247724135253</v>
      </c>
      <c r="K135" s="40">
        <v>364.0402098072106</v>
      </c>
      <c r="L135" s="40">
        <v>335.54634710543644</v>
      </c>
      <c r="M135" s="40">
        <v>392.43947036565146</v>
      </c>
      <c r="N135" s="40">
        <v>448.05790871675771</v>
      </c>
      <c r="O135" s="40">
        <v>458.4306249000021</v>
      </c>
      <c r="P135" s="40">
        <v>705.65911570036099</v>
      </c>
      <c r="Q135" s="40">
        <v>902.56223793918764</v>
      </c>
      <c r="R135" s="40">
        <v>975.82890138629432</v>
      </c>
      <c r="S135" s="40">
        <v>951.51712985317295</v>
      </c>
      <c r="T135" s="40">
        <v>1109.0301786929601</v>
      </c>
      <c r="U135" s="40">
        <v>1147.6875135356174</v>
      </c>
      <c r="V135" s="40">
        <v>1458.4852059224957</v>
      </c>
      <c r="W135" s="40">
        <v>1672.7100233435092</v>
      </c>
      <c r="X135" s="40">
        <v>1695.4057662755783</v>
      </c>
      <c r="Y135" s="40">
        <v>1765.8194535721834</v>
      </c>
      <c r="Z135" s="40">
        <v>1697.0945406924789</v>
      </c>
      <c r="AA135" s="40">
        <v>1537.7489236367664</v>
      </c>
      <c r="AB135" s="40">
        <v>1206.217942829812</v>
      </c>
      <c r="AC135" s="40">
        <v>998.39804944643208</v>
      </c>
      <c r="AD135" s="40">
        <v>901.72709024386529</v>
      </c>
      <c r="AE135" s="40">
        <v>815.11601141060419</v>
      </c>
      <c r="AF135" s="40">
        <v>988.52232515022433</v>
      </c>
      <c r="AG135" s="40">
        <v>1012.7576439791584</v>
      </c>
      <c r="AH135" s="40">
        <v>1004.9746815329929</v>
      </c>
      <c r="AI135" s="40">
        <v>1009.8224988118657</v>
      </c>
      <c r="AJ135" s="40">
        <v>725.81937043289349</v>
      </c>
      <c r="AK135" s="40">
        <v>794.84696774683277</v>
      </c>
      <c r="AL135" s="40">
        <v>935.11967527620232</v>
      </c>
      <c r="AM135" s="40">
        <v>956.27200946364053</v>
      </c>
      <c r="AN135" s="40">
        <v>974.95937878770189</v>
      </c>
      <c r="AO135" s="40">
        <v>992.38022882265352</v>
      </c>
      <c r="AP135" s="40">
        <v>1180.4806898260283</v>
      </c>
      <c r="AQ135" s="40">
        <v>1263.3886592252893</v>
      </c>
      <c r="AR135" s="40">
        <v>1269.9417677429808</v>
      </c>
      <c r="AS135" s="40">
        <v>1261.853627223544</v>
      </c>
      <c r="AT135" s="40">
        <v>1419.2641809175796</v>
      </c>
      <c r="AU135" s="40">
        <v>1588.5056715836356</v>
      </c>
      <c r="AV135" s="40">
        <v>1772.5603304955321</v>
      </c>
      <c r="AW135" s="40">
        <v>2065.5396321662547</v>
      </c>
      <c r="AX135" s="40">
        <v>2584.3787109646519</v>
      </c>
      <c r="AY135" s="40">
        <v>2564.4588538810681</v>
      </c>
      <c r="AZ135" s="40">
        <v>2746.8538100240316</v>
      </c>
      <c r="BB135" s="40">
        <v>1053.0675177297733</v>
      </c>
    </row>
    <row r="136" spans="1:54">
      <c r="A136" s="41">
        <v>213</v>
      </c>
      <c r="B136" s="41" t="s">
        <v>20</v>
      </c>
      <c r="AF136" s="40">
        <v>496.36645374068382</v>
      </c>
      <c r="AG136" s="40">
        <v>468.02401773133357</v>
      </c>
      <c r="AH136" s="40">
        <v>345.67718371018447</v>
      </c>
      <c r="AI136" s="40">
        <v>293.17311539013087</v>
      </c>
      <c r="AJ136" s="40">
        <v>236.04528886557887</v>
      </c>
      <c r="AK136" s="40">
        <v>212.90678529075771</v>
      </c>
      <c r="AL136" s="40">
        <v>178.06742975223969</v>
      </c>
      <c r="AM136" s="40">
        <v>155.2662344030669</v>
      </c>
      <c r="AN136" s="40">
        <v>219.54787537958285</v>
      </c>
      <c r="AO136" s="40">
        <v>178.28183846662014</v>
      </c>
      <c r="AP136" s="40">
        <v>139.10914155899619</v>
      </c>
      <c r="AQ136" s="40">
        <v>171.8421973632297</v>
      </c>
      <c r="AR136" s="40">
        <v>190.67634211693587</v>
      </c>
      <c r="AS136" s="40">
        <v>238.01203756032353</v>
      </c>
      <c r="AT136" s="40">
        <v>311.5502446556871</v>
      </c>
      <c r="AU136" s="40">
        <v>339.76444280946191</v>
      </c>
      <c r="AV136" s="40">
        <v>406.96341946208355</v>
      </c>
      <c r="AW136" s="40">
        <v>523.06065174803723</v>
      </c>
      <c r="AX136" s="40">
        <v>709.43744223029512</v>
      </c>
      <c r="AY136" s="40">
        <v>668.4422775135705</v>
      </c>
      <c r="AZ136" s="40">
        <v>739.67494813738392</v>
      </c>
      <c r="BA136" s="40">
        <v>834.59059235347274</v>
      </c>
      <c r="BB136" s="40">
        <v>366.20363455634805</v>
      </c>
    </row>
    <row r="137" spans="1:54">
      <c r="A137" s="41">
        <v>214</v>
      </c>
      <c r="B137" s="41" t="s">
        <v>19</v>
      </c>
    </row>
    <row r="138" spans="1:54">
      <c r="A138" s="41">
        <v>215</v>
      </c>
      <c r="B138" s="41" t="s">
        <v>18</v>
      </c>
      <c r="C138" s="40">
        <v>107.60806744836231</v>
      </c>
      <c r="D138" s="40">
        <v>113.87011802335982</v>
      </c>
      <c r="E138" s="40">
        <v>118.20576587611177</v>
      </c>
      <c r="F138" s="40">
        <v>125.9800685387294</v>
      </c>
      <c r="G138" s="40">
        <v>137.94616845546651</v>
      </c>
      <c r="H138" s="40">
        <v>161.02837249666936</v>
      </c>
      <c r="I138" s="40">
        <v>166.9464157596309</v>
      </c>
      <c r="J138" s="40">
        <v>174.81342905147619</v>
      </c>
      <c r="K138" s="40">
        <v>186.91247310125252</v>
      </c>
      <c r="L138" s="40">
        <v>192.15865768631107</v>
      </c>
      <c r="M138" s="40">
        <v>194.28703455234731</v>
      </c>
      <c r="N138" s="40">
        <v>209.37884740379909</v>
      </c>
      <c r="O138" s="40">
        <v>269.87000054490511</v>
      </c>
      <c r="P138" s="40">
        <v>332.13232732936069</v>
      </c>
      <c r="Q138" s="40">
        <v>351.56787423912533</v>
      </c>
      <c r="R138" s="40">
        <v>391.52263324577115</v>
      </c>
      <c r="S138" s="40">
        <v>445.3955228784518</v>
      </c>
      <c r="T138" s="40">
        <v>528.63679157497461</v>
      </c>
      <c r="U138" s="40">
        <v>589.93197816849158</v>
      </c>
      <c r="V138" s="40">
        <v>683.00831622428382</v>
      </c>
      <c r="W138" s="40">
        <v>721.15796656185148</v>
      </c>
      <c r="X138" s="40">
        <v>742.97831044754616</v>
      </c>
      <c r="Y138" s="40">
        <v>798.21698111983926</v>
      </c>
      <c r="Z138" s="40">
        <v>818.11172907789262</v>
      </c>
      <c r="AA138" s="40">
        <v>747.63159921617614</v>
      </c>
      <c r="AB138" s="40">
        <v>813.09702831380298</v>
      </c>
      <c r="AC138" s="40">
        <v>935.96201379575973</v>
      </c>
      <c r="AD138" s="40">
        <v>1122.1054760505372</v>
      </c>
      <c r="AE138" s="40">
        <v>1294.043518245554</v>
      </c>
      <c r="AF138" s="40">
        <v>1508.2905217337445</v>
      </c>
      <c r="AG138" s="40">
        <v>1717.8608845107931</v>
      </c>
      <c r="AH138" s="40">
        <v>1932.8964798369723</v>
      </c>
      <c r="AI138" s="40">
        <v>2152.7729682233894</v>
      </c>
      <c r="AJ138" s="40">
        <v>2467.1780203951389</v>
      </c>
      <c r="AK138" s="40">
        <v>2848.5468659427993</v>
      </c>
      <c r="AL138" s="40">
        <v>3054.7533066970263</v>
      </c>
      <c r="AM138" s="40">
        <v>2506.2135193854901</v>
      </c>
      <c r="AN138" s="40">
        <v>1836.6841982045737</v>
      </c>
      <c r="AO138" s="40">
        <v>1989.9949228119724</v>
      </c>
      <c r="AP138" s="40">
        <v>1968.5369910020293</v>
      </c>
      <c r="AQ138" s="40">
        <v>1831.9027876953583</v>
      </c>
      <c r="AR138" s="40">
        <v>1988.7337361467196</v>
      </c>
      <c r="AS138" s="40">
        <v>2211.874014078518</v>
      </c>
      <c r="AT138" s="40">
        <v>2478.8175682947431</v>
      </c>
      <c r="AU138" s="40">
        <v>2689.9531474965247</v>
      </c>
      <c r="AV138" s="40">
        <v>3143.2358547377862</v>
      </c>
      <c r="AW138" s="40">
        <v>3737.7172545090721</v>
      </c>
      <c r="AX138" s="40">
        <v>4118.4014353836319</v>
      </c>
      <c r="AY138" s="40">
        <v>3978.9053812823713</v>
      </c>
      <c r="AZ138" s="40">
        <v>4802.6627576621331</v>
      </c>
      <c r="BA138" s="40">
        <v>5192.1189066953239</v>
      </c>
      <c r="BB138" s="40">
        <v>1443.7756276108616</v>
      </c>
    </row>
    <row r="139" spans="1:54">
      <c r="A139" s="41">
        <v>216</v>
      </c>
      <c r="B139" s="41" t="s">
        <v>17</v>
      </c>
      <c r="AP139" s="40">
        <v>370.4376248411113</v>
      </c>
      <c r="AQ139" s="40">
        <v>318.24071300609512</v>
      </c>
      <c r="AR139" s="40">
        <v>315.88884181874585</v>
      </c>
      <c r="AS139" s="40">
        <v>319.05923595062615</v>
      </c>
      <c r="AT139" s="40">
        <v>319.85952241343472</v>
      </c>
      <c r="AU139" s="40">
        <v>461.99618563254927</v>
      </c>
      <c r="AV139" s="40">
        <v>438.96183013468527</v>
      </c>
      <c r="AW139" s="40">
        <v>501.99325067158685</v>
      </c>
      <c r="AX139" s="40">
        <v>616.93405114151358</v>
      </c>
      <c r="AY139" s="40">
        <v>709.9545884902858</v>
      </c>
      <c r="AZ139" s="40">
        <v>765.95051912381768</v>
      </c>
      <c r="BA139" s="40">
        <v>927.81576351328363</v>
      </c>
      <c r="BB139" s="40">
        <v>505.59101056147796</v>
      </c>
    </row>
    <row r="140" spans="1:54">
      <c r="A140" s="41">
        <v>217</v>
      </c>
      <c r="B140" s="41" t="s">
        <v>16</v>
      </c>
      <c r="C140" s="40">
        <v>79.120033373982452</v>
      </c>
      <c r="D140" s="40">
        <v>81.994613016399228</v>
      </c>
      <c r="E140" s="40">
        <v>87.792046700990795</v>
      </c>
      <c r="F140" s="40">
        <v>99.937955991208412</v>
      </c>
      <c r="G140" s="40">
        <v>109.62004117196476</v>
      </c>
      <c r="H140" s="40">
        <v>121.83353926695655</v>
      </c>
      <c r="I140" s="40">
        <v>124.8791745457964</v>
      </c>
      <c r="J140" s="40">
        <v>124.34951149402994</v>
      </c>
      <c r="K140" s="40">
        <v>131.5697520823347</v>
      </c>
      <c r="L140" s="40">
        <v>120.05392150971451</v>
      </c>
      <c r="M140" s="40">
        <v>131.09881643957814</v>
      </c>
      <c r="N140" s="40">
        <v>149.3510117582405</v>
      </c>
      <c r="O140" s="40">
        <v>176.47375311463952</v>
      </c>
      <c r="P140" s="40">
        <v>237.81394734227715</v>
      </c>
      <c r="Q140" s="40">
        <v>256.10267491300306</v>
      </c>
      <c r="R140" s="40">
        <v>251.32296736922203</v>
      </c>
      <c r="S140" s="40">
        <v>308.68089648503224</v>
      </c>
      <c r="T140" s="40">
        <v>319.91901603942705</v>
      </c>
      <c r="U140" s="40">
        <v>337.42918015288535</v>
      </c>
      <c r="V140" s="40">
        <v>417.66876756940002</v>
      </c>
      <c r="W140" s="40">
        <v>342.22251626329785</v>
      </c>
      <c r="X140" s="40">
        <v>281.86086268179554</v>
      </c>
      <c r="Y140" s="40">
        <v>253.02993553610892</v>
      </c>
      <c r="Z140" s="40">
        <v>228.68824694341154</v>
      </c>
      <c r="AA140" s="40">
        <v>234.35627353833891</v>
      </c>
      <c r="AB140" s="40">
        <v>315.41550590895116</v>
      </c>
      <c r="AC140" s="40">
        <v>359.69627990075537</v>
      </c>
      <c r="AD140" s="40">
        <v>385.17410048093126</v>
      </c>
      <c r="AE140" s="40">
        <v>367.172241108462</v>
      </c>
      <c r="AF140" s="40">
        <v>429.93629943458342</v>
      </c>
      <c r="AG140" s="40">
        <v>412.14425456460219</v>
      </c>
      <c r="AH140" s="40">
        <v>424.7940979872003</v>
      </c>
      <c r="AI140" s="40">
        <v>302.14831675048936</v>
      </c>
      <c r="AJ140" s="40">
        <v>234.99433146528355</v>
      </c>
      <c r="AK140" s="40">
        <v>305.60946067489169</v>
      </c>
      <c r="AL140" s="40">
        <v>333.64962378580907</v>
      </c>
      <c r="AM140" s="40">
        <v>332.78288860449629</v>
      </c>
      <c r="AN140" s="40">
        <v>343.52859613458833</v>
      </c>
      <c r="AO140" s="40">
        <v>332.44107322861174</v>
      </c>
      <c r="AP140" s="40">
        <v>266.0464528582005</v>
      </c>
      <c r="AQ140" s="40">
        <v>266.8807968957276</v>
      </c>
      <c r="AR140" s="40">
        <v>287.8071866825909</v>
      </c>
      <c r="AS140" s="40">
        <v>318.25525630967519</v>
      </c>
      <c r="AT140" s="40">
        <v>358.86032014053148</v>
      </c>
      <c r="AU140" s="40">
        <v>381.78201966759957</v>
      </c>
      <c r="AV140" s="40">
        <v>387.41984889509905</v>
      </c>
      <c r="AW140" s="40">
        <v>432.48441318937967</v>
      </c>
      <c r="AX140" s="40">
        <v>527.69089904975476</v>
      </c>
      <c r="AY140" s="40">
        <v>514.77300445962999</v>
      </c>
      <c r="AZ140" s="40">
        <v>503.16178846463691</v>
      </c>
      <c r="BA140" s="40">
        <v>569.46971582606523</v>
      </c>
      <c r="BB140" s="40">
        <v>288.26055348565848</v>
      </c>
    </row>
    <row r="141" spans="1:54">
      <c r="A141" s="41">
        <v>220</v>
      </c>
      <c r="B141" s="41" t="s">
        <v>15</v>
      </c>
      <c r="C141" s="40">
        <v>675.98144475531853</v>
      </c>
      <c r="D141" s="40">
        <v>703.76074541550884</v>
      </c>
      <c r="E141" s="40">
        <v>759.87154935004037</v>
      </c>
      <c r="F141" s="40">
        <v>788.1319677200097</v>
      </c>
      <c r="G141" s="40">
        <v>807.27513063167737</v>
      </c>
      <c r="H141" s="40">
        <v>786.75757454250697</v>
      </c>
      <c r="I141" s="40">
        <v>822.9470118080294</v>
      </c>
      <c r="J141" s="40">
        <v>814.7371648562588</v>
      </c>
      <c r="K141" s="40">
        <v>830.84003130577946</v>
      </c>
      <c r="L141" s="40">
        <v>868.76687005019051</v>
      </c>
      <c r="M141" s="40">
        <v>937.67999328241035</v>
      </c>
      <c r="N141" s="40">
        <v>1118.349698406907</v>
      </c>
      <c r="O141" s="40">
        <v>1331.9703584024039</v>
      </c>
      <c r="P141" s="40">
        <v>2048.0396408807565</v>
      </c>
      <c r="Q141" s="40">
        <v>2414.9272533188741</v>
      </c>
      <c r="R141" s="40">
        <v>2437.8770481802658</v>
      </c>
      <c r="S141" s="40">
        <v>3018.6539181243947</v>
      </c>
      <c r="T141" s="40">
        <v>3379.4733736697012</v>
      </c>
      <c r="U141" s="40">
        <v>4304.5461669122442</v>
      </c>
      <c r="V141" s="40">
        <v>5745.7189469489504</v>
      </c>
      <c r="W141" s="40">
        <v>6212.0463379884841</v>
      </c>
      <c r="X141" s="40">
        <v>7129.8589659627878</v>
      </c>
      <c r="Y141" s="40">
        <v>6849.8591460402886</v>
      </c>
      <c r="Z141" s="40">
        <v>6711.2224688429842</v>
      </c>
      <c r="AA141" s="40">
        <v>6299.2392848048939</v>
      </c>
      <c r="AB141" s="40">
        <v>4049.1103863936264</v>
      </c>
      <c r="AC141" s="40">
        <v>4014.0374564347308</v>
      </c>
      <c r="AD141" s="40">
        <v>3732.1302808669848</v>
      </c>
      <c r="AE141" s="40">
        <v>3562.0850735703079</v>
      </c>
      <c r="AF141" s="40">
        <v>4147.6829850116274</v>
      </c>
      <c r="AG141" s="40">
        <v>4360.3522618323486</v>
      </c>
      <c r="AH141" s="40">
        <v>4470.4484361130271</v>
      </c>
      <c r="AI141" s="40">
        <v>3684.1926254807149</v>
      </c>
      <c r="AJ141" s="40">
        <v>3956.7645151916595</v>
      </c>
      <c r="AK141" s="40">
        <v>4246.3823971875909</v>
      </c>
      <c r="AL141" s="40">
        <v>4577.0009875311662</v>
      </c>
      <c r="AM141" s="40">
        <v>4551.3254578137994</v>
      </c>
      <c r="AN141" s="40">
        <v>4786.9303655375079</v>
      </c>
      <c r="AO141" s="40">
        <v>5383.5218022699473</v>
      </c>
      <c r="AP141" s="40">
        <v>6430.9497849715808</v>
      </c>
      <c r="AQ141" s="40">
        <v>6935.9012562027774</v>
      </c>
      <c r="AR141" s="40">
        <v>7050.2554280997219</v>
      </c>
      <c r="AS141" s="40">
        <v>8751.6477730474908</v>
      </c>
      <c r="AT141" s="40">
        <v>9985.2154258515129</v>
      </c>
      <c r="AU141" s="40">
        <v>12405.056148499669</v>
      </c>
      <c r="AV141" s="40">
        <v>14162.805420785427</v>
      </c>
      <c r="AW141" s="40">
        <v>16591.391872160526</v>
      </c>
      <c r="AX141" s="40">
        <v>21282.791925984708</v>
      </c>
      <c r="AY141" s="40">
        <v>14557.016810312492</v>
      </c>
      <c r="AZ141" s="40">
        <v>15572.688762412001</v>
      </c>
      <c r="BA141" s="40">
        <v>17626.558796660538</v>
      </c>
      <c r="BB141" s="40">
        <v>5464.1720887926504</v>
      </c>
    </row>
    <row r="142" spans="1:54">
      <c r="A142" s="41">
        <v>221</v>
      </c>
      <c r="B142" s="41" t="s">
        <v>14</v>
      </c>
      <c r="C142" s="40">
        <v>202.49714488517722</v>
      </c>
      <c r="D142" s="40">
        <v>202.26751296611147</v>
      </c>
      <c r="E142" s="40">
        <v>231.42217793314302</v>
      </c>
      <c r="F142" s="40">
        <v>226.41891970382312</v>
      </c>
      <c r="G142" s="40">
        <v>214.0491617813432</v>
      </c>
      <c r="H142" s="40">
        <v>220.00960328834523</v>
      </c>
      <c r="I142" s="40">
        <v>224.64960455284819</v>
      </c>
      <c r="J142" s="40">
        <v>246.22630483994962</v>
      </c>
      <c r="K142" s="40">
        <v>256.38056337304261</v>
      </c>
      <c r="L142" s="40">
        <v>280.71739715976111</v>
      </c>
      <c r="M142" s="40">
        <v>323.56044104394562</v>
      </c>
      <c r="N142" s="40">
        <v>422.63560834129476</v>
      </c>
      <c r="O142" s="40">
        <v>506.76099492388357</v>
      </c>
      <c r="P142" s="40">
        <v>645.43716082000617</v>
      </c>
      <c r="Q142" s="40">
        <v>771.50834138346511</v>
      </c>
      <c r="R142" s="40">
        <v>785.0702800449659</v>
      </c>
      <c r="S142" s="40">
        <v>867.60365874424178</v>
      </c>
      <c r="T142" s="40">
        <v>986.59984995644731</v>
      </c>
      <c r="U142" s="40">
        <v>1156.5730280344756</v>
      </c>
      <c r="V142" s="40">
        <v>1369.5261118594733</v>
      </c>
      <c r="W142" s="40">
        <v>1285.7782294219689</v>
      </c>
      <c r="X142" s="40">
        <v>1208.6971606617726</v>
      </c>
      <c r="Y142" s="40">
        <v>1209.3238792143811</v>
      </c>
      <c r="Z142" s="40">
        <v>1172.1000075332472</v>
      </c>
      <c r="AA142" s="40">
        <v>1158.3701933433802</v>
      </c>
      <c r="AB142" s="40">
        <v>1203.5549857527499</v>
      </c>
      <c r="AC142" s="40">
        <v>1261.8156210082445</v>
      </c>
      <c r="AD142" s="40">
        <v>1284.9048632178974</v>
      </c>
      <c r="AE142" s="40">
        <v>1269.2863776384811</v>
      </c>
      <c r="AF142" s="40">
        <v>1507.2314556335452</v>
      </c>
      <c r="AG142" s="40">
        <v>1571.8283533331312</v>
      </c>
      <c r="AH142" s="40">
        <v>1825.3791323565365</v>
      </c>
      <c r="AI142" s="40">
        <v>1687.4519944189956</v>
      </c>
      <c r="AJ142" s="40">
        <v>1773.3130004626414</v>
      </c>
      <c r="AK142" s="40">
        <v>2012.936265625945</v>
      </c>
      <c r="AL142" s="40">
        <v>2154.9869391603906</v>
      </c>
      <c r="AM142" s="40">
        <v>2251.3684677611136</v>
      </c>
      <c r="AN142" s="40">
        <v>2336.0839431519212</v>
      </c>
      <c r="AO142" s="40">
        <v>2426.3883627262367</v>
      </c>
      <c r="AP142" s="40">
        <v>2245.3350590283453</v>
      </c>
      <c r="AQ142" s="40">
        <v>2281.0568799924381</v>
      </c>
      <c r="AR142" s="40">
        <v>2365.7588612155305</v>
      </c>
      <c r="AS142" s="40">
        <v>2790.0043682328742</v>
      </c>
      <c r="AT142" s="40">
        <v>3139.5291180827194</v>
      </c>
      <c r="AU142" s="40">
        <v>3218.9610807148092</v>
      </c>
      <c r="AV142" s="40">
        <v>3394.310287575182</v>
      </c>
      <c r="AW142" s="40">
        <v>3799.3478737414712</v>
      </c>
      <c r="AX142" s="40">
        <v>4331.2408068028162</v>
      </c>
      <c r="AY142" s="40">
        <v>4177.1302241886287</v>
      </c>
      <c r="AZ142" s="40">
        <v>4206.7799215762498</v>
      </c>
      <c r="BA142" s="40">
        <v>4350.3359763353837</v>
      </c>
      <c r="BB142" s="40">
        <v>1589.0294814812696</v>
      </c>
    </row>
    <row r="143" spans="1:54">
      <c r="A143" s="41">
        <v>222</v>
      </c>
      <c r="B143" s="41" t="s">
        <v>13</v>
      </c>
      <c r="C143" s="40">
        <v>284.01277597896342</v>
      </c>
      <c r="D143" s="40">
        <v>308.51082206616405</v>
      </c>
      <c r="E143" s="40">
        <v>349.76076919305569</v>
      </c>
      <c r="F143" s="40">
        <v>368.82991171570961</v>
      </c>
      <c r="G143" s="40">
        <v>385.34380060317454</v>
      </c>
      <c r="H143" s="40">
        <v>445.14209050994987</v>
      </c>
      <c r="I143" s="40">
        <v>482.75636031477677</v>
      </c>
      <c r="J143" s="40">
        <v>527.16735897798696</v>
      </c>
      <c r="K143" s="40">
        <v>573.06813506348499</v>
      </c>
      <c r="L143" s="40">
        <v>491.39943886910515</v>
      </c>
      <c r="M143" s="40">
        <v>456.54302114415361</v>
      </c>
      <c r="N143" s="40">
        <v>560.13422888485104</v>
      </c>
      <c r="O143" s="40">
        <v>688.42656147706509</v>
      </c>
      <c r="P143" s="40">
        <v>930.16465800082472</v>
      </c>
      <c r="Q143" s="40">
        <v>1139.0323256136976</v>
      </c>
      <c r="R143" s="40">
        <v>1278.7841526313887</v>
      </c>
      <c r="S143" s="40">
        <v>1430.436661756032</v>
      </c>
      <c r="T143" s="40">
        <v>1552.8534177814001</v>
      </c>
      <c r="U143" s="40">
        <v>2083.1785175643799</v>
      </c>
      <c r="V143" s="40">
        <v>1566.7475648597472</v>
      </c>
      <c r="W143" s="40">
        <v>1580.8861162464495</v>
      </c>
      <c r="X143" s="40">
        <v>1403.243983986202</v>
      </c>
      <c r="Y143" s="40">
        <v>1310.2797845170946</v>
      </c>
      <c r="Z143" s="40">
        <v>1246.2019908026436</v>
      </c>
      <c r="AA143" s="40">
        <v>1367.1731314392875</v>
      </c>
      <c r="AB143" s="40">
        <v>1508.9194359068938</v>
      </c>
      <c r="AC143" s="40">
        <v>1703.6493422257897</v>
      </c>
      <c r="AD143" s="40">
        <v>1742.9596826486561</v>
      </c>
      <c r="AE143" s="40">
        <v>2019.0658889158012</v>
      </c>
      <c r="AF143" s="40">
        <v>2790.5804865913915</v>
      </c>
      <c r="AG143" s="40">
        <v>2750.6439016629934</v>
      </c>
      <c r="AH143" s="40">
        <v>2850.3897584860129</v>
      </c>
      <c r="AI143" s="40">
        <v>3181.317555694151</v>
      </c>
      <c r="AJ143" s="40">
        <v>2268.3972703053319</v>
      </c>
      <c r="AK143" s="40">
        <v>2896.0906035173407</v>
      </c>
      <c r="AL143" s="40">
        <v>3052.959568938657</v>
      </c>
      <c r="AM143" s="40">
        <v>3144.3939322295664</v>
      </c>
      <c r="AN143" s="40">
        <v>4392.3501676068472</v>
      </c>
      <c r="AO143" s="40">
        <v>4012.4728106426501</v>
      </c>
      <c r="AP143" s="40">
        <v>4219.5443370666489</v>
      </c>
      <c r="AQ143" s="40">
        <v>3057.7906501450389</v>
      </c>
      <c r="AR143" s="40">
        <v>3576.2278599026317</v>
      </c>
      <c r="AS143" s="40">
        <v>4595.2877713465623</v>
      </c>
      <c r="AT143" s="40">
        <v>5866.7447020472036</v>
      </c>
      <c r="AU143" s="40">
        <v>7129.5848796105092</v>
      </c>
      <c r="AV143" s="40">
        <v>7736.0983904001778</v>
      </c>
      <c r="AW143" s="40">
        <v>9312.0518713219171</v>
      </c>
      <c r="AX143" s="40">
        <v>10379.491949544597</v>
      </c>
      <c r="AY143" s="40">
        <v>8626.3981655428524</v>
      </c>
      <c r="AZ143" s="40">
        <v>10135.420911873671</v>
      </c>
      <c r="BA143" s="40">
        <v>10604.84015474164</v>
      </c>
      <c r="BB143" s="40">
        <v>2869.8774437041784</v>
      </c>
    </row>
    <row r="144" spans="1:54">
      <c r="A144" s="41">
        <v>223</v>
      </c>
      <c r="B144" s="41" t="s">
        <v>12</v>
      </c>
      <c r="AC144" s="40">
        <v>698.13855921033792</v>
      </c>
      <c r="AD144" s="40">
        <v>859.04088680867119</v>
      </c>
      <c r="AE144" s="40">
        <v>854.19287155469726</v>
      </c>
      <c r="AF144" s="40">
        <v>881.15235456234075</v>
      </c>
      <c r="AG144" s="40">
        <v>847.54171999541882</v>
      </c>
      <c r="AH144" s="40">
        <v>824.46215263735633</v>
      </c>
      <c r="AI144" s="40">
        <v>796.41584446298293</v>
      </c>
      <c r="AJ144" s="40">
        <v>625.34760204710972</v>
      </c>
      <c r="AK144" s="40">
        <v>592.69878527369065</v>
      </c>
      <c r="AL144" s="40">
        <v>557.51044896789631</v>
      </c>
      <c r="AM144" s="40">
        <v>565.05766968783246</v>
      </c>
      <c r="AN144" s="40">
        <v>592.83603279312229</v>
      </c>
      <c r="AO144" s="40">
        <v>550.78702488612464</v>
      </c>
      <c r="AP144" s="40">
        <v>645.27710146967638</v>
      </c>
      <c r="AQ144" s="40">
        <v>776.57223038284724</v>
      </c>
      <c r="AR144" s="40">
        <v>969.97024430819772</v>
      </c>
      <c r="AS144" s="40">
        <v>1286.0139845706292</v>
      </c>
      <c r="AT144" s="40">
        <v>1455.9360495075628</v>
      </c>
      <c r="AU144" s="40">
        <v>1706.9567263924498</v>
      </c>
      <c r="AV144" s="40">
        <v>2140.4550263870528</v>
      </c>
      <c r="AW144" s="40">
        <v>2606.7414393186114</v>
      </c>
      <c r="AX144" s="40">
        <v>3918.9174892519418</v>
      </c>
      <c r="AY144" s="40">
        <v>4059.973974565557</v>
      </c>
      <c r="AZ144" s="40">
        <v>4479.033231467849</v>
      </c>
      <c r="BA144" s="40">
        <v>5495.1270522548575</v>
      </c>
      <c r="BB144" s="40">
        <v>1551.4462601105927</v>
      </c>
    </row>
    <row r="145" spans="1:54">
      <c r="A145" s="41">
        <v>226</v>
      </c>
      <c r="B145" s="41" t="s">
        <v>11</v>
      </c>
      <c r="C145" s="40">
        <v>63.035596863440361</v>
      </c>
      <c r="D145" s="40">
        <v>62.037113470083924</v>
      </c>
      <c r="E145" s="40">
        <v>68.957825597457571</v>
      </c>
      <c r="F145" s="40">
        <v>76.069417638025541</v>
      </c>
      <c r="G145" s="40">
        <v>110.36446738336475</v>
      </c>
      <c r="H145" s="40">
        <v>111.58920874298899</v>
      </c>
      <c r="I145" s="40">
        <v>112.72351450507473</v>
      </c>
      <c r="J145" s="40">
        <v>116.91560315421611</v>
      </c>
      <c r="K145" s="40">
        <v>127.53278822805767</v>
      </c>
      <c r="L145" s="40">
        <v>133.34233003939042</v>
      </c>
      <c r="M145" s="40">
        <v>145.79579561487927</v>
      </c>
      <c r="N145" s="40">
        <v>149.26957137025366</v>
      </c>
      <c r="O145" s="40">
        <v>165.92493718465633</v>
      </c>
      <c r="P145" s="40">
        <v>199.25772511764686</v>
      </c>
      <c r="Q145" s="40">
        <v>217.93058245950468</v>
      </c>
      <c r="R145" s="40">
        <v>219.69307424159075</v>
      </c>
      <c r="S145" s="40">
        <v>255.99911253640985</v>
      </c>
      <c r="T145" s="40">
        <v>204.79211563966882</v>
      </c>
      <c r="U145" s="40">
        <v>175.63927350073638</v>
      </c>
      <c r="V145" s="40">
        <v>99.17385796196092</v>
      </c>
      <c r="W145" s="40">
        <v>103.42042983859979</v>
      </c>
      <c r="X145" s="40">
        <v>163.42211538389375</v>
      </c>
      <c r="Y145" s="40">
        <v>163.07430068882334</v>
      </c>
      <c r="Z145" s="40">
        <v>254.95288369841995</v>
      </c>
      <c r="AA145" s="40">
        <v>240.06409738507108</v>
      </c>
      <c r="AB145" s="40">
        <v>258.43595591524388</v>
      </c>
      <c r="AC145" s="40">
        <v>398.41457411380799</v>
      </c>
      <c r="AD145" s="40">
        <v>398.82140581268141</v>
      </c>
      <c r="AE145" s="40">
        <v>311.79995782236796</v>
      </c>
      <c r="AF145" s="40">
        <v>245.4769910391999</v>
      </c>
      <c r="AG145" s="40">
        <v>182.95394509988861</v>
      </c>
      <c r="AH145" s="40">
        <v>152.08595209120671</v>
      </c>
      <c r="AI145" s="40">
        <v>165.74177926871792</v>
      </c>
      <c r="AJ145" s="40">
        <v>198.71521998246126</v>
      </c>
      <c r="AK145" s="40">
        <v>277.51288904323815</v>
      </c>
      <c r="AL145" s="40">
        <v>282.35575533234714</v>
      </c>
      <c r="AM145" s="40">
        <v>283.87899424656382</v>
      </c>
      <c r="AN145" s="40">
        <v>289.05555234738495</v>
      </c>
      <c r="AO145" s="40">
        <v>255.1733151526978</v>
      </c>
      <c r="AP145" s="40">
        <v>255.12185784619658</v>
      </c>
      <c r="AQ145" s="40">
        <v>232.80038347127442</v>
      </c>
      <c r="AR145" s="40">
        <v>238.15512626438613</v>
      </c>
      <c r="AS145" s="40">
        <v>236.10534450823084</v>
      </c>
      <c r="AT145" s="40">
        <v>285.96415409296952</v>
      </c>
      <c r="AU145" s="40">
        <v>313.79897643335056</v>
      </c>
      <c r="AV145" s="40">
        <v>335.80410907447089</v>
      </c>
      <c r="AW145" s="40">
        <v>387.78084451367829</v>
      </c>
      <c r="AX145" s="40">
        <v>454.40413405437249</v>
      </c>
      <c r="AY145" s="40">
        <v>480.87137649157239</v>
      </c>
      <c r="AZ145" s="40">
        <v>505.98768493116575</v>
      </c>
      <c r="BA145" s="40">
        <v>478.61564423959288</v>
      </c>
      <c r="BB145" s="40">
        <v>228.36881689084868</v>
      </c>
    </row>
    <row r="146" spans="1:54">
      <c r="A146" s="41">
        <v>227</v>
      </c>
      <c r="B146" s="41" t="s">
        <v>10</v>
      </c>
      <c r="AC146" s="40">
        <v>1249.4432776057808</v>
      </c>
      <c r="AD146" s="40">
        <v>1449.9624988386142</v>
      </c>
      <c r="AE146" s="40">
        <v>1597.4929841022422</v>
      </c>
      <c r="AF146" s="40">
        <v>1569.730041083855</v>
      </c>
      <c r="AG146" s="40">
        <v>1489.6796921763919</v>
      </c>
      <c r="AH146" s="40">
        <v>1417.8699390977397</v>
      </c>
      <c r="AI146" s="40">
        <v>1258.1363261460365</v>
      </c>
      <c r="AJ146" s="40">
        <v>1012.1051831925776</v>
      </c>
      <c r="AK146" s="40">
        <v>935.96809869115259</v>
      </c>
      <c r="AL146" s="40">
        <v>872.70918584510696</v>
      </c>
      <c r="AM146" s="40">
        <v>991.23010069740212</v>
      </c>
      <c r="AN146" s="40">
        <v>835.26029678802126</v>
      </c>
      <c r="AO146" s="40">
        <v>635.76624203104677</v>
      </c>
      <c r="AP146" s="40">
        <v>635.70896815850392</v>
      </c>
      <c r="AQ146" s="40">
        <v>780.73803109413677</v>
      </c>
      <c r="AR146" s="40">
        <v>879.47504862277765</v>
      </c>
      <c r="AS146" s="40">
        <v>1048.522487907627</v>
      </c>
      <c r="AT146" s="40">
        <v>1367.3524333362905</v>
      </c>
      <c r="AU146" s="40">
        <v>1828.717625765981</v>
      </c>
      <c r="AV146" s="40">
        <v>2303.0188309318291</v>
      </c>
      <c r="AW146" s="40">
        <v>3068.6089979969643</v>
      </c>
      <c r="AX146" s="40">
        <v>3891.0378231820687</v>
      </c>
      <c r="AY146" s="40">
        <v>2545.4803410734889</v>
      </c>
      <c r="AZ146" s="40">
        <v>2973.9817087455513</v>
      </c>
      <c r="BA146" s="40">
        <v>3575.5073248385343</v>
      </c>
      <c r="BB146" s="40">
        <v>1608.540139517989</v>
      </c>
    </row>
    <row r="147" spans="1:54">
      <c r="A147" s="41">
        <v>228</v>
      </c>
      <c r="B147" s="41" t="s">
        <v>9</v>
      </c>
      <c r="Q147" s="40">
        <v>27631.898540164486</v>
      </c>
      <c r="R147" s="40">
        <v>30817.263382888323</v>
      </c>
      <c r="S147" s="40">
        <v>34371.462894909535</v>
      </c>
      <c r="T147" s="40">
        <v>28742.855354213003</v>
      </c>
      <c r="U147" s="40">
        <v>33716.72408355918</v>
      </c>
      <c r="V147" s="40">
        <v>42961.838215063377</v>
      </c>
      <c r="W147" s="40">
        <v>45232.633528183411</v>
      </c>
      <c r="X147" s="40">
        <v>40339.271873466452</v>
      </c>
      <c r="Y147" s="40">
        <v>35218.057974179887</v>
      </c>
      <c r="Z147" s="40">
        <v>32731.507235934034</v>
      </c>
      <c r="AA147" s="40">
        <v>30138.886349018125</v>
      </c>
      <c r="AB147" s="40">
        <v>23788.11075608902</v>
      </c>
      <c r="AC147" s="40">
        <v>24019.644009565782</v>
      </c>
      <c r="AD147" s="40">
        <v>22543.096233162898</v>
      </c>
      <c r="AE147" s="40">
        <v>24289.942135764661</v>
      </c>
      <c r="AF147" s="40">
        <v>28066.14991857803</v>
      </c>
      <c r="AG147" s="40">
        <v>27018.926378943044</v>
      </c>
      <c r="AH147" s="40">
        <v>26944.754873705308</v>
      </c>
      <c r="AI147" s="40">
        <v>26224.149053380374</v>
      </c>
      <c r="AJ147" s="40">
        <v>26568.489932041346</v>
      </c>
      <c r="AK147" s="40">
        <v>28020.085414107612</v>
      </c>
      <c r="AL147" s="40">
        <v>29776.160012196498</v>
      </c>
      <c r="AM147" s="40">
        <v>30218.175503974308</v>
      </c>
      <c r="AN147" s="40">
        <v>27482.982898410344</v>
      </c>
      <c r="AO147" s="40">
        <v>29183.050434305325</v>
      </c>
      <c r="AP147" s="40">
        <v>34476.285423019486</v>
      </c>
      <c r="AQ147" s="40">
        <v>32984.742372185756</v>
      </c>
      <c r="AR147" s="40">
        <v>34062.42573501599</v>
      </c>
      <c r="AS147" s="40">
        <v>36906.199894290898</v>
      </c>
      <c r="AT147" s="40">
        <v>40403.988167934003</v>
      </c>
      <c r="AU147" s="40">
        <v>43533.891782230734</v>
      </c>
      <c r="AV147" s="40">
        <v>45554.219403978866</v>
      </c>
      <c r="AW147" s="40">
        <v>44528.996006407804</v>
      </c>
      <c r="AX147" s="40">
        <v>46309.982109967277</v>
      </c>
      <c r="AY147" s="40">
        <v>35025.104486807548</v>
      </c>
      <c r="AZ147" s="40">
        <v>34048.530247914903</v>
      </c>
      <c r="BA147" s="40">
        <v>39057.840108062141</v>
      </c>
      <c r="BB147" s="40">
        <v>33052.387100638378</v>
      </c>
    </row>
    <row r="148" spans="1:54">
      <c r="A148" s="41">
        <v>229</v>
      </c>
      <c r="B148" s="41" t="s">
        <v>8</v>
      </c>
      <c r="C148" s="40">
        <v>1452.5447090135581</v>
      </c>
      <c r="D148" s="40">
        <v>1513.6514485492642</v>
      </c>
      <c r="E148" s="40">
        <v>1592.6144766156178</v>
      </c>
      <c r="F148" s="40">
        <v>1729.3999780356835</v>
      </c>
      <c r="G148" s="40">
        <v>1850.9547685549837</v>
      </c>
      <c r="H148" s="40">
        <v>1959.6278296212581</v>
      </c>
      <c r="I148" s="40">
        <v>2023.6275637111758</v>
      </c>
      <c r="J148" s="40">
        <v>1896.3867486073502</v>
      </c>
      <c r="K148" s="40">
        <v>2032.3470096450301</v>
      </c>
      <c r="L148" s="40">
        <v>2241.9713946527272</v>
      </c>
      <c r="M148" s="40">
        <v>2525.6282120138508</v>
      </c>
      <c r="N148" s="40">
        <v>2891.9809006579344</v>
      </c>
      <c r="O148" s="40">
        <v>3257.3058329606529</v>
      </c>
      <c r="P148" s="40">
        <v>3516.420283418784</v>
      </c>
      <c r="Q148" s="40">
        <v>4204.9220434994932</v>
      </c>
      <c r="R148" s="40">
        <v>4041.0397113742993</v>
      </c>
      <c r="S148" s="40">
        <v>4565.4654894534879</v>
      </c>
      <c r="T148" s="40">
        <v>5785.4617386137807</v>
      </c>
      <c r="U148" s="40">
        <v>7511.1076999537854</v>
      </c>
      <c r="V148" s="40">
        <v>9622.9750431564826</v>
      </c>
      <c r="W148" s="40">
        <v>9142.4665043544919</v>
      </c>
      <c r="X148" s="40">
        <v>8718.2672572495612</v>
      </c>
      <c r="Y148" s="40">
        <v>8266.5236949894952</v>
      </c>
      <c r="Z148" s="40">
        <v>7777.6442890194276</v>
      </c>
      <c r="AA148" s="40">
        <v>8209.836962979789</v>
      </c>
      <c r="AB148" s="40">
        <v>10063.838662494158</v>
      </c>
      <c r="AC148" s="40">
        <v>12333.137185675994</v>
      </c>
      <c r="AD148" s="40">
        <v>14951.052134667505</v>
      </c>
      <c r="AE148" s="40">
        <v>15057.179223513893</v>
      </c>
      <c r="AF148" s="40">
        <v>17805.249087867054</v>
      </c>
      <c r="AG148" s="40">
        <v>18532.049926028747</v>
      </c>
      <c r="AH148" s="40">
        <v>19133.774573689705</v>
      </c>
      <c r="AI148" s="40">
        <v>17170.31511951884</v>
      </c>
      <c r="AJ148" s="40">
        <v>18528.925578416525</v>
      </c>
      <c r="AK148" s="40">
        <v>20177.13912283707</v>
      </c>
      <c r="AL148" s="40">
        <v>21144.848702816464</v>
      </c>
      <c r="AM148" s="40">
        <v>23459.716605661248</v>
      </c>
      <c r="AN148" s="40">
        <v>24995.882902267564</v>
      </c>
      <c r="AO148" s="40">
        <v>25625.232247292333</v>
      </c>
      <c r="AP148" s="40">
        <v>25057.613530497005</v>
      </c>
      <c r="AQ148" s="40">
        <v>24836.358525197938</v>
      </c>
      <c r="AR148" s="40">
        <v>26996.972030082419</v>
      </c>
      <c r="AS148" s="40">
        <v>31152.987780809101</v>
      </c>
      <c r="AT148" s="40">
        <v>36695.144762979711</v>
      </c>
      <c r="AU148" s="40">
        <v>38121.562978924601</v>
      </c>
      <c r="AV148" s="40">
        <v>40480.961338128545</v>
      </c>
      <c r="AW148" s="40">
        <v>46330.245822436744</v>
      </c>
      <c r="AX148" s="40">
        <v>43146.829436194545</v>
      </c>
      <c r="AY148" s="40">
        <v>35331.280962231249</v>
      </c>
      <c r="AZ148" s="40">
        <v>36232.814420707029</v>
      </c>
      <c r="BA148" s="40">
        <v>38960.757927874809</v>
      </c>
      <c r="BB148" s="40">
        <v>15502.981219206133</v>
      </c>
    </row>
    <row r="149" spans="1:54">
      <c r="A149" s="41">
        <v>230</v>
      </c>
      <c r="B149" s="41" t="s">
        <v>7</v>
      </c>
      <c r="C149" s="40">
        <v>2934.5527776102258</v>
      </c>
      <c r="D149" s="40">
        <v>3107.9374166336083</v>
      </c>
      <c r="E149" s="40">
        <v>3232.208009300261</v>
      </c>
      <c r="F149" s="40">
        <v>3423.3962816419908</v>
      </c>
      <c r="G149" s="40">
        <v>3664.8018703982953</v>
      </c>
      <c r="H149" s="40">
        <v>3972.1230899470897</v>
      </c>
      <c r="I149" s="40">
        <v>4152.019837191513</v>
      </c>
      <c r="J149" s="40">
        <v>4491.4243045250269</v>
      </c>
      <c r="K149" s="40">
        <v>4802.6424850575049</v>
      </c>
      <c r="L149" s="40">
        <v>4997.7566666016428</v>
      </c>
      <c r="M149" s="40">
        <v>5360.1783676280093</v>
      </c>
      <c r="N149" s="40">
        <v>5836.2236536189348</v>
      </c>
      <c r="O149" s="40">
        <v>6461.7359338206497</v>
      </c>
      <c r="P149" s="40">
        <v>6948.1983035154826</v>
      </c>
      <c r="Q149" s="40">
        <v>7516.6803257814636</v>
      </c>
      <c r="R149" s="40">
        <v>8297.2917192193909</v>
      </c>
      <c r="S149" s="40">
        <v>9142.7948728426854</v>
      </c>
      <c r="T149" s="40">
        <v>10225.307186018825</v>
      </c>
      <c r="U149" s="40">
        <v>11301.68181111284</v>
      </c>
      <c r="V149" s="40">
        <v>12179.557707118494</v>
      </c>
      <c r="W149" s="40">
        <v>13526.186886074625</v>
      </c>
      <c r="X149" s="40">
        <v>13932.678361765315</v>
      </c>
      <c r="Y149" s="40">
        <v>15000.085546126471</v>
      </c>
      <c r="Z149" s="40">
        <v>16539.383017067739</v>
      </c>
      <c r="AA149" s="40">
        <v>17588.809872059985</v>
      </c>
      <c r="AB149" s="40">
        <v>18427.288211116338</v>
      </c>
      <c r="AC149" s="40">
        <v>19393.781806025036</v>
      </c>
      <c r="AD149" s="40">
        <v>20703.152160131533</v>
      </c>
      <c r="AE149" s="40">
        <v>22039.227125950594</v>
      </c>
      <c r="AF149" s="40">
        <v>23037.941215352752</v>
      </c>
      <c r="AG149" s="40">
        <v>23443.262537502815</v>
      </c>
      <c r="AH149" s="40">
        <v>24411.143251440466</v>
      </c>
      <c r="AI149" s="40">
        <v>25326.736406341977</v>
      </c>
      <c r="AJ149" s="40">
        <v>26577.761224660429</v>
      </c>
      <c r="AK149" s="40">
        <v>27559.167486611736</v>
      </c>
      <c r="AL149" s="40">
        <v>28772.355731753491</v>
      </c>
      <c r="AM149" s="40">
        <v>30281.635901517289</v>
      </c>
      <c r="AN149" s="40">
        <v>31687.051846266502</v>
      </c>
      <c r="AO149" s="40">
        <v>33332.13876146789</v>
      </c>
      <c r="AP149" s="40">
        <v>35081.923084361508</v>
      </c>
      <c r="AQ149" s="40">
        <v>35912.332976762329</v>
      </c>
      <c r="AR149" s="40">
        <v>36819.445089429282</v>
      </c>
      <c r="AS149" s="40">
        <v>38224.738928459432</v>
      </c>
      <c r="AT149" s="40">
        <v>40292.303727373132</v>
      </c>
      <c r="AU149" s="40">
        <v>42516.393469999297</v>
      </c>
      <c r="AV149" s="40">
        <v>44622.642022898646</v>
      </c>
      <c r="AW149" s="40">
        <v>46349.115481916189</v>
      </c>
      <c r="AX149" s="40">
        <v>46759.559839474095</v>
      </c>
      <c r="AY149" s="40">
        <v>45305.051760523711</v>
      </c>
      <c r="AZ149" s="40">
        <v>46615.51085750974</v>
      </c>
      <c r="BA149" s="40">
        <v>48112.600140950315</v>
      </c>
      <c r="BB149" s="40">
        <v>20789.017987224994</v>
      </c>
    </row>
    <row r="150" spans="1:54">
      <c r="A150" s="41">
        <v>232</v>
      </c>
      <c r="B150" s="41" t="s">
        <v>6</v>
      </c>
      <c r="C150" s="40">
        <v>602.53638302836509</v>
      </c>
      <c r="D150" s="40">
        <v>656.37240899035612</v>
      </c>
      <c r="E150" s="40">
        <v>583.98481604108861</v>
      </c>
      <c r="F150" s="40">
        <v>740.74881274791721</v>
      </c>
      <c r="G150" s="40">
        <v>701.07071658677262</v>
      </c>
      <c r="H150" s="40">
        <v>664.24502935089595</v>
      </c>
      <c r="I150" s="40">
        <v>581.08769805640134</v>
      </c>
      <c r="J150" s="40">
        <v>574.31729682929461</v>
      </c>
      <c r="K150" s="40">
        <v>717.06004921091585</v>
      </c>
      <c r="L150" s="40">
        <v>760.58946145325217</v>
      </c>
      <c r="M150" s="40">
        <v>996.0548490401801</v>
      </c>
      <c r="N150" s="40">
        <v>775.96677644444844</v>
      </c>
      <c r="O150" s="40">
        <v>1404.6299984921707</v>
      </c>
      <c r="P150" s="40">
        <v>1448.2404519261108</v>
      </c>
      <c r="Q150" s="40">
        <v>1250.1129768890166</v>
      </c>
      <c r="R150" s="40">
        <v>1290.5255383963645</v>
      </c>
      <c r="S150" s="40">
        <v>1440.0948442052252</v>
      </c>
      <c r="T150" s="40">
        <v>1707.3098692047315</v>
      </c>
      <c r="U150" s="40">
        <v>2479.6755870335924</v>
      </c>
      <c r="V150" s="40">
        <v>3485.5774327002837</v>
      </c>
      <c r="W150" s="40">
        <v>3764.3584350493561</v>
      </c>
      <c r="X150" s="40">
        <v>3106.9970210238689</v>
      </c>
      <c r="Y150" s="40">
        <v>1715.9547031520829</v>
      </c>
      <c r="Z150" s="40">
        <v>1620.7211556658369</v>
      </c>
      <c r="AA150" s="40">
        <v>1571.0978430965536</v>
      </c>
      <c r="AB150" s="40">
        <v>1939.9571524794703</v>
      </c>
      <c r="AC150" s="40">
        <v>2415.582172085707</v>
      </c>
      <c r="AD150" s="40">
        <v>2676.1862905333483</v>
      </c>
      <c r="AE150" s="40">
        <v>2731.9540677072823</v>
      </c>
      <c r="AF150" s="40">
        <v>2990.0373207181051</v>
      </c>
      <c r="AG150" s="40">
        <v>3578.040328105621</v>
      </c>
      <c r="AH150" s="40">
        <v>4082.2686288075465</v>
      </c>
      <c r="AI150" s="40">
        <v>4720.8220433285142</v>
      </c>
      <c r="AJ150" s="40">
        <v>5458.6990653402881</v>
      </c>
      <c r="AK150" s="40">
        <v>5984.916524045263</v>
      </c>
      <c r="AL150" s="40">
        <v>6317.1451506483172</v>
      </c>
      <c r="AM150" s="40">
        <v>7328.9673542574474</v>
      </c>
      <c r="AN150" s="40">
        <v>7712.1565075791605</v>
      </c>
      <c r="AO150" s="40">
        <v>7248.3487455639734</v>
      </c>
      <c r="AP150" s="40">
        <v>6872.7336858242816</v>
      </c>
      <c r="AQ150" s="40">
        <v>6282.0209020342227</v>
      </c>
      <c r="AR150" s="40">
        <v>4089.1043122527508</v>
      </c>
      <c r="AS150" s="40">
        <v>3622.2973373872392</v>
      </c>
      <c r="AT150" s="40">
        <v>4117.6494474693327</v>
      </c>
      <c r="AU150" s="40">
        <v>5221.6731880918642</v>
      </c>
      <c r="AV150" s="40">
        <v>5879.3403394421075</v>
      </c>
      <c r="AW150" s="40">
        <v>7012.5356923821246</v>
      </c>
      <c r="AX150" s="40">
        <v>9067.5046680697287</v>
      </c>
      <c r="AY150" s="40">
        <v>8995.6926113539866</v>
      </c>
      <c r="AZ150" s="40">
        <v>11520.272592662337</v>
      </c>
      <c r="BA150" s="40">
        <v>13723.921843246899</v>
      </c>
      <c r="BB150" s="40">
        <v>3651.5521201182751</v>
      </c>
    </row>
    <row r="151" spans="1:54">
      <c r="A151" s="41">
        <v>233</v>
      </c>
      <c r="B151" s="41" t="s">
        <v>5</v>
      </c>
      <c r="AF151" s="40">
        <v>651.41920968674287</v>
      </c>
      <c r="AG151" s="40">
        <v>658.65586814086066</v>
      </c>
      <c r="AH151" s="40">
        <v>603.93494200342423</v>
      </c>
      <c r="AI151" s="40">
        <v>597.02527262141325</v>
      </c>
      <c r="AJ151" s="40">
        <v>576.44341722879949</v>
      </c>
      <c r="AK151" s="40">
        <v>585.93204005538905</v>
      </c>
      <c r="AL151" s="40">
        <v>600.59815782858402</v>
      </c>
      <c r="AM151" s="40">
        <v>623.00265236763869</v>
      </c>
      <c r="AN151" s="40">
        <v>623.21613283598492</v>
      </c>
      <c r="AO151" s="40">
        <v>702.48074408887271</v>
      </c>
      <c r="AP151" s="40">
        <v>558.22114397778694</v>
      </c>
      <c r="AQ151" s="40">
        <v>456.70348916846808</v>
      </c>
      <c r="AR151" s="40">
        <v>383.34949974874866</v>
      </c>
      <c r="AS151" s="40">
        <v>396.12996898130393</v>
      </c>
      <c r="AT151" s="40">
        <v>465.11988694402487</v>
      </c>
      <c r="AU151" s="40">
        <v>546.77685018555155</v>
      </c>
      <c r="AV151" s="40">
        <v>642.96041464408825</v>
      </c>
      <c r="AW151" s="40">
        <v>830.40769420432196</v>
      </c>
      <c r="AX151" s="40">
        <v>1023.11964110698</v>
      </c>
      <c r="AY151" s="40">
        <v>1181.8473596006563</v>
      </c>
      <c r="AZ151" s="40">
        <v>1364.7874596791189</v>
      </c>
      <c r="BA151" s="40">
        <v>1544.7303448532532</v>
      </c>
      <c r="BB151" s="40">
        <v>709.85737227054597</v>
      </c>
    </row>
    <row r="152" spans="1:54">
      <c r="A152" s="41">
        <v>235</v>
      </c>
      <c r="B152" s="41" t="s">
        <v>4</v>
      </c>
      <c r="C152" s="40">
        <v>1133.4650249052781</v>
      </c>
      <c r="D152" s="40">
        <v>1208.1508608387344</v>
      </c>
      <c r="E152" s="40">
        <v>1257.8465799169601</v>
      </c>
      <c r="F152" s="40">
        <v>1037.3161546239146</v>
      </c>
      <c r="G152" s="40">
        <v>1055.762648910923</v>
      </c>
      <c r="H152" s="40">
        <v>1073.3502876974035</v>
      </c>
      <c r="I152" s="40">
        <v>1077.4515986530839</v>
      </c>
      <c r="J152" s="40">
        <v>1142.4926241996604</v>
      </c>
      <c r="K152" s="40">
        <v>1149.805618876987</v>
      </c>
      <c r="L152" s="40">
        <v>1211.5551721629151</v>
      </c>
      <c r="M152" s="40">
        <v>1304.5590139137701</v>
      </c>
      <c r="N152" s="40">
        <v>1387.1770542710217</v>
      </c>
      <c r="O152" s="40">
        <v>1636.6471577632178</v>
      </c>
      <c r="P152" s="40">
        <v>2364.3833203828908</v>
      </c>
      <c r="Q152" s="40">
        <v>2465.731989507115</v>
      </c>
      <c r="R152" s="40">
        <v>2748.700452031921</v>
      </c>
      <c r="S152" s="40">
        <v>3097.2923930732695</v>
      </c>
      <c r="T152" s="40">
        <v>3286.7072293590654</v>
      </c>
      <c r="U152" s="40">
        <v>3811.0669403760376</v>
      </c>
      <c r="V152" s="40">
        <v>4447.0854347487621</v>
      </c>
      <c r="W152" s="40">
        <v>4855.3784967307247</v>
      </c>
      <c r="X152" s="40">
        <v>4796.2379287609456</v>
      </c>
      <c r="Y152" s="40">
        <v>4784.2174693129209</v>
      </c>
      <c r="Z152" s="40">
        <v>3317.1082878022316</v>
      </c>
      <c r="AA152" s="40">
        <v>3344.4879634439035</v>
      </c>
      <c r="AB152" s="40">
        <v>3311.0870036674528</v>
      </c>
      <c r="AC152" s="40">
        <v>2481.0571853330862</v>
      </c>
      <c r="AD152" s="40">
        <v>3113.521876994952</v>
      </c>
      <c r="AE152" s="40">
        <v>2188.5216258439877</v>
      </c>
      <c r="AF152" s="40">
        <v>2382.2510605722377</v>
      </c>
      <c r="AG152" s="40">
        <v>2558.7240469449875</v>
      </c>
      <c r="AH152" s="40">
        <v>2825.796101714101</v>
      </c>
      <c r="AI152" s="40">
        <v>2746.0697461337663</v>
      </c>
      <c r="AJ152" s="40">
        <v>2613.905373111043</v>
      </c>
      <c r="AK152" s="40">
        <v>3389.8358703295107</v>
      </c>
      <c r="AL152" s="40">
        <v>3026.0708022456224</v>
      </c>
      <c r="AM152" s="40">
        <v>3728.7879966012006</v>
      </c>
      <c r="AN152" s="40">
        <v>3889.6099060911824</v>
      </c>
      <c r="AO152" s="40">
        <v>4091.6320005591469</v>
      </c>
      <c r="AP152" s="40">
        <v>4799.6460179995383</v>
      </c>
      <c r="AQ152" s="40">
        <v>4942.0006103358437</v>
      </c>
      <c r="AR152" s="40">
        <v>3666.6524422044072</v>
      </c>
      <c r="AS152" s="40">
        <v>3241.5196156987863</v>
      </c>
      <c r="AT152" s="40">
        <v>4282.015326376978</v>
      </c>
      <c r="AU152" s="40">
        <v>5444.6625178519625</v>
      </c>
      <c r="AV152" s="40">
        <v>6747.7591246909105</v>
      </c>
      <c r="AW152" s="40">
        <v>8329.6404882498464</v>
      </c>
      <c r="AX152" s="40">
        <v>11223.211305046085</v>
      </c>
      <c r="AY152" s="40">
        <v>11524.979732167916</v>
      </c>
      <c r="AZ152" s="40">
        <v>13559.33118330574</v>
      </c>
      <c r="BA152" s="40">
        <v>10727.982878083309</v>
      </c>
      <c r="BB152" s="40">
        <v>3722.1617556944552</v>
      </c>
    </row>
    <row r="153" spans="1:54">
      <c r="A153" s="41">
        <v>236</v>
      </c>
      <c r="B153" s="41" t="s">
        <v>3</v>
      </c>
      <c r="AA153" s="40">
        <v>239.4286951768494</v>
      </c>
      <c r="AB153" s="40">
        <v>437.1295434646517</v>
      </c>
      <c r="AC153" s="40">
        <v>593.65357358295353</v>
      </c>
      <c r="AD153" s="40">
        <v>401.87491099631887</v>
      </c>
      <c r="AE153" s="40">
        <v>97.157885063793259</v>
      </c>
      <c r="AF153" s="40">
        <v>98.031869001632614</v>
      </c>
      <c r="AG153" s="40">
        <v>142.96588988273183</v>
      </c>
      <c r="AH153" s="40">
        <v>144.14865860413227</v>
      </c>
      <c r="AI153" s="40">
        <v>189.26051610777591</v>
      </c>
      <c r="AJ153" s="40">
        <v>229.95480510301451</v>
      </c>
      <c r="AK153" s="40">
        <v>288.02027786799067</v>
      </c>
      <c r="AL153" s="40">
        <v>337.05006283219734</v>
      </c>
      <c r="AM153" s="40">
        <v>361.2544883009067</v>
      </c>
      <c r="AN153" s="40">
        <v>360.60079802253165</v>
      </c>
      <c r="AO153" s="40">
        <v>374.47642006471563</v>
      </c>
      <c r="AP153" s="40">
        <v>401.54780212788745</v>
      </c>
      <c r="AQ153" s="40">
        <v>415.73115797054135</v>
      </c>
      <c r="AR153" s="40">
        <v>440.76928653054551</v>
      </c>
      <c r="AS153" s="40">
        <v>491.52851451674388</v>
      </c>
      <c r="AT153" s="40">
        <v>557.82339989041236</v>
      </c>
      <c r="AU153" s="40">
        <v>642.25086674158285</v>
      </c>
      <c r="AV153" s="40">
        <v>731.14058784029783</v>
      </c>
      <c r="AW153" s="40">
        <v>843.20429040371687</v>
      </c>
      <c r="AX153" s="40">
        <v>1070.1549586256235</v>
      </c>
      <c r="AY153" s="40">
        <v>1129.675150403197</v>
      </c>
      <c r="AZ153" s="40">
        <v>1224.2469175143124</v>
      </c>
      <c r="BA153" s="40">
        <v>1408.0063125159431</v>
      </c>
      <c r="BB153" s="40">
        <v>505.59583848714817</v>
      </c>
    </row>
    <row r="154" spans="1:54">
      <c r="A154" s="41">
        <v>241</v>
      </c>
      <c r="B154" s="41" t="s">
        <v>2</v>
      </c>
      <c r="AF154" s="40">
        <v>478.97647525484382</v>
      </c>
      <c r="AG154" s="40">
        <v>478.85258021796773</v>
      </c>
      <c r="AH154" s="40">
        <v>495.6423808698429</v>
      </c>
      <c r="AI154" s="40">
        <v>391.07876968558003</v>
      </c>
      <c r="AJ154" s="40">
        <v>289.4656586466711</v>
      </c>
      <c r="AK154" s="40">
        <v>283.5751582662873</v>
      </c>
      <c r="AL154" s="40">
        <v>371.38577634932716</v>
      </c>
      <c r="AM154" s="40">
        <v>425.10137697798592</v>
      </c>
      <c r="AN154" s="40">
        <v>381.86006011977673</v>
      </c>
      <c r="AO154" s="40">
        <v>448.53906939788112</v>
      </c>
      <c r="AP154" s="40">
        <v>549.93990167200548</v>
      </c>
      <c r="AQ154" s="40">
        <v>546.5362272087151</v>
      </c>
      <c r="AR154" s="40">
        <v>576.42386367269785</v>
      </c>
      <c r="AS154" s="40">
        <v>617.24119338945161</v>
      </c>
      <c r="AT154" s="40">
        <v>707.37347316050545</v>
      </c>
      <c r="AU154" s="40">
        <v>831.8802897569069</v>
      </c>
      <c r="AV154" s="40">
        <v>916.73439336543515</v>
      </c>
      <c r="AW154" s="40">
        <v>1019.5412780358637</v>
      </c>
      <c r="AX154" s="40">
        <v>1237.9999044913784</v>
      </c>
      <c r="AY154" s="40">
        <v>1105.8174743650725</v>
      </c>
      <c r="AZ154" s="40">
        <v>1400.6676849886519</v>
      </c>
      <c r="BA154" s="40">
        <v>1361.3265301208048</v>
      </c>
      <c r="BB154" s="40">
        <v>677.99816000062049</v>
      </c>
    </row>
    <row r="155" spans="1:54">
      <c r="A155" s="41">
        <v>242</v>
      </c>
      <c r="B155" s="41" t="s">
        <v>1</v>
      </c>
      <c r="C155" s="40">
        <v>215.00705725091478</v>
      </c>
      <c r="D155" s="40">
        <v>207.78475162506112</v>
      </c>
      <c r="E155" s="40">
        <v>209.0673411018555</v>
      </c>
      <c r="F155" s="40">
        <v>236.87787535261083</v>
      </c>
      <c r="G155" s="40">
        <v>296.36585165410003</v>
      </c>
      <c r="H155" s="40">
        <v>335.55315916947376</v>
      </c>
      <c r="I155" s="40">
        <v>352.03307539878784</v>
      </c>
      <c r="J155" s="40">
        <v>400.51860387080205</v>
      </c>
      <c r="K155" s="40">
        <v>474.88212501229282</v>
      </c>
      <c r="L155" s="40">
        <v>426.80281195019148</v>
      </c>
      <c r="M155" s="40">
        <v>381.53012195767684</v>
      </c>
      <c r="N155" s="40">
        <v>417.71081723421565</v>
      </c>
      <c r="O155" s="40">
        <v>524.82450469747164</v>
      </c>
      <c r="P155" s="40">
        <v>606.59180773465164</v>
      </c>
      <c r="Q155" s="40">
        <v>492.11158731761088</v>
      </c>
      <c r="R155" s="40">
        <v>534.47081141420222</v>
      </c>
      <c r="S155" s="40">
        <v>474.24108505746744</v>
      </c>
      <c r="T155" s="40">
        <v>512.9717790144432</v>
      </c>
      <c r="U155" s="40">
        <v>592.38808073139694</v>
      </c>
      <c r="V155" s="40">
        <v>664.33571252850027</v>
      </c>
      <c r="W155" s="40">
        <v>663.71018687837818</v>
      </c>
      <c r="X155" s="40">
        <v>620.83378712725346</v>
      </c>
      <c r="Y155" s="40">
        <v>516.08260767628178</v>
      </c>
      <c r="Z155" s="40">
        <v>409.77838324441973</v>
      </c>
      <c r="AA155" s="40">
        <v>329.38365497476485</v>
      </c>
      <c r="AB155" s="40">
        <v>236.39564448373818</v>
      </c>
      <c r="AC155" s="40">
        <v>312.71074565463465</v>
      </c>
      <c r="AD155" s="40">
        <v>500.75729177611987</v>
      </c>
      <c r="AE155" s="40">
        <v>522.39044798014754</v>
      </c>
      <c r="AF155" s="40">
        <v>419.19498224391242</v>
      </c>
      <c r="AG155" s="40">
        <v>420.09112498836521</v>
      </c>
      <c r="AH155" s="40">
        <v>386.75723370314529</v>
      </c>
      <c r="AI155" s="40">
        <v>388.63648844998181</v>
      </c>
      <c r="AJ155" s="40">
        <v>387.98739786316537</v>
      </c>
      <c r="AK155" s="40">
        <v>393.33926865647572</v>
      </c>
      <c r="AL155" s="40">
        <v>360.43113732170752</v>
      </c>
      <c r="AM155" s="40">
        <v>419.56589009833596</v>
      </c>
      <c r="AN155" s="40">
        <v>338.00167074045089</v>
      </c>
      <c r="AO155" s="40">
        <v>318.25216864427478</v>
      </c>
      <c r="AP155" s="40">
        <v>322.10255120017871</v>
      </c>
      <c r="AQ155" s="40">
        <v>352.61285503004456</v>
      </c>
      <c r="AR155" s="40">
        <v>349.28342022209966</v>
      </c>
      <c r="AS155" s="40">
        <v>398.53447534748267</v>
      </c>
      <c r="AT155" s="40">
        <v>486.74243718918694</v>
      </c>
      <c r="AU155" s="40">
        <v>625.85375484222482</v>
      </c>
      <c r="AV155" s="40">
        <v>908.38170716273339</v>
      </c>
      <c r="AW155" s="40">
        <v>953.07870779550808</v>
      </c>
      <c r="AX155" s="40">
        <v>1175.3510509381383</v>
      </c>
      <c r="AY155" s="40">
        <v>998.44043430847091</v>
      </c>
      <c r="AZ155" s="40">
        <v>1224.953862933736</v>
      </c>
      <c r="BA155" s="40">
        <v>1408.5613194992611</v>
      </c>
      <c r="BB155" s="40">
        <v>500.08364017741849</v>
      </c>
    </row>
    <row r="156" spans="1:54">
      <c r="A156" s="41">
        <v>243</v>
      </c>
      <c r="B156" s="41" t="s">
        <v>0</v>
      </c>
      <c r="C156" s="40">
        <v>282.8860007814194</v>
      </c>
      <c r="D156" s="40">
        <v>278.96375993839638</v>
      </c>
      <c r="E156" s="40">
        <v>280.02105499588964</v>
      </c>
      <c r="F156" s="40">
        <v>284.40733242645797</v>
      </c>
      <c r="G156" s="40">
        <v>296.5620914177922</v>
      </c>
      <c r="H156" s="40">
        <v>280.57367215391355</v>
      </c>
      <c r="I156" s="40">
        <v>296.0622494930646</v>
      </c>
      <c r="J156" s="40">
        <v>303.56315334482673</v>
      </c>
      <c r="K156" s="40">
        <v>347.07886069947159</v>
      </c>
      <c r="L156" s="40">
        <v>361.90856081709967</v>
      </c>
      <c r="M156" s="40">
        <v>404.56519335046812</v>
      </c>
      <c r="N156" s="40">
        <v>480.45827272468182</v>
      </c>
      <c r="O156" s="40">
        <v>573.71017009031891</v>
      </c>
      <c r="P156" s="40">
        <v>667.2724902924117</v>
      </c>
      <c r="Q156" s="40">
        <v>708.44607164385138</v>
      </c>
      <c r="R156" s="40">
        <v>677.50370085725535</v>
      </c>
      <c r="S156" s="40">
        <v>663.20980298883126</v>
      </c>
      <c r="T156" s="40">
        <v>640.23660231565941</v>
      </c>
      <c r="U156" s="40">
        <v>736.36716485611032</v>
      </c>
      <c r="V156" s="40">
        <v>916.28549870285894</v>
      </c>
      <c r="W156" s="40">
        <v>1058.0080988108405</v>
      </c>
      <c r="X156" s="40">
        <v>1084.1605540336197</v>
      </c>
      <c r="Y156" s="40">
        <v>947.08483471807028</v>
      </c>
      <c r="Z156" s="40">
        <v>744.86961299627364</v>
      </c>
      <c r="AA156" s="40">
        <v>636.23574952355511</v>
      </c>
      <c r="AB156" s="40">
        <v>676.2669947640253</v>
      </c>
      <c r="AC156" s="40">
        <v>707.57628216211344</v>
      </c>
      <c r="AD156" s="40">
        <v>793.04915088777273</v>
      </c>
      <c r="AE156" s="40">
        <v>814.98998948825511</v>
      </c>
      <c r="AF156" s="40">
        <v>839.60998861338442</v>
      </c>
      <c r="AG156" s="40">
        <v>805.12839418212059</v>
      </c>
      <c r="AH156" s="40">
        <v>614.81723382726057</v>
      </c>
      <c r="AI156" s="40">
        <v>585.49007423677801</v>
      </c>
      <c r="AJ156" s="40">
        <v>602.92965257398271</v>
      </c>
      <c r="AK156" s="40">
        <v>610.96728901057395</v>
      </c>
      <c r="AL156" s="40">
        <v>722.021540993955</v>
      </c>
      <c r="AM156" s="40">
        <v>708.09430409183756</v>
      </c>
      <c r="AN156" s="40">
        <v>523.48568331539229</v>
      </c>
      <c r="AO156" s="40">
        <v>553.74761694530457</v>
      </c>
      <c r="AP156" s="40">
        <v>535.04029143289415</v>
      </c>
      <c r="AQ156" s="40">
        <v>538.45335235639936</v>
      </c>
      <c r="AR156" s="40">
        <v>501.71311507113637</v>
      </c>
      <c r="AS156" s="40">
        <v>451.94864888455413</v>
      </c>
      <c r="AT156" s="40">
        <v>457.38414445851816</v>
      </c>
      <c r="AU156" s="40">
        <v>452.78902750599917</v>
      </c>
      <c r="AV156" s="40">
        <v>427.83438594224066</v>
      </c>
      <c r="AW156" s="40">
        <v>415.37548204711402</v>
      </c>
      <c r="AX156" s="40">
        <v>345.4074342595498</v>
      </c>
      <c r="AY156" s="40">
        <v>475.85380494051793</v>
      </c>
      <c r="AZ156" s="40">
        <v>568.42754187850824</v>
      </c>
      <c r="BA156" s="40">
        <v>722.8377047138689</v>
      </c>
      <c r="BB156" s="40">
        <v>576.50352318739613</v>
      </c>
    </row>
  </sheetData>
  <phoneticPr fontId="4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9389629810485"/>
  </sheetPr>
  <dimension ref="A1:CQ157"/>
  <sheetViews>
    <sheetView topLeftCell="AM1" workbookViewId="0">
      <selection activeCell="AE164" sqref="AE164"/>
    </sheetView>
  </sheetViews>
  <sheetFormatPr baseColWidth="10" defaultColWidth="9.1640625" defaultRowHeight="14"/>
  <cols>
    <col min="1" max="2" width="9.1640625" style="40"/>
    <col min="3" max="6" width="9.1640625" style="2"/>
    <col min="7" max="16384" width="9.1640625" style="40"/>
  </cols>
  <sheetData>
    <row r="1" spans="1:95" s="42" customFormat="1">
      <c r="A1" s="42" t="s">
        <v>189</v>
      </c>
      <c r="B1" s="43" t="s">
        <v>190</v>
      </c>
      <c r="C1" s="2" t="s">
        <v>157</v>
      </c>
      <c r="D1" s="2" t="s">
        <v>156</v>
      </c>
      <c r="E1" s="2" t="s">
        <v>161</v>
      </c>
      <c r="F1" s="2" t="s">
        <v>160</v>
      </c>
      <c r="G1" s="43" t="s">
        <v>191</v>
      </c>
      <c r="H1" s="43" t="s">
        <v>192</v>
      </c>
      <c r="I1" s="43" t="s">
        <v>193</v>
      </c>
      <c r="J1" s="43" t="s">
        <v>194</v>
      </c>
      <c r="K1" s="43" t="s">
        <v>195</v>
      </c>
      <c r="L1" s="43" t="s">
        <v>196</v>
      </c>
      <c r="M1" s="43" t="s">
        <v>197</v>
      </c>
      <c r="N1" s="43" t="s">
        <v>198</v>
      </c>
      <c r="O1" s="43" t="s">
        <v>199</v>
      </c>
      <c r="P1" s="43" t="s">
        <v>200</v>
      </c>
      <c r="Q1" s="43" t="s">
        <v>201</v>
      </c>
      <c r="R1" s="43" t="s">
        <v>202</v>
      </c>
      <c r="S1" s="43" t="s">
        <v>203</v>
      </c>
      <c r="T1" s="43" t="s">
        <v>204</v>
      </c>
      <c r="U1" s="43" t="s">
        <v>205</v>
      </c>
      <c r="V1" s="43" t="s">
        <v>206</v>
      </c>
      <c r="W1" s="43" t="s">
        <v>207</v>
      </c>
      <c r="X1" s="43" t="s">
        <v>208</v>
      </c>
      <c r="Y1" s="43" t="s">
        <v>209</v>
      </c>
      <c r="Z1" s="43" t="s">
        <v>210</v>
      </c>
      <c r="AA1" s="43" t="s">
        <v>211</v>
      </c>
      <c r="AB1" s="43" t="s">
        <v>212</v>
      </c>
      <c r="AC1" s="43" t="s">
        <v>213</v>
      </c>
      <c r="AD1" s="43" t="s">
        <v>214</v>
      </c>
      <c r="AE1" s="43" t="s">
        <v>215</v>
      </c>
      <c r="AF1" s="43" t="s">
        <v>216</v>
      </c>
      <c r="AG1" s="43" t="s">
        <v>217</v>
      </c>
      <c r="AH1" s="43" t="s">
        <v>218</v>
      </c>
      <c r="AI1" s="43" t="s">
        <v>219</v>
      </c>
      <c r="AJ1" s="43" t="s">
        <v>220</v>
      </c>
      <c r="AK1" s="43" t="s">
        <v>221</v>
      </c>
      <c r="AL1" s="43" t="s">
        <v>222</v>
      </c>
      <c r="AM1" s="43" t="s">
        <v>223</v>
      </c>
      <c r="AN1" s="43" t="s">
        <v>224</v>
      </c>
      <c r="AO1" s="43" t="s">
        <v>225</v>
      </c>
      <c r="AP1" s="43" t="s">
        <v>226</v>
      </c>
      <c r="AQ1" s="43" t="s">
        <v>227</v>
      </c>
      <c r="AR1" s="43" t="s">
        <v>228</v>
      </c>
      <c r="AS1" s="43" t="s">
        <v>229</v>
      </c>
      <c r="AT1" s="43" t="s">
        <v>230</v>
      </c>
      <c r="AU1" s="43" t="s">
        <v>231</v>
      </c>
      <c r="AV1" s="43" t="s">
        <v>232</v>
      </c>
      <c r="AW1" s="43" t="s">
        <v>233</v>
      </c>
      <c r="AX1" s="43" t="s">
        <v>234</v>
      </c>
      <c r="AY1" s="43" t="s">
        <v>235</v>
      </c>
      <c r="AZ1" s="43" t="s">
        <v>236</v>
      </c>
      <c r="BA1" s="43" t="s">
        <v>237</v>
      </c>
      <c r="BB1" s="43" t="s">
        <v>238</v>
      </c>
      <c r="BC1" s="43" t="s">
        <v>239</v>
      </c>
      <c r="BD1" s="43" t="s">
        <v>240</v>
      </c>
      <c r="BE1" s="43" t="s">
        <v>241</v>
      </c>
      <c r="BF1" s="43" t="s">
        <v>242</v>
      </c>
      <c r="BG1" s="43" t="s">
        <v>243</v>
      </c>
      <c r="BH1" s="42" t="s">
        <v>256</v>
      </c>
      <c r="BI1" s="42" t="s">
        <v>257</v>
      </c>
    </row>
    <row r="2" spans="1:95">
      <c r="A2" s="41">
        <v>228</v>
      </c>
      <c r="B2" s="41" t="s">
        <v>9</v>
      </c>
      <c r="C2" s="2">
        <v>1</v>
      </c>
      <c r="D2" s="2">
        <v>84127.607050000006</v>
      </c>
      <c r="E2" s="2">
        <v>0</v>
      </c>
      <c r="F2" s="2">
        <v>78.386933333333317</v>
      </c>
      <c r="G2" s="43">
        <v>73.932199999999995</v>
      </c>
      <c r="H2" s="43">
        <v>74.364400000000003</v>
      </c>
      <c r="I2" s="43">
        <v>74.796599999999998</v>
      </c>
      <c r="J2" s="43">
        <v>75.228800000000007</v>
      </c>
      <c r="K2" s="43">
        <v>75.661000000000001</v>
      </c>
      <c r="L2" s="43">
        <v>76.069000000000003</v>
      </c>
      <c r="M2" s="43">
        <v>76.477000000000004</v>
      </c>
      <c r="N2" s="43">
        <v>76.885000000000005</v>
      </c>
      <c r="O2" s="43">
        <v>77.293000000000006</v>
      </c>
      <c r="P2" s="43">
        <v>77.700999999999993</v>
      </c>
      <c r="Q2" s="43">
        <v>78.083799999999997</v>
      </c>
      <c r="R2" s="43">
        <v>78.4666</v>
      </c>
      <c r="S2" s="43">
        <v>78.849400000000003</v>
      </c>
      <c r="T2" s="43">
        <v>79.232200000000006</v>
      </c>
      <c r="U2" s="43">
        <v>79.614999999999995</v>
      </c>
      <c r="V2" s="43">
        <v>79.834000000000003</v>
      </c>
      <c r="W2" s="43">
        <v>80.052999999999997</v>
      </c>
      <c r="X2" s="43">
        <v>80.272000000000006</v>
      </c>
      <c r="Y2" s="43">
        <v>80.491</v>
      </c>
      <c r="Z2" s="43">
        <v>80.709999999999994</v>
      </c>
      <c r="AA2" s="43">
        <v>80.528800000000004</v>
      </c>
      <c r="AB2" s="43">
        <v>80.3476</v>
      </c>
      <c r="AC2" s="43">
        <v>80.166399999999996</v>
      </c>
      <c r="AD2" s="43">
        <v>79.985200000000006</v>
      </c>
      <c r="AE2" s="43">
        <v>79.804000000000002</v>
      </c>
      <c r="AF2" s="43">
        <v>79.653400000000005</v>
      </c>
      <c r="AG2" s="43">
        <v>79.502799999999993</v>
      </c>
      <c r="AH2" s="43">
        <v>79.352199999999996</v>
      </c>
      <c r="AI2" s="43">
        <v>79.201599999999999</v>
      </c>
      <c r="AJ2" s="43">
        <v>79.051000000000002</v>
      </c>
      <c r="AK2" s="43">
        <v>78.904600000000002</v>
      </c>
      <c r="AL2" s="43">
        <v>78.758200000000002</v>
      </c>
      <c r="AM2" s="43">
        <v>78.611800000000002</v>
      </c>
      <c r="AN2" s="43">
        <v>78.465400000000002</v>
      </c>
      <c r="AO2" s="43">
        <v>78.319000000000003</v>
      </c>
      <c r="AP2" s="43">
        <v>78.702399999999997</v>
      </c>
      <c r="AQ2" s="43">
        <v>79.085800000000006</v>
      </c>
      <c r="AR2" s="43">
        <v>79.469200000000001</v>
      </c>
      <c r="AS2" s="43">
        <v>79.852599999999995</v>
      </c>
      <c r="AT2" s="43">
        <v>80.236000000000004</v>
      </c>
      <c r="AU2" s="43">
        <v>80.641199999999998</v>
      </c>
      <c r="AV2" s="43">
        <v>81.046400000000006</v>
      </c>
      <c r="AW2" s="43">
        <v>81.451599999999999</v>
      </c>
      <c r="AX2" s="43">
        <v>81.856800000000007</v>
      </c>
      <c r="AY2" s="43">
        <v>82.262</v>
      </c>
      <c r="AZ2" s="43">
        <v>82.617999999999995</v>
      </c>
      <c r="BA2" s="43">
        <v>82.974000000000004</v>
      </c>
      <c r="BB2" s="43">
        <v>83.33</v>
      </c>
      <c r="BC2" s="43">
        <v>83.686000000000007</v>
      </c>
      <c r="BD2" s="43">
        <v>84.042000000000002</v>
      </c>
      <c r="BE2" s="43">
        <v>84.331599999999995</v>
      </c>
      <c r="BF2" s="43">
        <v>84.621200000000002</v>
      </c>
      <c r="BG2" s="43"/>
      <c r="BH2" s="44">
        <f>AVERAGE(G2:AG2)</f>
        <v>78.296414814814824</v>
      </c>
      <c r="BI2" s="44">
        <f>AVERAGE(AH2:BF2)</f>
        <v>80.834823999999983</v>
      </c>
      <c r="BJ2" s="44" t="e">
        <f>(BH2-BH$157)/_xlfn.STDEV.P(BH2:BH156)</f>
        <v>#DIV/0!</v>
      </c>
      <c r="BK2" s="44" t="e">
        <f>(BI2-BI$157)/STDEVP($BI$2:$BI$156)</f>
        <v>#DIV/0!</v>
      </c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</row>
    <row r="3" spans="1:95">
      <c r="A3" s="41">
        <v>210</v>
      </c>
      <c r="B3" s="41" t="s">
        <v>22</v>
      </c>
      <c r="C3" s="2">
        <v>1</v>
      </c>
      <c r="D3" s="2">
        <v>30299.480240000001</v>
      </c>
      <c r="E3" s="2">
        <v>0</v>
      </c>
      <c r="F3" s="2">
        <v>59.261000000000003</v>
      </c>
      <c r="G3" s="43">
        <v>51.6586</v>
      </c>
      <c r="H3" s="43">
        <v>52.298200000000001</v>
      </c>
      <c r="I3" s="43">
        <v>52.937800000000003</v>
      </c>
      <c r="J3" s="43">
        <v>53.577399999999997</v>
      </c>
      <c r="K3" s="43">
        <v>54.216999999999999</v>
      </c>
      <c r="L3" s="43">
        <v>54.847200000000001</v>
      </c>
      <c r="M3" s="43">
        <v>55.477400000000003</v>
      </c>
      <c r="N3" s="43">
        <v>56.107599999999998</v>
      </c>
      <c r="O3" s="43">
        <v>56.7378</v>
      </c>
      <c r="P3" s="43">
        <v>57.368000000000002</v>
      </c>
      <c r="Q3" s="43">
        <v>57.368200000000002</v>
      </c>
      <c r="R3" s="43">
        <v>57.368400000000001</v>
      </c>
      <c r="S3" s="43">
        <v>57.368600000000001</v>
      </c>
      <c r="T3" s="43">
        <v>57.3688</v>
      </c>
      <c r="U3" s="43">
        <v>57.369</v>
      </c>
      <c r="V3" s="43">
        <v>57.311999999999998</v>
      </c>
      <c r="W3" s="43">
        <v>57.255000000000003</v>
      </c>
      <c r="X3" s="43">
        <v>57.198</v>
      </c>
      <c r="Y3" s="43">
        <v>57.140999999999998</v>
      </c>
      <c r="Z3" s="43">
        <v>57.084000000000003</v>
      </c>
      <c r="AA3" s="43">
        <v>58.709200000000003</v>
      </c>
      <c r="AB3" s="43">
        <v>60.334400000000002</v>
      </c>
      <c r="AC3" s="43">
        <v>61.959600000000002</v>
      </c>
      <c r="AD3" s="43">
        <v>63.584800000000001</v>
      </c>
      <c r="AE3" s="43">
        <v>65.209999999999994</v>
      </c>
      <c r="AF3" s="43">
        <v>66.8048</v>
      </c>
      <c r="AG3" s="43">
        <v>68.399600000000007</v>
      </c>
      <c r="AH3" s="43">
        <v>69.994399999999999</v>
      </c>
      <c r="AI3" s="43">
        <v>71.589200000000005</v>
      </c>
      <c r="AJ3" s="43">
        <v>73.183999999999997</v>
      </c>
      <c r="AK3" s="43">
        <v>73.262799999999999</v>
      </c>
      <c r="AL3" s="43">
        <v>73.3416</v>
      </c>
      <c r="AM3" s="43">
        <v>73.420400000000001</v>
      </c>
      <c r="AN3" s="43">
        <v>73.499200000000002</v>
      </c>
      <c r="AO3" s="43">
        <v>73.578000000000003</v>
      </c>
      <c r="AP3" s="43">
        <v>73.526799999999994</v>
      </c>
      <c r="AQ3" s="43">
        <v>73.4756</v>
      </c>
      <c r="AR3" s="43">
        <v>73.424400000000006</v>
      </c>
      <c r="AS3" s="43">
        <v>73.373199999999997</v>
      </c>
      <c r="AT3" s="43">
        <v>73.322000000000003</v>
      </c>
      <c r="AU3" s="43">
        <v>73.349000000000004</v>
      </c>
      <c r="AV3" s="43">
        <v>73.376000000000005</v>
      </c>
      <c r="AW3" s="43">
        <v>73.403000000000006</v>
      </c>
      <c r="AX3" s="43">
        <v>73.430000000000007</v>
      </c>
      <c r="AY3" s="43">
        <v>73.456999999999994</v>
      </c>
      <c r="AZ3" s="43">
        <v>73.493200000000002</v>
      </c>
      <c r="BA3" s="43">
        <v>73.529399999999995</v>
      </c>
      <c r="BB3" s="43">
        <v>73.565600000000003</v>
      </c>
      <c r="BC3" s="43">
        <v>73.601799999999997</v>
      </c>
      <c r="BD3" s="43">
        <v>73.638000000000005</v>
      </c>
      <c r="BE3" s="43">
        <v>73.709800000000001</v>
      </c>
      <c r="BF3" s="43">
        <v>73.781599999999997</v>
      </c>
      <c r="BG3" s="43"/>
      <c r="BH3" s="44">
        <f t="shared" ref="BH3:BH60" si="0">AVERAGE(G3:AG3)</f>
        <v>57.891199999999998</v>
      </c>
      <c r="BI3" s="44">
        <f t="shared" ref="BI3:BI60" si="1">AVERAGE(AH3:BF3)</f>
        <v>73.253039999999999</v>
      </c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</row>
    <row r="4" spans="1:95">
      <c r="A4" s="41">
        <v>164</v>
      </c>
      <c r="B4" s="41" t="s">
        <v>51</v>
      </c>
      <c r="C4" s="2">
        <v>1</v>
      </c>
      <c r="D4" s="2">
        <v>29664.009900000001</v>
      </c>
      <c r="E4" s="2">
        <v>0</v>
      </c>
      <c r="F4" s="2">
        <v>66.024599999999992</v>
      </c>
      <c r="G4" s="43">
        <v>51.449599999999997</v>
      </c>
      <c r="H4" s="43">
        <v>52.979199999999999</v>
      </c>
      <c r="I4" s="43">
        <v>54.508800000000001</v>
      </c>
      <c r="J4" s="43">
        <v>56.038400000000003</v>
      </c>
      <c r="K4" s="43">
        <v>57.567999999999998</v>
      </c>
      <c r="L4" s="43">
        <v>59.133600000000001</v>
      </c>
      <c r="M4" s="43">
        <v>60.699199999999998</v>
      </c>
      <c r="N4" s="43">
        <v>62.264800000000001</v>
      </c>
      <c r="O4" s="43">
        <v>63.830399999999997</v>
      </c>
      <c r="P4" s="43">
        <v>65.396000000000001</v>
      </c>
      <c r="Q4" s="43">
        <v>65.9542</v>
      </c>
      <c r="R4" s="43">
        <v>66.5124</v>
      </c>
      <c r="S4" s="43">
        <v>67.070599999999999</v>
      </c>
      <c r="T4" s="43">
        <v>67.628799999999998</v>
      </c>
      <c r="U4" s="43">
        <v>68.186999999999998</v>
      </c>
      <c r="V4" s="43">
        <v>68.658600000000007</v>
      </c>
      <c r="W4" s="43">
        <v>69.130200000000002</v>
      </c>
      <c r="X4" s="43">
        <v>69.601799999999997</v>
      </c>
      <c r="Y4" s="43">
        <v>70.073400000000007</v>
      </c>
      <c r="Z4" s="43">
        <v>70.545000000000002</v>
      </c>
      <c r="AA4" s="43">
        <v>70.697999999999993</v>
      </c>
      <c r="AB4" s="43">
        <v>70.850999999999999</v>
      </c>
      <c r="AC4" s="43">
        <v>71.004000000000005</v>
      </c>
      <c r="AD4" s="43">
        <v>71.156999999999996</v>
      </c>
      <c r="AE4" s="43">
        <v>71.31</v>
      </c>
      <c r="AF4" s="43">
        <v>71.4392</v>
      </c>
      <c r="AG4" s="43">
        <v>71.568399999999997</v>
      </c>
      <c r="AH4" s="43">
        <v>71.697599999999994</v>
      </c>
      <c r="AI4" s="43">
        <v>71.826800000000006</v>
      </c>
      <c r="AJ4" s="43">
        <v>71.956000000000003</v>
      </c>
      <c r="AK4" s="43">
        <v>72.317599999999999</v>
      </c>
      <c r="AL4" s="43">
        <v>72.679199999999994</v>
      </c>
      <c r="AM4" s="43">
        <v>73.040800000000004</v>
      </c>
      <c r="AN4" s="43">
        <v>73.4024</v>
      </c>
      <c r="AO4" s="43">
        <v>73.763999999999996</v>
      </c>
      <c r="AP4" s="43">
        <v>74.227400000000003</v>
      </c>
      <c r="AQ4" s="43">
        <v>74.690799999999996</v>
      </c>
      <c r="AR4" s="43">
        <v>75.154200000000003</v>
      </c>
      <c r="AS4" s="43">
        <v>75.617599999999996</v>
      </c>
      <c r="AT4" s="43">
        <v>76.081000000000003</v>
      </c>
      <c r="AU4" s="43">
        <v>76.362799999999993</v>
      </c>
      <c r="AV4" s="43">
        <v>76.644599999999997</v>
      </c>
      <c r="AW4" s="43">
        <v>76.926400000000001</v>
      </c>
      <c r="AX4" s="43">
        <v>77.208200000000005</v>
      </c>
      <c r="AY4" s="43">
        <v>77.489999999999995</v>
      </c>
      <c r="AZ4" s="43">
        <v>77.812399999999997</v>
      </c>
      <c r="BA4" s="43">
        <v>78.134799999999998</v>
      </c>
      <c r="BB4" s="43">
        <v>78.4572</v>
      </c>
      <c r="BC4" s="43">
        <v>78.779600000000002</v>
      </c>
      <c r="BD4" s="43">
        <v>79.102000000000004</v>
      </c>
      <c r="BE4" s="43">
        <v>79.373999999999995</v>
      </c>
      <c r="BF4" s="43">
        <v>79.646000000000001</v>
      </c>
      <c r="BG4" s="43"/>
      <c r="BH4" s="44">
        <f t="shared" si="0"/>
        <v>65.379911111111113</v>
      </c>
      <c r="BI4" s="44">
        <f t="shared" si="1"/>
        <v>75.695736000000011</v>
      </c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</row>
    <row r="5" spans="1:95">
      <c r="A5" s="41">
        <v>118</v>
      </c>
      <c r="B5" s="41" t="s">
        <v>80</v>
      </c>
      <c r="C5" s="2">
        <v>1</v>
      </c>
      <c r="D5" s="2">
        <v>26520.201880000001</v>
      </c>
      <c r="E5" s="2">
        <v>0</v>
      </c>
      <c r="F5" s="2">
        <v>89.290600000000012</v>
      </c>
      <c r="G5" s="43">
        <v>75.769000000000005</v>
      </c>
      <c r="H5" s="43">
        <v>76.644999999999996</v>
      </c>
      <c r="I5" s="43">
        <v>77.521000000000001</v>
      </c>
      <c r="J5" s="43">
        <v>78.397000000000006</v>
      </c>
      <c r="K5" s="43">
        <v>79.272999999999996</v>
      </c>
      <c r="L5" s="43">
        <v>80.550600000000003</v>
      </c>
      <c r="M5" s="43">
        <v>81.828199999999995</v>
      </c>
      <c r="N5" s="43">
        <v>83.105800000000002</v>
      </c>
      <c r="O5" s="43">
        <v>84.383399999999995</v>
      </c>
      <c r="P5" s="43">
        <v>85.661000000000001</v>
      </c>
      <c r="Q5" s="43">
        <v>86.405600000000007</v>
      </c>
      <c r="R5" s="43">
        <v>87.150199999999998</v>
      </c>
      <c r="S5" s="43">
        <v>87.894800000000004</v>
      </c>
      <c r="T5" s="43">
        <v>88.639399999999995</v>
      </c>
      <c r="U5" s="43">
        <v>89.384</v>
      </c>
      <c r="V5" s="43">
        <v>90.463399999999993</v>
      </c>
      <c r="W5" s="43">
        <v>91.5428</v>
      </c>
      <c r="X5" s="43">
        <v>92.622200000000007</v>
      </c>
      <c r="Y5" s="43">
        <v>93.701599999999999</v>
      </c>
      <c r="Z5" s="43">
        <v>94.781000000000006</v>
      </c>
      <c r="AA5" s="43">
        <v>95.4054</v>
      </c>
      <c r="AB5" s="43">
        <v>96.029799999999994</v>
      </c>
      <c r="AC5" s="43">
        <v>96.654200000000003</v>
      </c>
      <c r="AD5" s="43">
        <v>97.278599999999997</v>
      </c>
      <c r="AE5" s="43">
        <v>97.903000000000006</v>
      </c>
      <c r="AF5" s="43">
        <v>97.917199999999994</v>
      </c>
      <c r="AG5" s="43">
        <v>97.931399999999996</v>
      </c>
      <c r="AH5" s="43">
        <v>97.945599999999999</v>
      </c>
      <c r="AI5" s="43">
        <v>97.959800000000001</v>
      </c>
      <c r="AJ5" s="43">
        <v>97.974000000000004</v>
      </c>
      <c r="AK5" s="43">
        <v>97.987799999999993</v>
      </c>
      <c r="AL5" s="43">
        <v>98.001599999999996</v>
      </c>
      <c r="AM5" s="43">
        <v>98.0154</v>
      </c>
      <c r="AN5" s="43">
        <v>98.029200000000003</v>
      </c>
      <c r="AO5" s="43">
        <v>98.043000000000006</v>
      </c>
      <c r="AP5" s="43">
        <v>98.056399999999996</v>
      </c>
      <c r="AQ5" s="43">
        <v>98.069800000000001</v>
      </c>
      <c r="AR5" s="43">
        <v>98.083200000000005</v>
      </c>
      <c r="AS5" s="43">
        <v>98.096599999999995</v>
      </c>
      <c r="AT5" s="43">
        <v>98.11</v>
      </c>
      <c r="AU5" s="43">
        <v>98.123400000000004</v>
      </c>
      <c r="AV5" s="43">
        <v>98.136799999999994</v>
      </c>
      <c r="AW5" s="43">
        <v>98.150199999999998</v>
      </c>
      <c r="AX5" s="43">
        <v>98.163600000000002</v>
      </c>
      <c r="AY5" s="43">
        <v>98.177000000000007</v>
      </c>
      <c r="AZ5" s="43">
        <v>98.19</v>
      </c>
      <c r="BA5" s="43">
        <v>98.203000000000003</v>
      </c>
      <c r="BB5" s="43">
        <v>98.215999999999994</v>
      </c>
      <c r="BC5" s="43">
        <v>98.228999999999999</v>
      </c>
      <c r="BD5" s="43">
        <v>98.242000000000004</v>
      </c>
      <c r="BE5" s="43">
        <v>98.254800000000003</v>
      </c>
      <c r="BF5" s="43">
        <v>98.267600000000002</v>
      </c>
      <c r="BG5" s="43"/>
      <c r="BH5" s="44">
        <f t="shared" si="0"/>
        <v>88.327355555555556</v>
      </c>
      <c r="BI5" s="44">
        <f t="shared" si="1"/>
        <v>98.109032000000013</v>
      </c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</row>
    <row r="6" spans="1:95">
      <c r="A6" s="41">
        <v>58</v>
      </c>
      <c r="B6" s="41" t="s">
        <v>118</v>
      </c>
      <c r="C6" s="2">
        <v>1</v>
      </c>
      <c r="D6" s="2">
        <v>25000</v>
      </c>
      <c r="E6" s="2">
        <v>0</v>
      </c>
      <c r="F6" s="2">
        <v>69.303033333333332</v>
      </c>
      <c r="G6" s="43">
        <v>60.041600000000003</v>
      </c>
      <c r="H6" s="43">
        <v>60.535200000000003</v>
      </c>
      <c r="I6" s="43">
        <v>61.028799999999997</v>
      </c>
      <c r="J6" s="43">
        <v>61.522399999999998</v>
      </c>
      <c r="K6" s="43">
        <v>62.015999999999998</v>
      </c>
      <c r="L6" s="43">
        <v>62.493200000000002</v>
      </c>
      <c r="M6" s="43">
        <v>62.970399999999998</v>
      </c>
      <c r="N6" s="43">
        <v>63.447600000000001</v>
      </c>
      <c r="O6" s="43">
        <v>63.924799999999998</v>
      </c>
      <c r="P6" s="43">
        <v>64.402000000000001</v>
      </c>
      <c r="Q6" s="43">
        <v>65.504999999999995</v>
      </c>
      <c r="R6" s="43">
        <v>66.608000000000004</v>
      </c>
      <c r="S6" s="43">
        <v>67.710999999999999</v>
      </c>
      <c r="T6" s="43">
        <v>68.813999999999993</v>
      </c>
      <c r="U6" s="43">
        <v>69.917000000000002</v>
      </c>
      <c r="V6" s="43">
        <v>70.966999999999999</v>
      </c>
      <c r="W6" s="43">
        <v>72.016999999999996</v>
      </c>
      <c r="X6" s="43">
        <v>73.066999999999993</v>
      </c>
      <c r="Y6" s="43">
        <v>74.117000000000004</v>
      </c>
      <c r="Z6" s="43">
        <v>75.167000000000002</v>
      </c>
      <c r="AA6" s="43">
        <v>75.206599999999995</v>
      </c>
      <c r="AB6" s="43">
        <v>75.246200000000002</v>
      </c>
      <c r="AC6" s="43">
        <v>75.285799999999995</v>
      </c>
      <c r="AD6" s="43">
        <v>75.325400000000002</v>
      </c>
      <c r="AE6" s="43">
        <v>75.364999999999995</v>
      </c>
      <c r="AF6" s="43">
        <v>75.335999999999999</v>
      </c>
      <c r="AG6" s="43">
        <v>75.307000000000002</v>
      </c>
      <c r="AH6" s="43">
        <v>75.278000000000006</v>
      </c>
      <c r="AI6" s="43">
        <v>75.248999999999995</v>
      </c>
      <c r="AJ6" s="43">
        <v>75.22</v>
      </c>
      <c r="AK6" s="43">
        <v>75.104600000000005</v>
      </c>
      <c r="AL6" s="43">
        <v>74.989199999999997</v>
      </c>
      <c r="AM6" s="43">
        <v>74.873800000000003</v>
      </c>
      <c r="AN6" s="43">
        <v>74.758399999999995</v>
      </c>
      <c r="AO6" s="43">
        <v>74.643000000000001</v>
      </c>
      <c r="AP6" s="43">
        <v>74.512</v>
      </c>
      <c r="AQ6" s="43">
        <v>74.381</v>
      </c>
      <c r="AR6" s="43">
        <v>74.25</v>
      </c>
      <c r="AS6" s="43">
        <v>74.119</v>
      </c>
      <c r="AT6" s="43">
        <v>73.988</v>
      </c>
      <c r="AU6" s="43">
        <v>73.930000000000007</v>
      </c>
      <c r="AV6" s="43">
        <v>73.872</v>
      </c>
      <c r="AW6" s="43">
        <v>73.813999999999993</v>
      </c>
      <c r="AX6" s="43">
        <v>73.756</v>
      </c>
      <c r="AY6" s="43">
        <v>73.697999999999993</v>
      </c>
      <c r="AZ6" s="43">
        <v>73.651200000000003</v>
      </c>
      <c r="BA6" s="43">
        <v>73.604399999999998</v>
      </c>
      <c r="BB6" s="43">
        <v>73.557599999999994</v>
      </c>
      <c r="BC6" s="43">
        <v>73.510800000000003</v>
      </c>
      <c r="BD6" s="43">
        <v>73.463999999999999</v>
      </c>
      <c r="BE6" s="43">
        <v>73.442400000000006</v>
      </c>
      <c r="BF6" s="43">
        <v>73.4208</v>
      </c>
      <c r="BG6" s="43"/>
      <c r="BH6" s="44">
        <f t="shared" si="0"/>
        <v>68.642370370370372</v>
      </c>
      <c r="BI6" s="44">
        <f t="shared" si="1"/>
        <v>74.203488000000021</v>
      </c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</row>
    <row r="7" spans="1:95">
      <c r="A7" s="41">
        <v>15</v>
      </c>
      <c r="B7" s="41" t="s">
        <v>147</v>
      </c>
      <c r="C7" s="2">
        <v>1</v>
      </c>
      <c r="D7" s="2">
        <v>22919.096699999998</v>
      </c>
      <c r="E7" s="2">
        <v>0</v>
      </c>
      <c r="F7" s="2">
        <v>65.319000000000031</v>
      </c>
      <c r="G7" s="43">
        <v>64.778199999999998</v>
      </c>
      <c r="H7" s="43">
        <v>64.836399999999998</v>
      </c>
      <c r="I7" s="43">
        <v>64.894599999999997</v>
      </c>
      <c r="J7" s="43">
        <v>64.952799999999996</v>
      </c>
      <c r="K7" s="43">
        <v>65.010999999999996</v>
      </c>
      <c r="L7" s="43">
        <v>65.060400000000001</v>
      </c>
      <c r="M7" s="43">
        <v>65.109800000000007</v>
      </c>
      <c r="N7" s="43">
        <v>65.159199999999998</v>
      </c>
      <c r="O7" s="43">
        <v>65.208600000000004</v>
      </c>
      <c r="P7" s="43">
        <v>65.257999999999996</v>
      </c>
      <c r="Q7" s="43">
        <v>65.274600000000007</v>
      </c>
      <c r="R7" s="43">
        <v>65.291200000000003</v>
      </c>
      <c r="S7" s="43">
        <v>65.3078</v>
      </c>
      <c r="T7" s="43">
        <v>65.324399999999997</v>
      </c>
      <c r="U7" s="43">
        <v>65.340999999999994</v>
      </c>
      <c r="V7" s="43">
        <v>65.350999999999999</v>
      </c>
      <c r="W7" s="43">
        <v>65.361000000000004</v>
      </c>
      <c r="X7" s="43">
        <v>65.370999999999995</v>
      </c>
      <c r="Y7" s="43">
        <v>65.381</v>
      </c>
      <c r="Z7" s="43">
        <v>65.391000000000005</v>
      </c>
      <c r="AA7" s="43">
        <v>65.426000000000002</v>
      </c>
      <c r="AB7" s="43">
        <v>65.460999999999999</v>
      </c>
      <c r="AC7" s="43">
        <v>65.495999999999995</v>
      </c>
      <c r="AD7" s="43">
        <v>65.531000000000006</v>
      </c>
      <c r="AE7" s="43">
        <v>65.566000000000003</v>
      </c>
      <c r="AF7" s="43">
        <v>65.605800000000002</v>
      </c>
      <c r="AG7" s="43">
        <v>65.645600000000002</v>
      </c>
      <c r="AH7" s="43">
        <v>65.685400000000001</v>
      </c>
      <c r="AI7" s="43">
        <v>65.725200000000001</v>
      </c>
      <c r="AJ7" s="43">
        <v>65.765000000000001</v>
      </c>
      <c r="AK7" s="43">
        <v>65.772000000000006</v>
      </c>
      <c r="AL7" s="43">
        <v>65.778999999999996</v>
      </c>
      <c r="AM7" s="43">
        <v>65.786000000000001</v>
      </c>
      <c r="AN7" s="43">
        <v>65.793000000000006</v>
      </c>
      <c r="AO7" s="43">
        <v>65.8</v>
      </c>
      <c r="AP7" s="43">
        <v>65.8</v>
      </c>
      <c r="AQ7" s="43">
        <v>65.8</v>
      </c>
      <c r="AR7" s="43">
        <v>65.8</v>
      </c>
      <c r="AS7" s="43">
        <v>65.8</v>
      </c>
      <c r="AT7" s="43">
        <v>65.8</v>
      </c>
      <c r="AU7" s="43">
        <v>65.946799999999996</v>
      </c>
      <c r="AV7" s="43">
        <v>66.093599999999995</v>
      </c>
      <c r="AW7" s="43">
        <v>66.240399999999994</v>
      </c>
      <c r="AX7" s="43">
        <v>66.387200000000007</v>
      </c>
      <c r="AY7" s="43">
        <v>66.534000000000006</v>
      </c>
      <c r="AZ7" s="43">
        <v>66.718000000000004</v>
      </c>
      <c r="BA7" s="43">
        <v>66.902000000000001</v>
      </c>
      <c r="BB7" s="43">
        <v>67.085999999999999</v>
      </c>
      <c r="BC7" s="43">
        <v>67.27</v>
      </c>
      <c r="BD7" s="43">
        <v>67.453999999999994</v>
      </c>
      <c r="BE7" s="43">
        <v>67.667400000000001</v>
      </c>
      <c r="BF7" s="43">
        <v>67.880799999999994</v>
      </c>
      <c r="BG7" s="43"/>
      <c r="BH7" s="44">
        <f t="shared" si="0"/>
        <v>65.273866666666692</v>
      </c>
      <c r="BI7" s="44">
        <f t="shared" si="1"/>
        <v>66.291432</v>
      </c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</row>
    <row r="8" spans="1:95">
      <c r="A8" s="41">
        <v>81</v>
      </c>
      <c r="B8" s="41" t="s">
        <v>104</v>
      </c>
      <c r="C8" s="2">
        <v>1</v>
      </c>
      <c r="D8" s="2">
        <v>22853.3475</v>
      </c>
      <c r="E8" s="2">
        <v>0</v>
      </c>
      <c r="F8" s="2">
        <v>72.461399999999998</v>
      </c>
      <c r="G8" s="43">
        <v>71.498199999999997</v>
      </c>
      <c r="H8" s="43">
        <v>71.612399999999994</v>
      </c>
      <c r="I8" s="43">
        <v>71.726600000000005</v>
      </c>
      <c r="J8" s="43">
        <v>71.840800000000002</v>
      </c>
      <c r="K8" s="43">
        <v>71.954999999999998</v>
      </c>
      <c r="L8" s="43">
        <v>72.018799999999999</v>
      </c>
      <c r="M8" s="43">
        <v>72.082599999999999</v>
      </c>
      <c r="N8" s="43">
        <v>72.1464</v>
      </c>
      <c r="O8" s="43">
        <v>72.2102</v>
      </c>
      <c r="P8" s="43">
        <v>72.274000000000001</v>
      </c>
      <c r="Q8" s="43">
        <v>72.331199999999995</v>
      </c>
      <c r="R8" s="43">
        <v>72.388400000000004</v>
      </c>
      <c r="S8" s="43">
        <v>72.445599999999999</v>
      </c>
      <c r="T8" s="43">
        <v>72.502799999999993</v>
      </c>
      <c r="U8" s="43">
        <v>72.56</v>
      </c>
      <c r="V8" s="43">
        <v>72.616799999999998</v>
      </c>
      <c r="W8" s="43">
        <v>72.673599999999993</v>
      </c>
      <c r="X8" s="43">
        <v>72.730400000000003</v>
      </c>
      <c r="Y8" s="43">
        <v>72.787199999999999</v>
      </c>
      <c r="Z8" s="43">
        <v>72.843999999999994</v>
      </c>
      <c r="AA8" s="43">
        <v>72.817400000000006</v>
      </c>
      <c r="AB8" s="43">
        <v>72.790800000000004</v>
      </c>
      <c r="AC8" s="43">
        <v>72.764200000000002</v>
      </c>
      <c r="AD8" s="43">
        <v>72.7376</v>
      </c>
      <c r="AE8" s="43">
        <v>72.710999999999999</v>
      </c>
      <c r="AF8" s="43">
        <v>72.792400000000001</v>
      </c>
      <c r="AG8" s="43">
        <v>72.873800000000003</v>
      </c>
      <c r="AH8" s="43">
        <v>72.955200000000005</v>
      </c>
      <c r="AI8" s="43">
        <v>73.036600000000007</v>
      </c>
      <c r="AJ8" s="43">
        <v>73.117999999999995</v>
      </c>
      <c r="AK8" s="43">
        <v>73.151600000000002</v>
      </c>
      <c r="AL8" s="43">
        <v>73.185199999999995</v>
      </c>
      <c r="AM8" s="43">
        <v>73.218800000000002</v>
      </c>
      <c r="AN8" s="43">
        <v>73.252399999999994</v>
      </c>
      <c r="AO8" s="43">
        <v>73.286000000000001</v>
      </c>
      <c r="AP8" s="43">
        <v>73.242199999999997</v>
      </c>
      <c r="AQ8" s="43">
        <v>73.198400000000007</v>
      </c>
      <c r="AR8" s="43">
        <v>73.154600000000002</v>
      </c>
      <c r="AS8" s="43">
        <v>73.110799999999998</v>
      </c>
      <c r="AT8" s="43">
        <v>73.066999999999993</v>
      </c>
      <c r="AU8" s="43">
        <v>73.124600000000001</v>
      </c>
      <c r="AV8" s="43">
        <v>73.182199999999995</v>
      </c>
      <c r="AW8" s="43">
        <v>73.239800000000002</v>
      </c>
      <c r="AX8" s="43">
        <v>73.297399999999996</v>
      </c>
      <c r="AY8" s="43">
        <v>73.355000000000004</v>
      </c>
      <c r="AZ8" s="43">
        <v>73.447000000000003</v>
      </c>
      <c r="BA8" s="43">
        <v>73.539000000000001</v>
      </c>
      <c r="BB8" s="43">
        <v>73.631</v>
      </c>
      <c r="BC8" s="43">
        <v>73.722999999999999</v>
      </c>
      <c r="BD8" s="43">
        <v>73.814999999999998</v>
      </c>
      <c r="BE8" s="43">
        <v>73.944400000000002</v>
      </c>
      <c r="BF8" s="43">
        <v>74.073800000000006</v>
      </c>
      <c r="BG8" s="43"/>
      <c r="BH8" s="44">
        <f t="shared" si="0"/>
        <v>72.397488888888901</v>
      </c>
      <c r="BI8" s="44">
        <f t="shared" si="1"/>
        <v>73.333960000000005</v>
      </c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</row>
    <row r="9" spans="1:95">
      <c r="A9" s="41">
        <v>209</v>
      </c>
      <c r="B9" s="41" t="s">
        <v>23</v>
      </c>
      <c r="C9" s="2">
        <v>1</v>
      </c>
      <c r="D9" s="2">
        <v>22502.77347</v>
      </c>
      <c r="E9" s="2">
        <v>0</v>
      </c>
      <c r="F9" s="2">
        <v>80.977166666666648</v>
      </c>
      <c r="G9" s="43">
        <v>73.403199999999998</v>
      </c>
      <c r="H9" s="43">
        <v>74.316400000000002</v>
      </c>
      <c r="I9" s="43">
        <v>75.229600000000005</v>
      </c>
      <c r="J9" s="43">
        <v>76.142799999999994</v>
      </c>
      <c r="K9" s="43">
        <v>77.055999999999997</v>
      </c>
      <c r="L9" s="43">
        <v>77.851600000000005</v>
      </c>
      <c r="M9" s="43">
        <v>78.647199999999998</v>
      </c>
      <c r="N9" s="43">
        <v>79.442800000000005</v>
      </c>
      <c r="O9" s="43">
        <v>80.238399999999999</v>
      </c>
      <c r="P9" s="43">
        <v>81.034000000000006</v>
      </c>
      <c r="Q9" s="43">
        <v>81.373199999999997</v>
      </c>
      <c r="R9" s="43">
        <v>81.712400000000002</v>
      </c>
      <c r="S9" s="43">
        <v>82.051599999999993</v>
      </c>
      <c r="T9" s="43">
        <v>82.390799999999999</v>
      </c>
      <c r="U9" s="43">
        <v>82.73</v>
      </c>
      <c r="V9" s="43">
        <v>82.801400000000001</v>
      </c>
      <c r="W9" s="43">
        <v>82.872799999999998</v>
      </c>
      <c r="X9" s="43">
        <v>82.944199999999995</v>
      </c>
      <c r="Y9" s="43">
        <v>83.015600000000006</v>
      </c>
      <c r="Z9" s="43">
        <v>83.087000000000003</v>
      </c>
      <c r="AA9" s="43">
        <v>83.089600000000004</v>
      </c>
      <c r="AB9" s="43">
        <v>83.092200000000005</v>
      </c>
      <c r="AC9" s="43">
        <v>83.094800000000006</v>
      </c>
      <c r="AD9" s="43">
        <v>83.097399999999993</v>
      </c>
      <c r="AE9" s="43">
        <v>83.1</v>
      </c>
      <c r="AF9" s="43">
        <v>83.1</v>
      </c>
      <c r="AG9" s="43">
        <v>83.1</v>
      </c>
      <c r="AH9" s="43">
        <v>83.1</v>
      </c>
      <c r="AI9" s="43">
        <v>83.1</v>
      </c>
      <c r="AJ9" s="43">
        <v>83.1</v>
      </c>
      <c r="AK9" s="43">
        <v>83.244799999999998</v>
      </c>
      <c r="AL9" s="43">
        <v>83.389600000000002</v>
      </c>
      <c r="AM9" s="43">
        <v>83.534400000000005</v>
      </c>
      <c r="AN9" s="43">
        <v>83.679199999999994</v>
      </c>
      <c r="AO9" s="43">
        <v>83.823999999999998</v>
      </c>
      <c r="AP9" s="43">
        <v>83.864400000000003</v>
      </c>
      <c r="AQ9" s="43">
        <v>83.904799999999994</v>
      </c>
      <c r="AR9" s="43">
        <v>83.9452</v>
      </c>
      <c r="AS9" s="43">
        <v>83.985600000000005</v>
      </c>
      <c r="AT9" s="43">
        <v>84.025999999999996</v>
      </c>
      <c r="AU9" s="43">
        <v>84.084599999999995</v>
      </c>
      <c r="AV9" s="43">
        <v>84.143199999999993</v>
      </c>
      <c r="AW9" s="43">
        <v>84.201800000000006</v>
      </c>
      <c r="AX9" s="43">
        <v>84.260400000000004</v>
      </c>
      <c r="AY9" s="43">
        <v>84.319000000000003</v>
      </c>
      <c r="AZ9" s="43">
        <v>84.466399999999993</v>
      </c>
      <c r="BA9" s="43">
        <v>84.613799999999998</v>
      </c>
      <c r="BB9" s="43">
        <v>84.761200000000002</v>
      </c>
      <c r="BC9" s="43">
        <v>84.908600000000007</v>
      </c>
      <c r="BD9" s="43">
        <v>85.055999999999997</v>
      </c>
      <c r="BE9" s="43">
        <v>85.205799999999996</v>
      </c>
      <c r="BF9" s="43">
        <v>85.355599999999995</v>
      </c>
      <c r="BG9" s="43"/>
      <c r="BH9" s="44">
        <f t="shared" si="0"/>
        <v>80.741296296296298</v>
      </c>
      <c r="BI9" s="44">
        <f t="shared" si="1"/>
        <v>84.082976000000002</v>
      </c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</row>
    <row r="10" spans="1:95">
      <c r="A10" s="41">
        <v>191</v>
      </c>
      <c r="B10" s="41" t="s">
        <v>35</v>
      </c>
      <c r="C10" s="2">
        <v>1</v>
      </c>
      <c r="D10" s="2">
        <v>22209.258890000001</v>
      </c>
      <c r="E10" s="2">
        <v>0</v>
      </c>
      <c r="F10" s="2">
        <v>57.123966666666661</v>
      </c>
      <c r="G10" s="43">
        <v>32.753799999999998</v>
      </c>
      <c r="H10" s="43">
        <v>34.257599999999996</v>
      </c>
      <c r="I10" s="43">
        <v>35.761400000000002</v>
      </c>
      <c r="J10" s="43">
        <v>37.2652</v>
      </c>
      <c r="K10" s="43">
        <v>38.768999999999998</v>
      </c>
      <c r="L10" s="43">
        <v>40.749000000000002</v>
      </c>
      <c r="M10" s="43">
        <v>42.728999999999999</v>
      </c>
      <c r="N10" s="43">
        <v>44.709000000000003</v>
      </c>
      <c r="O10" s="43">
        <v>46.689</v>
      </c>
      <c r="P10" s="43">
        <v>48.668999999999997</v>
      </c>
      <c r="Q10" s="43">
        <v>50.604999999999997</v>
      </c>
      <c r="R10" s="43">
        <v>52.540999999999997</v>
      </c>
      <c r="S10" s="43">
        <v>54.476999999999997</v>
      </c>
      <c r="T10" s="43">
        <v>56.412999999999997</v>
      </c>
      <c r="U10" s="43">
        <v>58.348999999999997</v>
      </c>
      <c r="V10" s="43">
        <v>59.851199999999999</v>
      </c>
      <c r="W10" s="43">
        <v>61.353400000000001</v>
      </c>
      <c r="X10" s="43">
        <v>62.855600000000003</v>
      </c>
      <c r="Y10" s="43">
        <v>64.357799999999997</v>
      </c>
      <c r="Z10" s="43">
        <v>65.86</v>
      </c>
      <c r="AA10" s="43">
        <v>67.217399999999998</v>
      </c>
      <c r="AB10" s="43">
        <v>68.574799999999996</v>
      </c>
      <c r="AC10" s="43">
        <v>69.932199999999995</v>
      </c>
      <c r="AD10" s="43">
        <v>71.289599999999993</v>
      </c>
      <c r="AE10" s="43">
        <v>72.647000000000006</v>
      </c>
      <c r="AF10" s="43">
        <v>73.434200000000004</v>
      </c>
      <c r="AG10" s="43">
        <v>74.221400000000003</v>
      </c>
      <c r="AH10" s="43">
        <v>75.008600000000001</v>
      </c>
      <c r="AI10" s="43">
        <v>75.7958</v>
      </c>
      <c r="AJ10" s="43">
        <v>76.582999999999998</v>
      </c>
      <c r="AK10" s="43">
        <v>77.000399999999999</v>
      </c>
      <c r="AL10" s="43">
        <v>77.4178</v>
      </c>
      <c r="AM10" s="43">
        <v>77.8352</v>
      </c>
      <c r="AN10" s="43">
        <v>78.252600000000001</v>
      </c>
      <c r="AO10" s="43">
        <v>78.67</v>
      </c>
      <c r="AP10" s="43">
        <v>78.905600000000007</v>
      </c>
      <c r="AQ10" s="43">
        <v>79.141199999999998</v>
      </c>
      <c r="AR10" s="43">
        <v>79.376800000000003</v>
      </c>
      <c r="AS10" s="43">
        <v>79.612399999999994</v>
      </c>
      <c r="AT10" s="43">
        <v>79.847999999999999</v>
      </c>
      <c r="AU10" s="43">
        <v>80.074200000000005</v>
      </c>
      <c r="AV10" s="43">
        <v>80.300399999999996</v>
      </c>
      <c r="AW10" s="43">
        <v>80.526600000000002</v>
      </c>
      <c r="AX10" s="43">
        <v>80.752799999999993</v>
      </c>
      <c r="AY10" s="43">
        <v>80.978999999999999</v>
      </c>
      <c r="AZ10" s="43">
        <v>81.2</v>
      </c>
      <c r="BA10" s="43">
        <v>81.421000000000006</v>
      </c>
      <c r="BB10" s="43">
        <v>81.641999999999996</v>
      </c>
      <c r="BC10" s="43">
        <v>81.863</v>
      </c>
      <c r="BD10" s="43">
        <v>82.084000000000003</v>
      </c>
      <c r="BE10" s="43">
        <v>82.29</v>
      </c>
      <c r="BF10" s="43">
        <v>82.495999999999995</v>
      </c>
      <c r="BG10" s="43"/>
      <c r="BH10" s="44">
        <f t="shared" si="0"/>
        <v>55.049318518518511</v>
      </c>
      <c r="BI10" s="44">
        <f t="shared" si="1"/>
        <v>79.563056000000003</v>
      </c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</row>
    <row r="11" spans="1:95">
      <c r="A11" s="41">
        <v>74</v>
      </c>
      <c r="B11" s="41" t="s">
        <v>108</v>
      </c>
      <c r="C11" s="2">
        <v>1</v>
      </c>
      <c r="D11" s="2">
        <v>21928.429629999999</v>
      </c>
      <c r="E11" s="2">
        <v>0</v>
      </c>
      <c r="F11" s="2">
        <v>71.194933333333353</v>
      </c>
      <c r="G11" s="43">
        <v>62.918199999999999</v>
      </c>
      <c r="H11" s="43">
        <v>63.956400000000002</v>
      </c>
      <c r="I11" s="43">
        <v>64.994600000000005</v>
      </c>
      <c r="J11" s="43">
        <v>66.032799999999995</v>
      </c>
      <c r="K11" s="43">
        <v>67.070999999999998</v>
      </c>
      <c r="L11" s="43">
        <v>67.867800000000003</v>
      </c>
      <c r="M11" s="43">
        <v>68.664599999999993</v>
      </c>
      <c r="N11" s="43">
        <v>69.461399999999998</v>
      </c>
      <c r="O11" s="43">
        <v>70.258200000000002</v>
      </c>
      <c r="P11" s="43">
        <v>71.055000000000007</v>
      </c>
      <c r="Q11" s="43">
        <v>71.429199999999994</v>
      </c>
      <c r="R11" s="43">
        <v>71.803399999999996</v>
      </c>
      <c r="S11" s="43">
        <v>72.177599999999998</v>
      </c>
      <c r="T11" s="43">
        <v>72.5518</v>
      </c>
      <c r="U11" s="43">
        <v>72.926000000000002</v>
      </c>
      <c r="V11" s="43">
        <v>72.997200000000007</v>
      </c>
      <c r="W11" s="43">
        <v>73.068399999999997</v>
      </c>
      <c r="X11" s="43">
        <v>73.139600000000002</v>
      </c>
      <c r="Y11" s="43">
        <v>73.210800000000006</v>
      </c>
      <c r="Z11" s="43">
        <v>73.281999999999996</v>
      </c>
      <c r="AA11" s="43">
        <v>73.355599999999995</v>
      </c>
      <c r="AB11" s="43">
        <v>73.429199999999994</v>
      </c>
      <c r="AC11" s="43">
        <v>73.502799999999993</v>
      </c>
      <c r="AD11" s="43">
        <v>73.576400000000007</v>
      </c>
      <c r="AE11" s="43">
        <v>73.650000000000006</v>
      </c>
      <c r="AF11" s="43">
        <v>73.731200000000001</v>
      </c>
      <c r="AG11" s="43">
        <v>73.812399999999997</v>
      </c>
      <c r="AH11" s="43">
        <v>73.893600000000006</v>
      </c>
      <c r="AI11" s="43">
        <v>73.974800000000002</v>
      </c>
      <c r="AJ11" s="43">
        <v>74.055999999999997</v>
      </c>
      <c r="AK11" s="43">
        <v>74.227199999999996</v>
      </c>
      <c r="AL11" s="43">
        <v>74.398399999999995</v>
      </c>
      <c r="AM11" s="43">
        <v>74.569599999999994</v>
      </c>
      <c r="AN11" s="43">
        <v>74.740799999999993</v>
      </c>
      <c r="AO11" s="43">
        <v>74.912000000000006</v>
      </c>
      <c r="AP11" s="43">
        <v>75.308599999999998</v>
      </c>
      <c r="AQ11" s="43">
        <v>75.705200000000005</v>
      </c>
      <c r="AR11" s="43">
        <v>76.101799999999997</v>
      </c>
      <c r="AS11" s="43">
        <v>76.498400000000004</v>
      </c>
      <c r="AT11" s="43">
        <v>76.894999999999996</v>
      </c>
      <c r="AU11" s="43">
        <v>77.826999999999998</v>
      </c>
      <c r="AV11" s="43">
        <v>78.759</v>
      </c>
      <c r="AW11" s="43">
        <v>79.691000000000003</v>
      </c>
      <c r="AX11" s="43">
        <v>80.623000000000005</v>
      </c>
      <c r="AY11" s="43">
        <v>81.555000000000007</v>
      </c>
      <c r="AZ11" s="43">
        <v>82.2898</v>
      </c>
      <c r="BA11" s="43">
        <v>83.024600000000007</v>
      </c>
      <c r="BB11" s="43">
        <v>83.759399999999999</v>
      </c>
      <c r="BC11" s="43">
        <v>84.494200000000006</v>
      </c>
      <c r="BD11" s="43">
        <v>85.228999999999999</v>
      </c>
      <c r="BE11" s="43">
        <v>85.743399999999994</v>
      </c>
      <c r="BF11" s="43">
        <v>86.257800000000003</v>
      </c>
      <c r="BG11" s="43"/>
      <c r="BH11" s="44">
        <f t="shared" si="0"/>
        <v>70.886059259259255</v>
      </c>
      <c r="BI11" s="44">
        <f t="shared" si="1"/>
        <v>78.581384000000014</v>
      </c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</row>
    <row r="12" spans="1:95">
      <c r="A12" s="41">
        <v>110</v>
      </c>
      <c r="B12" s="41" t="s">
        <v>86</v>
      </c>
      <c r="C12" s="2">
        <v>1</v>
      </c>
      <c r="D12" s="2">
        <v>21875.399990000002</v>
      </c>
      <c r="E12" s="2">
        <v>0</v>
      </c>
      <c r="F12" s="2">
        <v>73.343033333333324</v>
      </c>
      <c r="G12" s="43">
        <v>64.190799999999996</v>
      </c>
      <c r="H12" s="43">
        <v>65.1096</v>
      </c>
      <c r="I12" s="43">
        <v>66.028400000000005</v>
      </c>
      <c r="J12" s="43">
        <v>66.947199999999995</v>
      </c>
      <c r="K12" s="43">
        <v>67.866</v>
      </c>
      <c r="L12" s="43">
        <v>68.668199999999999</v>
      </c>
      <c r="M12" s="43">
        <v>69.470399999999998</v>
      </c>
      <c r="N12" s="43">
        <v>70.272599999999997</v>
      </c>
      <c r="O12" s="43">
        <v>71.074799999999996</v>
      </c>
      <c r="P12" s="43">
        <v>71.876999999999995</v>
      </c>
      <c r="Q12" s="43">
        <v>72.644800000000004</v>
      </c>
      <c r="R12" s="43">
        <v>73.412599999999998</v>
      </c>
      <c r="S12" s="43">
        <v>74.180400000000006</v>
      </c>
      <c r="T12" s="43">
        <v>74.9482</v>
      </c>
      <c r="U12" s="43">
        <v>75.715999999999994</v>
      </c>
      <c r="V12" s="43">
        <v>75.8078</v>
      </c>
      <c r="W12" s="43">
        <v>75.899600000000007</v>
      </c>
      <c r="X12" s="43">
        <v>75.991399999999999</v>
      </c>
      <c r="Y12" s="43">
        <v>76.083200000000005</v>
      </c>
      <c r="Z12" s="43">
        <v>76.174999999999997</v>
      </c>
      <c r="AA12" s="43">
        <v>76.282399999999996</v>
      </c>
      <c r="AB12" s="43">
        <v>76.389799999999994</v>
      </c>
      <c r="AC12" s="43">
        <v>76.497200000000007</v>
      </c>
      <c r="AD12" s="43">
        <v>76.604600000000005</v>
      </c>
      <c r="AE12" s="43">
        <v>76.712000000000003</v>
      </c>
      <c r="AF12" s="43">
        <v>76.837400000000002</v>
      </c>
      <c r="AG12" s="43">
        <v>76.962800000000001</v>
      </c>
      <c r="AH12" s="43">
        <v>77.088200000000001</v>
      </c>
      <c r="AI12" s="43">
        <v>77.2136</v>
      </c>
      <c r="AJ12" s="43">
        <v>77.338999999999999</v>
      </c>
      <c r="AK12" s="43">
        <v>77.474400000000003</v>
      </c>
      <c r="AL12" s="43">
        <v>77.609800000000007</v>
      </c>
      <c r="AM12" s="43">
        <v>77.745199999999997</v>
      </c>
      <c r="AN12" s="43">
        <v>77.880600000000001</v>
      </c>
      <c r="AO12" s="43">
        <v>78.016000000000005</v>
      </c>
      <c r="AP12" s="43">
        <v>78.142600000000002</v>
      </c>
      <c r="AQ12" s="43">
        <v>78.269199999999998</v>
      </c>
      <c r="AR12" s="43">
        <v>78.395799999999994</v>
      </c>
      <c r="AS12" s="43">
        <v>78.522400000000005</v>
      </c>
      <c r="AT12" s="43">
        <v>78.649000000000001</v>
      </c>
      <c r="AU12" s="43">
        <v>80.114800000000002</v>
      </c>
      <c r="AV12" s="43">
        <v>81.580600000000004</v>
      </c>
      <c r="AW12" s="43">
        <v>83.046400000000006</v>
      </c>
      <c r="AX12" s="43">
        <v>84.512200000000007</v>
      </c>
      <c r="AY12" s="43">
        <v>85.977999999999994</v>
      </c>
      <c r="AZ12" s="43">
        <v>86.890600000000006</v>
      </c>
      <c r="BA12" s="43">
        <v>87.803200000000004</v>
      </c>
      <c r="BB12" s="43">
        <v>88.715800000000002</v>
      </c>
      <c r="BC12" s="43">
        <v>89.628399999999999</v>
      </c>
      <c r="BD12" s="43">
        <v>90.540999999999997</v>
      </c>
      <c r="BE12" s="43">
        <v>91.135199999999998</v>
      </c>
      <c r="BF12" s="43">
        <v>91.729399999999998</v>
      </c>
      <c r="BG12" s="43"/>
      <c r="BH12" s="44">
        <f t="shared" si="0"/>
        <v>72.91297037037036</v>
      </c>
      <c r="BI12" s="44">
        <f t="shared" si="1"/>
        <v>82.16085600000001</v>
      </c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</row>
    <row r="13" spans="1:95">
      <c r="A13" s="41">
        <v>73</v>
      </c>
      <c r="B13" s="41" t="s">
        <v>109</v>
      </c>
      <c r="C13" s="2">
        <v>1</v>
      </c>
      <c r="D13" s="2">
        <v>20449.50517</v>
      </c>
      <c r="E13" s="2">
        <v>0</v>
      </c>
      <c r="F13" s="2">
        <v>68.077366666666663</v>
      </c>
      <c r="G13" s="43">
        <v>56.163600000000002</v>
      </c>
      <c r="H13" s="43">
        <v>57.037199999999999</v>
      </c>
      <c r="I13" s="43">
        <v>57.910800000000002</v>
      </c>
      <c r="J13" s="43">
        <v>58.784399999999998</v>
      </c>
      <c r="K13" s="43">
        <v>59.658000000000001</v>
      </c>
      <c r="L13" s="43">
        <v>60.467199999999998</v>
      </c>
      <c r="M13" s="43">
        <v>61.276400000000002</v>
      </c>
      <c r="N13" s="43">
        <v>62.085599999999999</v>
      </c>
      <c r="O13" s="43">
        <v>62.894799999999996</v>
      </c>
      <c r="P13" s="43">
        <v>63.704000000000001</v>
      </c>
      <c r="Q13" s="43">
        <v>64.529399999999995</v>
      </c>
      <c r="R13" s="43">
        <v>65.354799999999997</v>
      </c>
      <c r="S13" s="43">
        <v>66.180199999999999</v>
      </c>
      <c r="T13" s="43">
        <v>67.005600000000001</v>
      </c>
      <c r="U13" s="43">
        <v>67.831000000000003</v>
      </c>
      <c r="V13" s="43">
        <v>68.610200000000006</v>
      </c>
      <c r="W13" s="43">
        <v>69.389399999999995</v>
      </c>
      <c r="X13" s="43">
        <v>70.168599999999998</v>
      </c>
      <c r="Y13" s="43">
        <v>70.947800000000001</v>
      </c>
      <c r="Z13" s="43">
        <v>71.727000000000004</v>
      </c>
      <c r="AA13" s="43">
        <v>72.543199999999999</v>
      </c>
      <c r="AB13" s="43">
        <v>73.359399999999994</v>
      </c>
      <c r="AC13" s="43">
        <v>74.175600000000003</v>
      </c>
      <c r="AD13" s="43">
        <v>74.991799999999998</v>
      </c>
      <c r="AE13" s="43">
        <v>75.808000000000007</v>
      </c>
      <c r="AF13" s="43">
        <v>76.519800000000004</v>
      </c>
      <c r="AG13" s="43">
        <v>77.2316</v>
      </c>
      <c r="AH13" s="43">
        <v>77.943399999999997</v>
      </c>
      <c r="AI13" s="43">
        <v>78.655199999999994</v>
      </c>
      <c r="AJ13" s="43">
        <v>79.367000000000004</v>
      </c>
      <c r="AK13" s="43">
        <v>79.686199999999999</v>
      </c>
      <c r="AL13" s="43">
        <v>80.005399999999995</v>
      </c>
      <c r="AM13" s="43">
        <v>80.324600000000004</v>
      </c>
      <c r="AN13" s="43">
        <v>80.643799999999999</v>
      </c>
      <c r="AO13" s="43">
        <v>80.962999999999994</v>
      </c>
      <c r="AP13" s="43">
        <v>81.206999999999994</v>
      </c>
      <c r="AQ13" s="43">
        <v>81.450999999999993</v>
      </c>
      <c r="AR13" s="43">
        <v>81.694999999999993</v>
      </c>
      <c r="AS13" s="43">
        <v>81.938999999999993</v>
      </c>
      <c r="AT13" s="43">
        <v>82.183000000000007</v>
      </c>
      <c r="AU13" s="43">
        <v>82.327399999999997</v>
      </c>
      <c r="AV13" s="43">
        <v>82.471800000000002</v>
      </c>
      <c r="AW13" s="43">
        <v>82.616200000000006</v>
      </c>
      <c r="AX13" s="43">
        <v>82.760599999999997</v>
      </c>
      <c r="AY13" s="43">
        <v>82.905000000000001</v>
      </c>
      <c r="AZ13" s="43">
        <v>83.035600000000002</v>
      </c>
      <c r="BA13" s="43">
        <v>83.166200000000003</v>
      </c>
      <c r="BB13" s="43">
        <v>83.296800000000005</v>
      </c>
      <c r="BC13" s="43">
        <v>83.427400000000006</v>
      </c>
      <c r="BD13" s="43">
        <v>83.558000000000007</v>
      </c>
      <c r="BE13" s="43">
        <v>83.687799999999996</v>
      </c>
      <c r="BF13" s="43">
        <v>83.817599999999999</v>
      </c>
      <c r="BG13" s="43"/>
      <c r="BH13" s="44">
        <f t="shared" si="0"/>
        <v>66.902051851851851</v>
      </c>
      <c r="BI13" s="44">
        <f t="shared" si="1"/>
        <v>81.725359999999995</v>
      </c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</row>
    <row r="14" spans="1:95">
      <c r="A14" s="41">
        <v>157</v>
      </c>
      <c r="B14" s="41" t="s">
        <v>55</v>
      </c>
      <c r="C14" s="2">
        <v>1</v>
      </c>
      <c r="D14" s="2">
        <v>18754.85917</v>
      </c>
      <c r="E14" s="2">
        <v>0</v>
      </c>
      <c r="F14" s="2">
        <v>81.852733333333362</v>
      </c>
      <c r="G14" s="43">
        <v>76.576599999999999</v>
      </c>
      <c r="H14" s="43">
        <v>77.155199999999994</v>
      </c>
      <c r="I14" s="43">
        <v>77.733800000000002</v>
      </c>
      <c r="J14" s="43">
        <v>78.312399999999997</v>
      </c>
      <c r="K14" s="43">
        <v>78.891000000000005</v>
      </c>
      <c r="L14" s="43">
        <v>79.334000000000003</v>
      </c>
      <c r="M14" s="43">
        <v>79.777000000000001</v>
      </c>
      <c r="N14" s="43">
        <v>80.22</v>
      </c>
      <c r="O14" s="43">
        <v>80.662999999999997</v>
      </c>
      <c r="P14" s="43">
        <v>81.105999999999995</v>
      </c>
      <c r="Q14" s="43">
        <v>81.439599999999999</v>
      </c>
      <c r="R14" s="43">
        <v>81.773200000000003</v>
      </c>
      <c r="S14" s="43">
        <v>82.106800000000007</v>
      </c>
      <c r="T14" s="43">
        <v>82.440399999999997</v>
      </c>
      <c r="U14" s="43">
        <v>82.774000000000001</v>
      </c>
      <c r="V14" s="43">
        <v>82.904799999999994</v>
      </c>
      <c r="W14" s="43">
        <v>83.035600000000002</v>
      </c>
      <c r="X14" s="43">
        <v>83.166399999999996</v>
      </c>
      <c r="Y14" s="43">
        <v>83.297200000000004</v>
      </c>
      <c r="Z14" s="43">
        <v>83.427999999999997</v>
      </c>
      <c r="AA14" s="43">
        <v>83.477000000000004</v>
      </c>
      <c r="AB14" s="43">
        <v>83.525999999999996</v>
      </c>
      <c r="AC14" s="43">
        <v>83.575000000000003</v>
      </c>
      <c r="AD14" s="43">
        <v>83.623999999999995</v>
      </c>
      <c r="AE14" s="43">
        <v>83.673000000000002</v>
      </c>
      <c r="AF14" s="43">
        <v>83.886799999999994</v>
      </c>
      <c r="AG14" s="43">
        <v>84.1006</v>
      </c>
      <c r="AH14" s="43">
        <v>84.314400000000006</v>
      </c>
      <c r="AI14" s="43">
        <v>84.528199999999998</v>
      </c>
      <c r="AJ14" s="43">
        <v>84.742000000000004</v>
      </c>
      <c r="AK14" s="43">
        <v>84.860200000000006</v>
      </c>
      <c r="AL14" s="43">
        <v>84.978399999999993</v>
      </c>
      <c r="AM14" s="43">
        <v>85.096599999999995</v>
      </c>
      <c r="AN14" s="43">
        <v>85.214799999999997</v>
      </c>
      <c r="AO14" s="43">
        <v>85.332999999999998</v>
      </c>
      <c r="AP14" s="43">
        <v>85.401799999999994</v>
      </c>
      <c r="AQ14" s="43">
        <v>85.470600000000005</v>
      </c>
      <c r="AR14" s="43">
        <v>85.539400000000001</v>
      </c>
      <c r="AS14" s="43">
        <v>85.608199999999997</v>
      </c>
      <c r="AT14" s="43">
        <v>85.677000000000007</v>
      </c>
      <c r="AU14" s="43">
        <v>85.751999999999995</v>
      </c>
      <c r="AV14" s="43">
        <v>85.826999999999998</v>
      </c>
      <c r="AW14" s="43">
        <v>85.902000000000001</v>
      </c>
      <c r="AX14" s="43">
        <v>85.977000000000004</v>
      </c>
      <c r="AY14" s="43">
        <v>86.052000000000007</v>
      </c>
      <c r="AZ14" s="43">
        <v>86.080399999999997</v>
      </c>
      <c r="BA14" s="43">
        <v>86.108800000000002</v>
      </c>
      <c r="BB14" s="43">
        <v>86.137200000000007</v>
      </c>
      <c r="BC14" s="43">
        <v>86.165599999999998</v>
      </c>
      <c r="BD14" s="43">
        <v>86.194000000000003</v>
      </c>
      <c r="BE14" s="43">
        <v>86.24</v>
      </c>
      <c r="BF14" s="43">
        <v>86.286000000000001</v>
      </c>
      <c r="BG14" s="43"/>
      <c r="BH14" s="44">
        <f t="shared" si="0"/>
        <v>81.555459259259266</v>
      </c>
      <c r="BI14" s="44">
        <f t="shared" si="1"/>
        <v>85.579464000000002</v>
      </c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</row>
    <row r="15" spans="1:95">
      <c r="A15" s="41">
        <v>203</v>
      </c>
      <c r="B15" s="41" t="s">
        <v>27</v>
      </c>
      <c r="C15" s="2">
        <v>1</v>
      </c>
      <c r="D15" s="2">
        <v>16883.63193</v>
      </c>
      <c r="E15" s="2">
        <v>0</v>
      </c>
      <c r="F15" s="2">
        <v>68.620899999999992</v>
      </c>
      <c r="G15" s="43">
        <v>57.5092</v>
      </c>
      <c r="H15" s="43">
        <v>58.4514</v>
      </c>
      <c r="I15" s="43">
        <v>59.393599999999999</v>
      </c>
      <c r="J15" s="43">
        <v>60.335799999999999</v>
      </c>
      <c r="K15" s="43">
        <v>61.277999999999999</v>
      </c>
      <c r="L15" s="43">
        <v>62.23</v>
      </c>
      <c r="M15" s="43">
        <v>63.182000000000002</v>
      </c>
      <c r="N15" s="43">
        <v>64.134</v>
      </c>
      <c r="O15" s="43">
        <v>65.085999999999999</v>
      </c>
      <c r="P15" s="43">
        <v>66.037999999999997</v>
      </c>
      <c r="Q15" s="43">
        <v>66.744399999999999</v>
      </c>
      <c r="R15" s="43">
        <v>67.450800000000001</v>
      </c>
      <c r="S15" s="43">
        <v>68.157200000000003</v>
      </c>
      <c r="T15" s="43">
        <v>68.863600000000005</v>
      </c>
      <c r="U15" s="43">
        <v>69.569999999999993</v>
      </c>
      <c r="V15" s="43">
        <v>70.213800000000006</v>
      </c>
      <c r="W15" s="43">
        <v>70.857600000000005</v>
      </c>
      <c r="X15" s="43">
        <v>71.501400000000004</v>
      </c>
      <c r="Y15" s="43">
        <v>72.145200000000003</v>
      </c>
      <c r="Z15" s="43">
        <v>72.789000000000001</v>
      </c>
      <c r="AA15" s="43">
        <v>73.073800000000006</v>
      </c>
      <c r="AB15" s="43">
        <v>73.358599999999996</v>
      </c>
      <c r="AC15" s="43">
        <v>73.6434</v>
      </c>
      <c r="AD15" s="43">
        <v>73.928200000000004</v>
      </c>
      <c r="AE15" s="43">
        <v>74.212999999999994</v>
      </c>
      <c r="AF15" s="43">
        <v>74.440600000000003</v>
      </c>
      <c r="AG15" s="43">
        <v>74.668199999999999</v>
      </c>
      <c r="AH15" s="43">
        <v>74.895799999999994</v>
      </c>
      <c r="AI15" s="43">
        <v>75.123400000000004</v>
      </c>
      <c r="AJ15" s="43">
        <v>75.350999999999999</v>
      </c>
      <c r="AK15" s="43">
        <v>75.451999999999998</v>
      </c>
      <c r="AL15" s="43">
        <v>75.552999999999997</v>
      </c>
      <c r="AM15" s="43">
        <v>75.653999999999996</v>
      </c>
      <c r="AN15" s="43">
        <v>75.754999999999995</v>
      </c>
      <c r="AO15" s="43">
        <v>75.855999999999995</v>
      </c>
      <c r="AP15" s="43">
        <v>75.937200000000004</v>
      </c>
      <c r="AQ15" s="43">
        <v>76.0184</v>
      </c>
      <c r="AR15" s="43">
        <v>76.099599999999995</v>
      </c>
      <c r="AS15" s="43">
        <v>76.180800000000005</v>
      </c>
      <c r="AT15" s="43">
        <v>76.262</v>
      </c>
      <c r="AU15" s="43">
        <v>76.349800000000002</v>
      </c>
      <c r="AV15" s="43">
        <v>76.437600000000003</v>
      </c>
      <c r="AW15" s="43">
        <v>76.525400000000005</v>
      </c>
      <c r="AX15" s="43">
        <v>76.613200000000006</v>
      </c>
      <c r="AY15" s="43">
        <v>76.700999999999993</v>
      </c>
      <c r="AZ15" s="43">
        <v>76.817599999999999</v>
      </c>
      <c r="BA15" s="43">
        <v>76.934200000000004</v>
      </c>
      <c r="BB15" s="43">
        <v>77.050799999999995</v>
      </c>
      <c r="BC15" s="43">
        <v>77.167400000000001</v>
      </c>
      <c r="BD15" s="43">
        <v>77.284000000000006</v>
      </c>
      <c r="BE15" s="43">
        <v>77.428600000000003</v>
      </c>
      <c r="BF15" s="43">
        <v>77.5732</v>
      </c>
      <c r="BG15" s="43"/>
      <c r="BH15" s="44">
        <f t="shared" si="0"/>
        <v>67.898400000000009</v>
      </c>
      <c r="BI15" s="44">
        <f t="shared" si="1"/>
        <v>76.280840000000012</v>
      </c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</row>
    <row r="16" spans="1:95">
      <c r="A16" s="41">
        <v>84</v>
      </c>
      <c r="B16" s="41" t="s">
        <v>102</v>
      </c>
      <c r="C16" s="2">
        <v>1</v>
      </c>
      <c r="D16" s="2">
        <v>16659.471799999999</v>
      </c>
      <c r="E16" s="2">
        <v>0</v>
      </c>
      <c r="F16" s="2">
        <v>53.996200000000009</v>
      </c>
      <c r="G16" s="43">
        <v>43.818600000000004</v>
      </c>
      <c r="H16" s="43">
        <v>44.746200000000002</v>
      </c>
      <c r="I16" s="43">
        <v>45.6738</v>
      </c>
      <c r="J16" s="43">
        <v>46.601399999999998</v>
      </c>
      <c r="K16" s="43">
        <v>47.529000000000003</v>
      </c>
      <c r="L16" s="43">
        <v>48.524000000000001</v>
      </c>
      <c r="M16" s="43">
        <v>49.518999999999998</v>
      </c>
      <c r="N16" s="43">
        <v>50.514000000000003</v>
      </c>
      <c r="O16" s="43">
        <v>51.509</v>
      </c>
      <c r="P16" s="43">
        <v>52.503999999999998</v>
      </c>
      <c r="Q16" s="43">
        <v>53.064599999999999</v>
      </c>
      <c r="R16" s="43">
        <v>53.6252</v>
      </c>
      <c r="S16" s="43">
        <v>54.1858</v>
      </c>
      <c r="T16" s="43">
        <v>54.746400000000001</v>
      </c>
      <c r="U16" s="43">
        <v>55.307000000000002</v>
      </c>
      <c r="V16" s="43">
        <v>55.792400000000001</v>
      </c>
      <c r="W16" s="43">
        <v>56.277799999999999</v>
      </c>
      <c r="X16" s="43">
        <v>56.763199999999998</v>
      </c>
      <c r="Y16" s="43">
        <v>57.248600000000003</v>
      </c>
      <c r="Z16" s="43">
        <v>57.734000000000002</v>
      </c>
      <c r="AA16" s="43">
        <v>57.875399999999999</v>
      </c>
      <c r="AB16" s="43">
        <v>58.016800000000003</v>
      </c>
      <c r="AC16" s="43">
        <v>58.158200000000001</v>
      </c>
      <c r="AD16" s="43">
        <v>58.299599999999998</v>
      </c>
      <c r="AE16" s="43">
        <v>58.441000000000003</v>
      </c>
      <c r="AF16" s="43">
        <v>58.5214</v>
      </c>
      <c r="AG16" s="43">
        <v>58.601799999999997</v>
      </c>
      <c r="AH16" s="43">
        <v>58.682200000000002</v>
      </c>
      <c r="AI16" s="43">
        <v>58.762599999999999</v>
      </c>
      <c r="AJ16" s="43">
        <v>58.843000000000004</v>
      </c>
      <c r="AK16" s="43">
        <v>58.931800000000003</v>
      </c>
      <c r="AL16" s="43">
        <v>59.020600000000002</v>
      </c>
      <c r="AM16" s="43">
        <v>59.109400000000001</v>
      </c>
      <c r="AN16" s="43">
        <v>59.1982</v>
      </c>
      <c r="AO16" s="43">
        <v>59.286999999999999</v>
      </c>
      <c r="AP16" s="43">
        <v>59.376800000000003</v>
      </c>
      <c r="AQ16" s="43">
        <v>59.4666</v>
      </c>
      <c r="AR16" s="43">
        <v>59.556399999999996</v>
      </c>
      <c r="AS16" s="43">
        <v>59.6462</v>
      </c>
      <c r="AT16" s="43">
        <v>59.735999999999997</v>
      </c>
      <c r="AU16" s="43">
        <v>59.851999999999997</v>
      </c>
      <c r="AV16" s="43">
        <v>59.968000000000004</v>
      </c>
      <c r="AW16" s="43">
        <v>60.084000000000003</v>
      </c>
      <c r="AX16" s="43">
        <v>60.2</v>
      </c>
      <c r="AY16" s="43">
        <v>60.316000000000003</v>
      </c>
      <c r="AZ16" s="43">
        <v>60.496600000000001</v>
      </c>
      <c r="BA16" s="43">
        <v>60.677199999999999</v>
      </c>
      <c r="BB16" s="43">
        <v>60.857799999999997</v>
      </c>
      <c r="BC16" s="43">
        <v>61.038400000000003</v>
      </c>
      <c r="BD16" s="43">
        <v>61.219000000000001</v>
      </c>
      <c r="BE16" s="43">
        <v>61.462800000000001</v>
      </c>
      <c r="BF16" s="43">
        <v>61.706600000000002</v>
      </c>
      <c r="BG16" s="43"/>
      <c r="BH16" s="44">
        <f t="shared" si="0"/>
        <v>53.466600000000007</v>
      </c>
      <c r="BI16" s="44">
        <f t="shared" si="1"/>
        <v>59.899808</v>
      </c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</row>
    <row r="17" spans="1:95">
      <c r="A17" s="41">
        <v>107</v>
      </c>
      <c r="B17" s="41" t="s">
        <v>89</v>
      </c>
      <c r="C17" s="2">
        <v>1</v>
      </c>
      <c r="D17" s="2">
        <v>16454.964189999999</v>
      </c>
      <c r="E17" s="2">
        <v>0</v>
      </c>
      <c r="F17" s="2">
        <v>85.857266666666661</v>
      </c>
      <c r="G17" s="43">
        <v>77.666399999999996</v>
      </c>
      <c r="H17" s="43">
        <v>78.484800000000007</v>
      </c>
      <c r="I17" s="43">
        <v>79.303200000000004</v>
      </c>
      <c r="J17" s="43">
        <v>80.121600000000001</v>
      </c>
      <c r="K17" s="43">
        <v>80.94</v>
      </c>
      <c r="L17" s="43">
        <v>81.590999999999994</v>
      </c>
      <c r="M17" s="43">
        <v>82.242000000000004</v>
      </c>
      <c r="N17" s="43">
        <v>82.893000000000001</v>
      </c>
      <c r="O17" s="43">
        <v>83.543999999999997</v>
      </c>
      <c r="P17" s="43">
        <v>84.194999999999993</v>
      </c>
      <c r="Q17" s="43">
        <v>84.684600000000003</v>
      </c>
      <c r="R17" s="43">
        <v>85.174199999999999</v>
      </c>
      <c r="S17" s="43">
        <v>85.663799999999995</v>
      </c>
      <c r="T17" s="43">
        <v>86.153400000000005</v>
      </c>
      <c r="U17" s="43">
        <v>86.643000000000001</v>
      </c>
      <c r="V17" s="43">
        <v>87.031000000000006</v>
      </c>
      <c r="W17" s="43">
        <v>87.418999999999997</v>
      </c>
      <c r="X17" s="43">
        <v>87.807000000000002</v>
      </c>
      <c r="Y17" s="43">
        <v>88.194999999999993</v>
      </c>
      <c r="Z17" s="43">
        <v>88.582999999999998</v>
      </c>
      <c r="AA17" s="43">
        <v>88.831999999999994</v>
      </c>
      <c r="AB17" s="43">
        <v>89.081000000000003</v>
      </c>
      <c r="AC17" s="43">
        <v>89.33</v>
      </c>
      <c r="AD17" s="43">
        <v>89.578999999999994</v>
      </c>
      <c r="AE17" s="43">
        <v>89.828000000000003</v>
      </c>
      <c r="AF17" s="43">
        <v>89.934200000000004</v>
      </c>
      <c r="AG17" s="43">
        <v>90.040400000000005</v>
      </c>
      <c r="AH17" s="43">
        <v>90.146600000000007</v>
      </c>
      <c r="AI17" s="43">
        <v>90.252799999999993</v>
      </c>
      <c r="AJ17" s="43">
        <v>90.358999999999995</v>
      </c>
      <c r="AK17" s="43">
        <v>90.460400000000007</v>
      </c>
      <c r="AL17" s="43">
        <v>90.561800000000005</v>
      </c>
      <c r="AM17" s="43">
        <v>90.663200000000003</v>
      </c>
      <c r="AN17" s="43">
        <v>90.764600000000002</v>
      </c>
      <c r="AO17" s="43">
        <v>90.866</v>
      </c>
      <c r="AP17" s="43">
        <v>90.933400000000006</v>
      </c>
      <c r="AQ17" s="43">
        <v>91.000799999999998</v>
      </c>
      <c r="AR17" s="43">
        <v>91.068200000000004</v>
      </c>
      <c r="AS17" s="43">
        <v>91.135599999999997</v>
      </c>
      <c r="AT17" s="43">
        <v>91.203000000000003</v>
      </c>
      <c r="AU17" s="43">
        <v>91.266000000000005</v>
      </c>
      <c r="AV17" s="43">
        <v>91.328999999999994</v>
      </c>
      <c r="AW17" s="43">
        <v>91.391999999999996</v>
      </c>
      <c r="AX17" s="43">
        <v>91.454999999999998</v>
      </c>
      <c r="AY17" s="43">
        <v>91.518000000000001</v>
      </c>
      <c r="AZ17" s="43">
        <v>91.578999999999994</v>
      </c>
      <c r="BA17" s="43">
        <v>91.64</v>
      </c>
      <c r="BB17" s="43">
        <v>91.700999999999993</v>
      </c>
      <c r="BC17" s="43">
        <v>91.762</v>
      </c>
      <c r="BD17" s="43">
        <v>91.822999999999993</v>
      </c>
      <c r="BE17" s="43">
        <v>91.883600000000001</v>
      </c>
      <c r="BF17" s="43">
        <v>91.944199999999995</v>
      </c>
      <c r="BG17" s="43"/>
      <c r="BH17" s="44">
        <f t="shared" si="0"/>
        <v>85.368874074074057</v>
      </c>
      <c r="BI17" s="44">
        <f t="shared" si="1"/>
        <v>91.148328000000006</v>
      </c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</row>
    <row r="18" spans="1:95">
      <c r="A18" s="41">
        <v>78</v>
      </c>
      <c r="B18" s="41" t="s">
        <v>107</v>
      </c>
      <c r="C18" s="2">
        <v>1</v>
      </c>
      <c r="D18" s="2">
        <v>15656.95959</v>
      </c>
      <c r="E18" s="2">
        <v>0</v>
      </c>
      <c r="F18" s="2">
        <v>44.045833333333334</v>
      </c>
      <c r="G18" s="43">
        <v>18.673400000000001</v>
      </c>
      <c r="H18" s="43">
        <v>19.948799999999999</v>
      </c>
      <c r="I18" s="43">
        <v>21.2242</v>
      </c>
      <c r="J18" s="43">
        <v>22.499600000000001</v>
      </c>
      <c r="K18" s="43">
        <v>23.774999999999999</v>
      </c>
      <c r="L18" s="43">
        <v>25.42</v>
      </c>
      <c r="M18" s="43">
        <v>27.065000000000001</v>
      </c>
      <c r="N18" s="43">
        <v>28.71</v>
      </c>
      <c r="O18" s="43">
        <v>30.355</v>
      </c>
      <c r="P18" s="43">
        <v>32</v>
      </c>
      <c r="Q18" s="43">
        <v>34.194200000000002</v>
      </c>
      <c r="R18" s="43">
        <v>36.388399999999997</v>
      </c>
      <c r="S18" s="43">
        <v>38.582599999999999</v>
      </c>
      <c r="T18" s="43">
        <v>40.776800000000001</v>
      </c>
      <c r="U18" s="43">
        <v>42.970999999999997</v>
      </c>
      <c r="V18" s="43">
        <v>45.313200000000002</v>
      </c>
      <c r="W18" s="43">
        <v>47.6554</v>
      </c>
      <c r="X18" s="43">
        <v>49.997599999999998</v>
      </c>
      <c r="Y18" s="43">
        <v>52.339799999999997</v>
      </c>
      <c r="Z18" s="43">
        <v>54.682000000000002</v>
      </c>
      <c r="AA18" s="43">
        <v>56.225999999999999</v>
      </c>
      <c r="AB18" s="43">
        <v>57.77</v>
      </c>
      <c r="AC18" s="43">
        <v>59.314</v>
      </c>
      <c r="AD18" s="43">
        <v>60.857999999999997</v>
      </c>
      <c r="AE18" s="43">
        <v>62.402000000000001</v>
      </c>
      <c r="AF18" s="43">
        <v>63.7502</v>
      </c>
      <c r="AG18" s="43">
        <v>65.098399999999998</v>
      </c>
      <c r="AH18" s="43">
        <v>66.446600000000004</v>
      </c>
      <c r="AI18" s="43">
        <v>67.794799999999995</v>
      </c>
      <c r="AJ18" s="43">
        <v>69.143000000000001</v>
      </c>
      <c r="AK18" s="43">
        <v>70.386200000000002</v>
      </c>
      <c r="AL18" s="43">
        <v>71.629400000000004</v>
      </c>
      <c r="AM18" s="43">
        <v>72.872600000000006</v>
      </c>
      <c r="AN18" s="43">
        <v>74.115799999999993</v>
      </c>
      <c r="AO18" s="43">
        <v>75.358999999999995</v>
      </c>
      <c r="AP18" s="43">
        <v>76.308800000000005</v>
      </c>
      <c r="AQ18" s="43">
        <v>77.258600000000001</v>
      </c>
      <c r="AR18" s="43">
        <v>78.208399999999997</v>
      </c>
      <c r="AS18" s="43">
        <v>79.158199999999994</v>
      </c>
      <c r="AT18" s="43">
        <v>80.108000000000004</v>
      </c>
      <c r="AU18" s="43">
        <v>80.785200000000003</v>
      </c>
      <c r="AV18" s="43">
        <v>81.462400000000002</v>
      </c>
      <c r="AW18" s="43">
        <v>82.139600000000002</v>
      </c>
      <c r="AX18" s="43">
        <v>82.816800000000001</v>
      </c>
      <c r="AY18" s="43">
        <v>83.494</v>
      </c>
      <c r="AZ18" s="43">
        <v>83.962800000000001</v>
      </c>
      <c r="BA18" s="43">
        <v>84.431600000000003</v>
      </c>
      <c r="BB18" s="43">
        <v>84.900400000000005</v>
      </c>
      <c r="BC18" s="43">
        <v>85.369200000000006</v>
      </c>
      <c r="BD18" s="43">
        <v>85.837999999999994</v>
      </c>
      <c r="BE18" s="43">
        <v>86.147800000000004</v>
      </c>
      <c r="BF18" s="43">
        <v>86.457599999999999</v>
      </c>
      <c r="BG18" s="43"/>
      <c r="BH18" s="44">
        <f t="shared" si="0"/>
        <v>41.407059259259263</v>
      </c>
      <c r="BI18" s="44">
        <f t="shared" si="1"/>
        <v>78.663791999999987</v>
      </c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</row>
    <row r="19" spans="1:95">
      <c r="A19" s="41">
        <v>105</v>
      </c>
      <c r="B19" s="41" t="s">
        <v>90</v>
      </c>
      <c r="C19" s="2">
        <v>1</v>
      </c>
      <c r="D19" s="2">
        <v>14370.90199</v>
      </c>
      <c r="E19" s="2">
        <v>0</v>
      </c>
      <c r="F19" s="2">
        <v>53.024233333333349</v>
      </c>
      <c r="G19" s="43">
        <v>46.3994</v>
      </c>
      <c r="H19" s="43">
        <v>46.976799999999997</v>
      </c>
      <c r="I19" s="43">
        <v>47.554200000000002</v>
      </c>
      <c r="J19" s="43">
        <v>48.131599999999999</v>
      </c>
      <c r="K19" s="43">
        <v>48.709000000000003</v>
      </c>
      <c r="L19" s="43">
        <v>49.311599999999999</v>
      </c>
      <c r="M19" s="43">
        <v>49.914200000000001</v>
      </c>
      <c r="N19" s="43">
        <v>50.516800000000003</v>
      </c>
      <c r="O19" s="43">
        <v>51.119399999999999</v>
      </c>
      <c r="P19" s="43">
        <v>51.722000000000001</v>
      </c>
      <c r="Q19" s="43">
        <v>52.104399999999998</v>
      </c>
      <c r="R19" s="43">
        <v>52.486800000000002</v>
      </c>
      <c r="S19" s="43">
        <v>52.869199999999999</v>
      </c>
      <c r="T19" s="43">
        <v>53.251600000000003</v>
      </c>
      <c r="U19" s="43">
        <v>53.634</v>
      </c>
      <c r="V19" s="43">
        <v>53.973799999999997</v>
      </c>
      <c r="W19" s="43">
        <v>54.313600000000001</v>
      </c>
      <c r="X19" s="43">
        <v>54.653399999999998</v>
      </c>
      <c r="Y19" s="43">
        <v>54.993200000000002</v>
      </c>
      <c r="Z19" s="43">
        <v>55.332999999999998</v>
      </c>
      <c r="AA19" s="43">
        <v>55.5214</v>
      </c>
      <c r="AB19" s="43">
        <v>55.709800000000001</v>
      </c>
      <c r="AC19" s="43">
        <v>55.898200000000003</v>
      </c>
      <c r="AD19" s="43">
        <v>56.086599999999997</v>
      </c>
      <c r="AE19" s="43">
        <v>56.274999999999999</v>
      </c>
      <c r="AF19" s="43">
        <v>56.401200000000003</v>
      </c>
      <c r="AG19" s="43">
        <v>56.5274</v>
      </c>
      <c r="AH19" s="43">
        <v>56.653599999999997</v>
      </c>
      <c r="AI19" s="43">
        <v>56.779800000000002</v>
      </c>
      <c r="AJ19" s="43">
        <v>56.905999999999999</v>
      </c>
      <c r="AK19" s="43">
        <v>57.108800000000002</v>
      </c>
      <c r="AL19" s="43">
        <v>57.311599999999999</v>
      </c>
      <c r="AM19" s="43">
        <v>57.514400000000002</v>
      </c>
      <c r="AN19" s="43">
        <v>57.717199999999998</v>
      </c>
      <c r="AO19" s="43">
        <v>57.92</v>
      </c>
      <c r="AP19" s="43">
        <v>58.165199999999999</v>
      </c>
      <c r="AQ19" s="43">
        <v>58.410400000000003</v>
      </c>
      <c r="AR19" s="43">
        <v>58.6556</v>
      </c>
      <c r="AS19" s="43">
        <v>58.900799999999997</v>
      </c>
      <c r="AT19" s="43">
        <v>59.146000000000001</v>
      </c>
      <c r="AU19" s="43">
        <v>59.412199999999999</v>
      </c>
      <c r="AV19" s="43">
        <v>59.678400000000003</v>
      </c>
      <c r="AW19" s="43">
        <v>59.944600000000001</v>
      </c>
      <c r="AX19" s="43">
        <v>60.210799999999999</v>
      </c>
      <c r="AY19" s="43">
        <v>60.476999999999997</v>
      </c>
      <c r="AZ19" s="43">
        <v>60.761200000000002</v>
      </c>
      <c r="BA19" s="43">
        <v>61.045400000000001</v>
      </c>
      <c r="BB19" s="43">
        <v>61.329599999999999</v>
      </c>
      <c r="BC19" s="43">
        <v>61.613799999999998</v>
      </c>
      <c r="BD19" s="43">
        <v>61.898000000000003</v>
      </c>
      <c r="BE19" s="43">
        <v>62.204999999999998</v>
      </c>
      <c r="BF19" s="43">
        <v>62.512</v>
      </c>
      <c r="BG19" s="43"/>
      <c r="BH19" s="44">
        <f t="shared" si="0"/>
        <v>52.606948148148163</v>
      </c>
      <c r="BI19" s="44">
        <f t="shared" si="1"/>
        <v>59.291095999999996</v>
      </c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</row>
    <row r="20" spans="1:95">
      <c r="A20" s="41">
        <v>176</v>
      </c>
      <c r="B20" s="41" t="s">
        <v>41</v>
      </c>
      <c r="C20" s="2">
        <v>1</v>
      </c>
      <c r="D20" s="2">
        <v>13353.04428</v>
      </c>
      <c r="E20" s="2">
        <v>0</v>
      </c>
      <c r="F20" s="2">
        <v>41.210500000000003</v>
      </c>
      <c r="G20" s="43">
        <v>35.337200000000003</v>
      </c>
      <c r="H20" s="43">
        <v>35.7194</v>
      </c>
      <c r="I20" s="43">
        <v>36.101599999999998</v>
      </c>
      <c r="J20" s="43">
        <v>36.483800000000002</v>
      </c>
      <c r="K20" s="43">
        <v>36.866</v>
      </c>
      <c r="L20" s="43">
        <v>37.253599999999999</v>
      </c>
      <c r="M20" s="43">
        <v>37.641199999999998</v>
      </c>
      <c r="N20" s="43">
        <v>38.028799999999997</v>
      </c>
      <c r="O20" s="43">
        <v>38.416400000000003</v>
      </c>
      <c r="P20" s="43">
        <v>38.804000000000002</v>
      </c>
      <c r="Q20" s="43">
        <v>39.198999999999998</v>
      </c>
      <c r="R20" s="43">
        <v>39.594000000000001</v>
      </c>
      <c r="S20" s="43">
        <v>39.988999999999997</v>
      </c>
      <c r="T20" s="43">
        <v>40.384</v>
      </c>
      <c r="U20" s="43">
        <v>40.779000000000003</v>
      </c>
      <c r="V20" s="43">
        <v>41.180199999999999</v>
      </c>
      <c r="W20" s="43">
        <v>41.581400000000002</v>
      </c>
      <c r="X20" s="43">
        <v>41.982599999999998</v>
      </c>
      <c r="Y20" s="43">
        <v>42.383800000000001</v>
      </c>
      <c r="Z20" s="43">
        <v>42.784999999999997</v>
      </c>
      <c r="AA20" s="43">
        <v>43.287599999999998</v>
      </c>
      <c r="AB20" s="43">
        <v>43.790199999999999</v>
      </c>
      <c r="AC20" s="43">
        <v>44.2928</v>
      </c>
      <c r="AD20" s="43">
        <v>44.795400000000001</v>
      </c>
      <c r="AE20" s="43">
        <v>45.298000000000002</v>
      </c>
      <c r="AF20" s="43">
        <v>45.821399999999997</v>
      </c>
      <c r="AG20" s="43">
        <v>46.344799999999999</v>
      </c>
      <c r="AH20" s="43">
        <v>46.868200000000002</v>
      </c>
      <c r="AI20" s="43">
        <v>47.391599999999997</v>
      </c>
      <c r="AJ20" s="43">
        <v>47.914999999999999</v>
      </c>
      <c r="AK20" s="43">
        <v>48.553800000000003</v>
      </c>
      <c r="AL20" s="43">
        <v>49.192599999999999</v>
      </c>
      <c r="AM20" s="43">
        <v>49.831400000000002</v>
      </c>
      <c r="AN20" s="43">
        <v>50.470199999999998</v>
      </c>
      <c r="AO20" s="43">
        <v>51.109000000000002</v>
      </c>
      <c r="AP20" s="43">
        <v>51.767000000000003</v>
      </c>
      <c r="AQ20" s="43">
        <v>52.424999999999997</v>
      </c>
      <c r="AR20" s="43">
        <v>53.082999999999998</v>
      </c>
      <c r="AS20" s="43">
        <v>53.741</v>
      </c>
      <c r="AT20" s="43">
        <v>54.399000000000001</v>
      </c>
      <c r="AU20" s="43">
        <v>55.034199999999998</v>
      </c>
      <c r="AV20" s="43">
        <v>55.669400000000003</v>
      </c>
      <c r="AW20" s="43">
        <v>56.304600000000001</v>
      </c>
      <c r="AX20" s="43">
        <v>56.939799999999998</v>
      </c>
      <c r="AY20" s="43">
        <v>57.575000000000003</v>
      </c>
      <c r="AZ20" s="43">
        <v>58.161200000000001</v>
      </c>
      <c r="BA20" s="43">
        <v>58.747399999999999</v>
      </c>
      <c r="BB20" s="43">
        <v>59.333599999999997</v>
      </c>
      <c r="BC20" s="43">
        <v>59.919800000000002</v>
      </c>
      <c r="BD20" s="43">
        <v>60.506</v>
      </c>
      <c r="BE20" s="43">
        <v>61.041600000000003</v>
      </c>
      <c r="BF20" s="43">
        <v>61.577199999999998</v>
      </c>
      <c r="BG20" s="43"/>
      <c r="BH20" s="44">
        <f t="shared" si="0"/>
        <v>40.523711111111112</v>
      </c>
      <c r="BI20" s="44">
        <f t="shared" si="1"/>
        <v>54.302263999999994</v>
      </c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</row>
    <row r="21" spans="1:95">
      <c r="A21" s="41">
        <v>125</v>
      </c>
      <c r="B21" s="41" t="s">
        <v>73</v>
      </c>
      <c r="C21" s="2">
        <v>1</v>
      </c>
      <c r="D21" s="2">
        <v>13000</v>
      </c>
      <c r="E21" s="2">
        <v>0</v>
      </c>
      <c r="F21" s="2">
        <v>58.00483333333333</v>
      </c>
      <c r="G21" s="43">
        <v>28.5916</v>
      </c>
      <c r="H21" s="43">
        <v>29.860199999999999</v>
      </c>
      <c r="I21" s="43">
        <v>31.128799999999998</v>
      </c>
      <c r="J21" s="43">
        <v>32.397399999999998</v>
      </c>
      <c r="K21" s="43">
        <v>33.665999999999997</v>
      </c>
      <c r="L21" s="43">
        <v>36.866999999999997</v>
      </c>
      <c r="M21" s="43">
        <v>40.067999999999998</v>
      </c>
      <c r="N21" s="43">
        <v>43.268999999999998</v>
      </c>
      <c r="O21" s="43">
        <v>46.47</v>
      </c>
      <c r="P21" s="43">
        <v>49.670999999999999</v>
      </c>
      <c r="Q21" s="43">
        <v>52.293799999999997</v>
      </c>
      <c r="R21" s="43">
        <v>54.916600000000003</v>
      </c>
      <c r="S21" s="43">
        <v>57.539400000000001</v>
      </c>
      <c r="T21" s="43">
        <v>60.162199999999999</v>
      </c>
      <c r="U21" s="43">
        <v>62.784999999999997</v>
      </c>
      <c r="V21" s="43">
        <v>64.246799999999993</v>
      </c>
      <c r="W21" s="43">
        <v>65.708600000000004</v>
      </c>
      <c r="X21" s="43">
        <v>67.170400000000001</v>
      </c>
      <c r="Y21" s="43">
        <v>68.632199999999997</v>
      </c>
      <c r="Z21" s="43">
        <v>70.093999999999994</v>
      </c>
      <c r="AA21" s="43">
        <v>71.165199999999999</v>
      </c>
      <c r="AB21" s="43">
        <v>72.236400000000003</v>
      </c>
      <c r="AC21" s="43">
        <v>73.307599999999994</v>
      </c>
      <c r="AD21" s="43">
        <v>74.378799999999998</v>
      </c>
      <c r="AE21" s="43">
        <v>75.45</v>
      </c>
      <c r="AF21" s="43">
        <v>75.504599999999996</v>
      </c>
      <c r="AG21" s="43">
        <v>75.559200000000004</v>
      </c>
      <c r="AH21" s="43">
        <v>75.613799999999998</v>
      </c>
      <c r="AI21" s="43">
        <v>75.668400000000005</v>
      </c>
      <c r="AJ21" s="43">
        <v>75.722999999999999</v>
      </c>
      <c r="AK21" s="43">
        <v>75.777199999999993</v>
      </c>
      <c r="AL21" s="43">
        <v>75.831400000000002</v>
      </c>
      <c r="AM21" s="43">
        <v>75.885599999999997</v>
      </c>
      <c r="AN21" s="43">
        <v>75.939800000000005</v>
      </c>
      <c r="AO21" s="43">
        <v>75.994</v>
      </c>
      <c r="AP21" s="43">
        <v>76.062799999999996</v>
      </c>
      <c r="AQ21" s="43">
        <v>76.131600000000006</v>
      </c>
      <c r="AR21" s="43">
        <v>76.200400000000002</v>
      </c>
      <c r="AS21" s="43">
        <v>76.269199999999998</v>
      </c>
      <c r="AT21" s="43">
        <v>76.337999999999994</v>
      </c>
      <c r="AU21" s="43">
        <v>76.443200000000004</v>
      </c>
      <c r="AV21" s="43">
        <v>76.548400000000001</v>
      </c>
      <c r="AW21" s="43">
        <v>76.653599999999997</v>
      </c>
      <c r="AX21" s="43">
        <v>76.758799999999994</v>
      </c>
      <c r="AY21" s="43">
        <v>76.864000000000004</v>
      </c>
      <c r="AZ21" s="43">
        <v>77.003799999999998</v>
      </c>
      <c r="BA21" s="43">
        <v>77.143600000000006</v>
      </c>
      <c r="BB21" s="43">
        <v>77.2834</v>
      </c>
      <c r="BC21" s="43">
        <v>77.423199999999994</v>
      </c>
      <c r="BD21" s="43">
        <v>77.563000000000002</v>
      </c>
      <c r="BE21" s="43">
        <v>77.734999999999999</v>
      </c>
      <c r="BF21" s="43">
        <v>77.906999999999996</v>
      </c>
      <c r="BG21" s="43"/>
      <c r="BH21" s="44">
        <f t="shared" si="0"/>
        <v>56.042214814814812</v>
      </c>
      <c r="BI21" s="44">
        <f t="shared" si="1"/>
        <v>76.510488000000009</v>
      </c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</row>
    <row r="22" spans="1:95">
      <c r="A22" s="41">
        <v>220</v>
      </c>
      <c r="B22" s="41" t="s">
        <v>15</v>
      </c>
      <c r="C22" s="2">
        <v>1</v>
      </c>
      <c r="D22" s="2">
        <v>12779.409589999999</v>
      </c>
      <c r="E22" s="2">
        <v>0</v>
      </c>
      <c r="F22" s="2">
        <v>11.685833333333335</v>
      </c>
      <c r="G22" s="43">
        <v>16.7486</v>
      </c>
      <c r="H22" s="43">
        <v>16.148199999999999</v>
      </c>
      <c r="I22" s="43">
        <v>15.547800000000001</v>
      </c>
      <c r="J22" s="43">
        <v>14.9474</v>
      </c>
      <c r="K22" s="43">
        <v>14.347</v>
      </c>
      <c r="L22" s="43">
        <v>13.8528</v>
      </c>
      <c r="M22" s="43">
        <v>13.358599999999999</v>
      </c>
      <c r="N22" s="43">
        <v>12.8644</v>
      </c>
      <c r="O22" s="43">
        <v>12.370200000000001</v>
      </c>
      <c r="P22" s="43">
        <v>11.875999999999999</v>
      </c>
      <c r="Q22" s="43">
        <v>11.7752</v>
      </c>
      <c r="R22" s="43">
        <v>11.6744</v>
      </c>
      <c r="S22" s="43">
        <v>11.573600000000001</v>
      </c>
      <c r="T22" s="43">
        <v>11.472799999999999</v>
      </c>
      <c r="U22" s="43">
        <v>11.372</v>
      </c>
      <c r="V22" s="43">
        <v>11.270200000000001</v>
      </c>
      <c r="W22" s="43">
        <v>11.1684</v>
      </c>
      <c r="X22" s="43">
        <v>11.066599999999999</v>
      </c>
      <c r="Y22" s="43">
        <v>10.9648</v>
      </c>
      <c r="Z22" s="43">
        <v>10.863</v>
      </c>
      <c r="AA22" s="43">
        <v>10.6098</v>
      </c>
      <c r="AB22" s="43">
        <v>10.3566</v>
      </c>
      <c r="AC22" s="43">
        <v>10.103400000000001</v>
      </c>
      <c r="AD22" s="43">
        <v>9.8501999999999992</v>
      </c>
      <c r="AE22" s="43">
        <v>9.5969999999999995</v>
      </c>
      <c r="AF22" s="43">
        <v>9.3843999999999994</v>
      </c>
      <c r="AG22" s="43">
        <v>9.1717999999999993</v>
      </c>
      <c r="AH22" s="43">
        <v>8.9591999999999992</v>
      </c>
      <c r="AI22" s="43">
        <v>8.7466000000000008</v>
      </c>
      <c r="AJ22" s="43">
        <v>8.5340000000000007</v>
      </c>
      <c r="AK22" s="43">
        <v>8.7515999999999998</v>
      </c>
      <c r="AL22" s="43">
        <v>8.9692000000000007</v>
      </c>
      <c r="AM22" s="43">
        <v>9.1867999999999999</v>
      </c>
      <c r="AN22" s="43">
        <v>9.4044000000000008</v>
      </c>
      <c r="AO22" s="43">
        <v>9.6219999999999999</v>
      </c>
      <c r="AP22" s="43">
        <v>9.8642000000000003</v>
      </c>
      <c r="AQ22" s="43">
        <v>10.106400000000001</v>
      </c>
      <c r="AR22" s="43">
        <v>10.348599999999999</v>
      </c>
      <c r="AS22" s="43">
        <v>10.5908</v>
      </c>
      <c r="AT22" s="43">
        <v>10.833</v>
      </c>
      <c r="AU22" s="43">
        <v>11.0908</v>
      </c>
      <c r="AV22" s="43">
        <v>11.348599999999999</v>
      </c>
      <c r="AW22" s="43">
        <v>11.606400000000001</v>
      </c>
      <c r="AX22" s="43">
        <v>11.8642</v>
      </c>
      <c r="AY22" s="43">
        <v>12.122</v>
      </c>
      <c r="AZ22" s="43">
        <v>12.3864</v>
      </c>
      <c r="BA22" s="43">
        <v>12.6508</v>
      </c>
      <c r="BB22" s="43">
        <v>12.9152</v>
      </c>
      <c r="BC22" s="43">
        <v>13.179600000000001</v>
      </c>
      <c r="BD22" s="43">
        <v>13.444000000000001</v>
      </c>
      <c r="BE22" s="43">
        <v>13.711600000000001</v>
      </c>
      <c r="BF22" s="43">
        <v>13.979200000000001</v>
      </c>
      <c r="BG22" s="43"/>
      <c r="BH22" s="44">
        <f t="shared" si="0"/>
        <v>12.012414814814816</v>
      </c>
      <c r="BI22" s="44">
        <f t="shared" si="1"/>
        <v>10.968624</v>
      </c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</row>
    <row r="23" spans="1:95">
      <c r="A23" s="41">
        <v>142</v>
      </c>
      <c r="B23" s="41" t="s">
        <v>64</v>
      </c>
      <c r="C23" s="2">
        <v>1</v>
      </c>
      <c r="D23" s="2">
        <v>10010.12811</v>
      </c>
      <c r="E23" s="2">
        <v>0</v>
      </c>
      <c r="F23" s="2">
        <v>62.525433333333332</v>
      </c>
      <c r="G23" s="43">
        <v>51.5886</v>
      </c>
      <c r="H23" s="43">
        <v>52.424199999999999</v>
      </c>
      <c r="I23" s="43">
        <v>53.259799999999998</v>
      </c>
      <c r="J23" s="43">
        <v>54.095399999999998</v>
      </c>
      <c r="K23" s="43">
        <v>54.930999999999997</v>
      </c>
      <c r="L23" s="43">
        <v>55.749000000000002</v>
      </c>
      <c r="M23" s="43">
        <v>56.567</v>
      </c>
      <c r="N23" s="43">
        <v>57.384999999999998</v>
      </c>
      <c r="O23" s="43">
        <v>58.203000000000003</v>
      </c>
      <c r="P23" s="43">
        <v>59.021000000000001</v>
      </c>
      <c r="Q23" s="43">
        <v>59.768599999999999</v>
      </c>
      <c r="R23" s="43">
        <v>60.516199999999998</v>
      </c>
      <c r="S23" s="43">
        <v>61.263800000000003</v>
      </c>
      <c r="T23" s="43">
        <v>62.011400000000002</v>
      </c>
      <c r="U23" s="43">
        <v>62.759</v>
      </c>
      <c r="V23" s="43">
        <v>63.475000000000001</v>
      </c>
      <c r="W23" s="43">
        <v>64.191000000000003</v>
      </c>
      <c r="X23" s="43">
        <v>64.906999999999996</v>
      </c>
      <c r="Y23" s="43">
        <v>65.623000000000005</v>
      </c>
      <c r="Z23" s="43">
        <v>66.338999999999999</v>
      </c>
      <c r="AA23" s="43">
        <v>66.861199999999997</v>
      </c>
      <c r="AB23" s="43">
        <v>67.383399999999995</v>
      </c>
      <c r="AC23" s="43">
        <v>67.905600000000007</v>
      </c>
      <c r="AD23" s="43">
        <v>68.427800000000005</v>
      </c>
      <c r="AE23" s="43">
        <v>68.95</v>
      </c>
      <c r="AF23" s="43">
        <v>69.443799999999996</v>
      </c>
      <c r="AG23" s="43">
        <v>69.937600000000003</v>
      </c>
      <c r="AH23" s="43">
        <v>70.431399999999996</v>
      </c>
      <c r="AI23" s="43">
        <v>70.925200000000004</v>
      </c>
      <c r="AJ23" s="43">
        <v>71.418999999999997</v>
      </c>
      <c r="AK23" s="43">
        <v>71.808800000000005</v>
      </c>
      <c r="AL23" s="43">
        <v>72.198599999999999</v>
      </c>
      <c r="AM23" s="43">
        <v>72.588399999999993</v>
      </c>
      <c r="AN23" s="43">
        <v>72.978200000000001</v>
      </c>
      <c r="AO23" s="43">
        <v>73.367999999999995</v>
      </c>
      <c r="AP23" s="43">
        <v>73.638800000000003</v>
      </c>
      <c r="AQ23" s="43">
        <v>73.909599999999998</v>
      </c>
      <c r="AR23" s="43">
        <v>74.180400000000006</v>
      </c>
      <c r="AS23" s="43">
        <v>74.4512</v>
      </c>
      <c r="AT23" s="43">
        <v>74.721999999999994</v>
      </c>
      <c r="AU23" s="43">
        <v>75.039199999999994</v>
      </c>
      <c r="AV23" s="43">
        <v>75.356399999999994</v>
      </c>
      <c r="AW23" s="43">
        <v>75.673599999999993</v>
      </c>
      <c r="AX23" s="43">
        <v>75.990799999999993</v>
      </c>
      <c r="AY23" s="43">
        <v>76.308000000000007</v>
      </c>
      <c r="AZ23" s="43">
        <v>76.611400000000003</v>
      </c>
      <c r="BA23" s="43">
        <v>76.9148</v>
      </c>
      <c r="BB23" s="43">
        <v>77.218199999999996</v>
      </c>
      <c r="BC23" s="43">
        <v>77.521600000000007</v>
      </c>
      <c r="BD23" s="43">
        <v>77.825000000000003</v>
      </c>
      <c r="BE23" s="43">
        <v>78.105800000000002</v>
      </c>
      <c r="BF23" s="43">
        <v>78.386600000000001</v>
      </c>
      <c r="BG23" s="43"/>
      <c r="BH23" s="44">
        <f t="shared" si="0"/>
        <v>61.592125925925927</v>
      </c>
      <c r="BI23" s="44">
        <f t="shared" si="1"/>
        <v>74.702839999999995</v>
      </c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</row>
    <row r="24" spans="1:95">
      <c r="A24" s="41">
        <v>56</v>
      </c>
      <c r="B24" s="41" t="s">
        <v>120</v>
      </c>
      <c r="C24" s="2">
        <v>2</v>
      </c>
      <c r="D24" s="2">
        <v>9900</v>
      </c>
      <c r="E24" s="2">
        <v>0</v>
      </c>
      <c r="F24" s="2">
        <v>65.040800000000004</v>
      </c>
      <c r="G24" s="43">
        <v>58.588200000000001</v>
      </c>
      <c r="H24" s="43">
        <v>58.775399999999998</v>
      </c>
      <c r="I24" s="43">
        <v>58.962600000000002</v>
      </c>
      <c r="J24" s="43">
        <v>59.149799999999999</v>
      </c>
      <c r="K24" s="43">
        <v>59.337000000000003</v>
      </c>
      <c r="L24" s="43">
        <v>59.522799999999997</v>
      </c>
      <c r="M24" s="43">
        <v>59.708599999999997</v>
      </c>
      <c r="N24" s="43">
        <v>59.894399999999997</v>
      </c>
      <c r="O24" s="43">
        <v>60.080199999999998</v>
      </c>
      <c r="P24" s="43">
        <v>60.265999999999998</v>
      </c>
      <c r="Q24" s="43">
        <v>61.057600000000001</v>
      </c>
      <c r="R24" s="43">
        <v>61.849200000000003</v>
      </c>
      <c r="S24" s="43">
        <v>62.640799999999999</v>
      </c>
      <c r="T24" s="43">
        <v>63.432400000000001</v>
      </c>
      <c r="U24" s="43">
        <v>64.224000000000004</v>
      </c>
      <c r="V24" s="43">
        <v>65.000399999999999</v>
      </c>
      <c r="W24" s="43">
        <v>65.776799999999994</v>
      </c>
      <c r="X24" s="43">
        <v>66.553200000000004</v>
      </c>
      <c r="Y24" s="43">
        <v>67.329599999999999</v>
      </c>
      <c r="Z24" s="43">
        <v>68.105999999999995</v>
      </c>
      <c r="AA24" s="43">
        <v>68.671400000000006</v>
      </c>
      <c r="AB24" s="43">
        <v>69.236800000000002</v>
      </c>
      <c r="AC24" s="43">
        <v>69.802199999999999</v>
      </c>
      <c r="AD24" s="43">
        <v>70.367599999999996</v>
      </c>
      <c r="AE24" s="43">
        <v>70.933000000000007</v>
      </c>
      <c r="AF24" s="43">
        <v>71.419200000000004</v>
      </c>
      <c r="AG24" s="43">
        <v>71.9054</v>
      </c>
      <c r="AH24" s="43">
        <v>72.391599999999997</v>
      </c>
      <c r="AI24" s="43">
        <v>72.877799999999993</v>
      </c>
      <c r="AJ24" s="43">
        <v>73.364000000000004</v>
      </c>
      <c r="AK24" s="43">
        <v>73.546599999999998</v>
      </c>
      <c r="AL24" s="43">
        <v>73.729200000000006</v>
      </c>
      <c r="AM24" s="43">
        <v>73.911799999999999</v>
      </c>
      <c r="AN24" s="43">
        <v>74.094399999999993</v>
      </c>
      <c r="AO24" s="43">
        <v>74.277000000000001</v>
      </c>
      <c r="AP24" s="43">
        <v>74.541600000000003</v>
      </c>
      <c r="AQ24" s="43">
        <v>74.806200000000004</v>
      </c>
      <c r="AR24" s="43">
        <v>75.070800000000006</v>
      </c>
      <c r="AS24" s="43">
        <v>75.335400000000007</v>
      </c>
      <c r="AT24" s="43">
        <v>75.599999999999994</v>
      </c>
      <c r="AU24" s="43">
        <v>75.599999999999994</v>
      </c>
      <c r="AV24" s="43">
        <v>75.599999999999994</v>
      </c>
      <c r="AW24" s="43">
        <v>75.599999999999994</v>
      </c>
      <c r="AX24" s="43">
        <v>75.599999999999994</v>
      </c>
      <c r="AY24" s="43">
        <v>75.599999999999994</v>
      </c>
      <c r="AZ24" s="43">
        <v>75.522999999999996</v>
      </c>
      <c r="BA24" s="43">
        <v>75.445999999999998</v>
      </c>
      <c r="BB24" s="43">
        <v>75.369</v>
      </c>
      <c r="BC24" s="43">
        <v>75.292000000000002</v>
      </c>
      <c r="BD24" s="43">
        <v>75.215000000000003</v>
      </c>
      <c r="BE24" s="43">
        <v>75.192999999999998</v>
      </c>
      <c r="BF24" s="43">
        <v>75.171000000000006</v>
      </c>
      <c r="BG24" s="43"/>
      <c r="BH24" s="44">
        <f t="shared" si="0"/>
        <v>64.170022222222229</v>
      </c>
      <c r="BI24" s="44">
        <f t="shared" si="1"/>
        <v>74.750215999999966</v>
      </c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</row>
    <row r="25" spans="1:95">
      <c r="A25" s="41">
        <v>11</v>
      </c>
      <c r="B25" s="41" t="s">
        <v>150</v>
      </c>
      <c r="C25" s="2">
        <v>2</v>
      </c>
      <c r="D25" s="2">
        <v>8559.8257470000008</v>
      </c>
      <c r="E25" s="2">
        <v>0</v>
      </c>
      <c r="F25" s="2">
        <v>80.962966666666659</v>
      </c>
      <c r="G25" s="43">
        <v>74.162599999999998</v>
      </c>
      <c r="H25" s="43">
        <v>74.714200000000005</v>
      </c>
      <c r="I25" s="43">
        <v>75.265799999999999</v>
      </c>
      <c r="J25" s="43">
        <v>75.817400000000006</v>
      </c>
      <c r="K25" s="43">
        <v>76.369</v>
      </c>
      <c r="L25" s="43">
        <v>76.871200000000002</v>
      </c>
      <c r="M25" s="43">
        <v>77.373400000000004</v>
      </c>
      <c r="N25" s="43">
        <v>77.875600000000006</v>
      </c>
      <c r="O25" s="43">
        <v>78.377799999999993</v>
      </c>
      <c r="P25" s="43">
        <v>78.88</v>
      </c>
      <c r="Q25" s="43">
        <v>79.297799999999995</v>
      </c>
      <c r="R25" s="43">
        <v>79.715599999999995</v>
      </c>
      <c r="S25" s="43">
        <v>80.133399999999995</v>
      </c>
      <c r="T25" s="43">
        <v>80.551199999999994</v>
      </c>
      <c r="U25" s="43">
        <v>80.968999999999994</v>
      </c>
      <c r="V25" s="43">
        <v>81.352599999999995</v>
      </c>
      <c r="W25" s="43">
        <v>81.736199999999997</v>
      </c>
      <c r="X25" s="43">
        <v>82.119799999999998</v>
      </c>
      <c r="Y25" s="43">
        <v>82.503399999999999</v>
      </c>
      <c r="Z25" s="43">
        <v>82.887</v>
      </c>
      <c r="AA25" s="43">
        <v>83.3172</v>
      </c>
      <c r="AB25" s="43">
        <v>83.747399999999999</v>
      </c>
      <c r="AC25" s="43">
        <v>84.177599999999998</v>
      </c>
      <c r="AD25" s="43">
        <v>84.607799999999997</v>
      </c>
      <c r="AE25" s="43">
        <v>85.037999999999997</v>
      </c>
      <c r="AF25" s="43">
        <v>85.427199999999999</v>
      </c>
      <c r="AG25" s="43">
        <v>85.816400000000002</v>
      </c>
      <c r="AH25" s="43">
        <v>86.205600000000004</v>
      </c>
      <c r="AI25" s="43">
        <v>86.594800000000006</v>
      </c>
      <c r="AJ25" s="43">
        <v>86.983999999999995</v>
      </c>
      <c r="AK25" s="43">
        <v>87.317999999999998</v>
      </c>
      <c r="AL25" s="43">
        <v>87.652000000000001</v>
      </c>
      <c r="AM25" s="43">
        <v>87.986000000000004</v>
      </c>
      <c r="AN25" s="43">
        <v>88.32</v>
      </c>
      <c r="AO25" s="43">
        <v>88.653999999999996</v>
      </c>
      <c r="AP25" s="43">
        <v>88.9482</v>
      </c>
      <c r="AQ25" s="43">
        <v>89.242400000000004</v>
      </c>
      <c r="AR25" s="43">
        <v>89.536600000000007</v>
      </c>
      <c r="AS25" s="43">
        <v>89.830799999999996</v>
      </c>
      <c r="AT25" s="43">
        <v>90.125</v>
      </c>
      <c r="AU25" s="43">
        <v>90.376400000000004</v>
      </c>
      <c r="AV25" s="43">
        <v>90.627799999999993</v>
      </c>
      <c r="AW25" s="43">
        <v>90.879199999999997</v>
      </c>
      <c r="AX25" s="43">
        <v>91.130600000000001</v>
      </c>
      <c r="AY25" s="43">
        <v>91.382000000000005</v>
      </c>
      <c r="AZ25" s="43">
        <v>91.575400000000002</v>
      </c>
      <c r="BA25" s="43">
        <v>91.768799999999999</v>
      </c>
      <c r="BB25" s="43">
        <v>91.962199999999996</v>
      </c>
      <c r="BC25" s="43">
        <v>92.155600000000007</v>
      </c>
      <c r="BD25" s="43">
        <v>92.349000000000004</v>
      </c>
      <c r="BE25" s="43">
        <v>92.494799999999998</v>
      </c>
      <c r="BF25" s="43">
        <v>92.640600000000006</v>
      </c>
      <c r="BG25" s="43"/>
      <c r="BH25" s="44">
        <f t="shared" si="0"/>
        <v>80.337207407407391</v>
      </c>
      <c r="BI25" s="44">
        <f t="shared" si="1"/>
        <v>89.869592000000011</v>
      </c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</row>
    <row r="26" spans="1:95">
      <c r="A26" s="41">
        <v>180</v>
      </c>
      <c r="B26" s="41" t="s">
        <v>38</v>
      </c>
      <c r="C26" s="2">
        <v>2</v>
      </c>
      <c r="D26" s="2">
        <v>8459.8775929999993</v>
      </c>
      <c r="E26" s="2">
        <v>0</v>
      </c>
      <c r="F26" s="2">
        <v>43.695299999999996</v>
      </c>
      <c r="G26" s="43">
        <v>34.906599999999997</v>
      </c>
      <c r="H26" s="43">
        <v>35.604199999999999</v>
      </c>
      <c r="I26" s="43">
        <v>36.3018</v>
      </c>
      <c r="J26" s="43">
        <v>36.999400000000001</v>
      </c>
      <c r="K26" s="43">
        <v>37.697000000000003</v>
      </c>
      <c r="L26" s="43">
        <v>38.221400000000003</v>
      </c>
      <c r="M26" s="43">
        <v>38.745800000000003</v>
      </c>
      <c r="N26" s="43">
        <v>39.270200000000003</v>
      </c>
      <c r="O26" s="43">
        <v>39.794600000000003</v>
      </c>
      <c r="P26" s="43">
        <v>40.319000000000003</v>
      </c>
      <c r="Q26" s="43">
        <v>40.821399999999997</v>
      </c>
      <c r="R26" s="43">
        <v>41.323799999999999</v>
      </c>
      <c r="S26" s="43">
        <v>41.8262</v>
      </c>
      <c r="T26" s="43">
        <v>42.328600000000002</v>
      </c>
      <c r="U26" s="43">
        <v>42.831000000000003</v>
      </c>
      <c r="V26" s="43">
        <v>43.4788</v>
      </c>
      <c r="W26" s="43">
        <v>44.126600000000003</v>
      </c>
      <c r="X26" s="43">
        <v>44.7744</v>
      </c>
      <c r="Y26" s="43">
        <v>45.422199999999997</v>
      </c>
      <c r="Z26" s="43">
        <v>46.07</v>
      </c>
      <c r="AA26" s="43">
        <v>46.784199999999998</v>
      </c>
      <c r="AB26" s="43">
        <v>47.498399999999997</v>
      </c>
      <c r="AC26" s="43">
        <v>48.212600000000002</v>
      </c>
      <c r="AD26" s="43">
        <v>48.9268</v>
      </c>
      <c r="AE26" s="43">
        <v>49.640999999999998</v>
      </c>
      <c r="AF26" s="43">
        <v>50.356200000000001</v>
      </c>
      <c r="AG26" s="43">
        <v>51.071399999999997</v>
      </c>
      <c r="AH26" s="43">
        <v>51.7866</v>
      </c>
      <c r="AI26" s="43">
        <v>52.501800000000003</v>
      </c>
      <c r="AJ26" s="43">
        <v>53.216999999999999</v>
      </c>
      <c r="AK26" s="43">
        <v>53.327399999999997</v>
      </c>
      <c r="AL26" s="43">
        <v>53.437800000000003</v>
      </c>
      <c r="AM26" s="43">
        <v>53.548200000000001</v>
      </c>
      <c r="AN26" s="43">
        <v>53.6586</v>
      </c>
      <c r="AO26" s="43">
        <v>53.768999999999998</v>
      </c>
      <c r="AP26" s="43">
        <v>53.616</v>
      </c>
      <c r="AQ26" s="43">
        <v>53.463000000000001</v>
      </c>
      <c r="AR26" s="43">
        <v>53.31</v>
      </c>
      <c r="AS26" s="43">
        <v>53.156999999999996</v>
      </c>
      <c r="AT26" s="43">
        <v>53.003999999999998</v>
      </c>
      <c r="AU26" s="43">
        <v>52.955599999999997</v>
      </c>
      <c r="AV26" s="43">
        <v>52.907200000000003</v>
      </c>
      <c r="AW26" s="43">
        <v>52.858800000000002</v>
      </c>
      <c r="AX26" s="43">
        <v>52.810400000000001</v>
      </c>
      <c r="AY26" s="43">
        <v>52.762</v>
      </c>
      <c r="AZ26" s="43">
        <v>52.768000000000001</v>
      </c>
      <c r="BA26" s="43">
        <v>52.774000000000001</v>
      </c>
      <c r="BB26" s="43">
        <v>52.78</v>
      </c>
      <c r="BC26" s="43">
        <v>52.786000000000001</v>
      </c>
      <c r="BD26" s="43">
        <v>52.792000000000002</v>
      </c>
      <c r="BE26" s="43">
        <v>52.820799999999998</v>
      </c>
      <c r="BF26" s="43">
        <v>52.849600000000002</v>
      </c>
      <c r="BG26" s="43"/>
      <c r="BH26" s="44">
        <f t="shared" si="0"/>
        <v>42.716799999999999</v>
      </c>
      <c r="BI26" s="44">
        <f t="shared" si="1"/>
        <v>53.026431999999993</v>
      </c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</row>
    <row r="27" spans="1:95">
      <c r="A27" s="41">
        <v>201</v>
      </c>
      <c r="B27" s="41" t="s">
        <v>28</v>
      </c>
      <c r="C27" s="2">
        <v>2</v>
      </c>
      <c r="D27" s="2">
        <v>8332.619616</v>
      </c>
      <c r="E27" s="2">
        <v>0</v>
      </c>
      <c r="F27" s="2">
        <v>48.472133333333332</v>
      </c>
      <c r="G27" s="43">
        <v>46.744799999999998</v>
      </c>
      <c r="H27" s="43">
        <v>46.870600000000003</v>
      </c>
      <c r="I27" s="43">
        <v>46.996400000000001</v>
      </c>
      <c r="J27" s="43">
        <v>47.122199999999999</v>
      </c>
      <c r="K27" s="43">
        <v>47.247999999999998</v>
      </c>
      <c r="L27" s="43">
        <v>47.360199999999999</v>
      </c>
      <c r="M27" s="43">
        <v>47.4724</v>
      </c>
      <c r="N27" s="43">
        <v>47.584600000000002</v>
      </c>
      <c r="O27" s="43">
        <v>47.696800000000003</v>
      </c>
      <c r="P27" s="43">
        <v>47.808999999999997</v>
      </c>
      <c r="Q27" s="43">
        <v>47.869</v>
      </c>
      <c r="R27" s="43">
        <v>47.929000000000002</v>
      </c>
      <c r="S27" s="43">
        <v>47.988999999999997</v>
      </c>
      <c r="T27" s="43">
        <v>48.048999999999999</v>
      </c>
      <c r="U27" s="43">
        <v>48.109000000000002</v>
      </c>
      <c r="V27" s="43">
        <v>48.172199999999997</v>
      </c>
      <c r="W27" s="43">
        <v>48.235399999999998</v>
      </c>
      <c r="X27" s="43">
        <v>48.2986</v>
      </c>
      <c r="Y27" s="43">
        <v>48.361800000000002</v>
      </c>
      <c r="Z27" s="43">
        <v>48.424999999999997</v>
      </c>
      <c r="AA27" s="43">
        <v>48.614400000000003</v>
      </c>
      <c r="AB27" s="43">
        <v>48.803800000000003</v>
      </c>
      <c r="AC27" s="43">
        <v>48.993200000000002</v>
      </c>
      <c r="AD27" s="43">
        <v>49.182600000000001</v>
      </c>
      <c r="AE27" s="43">
        <v>49.372</v>
      </c>
      <c r="AF27" s="43">
        <v>49.905000000000001</v>
      </c>
      <c r="AG27" s="43">
        <v>50.438000000000002</v>
      </c>
      <c r="AH27" s="43">
        <v>50.970999999999997</v>
      </c>
      <c r="AI27" s="43">
        <v>51.503999999999998</v>
      </c>
      <c r="AJ27" s="43">
        <v>52.036999999999999</v>
      </c>
      <c r="AK27" s="43">
        <v>52.526800000000001</v>
      </c>
      <c r="AL27" s="43">
        <v>53.016599999999997</v>
      </c>
      <c r="AM27" s="43">
        <v>53.506399999999999</v>
      </c>
      <c r="AN27" s="43">
        <v>53.996200000000002</v>
      </c>
      <c r="AO27" s="43">
        <v>54.485999999999997</v>
      </c>
      <c r="AP27" s="43">
        <v>54.966999999999999</v>
      </c>
      <c r="AQ27" s="43">
        <v>55.448</v>
      </c>
      <c r="AR27" s="43">
        <v>55.929000000000002</v>
      </c>
      <c r="AS27" s="43">
        <v>56.41</v>
      </c>
      <c r="AT27" s="43">
        <v>56.890999999999998</v>
      </c>
      <c r="AU27" s="43">
        <v>57.363999999999997</v>
      </c>
      <c r="AV27" s="43">
        <v>57.837000000000003</v>
      </c>
      <c r="AW27" s="43">
        <v>58.31</v>
      </c>
      <c r="AX27" s="43">
        <v>58.783000000000001</v>
      </c>
      <c r="AY27" s="43">
        <v>59.256</v>
      </c>
      <c r="AZ27" s="43">
        <v>59.713999999999999</v>
      </c>
      <c r="BA27" s="43">
        <v>60.171999999999997</v>
      </c>
      <c r="BB27" s="43">
        <v>60.63</v>
      </c>
      <c r="BC27" s="43">
        <v>61.088000000000001</v>
      </c>
      <c r="BD27" s="43">
        <v>61.545999999999999</v>
      </c>
      <c r="BE27" s="43">
        <v>61.986800000000002</v>
      </c>
      <c r="BF27" s="43">
        <v>62.427599999999998</v>
      </c>
      <c r="BG27" s="43"/>
      <c r="BH27" s="44">
        <f t="shared" si="0"/>
        <v>48.135259259259264</v>
      </c>
      <c r="BI27" s="44">
        <f t="shared" si="1"/>
        <v>56.832135999999991</v>
      </c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</row>
    <row r="28" spans="1:95">
      <c r="A28" s="41">
        <v>175</v>
      </c>
      <c r="B28" s="41" t="s">
        <v>42</v>
      </c>
      <c r="C28" s="2">
        <v>2</v>
      </c>
      <c r="D28" s="2">
        <v>8180.373071</v>
      </c>
      <c r="E28" s="2">
        <v>0</v>
      </c>
      <c r="F28" s="2">
        <v>55.246299999999998</v>
      </c>
      <c r="G28" s="43">
        <v>48.338799999999999</v>
      </c>
      <c r="H28" s="43">
        <v>48.785600000000002</v>
      </c>
      <c r="I28" s="43">
        <v>49.232399999999998</v>
      </c>
      <c r="J28" s="43">
        <v>49.679200000000002</v>
      </c>
      <c r="K28" s="43">
        <v>50.125999999999998</v>
      </c>
      <c r="L28" s="43">
        <v>50.525799999999997</v>
      </c>
      <c r="M28" s="43">
        <v>50.925600000000003</v>
      </c>
      <c r="N28" s="43">
        <v>51.325400000000002</v>
      </c>
      <c r="O28" s="43">
        <v>51.725200000000001</v>
      </c>
      <c r="P28" s="43">
        <v>52.125</v>
      </c>
      <c r="Q28" s="43">
        <v>52.756</v>
      </c>
      <c r="R28" s="43">
        <v>53.387</v>
      </c>
      <c r="S28" s="43">
        <v>54.018000000000001</v>
      </c>
      <c r="T28" s="43">
        <v>54.649000000000001</v>
      </c>
      <c r="U28" s="43">
        <v>55.28</v>
      </c>
      <c r="V28" s="43">
        <v>55.841200000000001</v>
      </c>
      <c r="W28" s="43">
        <v>56.4024</v>
      </c>
      <c r="X28" s="43">
        <v>56.9636</v>
      </c>
      <c r="Y28" s="43">
        <v>57.524799999999999</v>
      </c>
      <c r="Z28" s="43">
        <v>58.085999999999999</v>
      </c>
      <c r="AA28" s="43">
        <v>58.4572</v>
      </c>
      <c r="AB28" s="43">
        <v>58.828400000000002</v>
      </c>
      <c r="AC28" s="43">
        <v>59.199599999999997</v>
      </c>
      <c r="AD28" s="43">
        <v>59.570799999999998</v>
      </c>
      <c r="AE28" s="43">
        <v>59.942</v>
      </c>
      <c r="AF28" s="43">
        <v>60.207599999999999</v>
      </c>
      <c r="AG28" s="43">
        <v>60.473199999999999</v>
      </c>
      <c r="AH28" s="43">
        <v>60.738799999999998</v>
      </c>
      <c r="AI28" s="43">
        <v>61.004399999999997</v>
      </c>
      <c r="AJ28" s="43">
        <v>61.27</v>
      </c>
      <c r="AK28" s="43">
        <v>61.314599999999999</v>
      </c>
      <c r="AL28" s="43">
        <v>61.359200000000001</v>
      </c>
      <c r="AM28" s="43">
        <v>61.403799999999997</v>
      </c>
      <c r="AN28" s="43">
        <v>61.448399999999999</v>
      </c>
      <c r="AO28" s="43">
        <v>61.493000000000002</v>
      </c>
      <c r="AP28" s="43">
        <v>61.537599999999998</v>
      </c>
      <c r="AQ28" s="43">
        <v>61.5822</v>
      </c>
      <c r="AR28" s="43">
        <v>61.626800000000003</v>
      </c>
      <c r="AS28" s="43">
        <v>61.671399999999998</v>
      </c>
      <c r="AT28" s="43">
        <v>61.716000000000001</v>
      </c>
      <c r="AU28" s="43">
        <v>61.664000000000001</v>
      </c>
      <c r="AV28" s="43">
        <v>61.612000000000002</v>
      </c>
      <c r="AW28" s="43">
        <v>61.56</v>
      </c>
      <c r="AX28" s="43">
        <v>61.508000000000003</v>
      </c>
      <c r="AY28" s="43">
        <v>61.456000000000003</v>
      </c>
      <c r="AZ28" s="43">
        <v>61.3538</v>
      </c>
      <c r="BA28" s="43">
        <v>61.251600000000003</v>
      </c>
      <c r="BB28" s="43">
        <v>61.1494</v>
      </c>
      <c r="BC28" s="43">
        <v>61.047199999999997</v>
      </c>
      <c r="BD28" s="43">
        <v>60.945</v>
      </c>
      <c r="BE28" s="43">
        <v>60.894799999999996</v>
      </c>
      <c r="BF28" s="43">
        <v>60.8446</v>
      </c>
      <c r="BG28" s="43"/>
      <c r="BH28" s="44">
        <f t="shared" si="0"/>
        <v>54.606511111111104</v>
      </c>
      <c r="BI28" s="44">
        <f t="shared" si="1"/>
        <v>61.338103999999994</v>
      </c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</row>
    <row r="29" spans="1:95">
      <c r="A29" s="41">
        <v>117</v>
      </c>
      <c r="B29" s="41" t="s">
        <v>81</v>
      </c>
      <c r="C29" s="2">
        <v>2</v>
      </c>
      <c r="D29" s="2">
        <v>7909.6841000000004</v>
      </c>
      <c r="E29" s="2">
        <v>0</v>
      </c>
      <c r="F29" s="2">
        <v>49.679066666666664</v>
      </c>
      <c r="G29" s="43">
        <v>28.638200000000001</v>
      </c>
      <c r="H29" s="43">
        <v>29.566400000000002</v>
      </c>
      <c r="I29" s="43">
        <v>30.494599999999998</v>
      </c>
      <c r="J29" s="43">
        <v>31.422799999999999</v>
      </c>
      <c r="K29" s="43">
        <v>32.350999999999999</v>
      </c>
      <c r="L29" s="43">
        <v>34.021599999999999</v>
      </c>
      <c r="M29" s="43">
        <v>35.6922</v>
      </c>
      <c r="N29" s="43">
        <v>37.3628</v>
      </c>
      <c r="O29" s="43">
        <v>39.0334</v>
      </c>
      <c r="P29" s="43">
        <v>40.704000000000001</v>
      </c>
      <c r="Q29" s="43">
        <v>42.169800000000002</v>
      </c>
      <c r="R29" s="43">
        <v>43.635599999999997</v>
      </c>
      <c r="S29" s="43">
        <v>45.101399999999998</v>
      </c>
      <c r="T29" s="43">
        <v>46.5672</v>
      </c>
      <c r="U29" s="43">
        <v>48.033000000000001</v>
      </c>
      <c r="V29" s="43">
        <v>49.770400000000002</v>
      </c>
      <c r="W29" s="43">
        <v>51.507800000000003</v>
      </c>
      <c r="X29" s="43">
        <v>53.245199999999997</v>
      </c>
      <c r="Y29" s="43">
        <v>54.982599999999998</v>
      </c>
      <c r="Z29" s="43">
        <v>56.72</v>
      </c>
      <c r="AA29" s="43">
        <v>58.351199999999999</v>
      </c>
      <c r="AB29" s="43">
        <v>59.982399999999998</v>
      </c>
      <c r="AC29" s="43">
        <v>61.613599999999998</v>
      </c>
      <c r="AD29" s="43">
        <v>63.244799999999998</v>
      </c>
      <c r="AE29" s="43">
        <v>64.876000000000005</v>
      </c>
      <c r="AF29" s="43">
        <v>66.669600000000003</v>
      </c>
      <c r="AG29" s="43">
        <v>68.463200000000001</v>
      </c>
      <c r="AH29" s="43">
        <v>70.256799999999998</v>
      </c>
      <c r="AI29" s="43">
        <v>72.050399999999996</v>
      </c>
      <c r="AJ29" s="43">
        <v>73.843999999999994</v>
      </c>
      <c r="AK29" s="43">
        <v>74.722999999999999</v>
      </c>
      <c r="AL29" s="43">
        <v>75.602000000000004</v>
      </c>
      <c r="AM29" s="43">
        <v>76.480999999999995</v>
      </c>
      <c r="AN29" s="43">
        <v>77.36</v>
      </c>
      <c r="AO29" s="43">
        <v>78.239000000000004</v>
      </c>
      <c r="AP29" s="43">
        <v>78.5154</v>
      </c>
      <c r="AQ29" s="43">
        <v>78.791799999999995</v>
      </c>
      <c r="AR29" s="43">
        <v>79.068200000000004</v>
      </c>
      <c r="AS29" s="43">
        <v>79.3446</v>
      </c>
      <c r="AT29" s="43">
        <v>79.620999999999995</v>
      </c>
      <c r="AU29" s="43">
        <v>79.965800000000002</v>
      </c>
      <c r="AV29" s="43">
        <v>80.310599999999994</v>
      </c>
      <c r="AW29" s="43">
        <v>80.6554</v>
      </c>
      <c r="AX29" s="43">
        <v>81.000200000000007</v>
      </c>
      <c r="AY29" s="43">
        <v>81.344999999999999</v>
      </c>
      <c r="AZ29" s="43">
        <v>81.662599999999998</v>
      </c>
      <c r="BA29" s="43">
        <v>81.980199999999996</v>
      </c>
      <c r="BB29" s="43">
        <v>82.297799999999995</v>
      </c>
      <c r="BC29" s="43">
        <v>82.615399999999994</v>
      </c>
      <c r="BD29" s="43">
        <v>82.933000000000007</v>
      </c>
      <c r="BE29" s="43">
        <v>83.200800000000001</v>
      </c>
      <c r="BF29" s="43">
        <v>83.468599999999995</v>
      </c>
      <c r="BH29" s="44">
        <f t="shared" si="0"/>
        <v>47.193362962962958</v>
      </c>
      <c r="BI29" s="44">
        <f t="shared" si="1"/>
        <v>79.013304000000005</v>
      </c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</row>
    <row r="30" spans="1:95">
      <c r="A30" s="41">
        <v>31</v>
      </c>
      <c r="B30" s="41" t="s">
        <v>137</v>
      </c>
      <c r="C30" s="2">
        <v>2</v>
      </c>
      <c r="D30" s="2">
        <v>7199.390187</v>
      </c>
      <c r="E30" s="2">
        <v>0</v>
      </c>
      <c r="F30" s="2">
        <v>60.978966666666665</v>
      </c>
      <c r="G30" s="43">
        <v>47.118600000000001</v>
      </c>
      <c r="H30" s="43">
        <v>48.098199999999999</v>
      </c>
      <c r="I30" s="43">
        <v>49.077800000000003</v>
      </c>
      <c r="J30" s="43">
        <v>50.057400000000001</v>
      </c>
      <c r="K30" s="43">
        <v>51.036999999999999</v>
      </c>
      <c r="L30" s="43">
        <v>52.011400000000002</v>
      </c>
      <c r="M30" s="43">
        <v>52.985799999999998</v>
      </c>
      <c r="N30" s="43">
        <v>53.9602</v>
      </c>
      <c r="O30" s="43">
        <v>54.934600000000003</v>
      </c>
      <c r="P30" s="43">
        <v>55.908999999999999</v>
      </c>
      <c r="Q30" s="43">
        <v>56.884999999999998</v>
      </c>
      <c r="R30" s="43">
        <v>57.860999999999997</v>
      </c>
      <c r="S30" s="43">
        <v>58.837000000000003</v>
      </c>
      <c r="T30" s="43">
        <v>59.813000000000002</v>
      </c>
      <c r="U30" s="43">
        <v>60.789000000000001</v>
      </c>
      <c r="V30" s="43">
        <v>61.724800000000002</v>
      </c>
      <c r="W30" s="43">
        <v>62.660600000000002</v>
      </c>
      <c r="X30" s="43">
        <v>63.596400000000003</v>
      </c>
      <c r="Y30" s="43">
        <v>64.532200000000003</v>
      </c>
      <c r="Z30" s="43">
        <v>65.468000000000004</v>
      </c>
      <c r="AA30" s="43">
        <v>66.346800000000002</v>
      </c>
      <c r="AB30" s="43">
        <v>67.2256</v>
      </c>
      <c r="AC30" s="43">
        <v>68.104399999999998</v>
      </c>
      <c r="AD30" s="43">
        <v>68.983199999999997</v>
      </c>
      <c r="AE30" s="43">
        <v>69.861999999999995</v>
      </c>
      <c r="AF30" s="43">
        <v>70.674000000000007</v>
      </c>
      <c r="AG30" s="43">
        <v>71.486000000000004</v>
      </c>
      <c r="AH30" s="43">
        <v>72.298000000000002</v>
      </c>
      <c r="AI30" s="43">
        <v>73.11</v>
      </c>
      <c r="AJ30" s="43">
        <v>73.921999999999997</v>
      </c>
      <c r="AK30" s="43">
        <v>74.659599999999998</v>
      </c>
      <c r="AL30" s="43">
        <v>75.397199999999998</v>
      </c>
      <c r="AM30" s="43">
        <v>76.134799999999998</v>
      </c>
      <c r="AN30" s="43">
        <v>76.872399999999999</v>
      </c>
      <c r="AO30" s="43">
        <v>77.61</v>
      </c>
      <c r="AP30" s="43">
        <v>78.326400000000007</v>
      </c>
      <c r="AQ30" s="43">
        <v>79.0428</v>
      </c>
      <c r="AR30" s="43">
        <v>79.759200000000007</v>
      </c>
      <c r="AS30" s="43">
        <v>80.4756</v>
      </c>
      <c r="AT30" s="43">
        <v>81.191999999999993</v>
      </c>
      <c r="AU30" s="43">
        <v>81.520399999999995</v>
      </c>
      <c r="AV30" s="43">
        <v>81.848799999999997</v>
      </c>
      <c r="AW30" s="43">
        <v>82.177199999999999</v>
      </c>
      <c r="AX30" s="43">
        <v>82.505600000000001</v>
      </c>
      <c r="AY30" s="43">
        <v>82.834000000000003</v>
      </c>
      <c r="AZ30" s="43">
        <v>83.134200000000007</v>
      </c>
      <c r="BA30" s="43">
        <v>83.434399999999997</v>
      </c>
      <c r="BB30" s="43">
        <v>83.7346</v>
      </c>
      <c r="BC30" s="43">
        <v>84.034800000000004</v>
      </c>
      <c r="BD30" s="43">
        <v>84.334999999999994</v>
      </c>
      <c r="BE30" s="43">
        <v>84.603200000000001</v>
      </c>
      <c r="BF30" s="43">
        <v>84.871399999999994</v>
      </c>
      <c r="BG30" s="43"/>
      <c r="BH30" s="44">
        <f t="shared" si="0"/>
        <v>59.631074074074071</v>
      </c>
      <c r="BI30" s="44">
        <f t="shared" si="1"/>
        <v>79.913344000000009</v>
      </c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</row>
    <row r="31" spans="1:95">
      <c r="A31" s="41">
        <v>34</v>
      </c>
      <c r="B31" s="41" t="s">
        <v>136</v>
      </c>
      <c r="C31" s="2">
        <v>2</v>
      </c>
      <c r="D31" s="2">
        <v>7087.3317299999999</v>
      </c>
      <c r="E31" s="2">
        <v>0</v>
      </c>
      <c r="F31" s="2">
        <v>56.162200000000006</v>
      </c>
      <c r="G31" s="43">
        <v>38.831000000000003</v>
      </c>
      <c r="H31" s="43">
        <v>40.561999999999998</v>
      </c>
      <c r="I31" s="43">
        <v>42.292999999999999</v>
      </c>
      <c r="J31" s="43">
        <v>44.024000000000001</v>
      </c>
      <c r="K31" s="43">
        <v>45.755000000000003</v>
      </c>
      <c r="L31" s="43">
        <v>47.064</v>
      </c>
      <c r="M31" s="43">
        <v>48.372999999999998</v>
      </c>
      <c r="N31" s="43">
        <v>49.682000000000002</v>
      </c>
      <c r="O31" s="43">
        <v>50.991</v>
      </c>
      <c r="P31" s="43">
        <v>52.3</v>
      </c>
      <c r="Q31" s="43">
        <v>53.352400000000003</v>
      </c>
      <c r="R31" s="43">
        <v>54.404800000000002</v>
      </c>
      <c r="S31" s="43">
        <v>55.4572</v>
      </c>
      <c r="T31" s="43">
        <v>56.509599999999999</v>
      </c>
      <c r="U31" s="43">
        <v>57.561999999999998</v>
      </c>
      <c r="V31" s="43">
        <v>58.4696</v>
      </c>
      <c r="W31" s="43">
        <v>59.377200000000002</v>
      </c>
      <c r="X31" s="43">
        <v>60.284799999999997</v>
      </c>
      <c r="Y31" s="43">
        <v>61.192399999999999</v>
      </c>
      <c r="Z31" s="43">
        <v>62.1</v>
      </c>
      <c r="AA31" s="43">
        <v>62.597999999999999</v>
      </c>
      <c r="AB31" s="43">
        <v>63.095999999999997</v>
      </c>
      <c r="AC31" s="43">
        <v>63.594000000000001</v>
      </c>
      <c r="AD31" s="43">
        <v>64.091999999999999</v>
      </c>
      <c r="AE31" s="43">
        <v>64.59</v>
      </c>
      <c r="AF31" s="43">
        <v>64.947400000000002</v>
      </c>
      <c r="AG31" s="43">
        <v>65.3048</v>
      </c>
      <c r="AH31" s="43">
        <v>65.662199999999999</v>
      </c>
      <c r="AI31" s="43">
        <v>66.019599999999997</v>
      </c>
      <c r="AJ31" s="43">
        <v>66.376999999999995</v>
      </c>
      <c r="AK31" s="43">
        <v>66.658000000000001</v>
      </c>
      <c r="AL31" s="43">
        <v>66.938999999999993</v>
      </c>
      <c r="AM31" s="43">
        <v>67.22</v>
      </c>
      <c r="AN31" s="43">
        <v>67.501000000000005</v>
      </c>
      <c r="AO31" s="43">
        <v>67.781999999999996</v>
      </c>
      <c r="AP31" s="43">
        <v>68.005399999999995</v>
      </c>
      <c r="AQ31" s="43">
        <v>68.228800000000007</v>
      </c>
      <c r="AR31" s="43">
        <v>68.452200000000005</v>
      </c>
      <c r="AS31" s="43">
        <v>68.675600000000003</v>
      </c>
      <c r="AT31" s="43">
        <v>68.899000000000001</v>
      </c>
      <c r="AU31" s="43">
        <v>69.155000000000001</v>
      </c>
      <c r="AV31" s="43">
        <v>69.411000000000001</v>
      </c>
      <c r="AW31" s="43">
        <v>69.667000000000002</v>
      </c>
      <c r="AX31" s="43">
        <v>69.923000000000002</v>
      </c>
      <c r="AY31" s="43">
        <v>70.179000000000002</v>
      </c>
      <c r="AZ31" s="43">
        <v>70.647999999999996</v>
      </c>
      <c r="BA31" s="43">
        <v>71.117000000000004</v>
      </c>
      <c r="BB31" s="43">
        <v>71.585999999999999</v>
      </c>
      <c r="BC31" s="43">
        <v>72.055000000000007</v>
      </c>
      <c r="BD31" s="43">
        <v>72.524000000000001</v>
      </c>
      <c r="BE31" s="43">
        <v>73.081599999999995</v>
      </c>
      <c r="BF31" s="43">
        <v>73.639200000000002</v>
      </c>
      <c r="BG31" s="43"/>
      <c r="BH31" s="44">
        <f t="shared" si="0"/>
        <v>55.066933333333338</v>
      </c>
      <c r="BI31" s="44">
        <f t="shared" si="1"/>
        <v>69.176224000000005</v>
      </c>
    </row>
    <row r="32" spans="1:95">
      <c r="A32" s="41">
        <v>232</v>
      </c>
      <c r="B32" s="41" t="s">
        <v>6</v>
      </c>
      <c r="C32" s="2">
        <v>2</v>
      </c>
      <c r="D32" s="2">
        <v>6956.3323010000004</v>
      </c>
      <c r="E32" s="2">
        <v>0</v>
      </c>
      <c r="F32" s="2">
        <v>84.191866666666641</v>
      </c>
      <c r="G32" s="43">
        <v>80.458399999999997</v>
      </c>
      <c r="H32" s="43">
        <v>80.675799999999995</v>
      </c>
      <c r="I32" s="43">
        <v>80.893199999999993</v>
      </c>
      <c r="J32" s="43">
        <v>81.110600000000005</v>
      </c>
      <c r="K32" s="43">
        <v>81.328000000000003</v>
      </c>
      <c r="L32" s="43">
        <v>81.536000000000001</v>
      </c>
      <c r="M32" s="43">
        <v>81.744</v>
      </c>
      <c r="N32" s="43">
        <v>81.951999999999998</v>
      </c>
      <c r="O32" s="43">
        <v>82.16</v>
      </c>
      <c r="P32" s="43">
        <v>82.367999999999995</v>
      </c>
      <c r="Q32" s="43">
        <v>82.571799999999996</v>
      </c>
      <c r="R32" s="43">
        <v>82.775599999999997</v>
      </c>
      <c r="S32" s="43">
        <v>82.979399999999998</v>
      </c>
      <c r="T32" s="43">
        <v>83.183199999999999</v>
      </c>
      <c r="U32" s="43">
        <v>83.387</v>
      </c>
      <c r="V32" s="43">
        <v>83.788399999999996</v>
      </c>
      <c r="W32" s="43">
        <v>84.189800000000005</v>
      </c>
      <c r="X32" s="43">
        <v>84.591200000000001</v>
      </c>
      <c r="Y32" s="43">
        <v>84.992599999999996</v>
      </c>
      <c r="Z32" s="43">
        <v>85.394000000000005</v>
      </c>
      <c r="AA32" s="43">
        <v>85.754000000000005</v>
      </c>
      <c r="AB32" s="43">
        <v>86.114000000000004</v>
      </c>
      <c r="AC32" s="43">
        <v>86.474000000000004</v>
      </c>
      <c r="AD32" s="43">
        <v>86.834000000000003</v>
      </c>
      <c r="AE32" s="43">
        <v>87.194000000000003</v>
      </c>
      <c r="AF32" s="43">
        <v>87.549800000000005</v>
      </c>
      <c r="AG32" s="43">
        <v>87.905600000000007</v>
      </c>
      <c r="AH32" s="43">
        <v>88.261399999999995</v>
      </c>
      <c r="AI32" s="43">
        <v>88.617199999999997</v>
      </c>
      <c r="AJ32" s="43">
        <v>88.972999999999999</v>
      </c>
      <c r="AK32" s="43">
        <v>89.286799999999999</v>
      </c>
      <c r="AL32" s="43">
        <v>89.6006</v>
      </c>
      <c r="AM32" s="43">
        <v>89.914400000000001</v>
      </c>
      <c r="AN32" s="43">
        <v>90.228200000000001</v>
      </c>
      <c r="AO32" s="43">
        <v>90.542000000000002</v>
      </c>
      <c r="AP32" s="43">
        <v>90.698599999999999</v>
      </c>
      <c r="AQ32" s="43">
        <v>90.855199999999996</v>
      </c>
      <c r="AR32" s="43">
        <v>91.011799999999994</v>
      </c>
      <c r="AS32" s="43">
        <v>91.168400000000005</v>
      </c>
      <c r="AT32" s="43">
        <v>91.325000000000003</v>
      </c>
      <c r="AU32" s="43">
        <v>91.444999999999993</v>
      </c>
      <c r="AV32" s="43">
        <v>91.564999999999998</v>
      </c>
      <c r="AW32" s="43">
        <v>91.685000000000002</v>
      </c>
      <c r="AX32" s="43">
        <v>91.805000000000007</v>
      </c>
      <c r="AY32" s="43">
        <v>91.924999999999997</v>
      </c>
      <c r="AZ32" s="43">
        <v>92.030600000000007</v>
      </c>
      <c r="BA32" s="43">
        <v>92.136200000000002</v>
      </c>
      <c r="BB32" s="43">
        <v>92.241799999999998</v>
      </c>
      <c r="BC32" s="43">
        <v>92.347399999999993</v>
      </c>
      <c r="BD32" s="43">
        <v>92.453000000000003</v>
      </c>
      <c r="BE32" s="43">
        <v>92.543999999999997</v>
      </c>
      <c r="BF32" s="43">
        <v>92.635000000000005</v>
      </c>
      <c r="BG32" s="43"/>
      <c r="BH32" s="44">
        <f t="shared" si="0"/>
        <v>83.700162962962949</v>
      </c>
      <c r="BI32" s="44">
        <f t="shared" si="1"/>
        <v>91.01182399999999</v>
      </c>
    </row>
    <row r="33" spans="1:95">
      <c r="A33" s="41">
        <v>169</v>
      </c>
      <c r="B33" s="41" t="s">
        <v>47</v>
      </c>
      <c r="C33" s="2">
        <v>2</v>
      </c>
      <c r="D33" s="2">
        <v>6610.2076010000001</v>
      </c>
      <c r="E33" s="2">
        <v>0</v>
      </c>
      <c r="F33" s="2">
        <v>48.745199999999997</v>
      </c>
      <c r="G33" s="43">
        <v>41.885399999999997</v>
      </c>
      <c r="H33" s="43">
        <v>42.521799999999999</v>
      </c>
      <c r="I33" s="43">
        <v>43.158200000000001</v>
      </c>
      <c r="J33" s="43">
        <v>43.794600000000003</v>
      </c>
      <c r="K33" s="43">
        <v>44.430999999999997</v>
      </c>
      <c r="L33" s="43">
        <v>45.072800000000001</v>
      </c>
      <c r="M33" s="43">
        <v>45.714599999999997</v>
      </c>
      <c r="N33" s="43">
        <v>46.356400000000001</v>
      </c>
      <c r="O33" s="43">
        <v>46.998199999999997</v>
      </c>
      <c r="P33" s="43">
        <v>47.64</v>
      </c>
      <c r="Q33" s="43">
        <v>47.919600000000003</v>
      </c>
      <c r="R33" s="43">
        <v>48.199199999999998</v>
      </c>
      <c r="S33" s="43">
        <v>48.4788</v>
      </c>
      <c r="T33" s="43">
        <v>48.758400000000002</v>
      </c>
      <c r="U33" s="43">
        <v>49.037999999999997</v>
      </c>
      <c r="V33" s="43">
        <v>49.319600000000001</v>
      </c>
      <c r="W33" s="43">
        <v>49.601199999999999</v>
      </c>
      <c r="X33" s="43">
        <v>49.882800000000003</v>
      </c>
      <c r="Y33" s="43">
        <v>50.164400000000001</v>
      </c>
      <c r="Z33" s="43">
        <v>50.445999999999998</v>
      </c>
      <c r="AA33" s="43">
        <v>50.776200000000003</v>
      </c>
      <c r="AB33" s="43">
        <v>51.106400000000001</v>
      </c>
      <c r="AC33" s="43">
        <v>51.436599999999999</v>
      </c>
      <c r="AD33" s="43">
        <v>51.766800000000003</v>
      </c>
      <c r="AE33" s="43">
        <v>52.097000000000001</v>
      </c>
      <c r="AF33" s="43">
        <v>52.450800000000001</v>
      </c>
      <c r="AG33" s="43">
        <v>52.804600000000001</v>
      </c>
      <c r="AH33" s="43">
        <v>53.1584</v>
      </c>
      <c r="AI33" s="43">
        <v>53.5122</v>
      </c>
      <c r="AJ33" s="43">
        <v>53.866</v>
      </c>
      <c r="AK33" s="43">
        <v>55.087600000000002</v>
      </c>
      <c r="AL33" s="43">
        <v>56.309199999999997</v>
      </c>
      <c r="AM33" s="43">
        <v>57.530799999999999</v>
      </c>
      <c r="AN33" s="43">
        <v>58.752400000000002</v>
      </c>
      <c r="AO33" s="43">
        <v>59.973999999999997</v>
      </c>
      <c r="AP33" s="43">
        <v>61.136600000000001</v>
      </c>
      <c r="AQ33" s="43">
        <v>62.299199999999999</v>
      </c>
      <c r="AR33" s="43">
        <v>63.461799999999997</v>
      </c>
      <c r="AS33" s="43">
        <v>64.624399999999994</v>
      </c>
      <c r="AT33" s="43">
        <v>65.787000000000006</v>
      </c>
      <c r="AU33" s="43">
        <v>66.777799999999999</v>
      </c>
      <c r="AV33" s="43">
        <v>67.768600000000006</v>
      </c>
      <c r="AW33" s="43">
        <v>68.759399999999999</v>
      </c>
      <c r="AX33" s="43">
        <v>69.750200000000007</v>
      </c>
      <c r="AY33" s="43">
        <v>70.741</v>
      </c>
      <c r="AZ33" s="43">
        <v>71.515000000000001</v>
      </c>
      <c r="BA33" s="43">
        <v>72.289000000000001</v>
      </c>
      <c r="BB33" s="43">
        <v>73.063000000000002</v>
      </c>
      <c r="BC33" s="43">
        <v>73.837000000000003</v>
      </c>
      <c r="BD33" s="43">
        <v>74.611000000000004</v>
      </c>
      <c r="BE33" s="43">
        <v>75.197199999999995</v>
      </c>
      <c r="BF33" s="43">
        <v>75.7834</v>
      </c>
      <c r="BG33" s="43"/>
      <c r="BH33" s="44">
        <f t="shared" si="0"/>
        <v>48.215533333333333</v>
      </c>
      <c r="BI33" s="44">
        <f t="shared" si="1"/>
        <v>65.023688000000021</v>
      </c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</row>
    <row r="34" spans="1:95">
      <c r="A34" s="41">
        <v>103</v>
      </c>
      <c r="B34" s="41" t="s">
        <v>92</v>
      </c>
      <c r="C34" s="2">
        <v>2</v>
      </c>
      <c r="D34" s="2">
        <v>6601.6238540000004</v>
      </c>
      <c r="E34" s="2">
        <v>0</v>
      </c>
      <c r="F34" s="2">
        <v>45.73449999999999</v>
      </c>
      <c r="G34" s="43">
        <v>34.401600000000002</v>
      </c>
      <c r="H34" s="43">
        <v>35.068199999999997</v>
      </c>
      <c r="I34" s="43">
        <v>35.7348</v>
      </c>
      <c r="J34" s="43">
        <v>36.401400000000002</v>
      </c>
      <c r="K34" s="43">
        <v>37.067999999999998</v>
      </c>
      <c r="L34" s="43">
        <v>37.896799999999999</v>
      </c>
      <c r="M34" s="43">
        <v>38.7256</v>
      </c>
      <c r="N34" s="43">
        <v>39.554400000000001</v>
      </c>
      <c r="O34" s="43">
        <v>40.383200000000002</v>
      </c>
      <c r="P34" s="43">
        <v>41.212000000000003</v>
      </c>
      <c r="Q34" s="43">
        <v>42.119</v>
      </c>
      <c r="R34" s="43">
        <v>43.026000000000003</v>
      </c>
      <c r="S34" s="43">
        <v>43.933</v>
      </c>
      <c r="T34" s="43">
        <v>44.84</v>
      </c>
      <c r="U34" s="43">
        <v>45.747</v>
      </c>
      <c r="V34" s="43">
        <v>46.536200000000001</v>
      </c>
      <c r="W34" s="43">
        <v>47.325400000000002</v>
      </c>
      <c r="X34" s="43">
        <v>48.114600000000003</v>
      </c>
      <c r="Y34" s="43">
        <v>48.903799999999997</v>
      </c>
      <c r="Z34" s="43">
        <v>49.692999999999998</v>
      </c>
      <c r="AA34" s="43">
        <v>50.433399999999999</v>
      </c>
      <c r="AB34" s="43">
        <v>51.1738</v>
      </c>
      <c r="AC34" s="43">
        <v>51.914200000000001</v>
      </c>
      <c r="AD34" s="43">
        <v>52.654600000000002</v>
      </c>
      <c r="AE34" s="43">
        <v>53.395000000000003</v>
      </c>
      <c r="AF34" s="43">
        <v>53.981999999999999</v>
      </c>
      <c r="AG34" s="43">
        <v>54.569000000000003</v>
      </c>
      <c r="AH34" s="43">
        <v>55.155999999999999</v>
      </c>
      <c r="AI34" s="43">
        <v>55.743000000000002</v>
      </c>
      <c r="AJ34" s="43">
        <v>56.33</v>
      </c>
      <c r="AK34" s="43">
        <v>57.111199999999997</v>
      </c>
      <c r="AL34" s="43">
        <v>57.892400000000002</v>
      </c>
      <c r="AM34" s="43">
        <v>58.6736</v>
      </c>
      <c r="AN34" s="43">
        <v>59.454799999999999</v>
      </c>
      <c r="AO34" s="43">
        <v>60.235999999999997</v>
      </c>
      <c r="AP34" s="43">
        <v>60.997199999999999</v>
      </c>
      <c r="AQ34" s="43">
        <v>61.758400000000002</v>
      </c>
      <c r="AR34" s="43">
        <v>62.519599999999997</v>
      </c>
      <c r="AS34" s="43">
        <v>63.280799999999999</v>
      </c>
      <c r="AT34" s="43">
        <v>64.042000000000002</v>
      </c>
      <c r="AU34" s="43">
        <v>64.745199999999997</v>
      </c>
      <c r="AV34" s="43">
        <v>65.448400000000007</v>
      </c>
      <c r="AW34" s="43">
        <v>66.151600000000002</v>
      </c>
      <c r="AX34" s="43">
        <v>66.854799999999997</v>
      </c>
      <c r="AY34" s="43">
        <v>67.558000000000007</v>
      </c>
      <c r="AZ34" s="43">
        <v>67.834000000000003</v>
      </c>
      <c r="BA34" s="43">
        <v>68.11</v>
      </c>
      <c r="BB34" s="43">
        <v>68.385999999999996</v>
      </c>
      <c r="BC34" s="43">
        <v>68.662000000000006</v>
      </c>
      <c r="BD34" s="43">
        <v>68.938000000000002</v>
      </c>
      <c r="BE34" s="43">
        <v>69.0822</v>
      </c>
      <c r="BF34" s="43">
        <v>69.226399999999998</v>
      </c>
      <c r="BH34" s="44">
        <f t="shared" si="0"/>
        <v>44.62244444444444</v>
      </c>
      <c r="BI34" s="44">
        <f t="shared" si="1"/>
        <v>63.367664000000005</v>
      </c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</row>
    <row r="35" spans="1:95">
      <c r="A35" s="41">
        <v>4</v>
      </c>
      <c r="B35" s="40" t="s">
        <v>152</v>
      </c>
      <c r="C35" s="2">
        <v>2</v>
      </c>
      <c r="D35" s="2">
        <v>6503.1951250000002</v>
      </c>
      <c r="E35" s="2">
        <v>0</v>
      </c>
      <c r="F35" s="2">
        <v>42.073000000000008</v>
      </c>
      <c r="G35" s="43">
        <v>31.936599999999999</v>
      </c>
      <c r="H35" s="43">
        <v>33.363199999999999</v>
      </c>
      <c r="I35" s="43">
        <v>34.7898</v>
      </c>
      <c r="J35" s="43">
        <v>36.2164</v>
      </c>
      <c r="K35" s="43">
        <v>37.643000000000001</v>
      </c>
      <c r="L35" s="43">
        <v>38.014400000000002</v>
      </c>
      <c r="M35" s="43">
        <v>38.385800000000003</v>
      </c>
      <c r="N35" s="43">
        <v>38.757199999999997</v>
      </c>
      <c r="O35" s="43">
        <v>39.128599999999999</v>
      </c>
      <c r="P35" s="43">
        <v>39.5</v>
      </c>
      <c r="Q35" s="43">
        <v>39.665999999999997</v>
      </c>
      <c r="R35" s="43">
        <v>39.832000000000001</v>
      </c>
      <c r="S35" s="43">
        <v>39.997999999999998</v>
      </c>
      <c r="T35" s="43">
        <v>40.164000000000001</v>
      </c>
      <c r="U35" s="43">
        <v>40.33</v>
      </c>
      <c r="V35" s="43">
        <v>40.9724</v>
      </c>
      <c r="W35" s="43">
        <v>41.614800000000002</v>
      </c>
      <c r="X35" s="43">
        <v>42.257199999999997</v>
      </c>
      <c r="Y35" s="43">
        <v>42.8996</v>
      </c>
      <c r="Z35" s="43">
        <v>43.542000000000002</v>
      </c>
      <c r="AA35" s="43">
        <v>44.427199999999999</v>
      </c>
      <c r="AB35" s="43">
        <v>45.312399999999997</v>
      </c>
      <c r="AC35" s="43">
        <v>46.197600000000001</v>
      </c>
      <c r="AD35" s="43">
        <v>47.082799999999999</v>
      </c>
      <c r="AE35" s="43">
        <v>47.968000000000004</v>
      </c>
      <c r="AF35" s="43">
        <v>48.791400000000003</v>
      </c>
      <c r="AG35" s="43">
        <v>49.614800000000002</v>
      </c>
      <c r="AH35" s="43">
        <v>50.438200000000002</v>
      </c>
      <c r="AI35" s="43">
        <v>51.261600000000001</v>
      </c>
      <c r="AJ35" s="43">
        <v>52.085000000000001</v>
      </c>
      <c r="AK35" s="43">
        <v>52.867400000000004</v>
      </c>
      <c r="AL35" s="43">
        <v>53.649799999999999</v>
      </c>
      <c r="AM35" s="43">
        <v>54.432200000000002</v>
      </c>
      <c r="AN35" s="43">
        <v>55.214599999999997</v>
      </c>
      <c r="AO35" s="43">
        <v>55.997</v>
      </c>
      <c r="AP35" s="43">
        <v>56.954999999999998</v>
      </c>
      <c r="AQ35" s="43">
        <v>57.912999999999997</v>
      </c>
      <c r="AR35" s="43">
        <v>58.871000000000002</v>
      </c>
      <c r="AS35" s="43">
        <v>59.829000000000001</v>
      </c>
      <c r="AT35" s="43">
        <v>60.786999999999999</v>
      </c>
      <c r="AU35" s="43">
        <v>61.967399999999998</v>
      </c>
      <c r="AV35" s="43">
        <v>63.147799999999997</v>
      </c>
      <c r="AW35" s="43">
        <v>64.328199999999995</v>
      </c>
      <c r="AX35" s="43">
        <v>65.508600000000001</v>
      </c>
      <c r="AY35" s="43">
        <v>66.688999999999993</v>
      </c>
      <c r="AZ35" s="43">
        <v>67.756</v>
      </c>
      <c r="BA35" s="43">
        <v>68.822999999999993</v>
      </c>
      <c r="BB35" s="43">
        <v>69.89</v>
      </c>
      <c r="BC35" s="43">
        <v>70.956999999999994</v>
      </c>
      <c r="BD35" s="43">
        <v>72.024000000000001</v>
      </c>
      <c r="BE35" s="43">
        <v>72.864999999999995</v>
      </c>
      <c r="BF35" s="43">
        <v>73.706000000000003</v>
      </c>
      <c r="BG35" s="43"/>
      <c r="BH35" s="44">
        <f t="shared" si="0"/>
        <v>41.052044444444448</v>
      </c>
      <c r="BI35" s="44">
        <f t="shared" si="1"/>
        <v>61.518512000000008</v>
      </c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</row>
    <row r="36" spans="1:95">
      <c r="A36" s="41">
        <v>122</v>
      </c>
      <c r="B36" s="41" t="s">
        <v>76</v>
      </c>
      <c r="C36" s="2">
        <v>2</v>
      </c>
      <c r="D36" s="2">
        <v>6131.089422</v>
      </c>
      <c r="E36" s="2">
        <v>0</v>
      </c>
      <c r="F36" s="2">
        <v>66.215199999999996</v>
      </c>
      <c r="G36" s="43">
        <v>44.061399999999999</v>
      </c>
      <c r="H36" s="43">
        <v>45.779800000000002</v>
      </c>
      <c r="I36" s="43">
        <v>47.498199999999997</v>
      </c>
      <c r="J36" s="43">
        <v>49.2166</v>
      </c>
      <c r="K36" s="43">
        <v>50.935000000000002</v>
      </c>
      <c r="L36" s="43">
        <v>52.643000000000001</v>
      </c>
      <c r="M36" s="43">
        <v>54.350999999999999</v>
      </c>
      <c r="N36" s="43">
        <v>56.058999999999997</v>
      </c>
      <c r="O36" s="43">
        <v>57.767000000000003</v>
      </c>
      <c r="P36" s="43">
        <v>59.475000000000001</v>
      </c>
      <c r="Q36" s="43">
        <v>60.9756</v>
      </c>
      <c r="R36" s="43">
        <v>62.476199999999999</v>
      </c>
      <c r="S36" s="43">
        <v>63.976799999999997</v>
      </c>
      <c r="T36" s="43">
        <v>65.477400000000003</v>
      </c>
      <c r="U36" s="43">
        <v>66.977999999999994</v>
      </c>
      <c r="V36" s="43">
        <v>68.316800000000001</v>
      </c>
      <c r="W36" s="43">
        <v>69.655600000000007</v>
      </c>
      <c r="X36" s="43">
        <v>70.994399999999999</v>
      </c>
      <c r="Y36" s="43">
        <v>72.333200000000005</v>
      </c>
      <c r="Z36" s="43">
        <v>73.671999999999997</v>
      </c>
      <c r="AA36" s="43">
        <v>74.822000000000003</v>
      </c>
      <c r="AB36" s="43">
        <v>75.971999999999994</v>
      </c>
      <c r="AC36" s="43">
        <v>77.122</v>
      </c>
      <c r="AD36" s="43">
        <v>78.272000000000006</v>
      </c>
      <c r="AE36" s="43">
        <v>79.421999999999997</v>
      </c>
      <c r="AF36" s="43">
        <v>80.161600000000007</v>
      </c>
      <c r="AG36" s="43">
        <v>80.901200000000003</v>
      </c>
      <c r="AH36" s="43">
        <v>81.640799999999999</v>
      </c>
      <c r="AI36" s="43">
        <v>82.380399999999995</v>
      </c>
      <c r="AJ36" s="43">
        <v>83.12</v>
      </c>
      <c r="AK36" s="43">
        <v>83.46</v>
      </c>
      <c r="AL36" s="43">
        <v>83.8</v>
      </c>
      <c r="AM36" s="43">
        <v>84.14</v>
      </c>
      <c r="AN36" s="43">
        <v>84.48</v>
      </c>
      <c r="AO36" s="43">
        <v>84.82</v>
      </c>
      <c r="AP36" s="43">
        <v>85.055999999999997</v>
      </c>
      <c r="AQ36" s="43">
        <v>85.292000000000002</v>
      </c>
      <c r="AR36" s="43">
        <v>85.528000000000006</v>
      </c>
      <c r="AS36" s="43">
        <v>85.763999999999996</v>
      </c>
      <c r="AT36" s="43">
        <v>86</v>
      </c>
      <c r="AU36" s="43">
        <v>86.114000000000004</v>
      </c>
      <c r="AV36" s="43">
        <v>86.227999999999994</v>
      </c>
      <c r="AW36" s="43">
        <v>86.341999999999999</v>
      </c>
      <c r="AX36" s="43">
        <v>86.456000000000003</v>
      </c>
      <c r="AY36" s="43">
        <v>86.57</v>
      </c>
      <c r="AZ36" s="43">
        <v>86.683199999999999</v>
      </c>
      <c r="BA36" s="43">
        <v>86.796400000000006</v>
      </c>
      <c r="BB36" s="43">
        <v>86.909599999999998</v>
      </c>
      <c r="BC36" s="43">
        <v>87.022800000000004</v>
      </c>
      <c r="BD36" s="43">
        <v>87.135999999999996</v>
      </c>
      <c r="BE36" s="43">
        <v>87.247799999999998</v>
      </c>
      <c r="BF36" s="43">
        <v>87.3596</v>
      </c>
      <c r="BG36" s="43"/>
      <c r="BH36" s="44">
        <f t="shared" si="0"/>
        <v>64.419066666666666</v>
      </c>
      <c r="BI36" s="44">
        <f t="shared" si="1"/>
        <v>85.453863999999996</v>
      </c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</row>
    <row r="37" spans="1:95">
      <c r="A37" s="41">
        <v>53</v>
      </c>
      <c r="B37" s="41" t="s">
        <v>123</v>
      </c>
      <c r="C37" s="2">
        <v>2</v>
      </c>
      <c r="D37" s="2">
        <v>5828.1124289999998</v>
      </c>
      <c r="E37" s="2">
        <v>0</v>
      </c>
      <c r="F37" s="2">
        <v>41.456733333333339</v>
      </c>
      <c r="G37" s="43">
        <v>34.561399999999999</v>
      </c>
      <c r="H37" s="43">
        <v>34.8688</v>
      </c>
      <c r="I37" s="43">
        <v>35.176200000000001</v>
      </c>
      <c r="J37" s="43">
        <v>35.483600000000003</v>
      </c>
      <c r="K37" s="43">
        <v>35.790999999999997</v>
      </c>
      <c r="L37" s="43">
        <v>36.398200000000003</v>
      </c>
      <c r="M37" s="43">
        <v>37.005400000000002</v>
      </c>
      <c r="N37" s="43">
        <v>37.6126</v>
      </c>
      <c r="O37" s="43">
        <v>38.219799999999999</v>
      </c>
      <c r="P37" s="43">
        <v>38.826999999999998</v>
      </c>
      <c r="Q37" s="43">
        <v>39.331400000000002</v>
      </c>
      <c r="R37" s="43">
        <v>39.835799999999999</v>
      </c>
      <c r="S37" s="43">
        <v>40.340200000000003</v>
      </c>
      <c r="T37" s="43">
        <v>40.8446</v>
      </c>
      <c r="U37" s="43">
        <v>41.348999999999997</v>
      </c>
      <c r="V37" s="43">
        <v>41.698999999999998</v>
      </c>
      <c r="W37" s="43">
        <v>42.048999999999999</v>
      </c>
      <c r="X37" s="43">
        <v>42.399000000000001</v>
      </c>
      <c r="Y37" s="43">
        <v>42.749000000000002</v>
      </c>
      <c r="Z37" s="43">
        <v>43.098999999999997</v>
      </c>
      <c r="AA37" s="43">
        <v>43.591799999999999</v>
      </c>
      <c r="AB37" s="43">
        <v>44.084600000000002</v>
      </c>
      <c r="AC37" s="43">
        <v>44.577399999999997</v>
      </c>
      <c r="AD37" s="43">
        <v>45.0702</v>
      </c>
      <c r="AE37" s="43">
        <v>45.563000000000002</v>
      </c>
      <c r="AF37" s="43">
        <v>46.587000000000003</v>
      </c>
      <c r="AG37" s="43">
        <v>47.610999999999997</v>
      </c>
      <c r="AH37" s="43">
        <v>48.634999999999998</v>
      </c>
      <c r="AI37" s="43">
        <v>49.658999999999999</v>
      </c>
      <c r="AJ37" s="43">
        <v>50.683</v>
      </c>
      <c r="AK37" s="43">
        <v>51.7042</v>
      </c>
      <c r="AL37" s="43">
        <v>52.7254</v>
      </c>
      <c r="AM37" s="43">
        <v>53.746600000000001</v>
      </c>
      <c r="AN37" s="43">
        <v>54.767800000000001</v>
      </c>
      <c r="AO37" s="43">
        <v>55.789000000000001</v>
      </c>
      <c r="AP37" s="43">
        <v>56.438800000000001</v>
      </c>
      <c r="AQ37" s="43">
        <v>57.0886</v>
      </c>
      <c r="AR37" s="43">
        <v>57.738399999999999</v>
      </c>
      <c r="AS37" s="43">
        <v>58.388199999999998</v>
      </c>
      <c r="AT37" s="43">
        <v>59.037999999999997</v>
      </c>
      <c r="AU37" s="43">
        <v>59.571599999999997</v>
      </c>
      <c r="AV37" s="43">
        <v>60.105200000000004</v>
      </c>
      <c r="AW37" s="43">
        <v>60.638800000000003</v>
      </c>
      <c r="AX37" s="43">
        <v>61.172400000000003</v>
      </c>
      <c r="AY37" s="43">
        <v>61.706000000000003</v>
      </c>
      <c r="AZ37" s="43">
        <v>62.201999999999998</v>
      </c>
      <c r="BA37" s="43">
        <v>62.698</v>
      </c>
      <c r="BB37" s="43">
        <v>63.194000000000003</v>
      </c>
      <c r="BC37" s="43">
        <v>63.69</v>
      </c>
      <c r="BD37" s="43">
        <v>64.186000000000007</v>
      </c>
      <c r="BE37" s="43">
        <v>64.643799999999999</v>
      </c>
      <c r="BF37" s="43">
        <v>65.101600000000005</v>
      </c>
      <c r="BG37" s="43"/>
      <c r="BH37" s="44">
        <f t="shared" si="0"/>
        <v>40.545370370370378</v>
      </c>
      <c r="BI37" s="44">
        <f t="shared" si="1"/>
        <v>58.212456000000003</v>
      </c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</row>
    <row r="38" spans="1:95">
      <c r="A38" s="41">
        <v>133</v>
      </c>
      <c r="B38" s="41" t="s">
        <v>68</v>
      </c>
      <c r="C38" s="2">
        <v>2</v>
      </c>
      <c r="D38" s="2">
        <v>5654.7528469999997</v>
      </c>
      <c r="E38" s="2">
        <v>0</v>
      </c>
      <c r="F38" s="2">
        <v>38.245266666666673</v>
      </c>
      <c r="G38" s="43">
        <v>27.260999999999999</v>
      </c>
      <c r="H38" s="43">
        <v>27.923999999999999</v>
      </c>
      <c r="I38" s="43">
        <v>28.587</v>
      </c>
      <c r="J38" s="43">
        <v>29.25</v>
      </c>
      <c r="K38" s="43">
        <v>29.913</v>
      </c>
      <c r="L38" s="43">
        <v>30.621200000000002</v>
      </c>
      <c r="M38" s="43">
        <v>31.3294</v>
      </c>
      <c r="N38" s="43">
        <v>32.037599999999998</v>
      </c>
      <c r="O38" s="43">
        <v>32.745800000000003</v>
      </c>
      <c r="P38" s="43">
        <v>33.454000000000001</v>
      </c>
      <c r="Q38" s="43">
        <v>34.293599999999998</v>
      </c>
      <c r="R38" s="43">
        <v>35.133200000000002</v>
      </c>
      <c r="S38" s="43">
        <v>35.972799999999999</v>
      </c>
      <c r="T38" s="43">
        <v>36.812399999999997</v>
      </c>
      <c r="U38" s="43">
        <v>37.652000000000001</v>
      </c>
      <c r="V38" s="43">
        <v>38.5304</v>
      </c>
      <c r="W38" s="43">
        <v>39.408799999999999</v>
      </c>
      <c r="X38" s="43">
        <v>40.287199999999999</v>
      </c>
      <c r="Y38" s="43">
        <v>41.165599999999998</v>
      </c>
      <c r="Z38" s="43">
        <v>42.043999999999997</v>
      </c>
      <c r="AA38" s="43">
        <v>42.813800000000001</v>
      </c>
      <c r="AB38" s="43">
        <v>43.583599999999997</v>
      </c>
      <c r="AC38" s="43">
        <v>44.353400000000001</v>
      </c>
      <c r="AD38" s="43">
        <v>45.123199999999997</v>
      </c>
      <c r="AE38" s="43">
        <v>45.893000000000001</v>
      </c>
      <c r="AF38" s="43">
        <v>46.673200000000001</v>
      </c>
      <c r="AG38" s="43">
        <v>47.453400000000002</v>
      </c>
      <c r="AH38" s="43">
        <v>48.233600000000003</v>
      </c>
      <c r="AI38" s="43">
        <v>49.013800000000003</v>
      </c>
      <c r="AJ38" s="43">
        <v>49.793999999999997</v>
      </c>
      <c r="AK38" s="43">
        <v>50.972799999999999</v>
      </c>
      <c r="AL38" s="43">
        <v>52.151600000000002</v>
      </c>
      <c r="AM38" s="43">
        <v>53.330399999999997</v>
      </c>
      <c r="AN38" s="43">
        <v>54.5092</v>
      </c>
      <c r="AO38" s="43">
        <v>55.688000000000002</v>
      </c>
      <c r="AP38" s="43">
        <v>56.945799999999998</v>
      </c>
      <c r="AQ38" s="43">
        <v>58.203600000000002</v>
      </c>
      <c r="AR38" s="43">
        <v>59.461399999999998</v>
      </c>
      <c r="AS38" s="43">
        <v>60.719200000000001</v>
      </c>
      <c r="AT38" s="43">
        <v>61.976999999999997</v>
      </c>
      <c r="AU38" s="43">
        <v>63.096600000000002</v>
      </c>
      <c r="AV38" s="43">
        <v>64.216200000000001</v>
      </c>
      <c r="AW38" s="43">
        <v>65.335800000000006</v>
      </c>
      <c r="AX38" s="43">
        <v>66.455399999999997</v>
      </c>
      <c r="AY38" s="43">
        <v>67.575000000000003</v>
      </c>
      <c r="AZ38" s="43">
        <v>68.461200000000005</v>
      </c>
      <c r="BA38" s="43">
        <v>69.347399999999993</v>
      </c>
      <c r="BB38" s="43">
        <v>70.233599999999996</v>
      </c>
      <c r="BC38" s="43">
        <v>71.119799999999998</v>
      </c>
      <c r="BD38" s="43">
        <v>72.006</v>
      </c>
      <c r="BE38" s="43">
        <v>72.683999999999997</v>
      </c>
      <c r="BF38" s="43">
        <v>73.361999999999995</v>
      </c>
      <c r="BG38" s="43"/>
      <c r="BH38" s="44">
        <f t="shared" si="0"/>
        <v>37.048762962962968</v>
      </c>
      <c r="BI38" s="44">
        <f t="shared" si="1"/>
        <v>61.395736000000014</v>
      </c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</row>
    <row r="39" spans="1:95">
      <c r="A39" s="41">
        <v>172</v>
      </c>
      <c r="B39" s="41" t="s">
        <v>44</v>
      </c>
      <c r="C39" s="2">
        <v>2</v>
      </c>
      <c r="D39" s="2">
        <v>5581.829694</v>
      </c>
      <c r="E39" s="2">
        <v>0</v>
      </c>
      <c r="F39" s="2">
        <v>60.373000000000005</v>
      </c>
      <c r="G39" s="43">
        <v>47.822400000000002</v>
      </c>
      <c r="H39" s="43">
        <v>48.833799999999997</v>
      </c>
      <c r="I39" s="43">
        <v>49.845199999999998</v>
      </c>
      <c r="J39" s="43">
        <v>50.8566</v>
      </c>
      <c r="K39" s="43">
        <v>51.868000000000002</v>
      </c>
      <c r="L39" s="43">
        <v>52.9756</v>
      </c>
      <c r="M39" s="43">
        <v>54.083199999999998</v>
      </c>
      <c r="N39" s="43">
        <v>55.190800000000003</v>
      </c>
      <c r="O39" s="43">
        <v>56.298400000000001</v>
      </c>
      <c r="P39" s="43">
        <v>57.405999999999999</v>
      </c>
      <c r="Q39" s="43">
        <v>58.216999999999999</v>
      </c>
      <c r="R39" s="43">
        <v>59.027999999999999</v>
      </c>
      <c r="S39" s="43">
        <v>59.838999999999999</v>
      </c>
      <c r="T39" s="43">
        <v>60.65</v>
      </c>
      <c r="U39" s="43">
        <v>61.460999999999999</v>
      </c>
      <c r="V39" s="43">
        <v>62.083599999999997</v>
      </c>
      <c r="W39" s="43">
        <v>62.706200000000003</v>
      </c>
      <c r="X39" s="43">
        <v>63.328800000000001</v>
      </c>
      <c r="Y39" s="43">
        <v>63.9514</v>
      </c>
      <c r="Z39" s="43">
        <v>64.573999999999998</v>
      </c>
      <c r="AA39" s="43">
        <v>65.031999999999996</v>
      </c>
      <c r="AB39" s="43">
        <v>65.489999999999995</v>
      </c>
      <c r="AC39" s="43">
        <v>65.947999999999993</v>
      </c>
      <c r="AD39" s="43">
        <v>66.406000000000006</v>
      </c>
      <c r="AE39" s="43">
        <v>66.864000000000004</v>
      </c>
      <c r="AF39" s="43">
        <v>67.2714</v>
      </c>
      <c r="AG39" s="43">
        <v>67.678799999999995</v>
      </c>
      <c r="AH39" s="43">
        <v>68.086200000000005</v>
      </c>
      <c r="AI39" s="43">
        <v>68.493600000000001</v>
      </c>
      <c r="AJ39" s="43">
        <v>68.900999999999996</v>
      </c>
      <c r="AK39" s="43">
        <v>69.311000000000007</v>
      </c>
      <c r="AL39" s="43">
        <v>69.721000000000004</v>
      </c>
      <c r="AM39" s="43">
        <v>70.131</v>
      </c>
      <c r="AN39" s="43">
        <v>70.540999999999997</v>
      </c>
      <c r="AO39" s="43">
        <v>70.950999999999993</v>
      </c>
      <c r="AP39" s="43">
        <v>71.369200000000006</v>
      </c>
      <c r="AQ39" s="43">
        <v>71.787400000000005</v>
      </c>
      <c r="AR39" s="43">
        <v>72.205600000000004</v>
      </c>
      <c r="AS39" s="43">
        <v>72.623800000000003</v>
      </c>
      <c r="AT39" s="43">
        <v>73.042000000000002</v>
      </c>
      <c r="AU39" s="43">
        <v>73.440399999999997</v>
      </c>
      <c r="AV39" s="43">
        <v>73.838800000000006</v>
      </c>
      <c r="AW39" s="43">
        <v>74.237200000000001</v>
      </c>
      <c r="AX39" s="43">
        <v>74.635599999999997</v>
      </c>
      <c r="AY39" s="43">
        <v>75.034000000000006</v>
      </c>
      <c r="AZ39" s="43">
        <v>75.409400000000005</v>
      </c>
      <c r="BA39" s="43">
        <v>75.784800000000004</v>
      </c>
      <c r="BB39" s="43">
        <v>76.160200000000003</v>
      </c>
      <c r="BC39" s="43">
        <v>76.535600000000002</v>
      </c>
      <c r="BD39" s="43">
        <v>76.911000000000001</v>
      </c>
      <c r="BE39" s="43">
        <v>77.244</v>
      </c>
      <c r="BF39" s="43">
        <v>77.576999999999998</v>
      </c>
      <c r="BG39" s="43"/>
      <c r="BH39" s="44">
        <f t="shared" si="0"/>
        <v>59.470711111111115</v>
      </c>
      <c r="BI39" s="44">
        <f t="shared" si="1"/>
        <v>72.958872</v>
      </c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</row>
    <row r="40" spans="1:95">
      <c r="A40" s="41">
        <v>48</v>
      </c>
      <c r="B40" s="41" t="s">
        <v>126</v>
      </c>
      <c r="C40" s="2">
        <v>2</v>
      </c>
      <c r="D40" s="2">
        <v>5519.2294819999997</v>
      </c>
      <c r="E40" s="2">
        <v>0</v>
      </c>
      <c r="F40" s="2">
        <v>58.509133333333338</v>
      </c>
      <c r="G40" s="43">
        <v>46.230800000000002</v>
      </c>
      <c r="H40" s="43">
        <v>47.428600000000003</v>
      </c>
      <c r="I40" s="43">
        <v>48.626399999999997</v>
      </c>
      <c r="J40" s="43">
        <v>49.824199999999998</v>
      </c>
      <c r="K40" s="43">
        <v>51.021999999999998</v>
      </c>
      <c r="L40" s="43">
        <v>51.781599999999997</v>
      </c>
      <c r="M40" s="43">
        <v>52.541200000000003</v>
      </c>
      <c r="N40" s="43">
        <v>53.300800000000002</v>
      </c>
      <c r="O40" s="43">
        <v>54.060400000000001</v>
      </c>
      <c r="P40" s="43">
        <v>54.82</v>
      </c>
      <c r="Q40" s="43">
        <v>55.563800000000001</v>
      </c>
      <c r="R40" s="43">
        <v>56.307600000000001</v>
      </c>
      <c r="S40" s="43">
        <v>57.051400000000001</v>
      </c>
      <c r="T40" s="43">
        <v>57.795200000000001</v>
      </c>
      <c r="U40" s="43">
        <v>58.539000000000001</v>
      </c>
      <c r="V40" s="43">
        <v>59.255400000000002</v>
      </c>
      <c r="W40" s="43">
        <v>59.971800000000002</v>
      </c>
      <c r="X40" s="43">
        <v>60.688200000000002</v>
      </c>
      <c r="Y40" s="43">
        <v>61.404600000000002</v>
      </c>
      <c r="Z40" s="43">
        <v>62.121000000000002</v>
      </c>
      <c r="AA40" s="43">
        <v>62.811599999999999</v>
      </c>
      <c r="AB40" s="43">
        <v>63.502200000000002</v>
      </c>
      <c r="AC40" s="43">
        <v>64.192800000000005</v>
      </c>
      <c r="AD40" s="43">
        <v>64.883399999999995</v>
      </c>
      <c r="AE40" s="43">
        <v>65.573999999999998</v>
      </c>
      <c r="AF40" s="43">
        <v>66.114400000000003</v>
      </c>
      <c r="AG40" s="43">
        <v>66.654799999999994</v>
      </c>
      <c r="AH40" s="43">
        <v>67.1952</v>
      </c>
      <c r="AI40" s="43">
        <v>67.735600000000005</v>
      </c>
      <c r="AJ40" s="43">
        <v>68.275999999999996</v>
      </c>
      <c r="AK40" s="43">
        <v>68.724000000000004</v>
      </c>
      <c r="AL40" s="43">
        <v>69.171999999999997</v>
      </c>
      <c r="AM40" s="43">
        <v>69.62</v>
      </c>
      <c r="AN40" s="43">
        <v>70.067999999999998</v>
      </c>
      <c r="AO40" s="43">
        <v>70.516000000000005</v>
      </c>
      <c r="AP40" s="43">
        <v>70.827799999999996</v>
      </c>
      <c r="AQ40" s="43">
        <v>71.139600000000002</v>
      </c>
      <c r="AR40" s="43">
        <v>71.451400000000007</v>
      </c>
      <c r="AS40" s="43">
        <v>71.763199999999998</v>
      </c>
      <c r="AT40" s="43">
        <v>72.075000000000003</v>
      </c>
      <c r="AU40" s="43">
        <v>72.376199999999997</v>
      </c>
      <c r="AV40" s="43">
        <v>72.677400000000006</v>
      </c>
      <c r="AW40" s="43">
        <v>72.9786</v>
      </c>
      <c r="AX40" s="43">
        <v>73.279799999999994</v>
      </c>
      <c r="AY40" s="43">
        <v>73.581000000000003</v>
      </c>
      <c r="AZ40" s="43">
        <v>73.868799999999993</v>
      </c>
      <c r="BA40" s="43">
        <v>74.156599999999997</v>
      </c>
      <c r="BB40" s="43">
        <v>74.444400000000002</v>
      </c>
      <c r="BC40" s="43">
        <v>74.732200000000006</v>
      </c>
      <c r="BD40" s="43">
        <v>75.02</v>
      </c>
      <c r="BE40" s="43">
        <v>75.2928</v>
      </c>
      <c r="BF40" s="43">
        <v>75.565600000000003</v>
      </c>
      <c r="BG40" s="43"/>
      <c r="BH40" s="44">
        <f t="shared" si="0"/>
        <v>57.483970370370379</v>
      </c>
      <c r="BI40" s="44">
        <f t="shared" si="1"/>
        <v>71.861487999999994</v>
      </c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</row>
    <row r="41" spans="1:95">
      <c r="A41" s="41">
        <v>44</v>
      </c>
      <c r="B41" s="41" t="s">
        <v>128</v>
      </c>
      <c r="C41" s="2">
        <v>2</v>
      </c>
      <c r="D41" s="2">
        <v>5516.1124319999999</v>
      </c>
      <c r="E41" s="2">
        <v>0</v>
      </c>
      <c r="F41" s="2">
        <v>77.712166666666675</v>
      </c>
      <c r="G41" s="43">
        <v>68.608000000000004</v>
      </c>
      <c r="H41" s="43">
        <v>69.38</v>
      </c>
      <c r="I41" s="43">
        <v>70.152000000000001</v>
      </c>
      <c r="J41" s="43">
        <v>70.924000000000007</v>
      </c>
      <c r="K41" s="43">
        <v>71.695999999999998</v>
      </c>
      <c r="L41" s="43">
        <v>72.402199999999993</v>
      </c>
      <c r="M41" s="43">
        <v>73.108400000000003</v>
      </c>
      <c r="N41" s="43">
        <v>73.814599999999999</v>
      </c>
      <c r="O41" s="43">
        <v>74.520799999999994</v>
      </c>
      <c r="P41" s="43">
        <v>75.227000000000004</v>
      </c>
      <c r="Q41" s="43">
        <v>75.858800000000002</v>
      </c>
      <c r="R41" s="43">
        <v>76.490600000000001</v>
      </c>
      <c r="S41" s="43">
        <v>77.122399999999999</v>
      </c>
      <c r="T41" s="43">
        <v>77.754199999999997</v>
      </c>
      <c r="U41" s="43">
        <v>78.385999999999996</v>
      </c>
      <c r="V41" s="43">
        <v>78.957400000000007</v>
      </c>
      <c r="W41" s="43">
        <v>79.528800000000004</v>
      </c>
      <c r="X41" s="43">
        <v>80.100200000000001</v>
      </c>
      <c r="Y41" s="43">
        <v>80.671599999999998</v>
      </c>
      <c r="Z41" s="43">
        <v>81.242999999999995</v>
      </c>
      <c r="AA41" s="43">
        <v>81.519199999999998</v>
      </c>
      <c r="AB41" s="43">
        <v>81.795400000000001</v>
      </c>
      <c r="AC41" s="43">
        <v>82.071600000000004</v>
      </c>
      <c r="AD41" s="43">
        <v>82.347800000000007</v>
      </c>
      <c r="AE41" s="43">
        <v>82.623999999999995</v>
      </c>
      <c r="AF41" s="43">
        <v>82.753399999999999</v>
      </c>
      <c r="AG41" s="43">
        <v>82.882800000000003</v>
      </c>
      <c r="AH41" s="43">
        <v>83.012200000000007</v>
      </c>
      <c r="AI41" s="43">
        <v>83.141599999999997</v>
      </c>
      <c r="AJ41" s="43">
        <v>83.271000000000001</v>
      </c>
      <c r="AK41" s="43">
        <v>83.491200000000006</v>
      </c>
      <c r="AL41" s="43">
        <v>83.711399999999998</v>
      </c>
      <c r="AM41" s="43">
        <v>83.931600000000003</v>
      </c>
      <c r="AN41" s="43">
        <v>84.151799999999994</v>
      </c>
      <c r="AO41" s="43">
        <v>84.372</v>
      </c>
      <c r="AP41" s="43">
        <v>84.686800000000005</v>
      </c>
      <c r="AQ41" s="43">
        <v>85.001599999999996</v>
      </c>
      <c r="AR41" s="43">
        <v>85.316400000000002</v>
      </c>
      <c r="AS41" s="43">
        <v>85.631200000000007</v>
      </c>
      <c r="AT41" s="43">
        <v>85.945999999999998</v>
      </c>
      <c r="AU41" s="43">
        <v>86.281400000000005</v>
      </c>
      <c r="AV41" s="43">
        <v>86.616799999999998</v>
      </c>
      <c r="AW41" s="43">
        <v>86.952200000000005</v>
      </c>
      <c r="AX41" s="43">
        <v>87.287599999999998</v>
      </c>
      <c r="AY41" s="43">
        <v>87.623000000000005</v>
      </c>
      <c r="AZ41" s="43">
        <v>87.886799999999994</v>
      </c>
      <c r="BA41" s="43">
        <v>88.150599999999997</v>
      </c>
      <c r="BB41" s="43">
        <v>88.414400000000001</v>
      </c>
      <c r="BC41" s="43">
        <v>88.678200000000004</v>
      </c>
      <c r="BD41" s="43">
        <v>88.941999999999993</v>
      </c>
      <c r="BE41" s="43">
        <v>89.145600000000002</v>
      </c>
      <c r="BF41" s="43">
        <v>89.349199999999996</v>
      </c>
      <c r="BG41" s="43"/>
      <c r="BH41" s="44">
        <f t="shared" si="0"/>
        <v>77.108896296296294</v>
      </c>
      <c r="BI41" s="44">
        <f t="shared" si="1"/>
        <v>86.039704</v>
      </c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</row>
    <row r="42" spans="1:95">
      <c r="A42" s="41">
        <v>63</v>
      </c>
      <c r="B42" s="41" t="s">
        <v>115</v>
      </c>
      <c r="C42" s="2">
        <v>2</v>
      </c>
      <c r="D42" s="2">
        <v>5407.7671609999998</v>
      </c>
      <c r="E42" s="2">
        <v>0</v>
      </c>
      <c r="F42" s="2">
        <v>43.843699999999998</v>
      </c>
      <c r="G42" s="43">
        <v>34.430399999999999</v>
      </c>
      <c r="H42" s="43">
        <v>34.982799999999997</v>
      </c>
      <c r="I42" s="43">
        <v>35.535200000000003</v>
      </c>
      <c r="J42" s="43">
        <v>36.087600000000002</v>
      </c>
      <c r="K42" s="43">
        <v>36.64</v>
      </c>
      <c r="L42" s="43">
        <v>37.1676</v>
      </c>
      <c r="M42" s="43">
        <v>37.6952</v>
      </c>
      <c r="N42" s="43">
        <v>38.222799999999999</v>
      </c>
      <c r="O42" s="43">
        <v>38.750399999999999</v>
      </c>
      <c r="P42" s="43">
        <v>39.277999999999999</v>
      </c>
      <c r="Q42" s="43">
        <v>39.895000000000003</v>
      </c>
      <c r="R42" s="43">
        <v>40.512</v>
      </c>
      <c r="S42" s="43">
        <v>41.128999999999998</v>
      </c>
      <c r="T42" s="43">
        <v>41.746000000000002</v>
      </c>
      <c r="U42" s="43">
        <v>42.363</v>
      </c>
      <c r="V42" s="43">
        <v>43.282600000000002</v>
      </c>
      <c r="W42" s="43">
        <v>44.202199999999998</v>
      </c>
      <c r="X42" s="43">
        <v>45.1218</v>
      </c>
      <c r="Y42" s="43">
        <v>46.041400000000003</v>
      </c>
      <c r="Z42" s="43">
        <v>46.960999999999999</v>
      </c>
      <c r="AA42" s="43">
        <v>47.811799999999998</v>
      </c>
      <c r="AB42" s="43">
        <v>48.662599999999998</v>
      </c>
      <c r="AC42" s="43">
        <v>49.513399999999997</v>
      </c>
      <c r="AD42" s="43">
        <v>50.364199999999997</v>
      </c>
      <c r="AE42" s="43">
        <v>51.215000000000003</v>
      </c>
      <c r="AF42" s="43">
        <v>51.99</v>
      </c>
      <c r="AG42" s="43">
        <v>52.765000000000001</v>
      </c>
      <c r="AH42" s="43">
        <v>53.54</v>
      </c>
      <c r="AI42" s="43">
        <v>54.314999999999998</v>
      </c>
      <c r="AJ42" s="43">
        <v>55.09</v>
      </c>
      <c r="AK42" s="43">
        <v>55.6252</v>
      </c>
      <c r="AL42" s="43">
        <v>56.160400000000003</v>
      </c>
      <c r="AM42" s="43">
        <v>56.695599999999999</v>
      </c>
      <c r="AN42" s="43">
        <v>57.230800000000002</v>
      </c>
      <c r="AO42" s="43">
        <v>57.765999999999998</v>
      </c>
      <c r="AP42" s="43">
        <v>58.272599999999997</v>
      </c>
      <c r="AQ42" s="43">
        <v>58.779200000000003</v>
      </c>
      <c r="AR42" s="43">
        <v>59.285800000000002</v>
      </c>
      <c r="AS42" s="43">
        <v>59.792400000000001</v>
      </c>
      <c r="AT42" s="43">
        <v>60.298999999999999</v>
      </c>
      <c r="AU42" s="43">
        <v>60.960599999999999</v>
      </c>
      <c r="AV42" s="43">
        <v>61.622199999999999</v>
      </c>
      <c r="AW42" s="43">
        <v>62.283799999999999</v>
      </c>
      <c r="AX42" s="43">
        <v>62.945399999999999</v>
      </c>
      <c r="AY42" s="43">
        <v>63.606999999999999</v>
      </c>
      <c r="AZ42" s="43">
        <v>64.258200000000002</v>
      </c>
      <c r="BA42" s="43">
        <v>64.909400000000005</v>
      </c>
      <c r="BB42" s="43">
        <v>65.560599999999994</v>
      </c>
      <c r="BC42" s="43">
        <v>66.211799999999997</v>
      </c>
      <c r="BD42" s="43">
        <v>66.863</v>
      </c>
      <c r="BE42" s="43">
        <v>67.423199999999994</v>
      </c>
      <c r="BF42" s="43">
        <v>67.983400000000003</v>
      </c>
      <c r="BG42" s="43"/>
      <c r="BH42" s="44">
        <f t="shared" si="0"/>
        <v>42.68022222222222</v>
      </c>
      <c r="BI42" s="44">
        <f t="shared" si="1"/>
        <v>60.699224000000001</v>
      </c>
    </row>
    <row r="43" spans="1:95">
      <c r="A43" s="41">
        <v>151</v>
      </c>
      <c r="B43" s="41" t="s">
        <v>58</v>
      </c>
      <c r="C43" s="2">
        <v>2</v>
      </c>
      <c r="D43" s="2">
        <v>4368.6515630000004</v>
      </c>
      <c r="E43" s="2">
        <v>0</v>
      </c>
      <c r="F43" s="2">
        <v>23.527866666666664</v>
      </c>
      <c r="G43" s="43">
        <v>18.334199999999999</v>
      </c>
      <c r="H43" s="43">
        <v>18.759399999999999</v>
      </c>
      <c r="I43" s="43">
        <v>19.1846</v>
      </c>
      <c r="J43" s="43">
        <v>19.6098</v>
      </c>
      <c r="K43" s="43">
        <v>20.035</v>
      </c>
      <c r="L43" s="43">
        <v>20.4864</v>
      </c>
      <c r="M43" s="43">
        <v>20.937799999999999</v>
      </c>
      <c r="N43" s="43">
        <v>21.389199999999999</v>
      </c>
      <c r="O43" s="43">
        <v>21.840599999999998</v>
      </c>
      <c r="P43" s="43">
        <v>22.292000000000002</v>
      </c>
      <c r="Q43" s="43">
        <v>22.563800000000001</v>
      </c>
      <c r="R43" s="43">
        <v>22.835599999999999</v>
      </c>
      <c r="S43" s="43">
        <v>23.107399999999998</v>
      </c>
      <c r="T43" s="43">
        <v>23.379200000000001</v>
      </c>
      <c r="U43" s="43">
        <v>23.651</v>
      </c>
      <c r="V43" s="43">
        <v>23.934000000000001</v>
      </c>
      <c r="W43" s="43">
        <v>24.216999999999999</v>
      </c>
      <c r="X43" s="43">
        <v>24.5</v>
      </c>
      <c r="Y43" s="43">
        <v>24.783000000000001</v>
      </c>
      <c r="Z43" s="43">
        <v>25.065999999999999</v>
      </c>
      <c r="AA43" s="43">
        <v>25.326000000000001</v>
      </c>
      <c r="AB43" s="43">
        <v>25.585999999999999</v>
      </c>
      <c r="AC43" s="43">
        <v>25.846</v>
      </c>
      <c r="AD43" s="43">
        <v>26.106000000000002</v>
      </c>
      <c r="AE43" s="43">
        <v>26.366</v>
      </c>
      <c r="AF43" s="43">
        <v>26.623999999999999</v>
      </c>
      <c r="AG43" s="43">
        <v>26.882000000000001</v>
      </c>
      <c r="AH43" s="43">
        <v>27.14</v>
      </c>
      <c r="AI43" s="43">
        <v>27.398</v>
      </c>
      <c r="AJ43" s="43">
        <v>27.655999999999999</v>
      </c>
      <c r="AK43" s="43">
        <v>28.087399999999999</v>
      </c>
      <c r="AL43" s="43">
        <v>28.518799999999999</v>
      </c>
      <c r="AM43" s="43">
        <v>28.950199999999999</v>
      </c>
      <c r="AN43" s="43">
        <v>29.381599999999999</v>
      </c>
      <c r="AO43" s="43">
        <v>29.812999999999999</v>
      </c>
      <c r="AP43" s="43">
        <v>30.324999999999999</v>
      </c>
      <c r="AQ43" s="43">
        <v>30.837</v>
      </c>
      <c r="AR43" s="43">
        <v>31.349</v>
      </c>
      <c r="AS43" s="43">
        <v>31.861000000000001</v>
      </c>
      <c r="AT43" s="43">
        <v>32.372999999999998</v>
      </c>
      <c r="AU43" s="43">
        <v>32.906999999999996</v>
      </c>
      <c r="AV43" s="43">
        <v>33.441000000000003</v>
      </c>
      <c r="AW43" s="43">
        <v>33.975000000000001</v>
      </c>
      <c r="AX43" s="43">
        <v>34.509</v>
      </c>
      <c r="AY43" s="43">
        <v>35.042999999999999</v>
      </c>
      <c r="AZ43" s="43">
        <v>35.597999999999999</v>
      </c>
      <c r="BA43" s="43">
        <v>36.152999999999999</v>
      </c>
      <c r="BB43" s="43">
        <v>36.707999999999998</v>
      </c>
      <c r="BC43" s="43">
        <v>37.262999999999998</v>
      </c>
      <c r="BD43" s="43">
        <v>37.817999999999998</v>
      </c>
      <c r="BE43" s="43">
        <v>38.390799999999999</v>
      </c>
      <c r="BF43" s="43">
        <v>38.9636</v>
      </c>
      <c r="BG43" s="43"/>
      <c r="BH43" s="44">
        <f t="shared" si="0"/>
        <v>23.09785185185185</v>
      </c>
      <c r="BI43" s="44">
        <f t="shared" si="1"/>
        <v>32.578375999999999</v>
      </c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</row>
    <row r="44" spans="1:95">
      <c r="A44" s="41">
        <v>3</v>
      </c>
      <c r="B44" s="41" t="s">
        <v>153</v>
      </c>
      <c r="C44" s="2">
        <v>2</v>
      </c>
      <c r="D44" s="2">
        <v>4269.6167070000001</v>
      </c>
      <c r="E44" s="2">
        <v>0</v>
      </c>
      <c r="F44" s="2">
        <v>33.110966666666663</v>
      </c>
      <c r="G44" s="43">
        <v>30.81</v>
      </c>
      <c r="H44" s="43">
        <v>30.914999999999999</v>
      </c>
      <c r="I44" s="43">
        <v>31.02</v>
      </c>
      <c r="J44" s="43">
        <v>31.125</v>
      </c>
      <c r="K44" s="43">
        <v>31.23</v>
      </c>
      <c r="L44" s="43">
        <v>31.332000000000001</v>
      </c>
      <c r="M44" s="43">
        <v>31.434000000000001</v>
      </c>
      <c r="N44" s="43">
        <v>31.536000000000001</v>
      </c>
      <c r="O44" s="43">
        <v>31.638000000000002</v>
      </c>
      <c r="P44" s="43">
        <v>31.74</v>
      </c>
      <c r="Q44" s="43">
        <v>31.9344</v>
      </c>
      <c r="R44" s="43">
        <v>32.128799999999998</v>
      </c>
      <c r="S44" s="43">
        <v>32.3232</v>
      </c>
      <c r="T44" s="43">
        <v>32.517600000000002</v>
      </c>
      <c r="U44" s="43">
        <v>32.712000000000003</v>
      </c>
      <c r="V44" s="43">
        <v>32.921999999999997</v>
      </c>
      <c r="W44" s="43">
        <v>33.131999999999998</v>
      </c>
      <c r="X44" s="43">
        <v>33.341999999999999</v>
      </c>
      <c r="Y44" s="43">
        <v>33.552</v>
      </c>
      <c r="Z44" s="43">
        <v>33.762</v>
      </c>
      <c r="AA44" s="43">
        <v>34.026200000000003</v>
      </c>
      <c r="AB44" s="43">
        <v>34.290399999999998</v>
      </c>
      <c r="AC44" s="43">
        <v>34.554600000000001</v>
      </c>
      <c r="AD44" s="43">
        <v>34.818800000000003</v>
      </c>
      <c r="AE44" s="43">
        <v>35.082999999999998</v>
      </c>
      <c r="AF44" s="43">
        <v>35.351999999999997</v>
      </c>
      <c r="AG44" s="43">
        <v>35.621000000000002</v>
      </c>
      <c r="AH44" s="43">
        <v>35.89</v>
      </c>
      <c r="AI44" s="43">
        <v>36.158999999999999</v>
      </c>
      <c r="AJ44" s="43">
        <v>36.427999999999997</v>
      </c>
      <c r="AK44" s="43">
        <v>36.924599999999998</v>
      </c>
      <c r="AL44" s="43">
        <v>37.421199999999999</v>
      </c>
      <c r="AM44" s="43">
        <v>37.9178</v>
      </c>
      <c r="AN44" s="43">
        <v>38.414400000000001</v>
      </c>
      <c r="AO44" s="43">
        <v>38.911000000000001</v>
      </c>
      <c r="AP44" s="43">
        <v>39.476999999999997</v>
      </c>
      <c r="AQ44" s="43">
        <v>40.042999999999999</v>
      </c>
      <c r="AR44" s="43">
        <v>40.609000000000002</v>
      </c>
      <c r="AS44" s="43">
        <v>41.174999999999997</v>
      </c>
      <c r="AT44" s="43">
        <v>41.741</v>
      </c>
      <c r="AU44" s="43">
        <v>42.753599999999999</v>
      </c>
      <c r="AV44" s="43">
        <v>43.766199999999998</v>
      </c>
      <c r="AW44" s="43">
        <v>44.778799999999997</v>
      </c>
      <c r="AX44" s="43">
        <v>45.791400000000003</v>
      </c>
      <c r="AY44" s="43">
        <v>46.804000000000002</v>
      </c>
      <c r="AZ44" s="43">
        <v>47.907600000000002</v>
      </c>
      <c r="BA44" s="43">
        <v>49.011200000000002</v>
      </c>
      <c r="BB44" s="43">
        <v>50.114800000000002</v>
      </c>
      <c r="BC44" s="43">
        <v>51.218400000000003</v>
      </c>
      <c r="BD44" s="43">
        <v>52.322000000000003</v>
      </c>
      <c r="BE44" s="43">
        <v>53.384599999999999</v>
      </c>
      <c r="BF44" s="43">
        <v>54.447200000000002</v>
      </c>
      <c r="BG44" s="43"/>
      <c r="BH44" s="44">
        <f t="shared" si="0"/>
        <v>32.772296296296297</v>
      </c>
      <c r="BI44" s="44">
        <f t="shared" si="1"/>
        <v>43.336431999999995</v>
      </c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</row>
    <row r="45" spans="1:95">
      <c r="A45" s="41">
        <v>221</v>
      </c>
      <c r="B45" s="41" t="s">
        <v>14</v>
      </c>
      <c r="C45" s="2">
        <v>2</v>
      </c>
      <c r="D45" s="2">
        <v>4246.0986000000003</v>
      </c>
      <c r="E45" s="2">
        <v>0</v>
      </c>
      <c r="F45" s="2">
        <v>47.495666666666665</v>
      </c>
      <c r="G45" s="43">
        <v>37.953600000000002</v>
      </c>
      <c r="H45" s="43">
        <v>38.3962</v>
      </c>
      <c r="I45" s="43">
        <v>38.838799999999999</v>
      </c>
      <c r="J45" s="43">
        <v>39.281399999999998</v>
      </c>
      <c r="K45" s="43">
        <v>39.723999999999997</v>
      </c>
      <c r="L45" s="43">
        <v>40.4756</v>
      </c>
      <c r="M45" s="43">
        <v>41.227200000000003</v>
      </c>
      <c r="N45" s="43">
        <v>41.9788</v>
      </c>
      <c r="O45" s="43">
        <v>42.730400000000003</v>
      </c>
      <c r="P45" s="43">
        <v>43.481999999999999</v>
      </c>
      <c r="Q45" s="43">
        <v>44.303199999999997</v>
      </c>
      <c r="R45" s="43">
        <v>45.124400000000001</v>
      </c>
      <c r="S45" s="43">
        <v>45.945599999999999</v>
      </c>
      <c r="T45" s="43">
        <v>46.766800000000003</v>
      </c>
      <c r="U45" s="43">
        <v>47.588000000000001</v>
      </c>
      <c r="V45" s="43">
        <v>48.184199999999997</v>
      </c>
      <c r="W45" s="43">
        <v>48.7804</v>
      </c>
      <c r="X45" s="43">
        <v>49.376600000000003</v>
      </c>
      <c r="Y45" s="43">
        <v>49.972799999999999</v>
      </c>
      <c r="Z45" s="43">
        <v>50.569000000000003</v>
      </c>
      <c r="AA45" s="43">
        <v>51.222999999999999</v>
      </c>
      <c r="AB45" s="43">
        <v>51.877000000000002</v>
      </c>
      <c r="AC45" s="43">
        <v>52.530999999999999</v>
      </c>
      <c r="AD45" s="43">
        <v>53.185000000000002</v>
      </c>
      <c r="AE45" s="43">
        <v>53.838999999999999</v>
      </c>
      <c r="AF45" s="43">
        <v>54.660400000000003</v>
      </c>
      <c r="AG45" s="43">
        <v>55.4818</v>
      </c>
      <c r="AH45" s="43">
        <v>56.303199999999997</v>
      </c>
      <c r="AI45" s="43">
        <v>57.124600000000001</v>
      </c>
      <c r="AJ45" s="43">
        <v>57.945999999999998</v>
      </c>
      <c r="AK45" s="43">
        <v>58.651600000000002</v>
      </c>
      <c r="AL45" s="43">
        <v>59.357199999999999</v>
      </c>
      <c r="AM45" s="43">
        <v>60.062800000000003</v>
      </c>
      <c r="AN45" s="43">
        <v>60.7684</v>
      </c>
      <c r="AO45" s="43">
        <v>61.473999999999997</v>
      </c>
      <c r="AP45" s="43">
        <v>61.865600000000001</v>
      </c>
      <c r="AQ45" s="43">
        <v>62.257199999999997</v>
      </c>
      <c r="AR45" s="43">
        <v>62.648800000000001</v>
      </c>
      <c r="AS45" s="43">
        <v>63.040399999999998</v>
      </c>
      <c r="AT45" s="43">
        <v>63.432000000000002</v>
      </c>
      <c r="AU45" s="43">
        <v>63.7712</v>
      </c>
      <c r="AV45" s="43">
        <v>64.110399999999998</v>
      </c>
      <c r="AW45" s="43">
        <v>64.449600000000004</v>
      </c>
      <c r="AX45" s="43">
        <v>64.788799999999995</v>
      </c>
      <c r="AY45" s="43">
        <v>65.128</v>
      </c>
      <c r="AZ45" s="43">
        <v>65.322000000000003</v>
      </c>
      <c r="BA45" s="43">
        <v>65.516000000000005</v>
      </c>
      <c r="BB45" s="43">
        <v>65.709999999999994</v>
      </c>
      <c r="BC45" s="43">
        <v>65.903999999999996</v>
      </c>
      <c r="BD45" s="43">
        <v>66.097999999999999</v>
      </c>
      <c r="BE45" s="43">
        <v>66.3142</v>
      </c>
      <c r="BF45" s="43">
        <v>66.5304</v>
      </c>
      <c r="BG45" s="43"/>
      <c r="BH45" s="44">
        <f t="shared" si="0"/>
        <v>46.425785185185177</v>
      </c>
      <c r="BI45" s="44">
        <f t="shared" si="1"/>
        <v>62.742976000000006</v>
      </c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</row>
    <row r="46" spans="1:95">
      <c r="A46" s="41">
        <v>62</v>
      </c>
      <c r="B46" s="41" t="s">
        <v>116</v>
      </c>
      <c r="C46" s="2">
        <v>2</v>
      </c>
      <c r="D46" s="2">
        <v>3893.3536509999999</v>
      </c>
      <c r="E46" s="2">
        <v>0</v>
      </c>
      <c r="F46" s="2">
        <v>45.219200000000001</v>
      </c>
      <c r="G46" s="43">
        <v>31.190999999999999</v>
      </c>
      <c r="H46" s="43">
        <v>32.152999999999999</v>
      </c>
      <c r="I46" s="43">
        <v>33.115000000000002</v>
      </c>
      <c r="J46" s="43">
        <v>34.076999999999998</v>
      </c>
      <c r="K46" s="43">
        <v>35.039000000000001</v>
      </c>
      <c r="L46" s="43">
        <v>36.073</v>
      </c>
      <c r="M46" s="43">
        <v>37.106999999999999</v>
      </c>
      <c r="N46" s="43">
        <v>38.140999999999998</v>
      </c>
      <c r="O46" s="43">
        <v>39.174999999999997</v>
      </c>
      <c r="P46" s="43">
        <v>40.209000000000003</v>
      </c>
      <c r="Q46" s="43">
        <v>41.305399999999999</v>
      </c>
      <c r="R46" s="43">
        <v>42.401800000000001</v>
      </c>
      <c r="S46" s="43">
        <v>43.498199999999997</v>
      </c>
      <c r="T46" s="43">
        <v>44.5946</v>
      </c>
      <c r="U46" s="43">
        <v>45.691000000000003</v>
      </c>
      <c r="V46" s="43">
        <v>46.808999999999997</v>
      </c>
      <c r="W46" s="43">
        <v>47.927</v>
      </c>
      <c r="X46" s="43">
        <v>49.045000000000002</v>
      </c>
      <c r="Y46" s="43">
        <v>50.162999999999997</v>
      </c>
      <c r="Z46" s="43">
        <v>51.280999999999999</v>
      </c>
      <c r="AA46" s="43">
        <v>51.798400000000001</v>
      </c>
      <c r="AB46" s="43">
        <v>52.315800000000003</v>
      </c>
      <c r="AC46" s="43">
        <v>52.833199999999998</v>
      </c>
      <c r="AD46" s="43">
        <v>53.3506</v>
      </c>
      <c r="AE46" s="43">
        <v>53.868000000000002</v>
      </c>
      <c r="AF46" s="43">
        <v>54.139600000000002</v>
      </c>
      <c r="AG46" s="43">
        <v>54.411200000000001</v>
      </c>
      <c r="AH46" s="43">
        <v>54.6828</v>
      </c>
      <c r="AI46" s="43">
        <v>54.9544</v>
      </c>
      <c r="AJ46" s="43">
        <v>55.225999999999999</v>
      </c>
      <c r="AK46" s="43">
        <v>55.7</v>
      </c>
      <c r="AL46" s="43">
        <v>56.173999999999999</v>
      </c>
      <c r="AM46" s="43">
        <v>56.648000000000003</v>
      </c>
      <c r="AN46" s="43">
        <v>57.122</v>
      </c>
      <c r="AO46" s="43">
        <v>57.595999999999997</v>
      </c>
      <c r="AP46" s="43">
        <v>58.426000000000002</v>
      </c>
      <c r="AQ46" s="43">
        <v>59.256</v>
      </c>
      <c r="AR46" s="43">
        <v>60.085999999999999</v>
      </c>
      <c r="AS46" s="43">
        <v>60.915999999999997</v>
      </c>
      <c r="AT46" s="43">
        <v>61.746000000000002</v>
      </c>
      <c r="AU46" s="43">
        <v>62.533000000000001</v>
      </c>
      <c r="AV46" s="43">
        <v>63.32</v>
      </c>
      <c r="AW46" s="43">
        <v>64.106999999999999</v>
      </c>
      <c r="AX46" s="43">
        <v>64.894000000000005</v>
      </c>
      <c r="AY46" s="43">
        <v>65.680999999999997</v>
      </c>
      <c r="AZ46" s="43">
        <v>66.359399999999994</v>
      </c>
      <c r="BA46" s="43">
        <v>67.037800000000004</v>
      </c>
      <c r="BB46" s="43">
        <v>67.716200000000001</v>
      </c>
      <c r="BC46" s="43">
        <v>68.394599999999997</v>
      </c>
      <c r="BD46" s="43">
        <v>69.072999999999993</v>
      </c>
      <c r="BE46" s="43">
        <v>69.639600000000002</v>
      </c>
      <c r="BF46" s="43">
        <v>70.206199999999995</v>
      </c>
      <c r="BG46" s="43"/>
      <c r="BH46" s="44">
        <f t="shared" si="0"/>
        <v>44.13751111111111</v>
      </c>
      <c r="BI46" s="44">
        <f t="shared" si="1"/>
        <v>61.899800000000013</v>
      </c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</row>
    <row r="47" spans="1:95">
      <c r="A47" s="41">
        <v>171</v>
      </c>
      <c r="B47" s="41" t="s">
        <v>45</v>
      </c>
      <c r="C47" s="2">
        <v>2</v>
      </c>
      <c r="D47" s="2">
        <v>3886.6983019999998</v>
      </c>
      <c r="E47" s="2">
        <v>0</v>
      </c>
      <c r="F47" s="2">
        <v>40.400666666666652</v>
      </c>
      <c r="G47" s="43">
        <v>35.703800000000001</v>
      </c>
      <c r="H47" s="43">
        <v>35.8386</v>
      </c>
      <c r="I47" s="43">
        <v>35.973399999999998</v>
      </c>
      <c r="J47" s="43">
        <v>36.108199999999997</v>
      </c>
      <c r="K47" s="43">
        <v>36.243000000000002</v>
      </c>
      <c r="L47" s="43">
        <v>36.407400000000003</v>
      </c>
      <c r="M47" s="43">
        <v>36.571800000000003</v>
      </c>
      <c r="N47" s="43">
        <v>36.736199999999997</v>
      </c>
      <c r="O47" s="43">
        <v>36.900599999999997</v>
      </c>
      <c r="P47" s="43">
        <v>37.064999999999998</v>
      </c>
      <c r="Q47" s="43">
        <v>37.4482</v>
      </c>
      <c r="R47" s="43">
        <v>37.831400000000002</v>
      </c>
      <c r="S47" s="43">
        <v>38.214599999999997</v>
      </c>
      <c r="T47" s="43">
        <v>38.597799999999999</v>
      </c>
      <c r="U47" s="43">
        <v>38.981000000000002</v>
      </c>
      <c r="V47" s="43">
        <v>39.522399999999998</v>
      </c>
      <c r="W47" s="43">
        <v>40.063800000000001</v>
      </c>
      <c r="X47" s="43">
        <v>40.605200000000004</v>
      </c>
      <c r="Y47" s="43">
        <v>41.146599999999999</v>
      </c>
      <c r="Z47" s="43">
        <v>41.688000000000002</v>
      </c>
      <c r="AA47" s="43">
        <v>42.347000000000001</v>
      </c>
      <c r="AB47" s="43">
        <v>43.006</v>
      </c>
      <c r="AC47" s="43">
        <v>43.664999999999999</v>
      </c>
      <c r="AD47" s="43">
        <v>44.323999999999998</v>
      </c>
      <c r="AE47" s="43">
        <v>44.982999999999997</v>
      </c>
      <c r="AF47" s="43">
        <v>45.725200000000001</v>
      </c>
      <c r="AG47" s="43">
        <v>46.467399999999998</v>
      </c>
      <c r="AH47" s="43">
        <v>47.209600000000002</v>
      </c>
      <c r="AI47" s="43">
        <v>47.951799999999999</v>
      </c>
      <c r="AJ47" s="43">
        <v>48.694000000000003</v>
      </c>
      <c r="AK47" s="43">
        <v>49.381399999999999</v>
      </c>
      <c r="AL47" s="43">
        <v>50.068800000000003</v>
      </c>
      <c r="AM47" s="43">
        <v>50.7562</v>
      </c>
      <c r="AN47" s="43">
        <v>51.443600000000004</v>
      </c>
      <c r="AO47" s="43">
        <v>52.131</v>
      </c>
      <c r="AP47" s="43">
        <v>52.771000000000001</v>
      </c>
      <c r="AQ47" s="43">
        <v>53.411000000000001</v>
      </c>
      <c r="AR47" s="43">
        <v>54.051000000000002</v>
      </c>
      <c r="AS47" s="43">
        <v>54.691000000000003</v>
      </c>
      <c r="AT47" s="43">
        <v>55.331000000000003</v>
      </c>
      <c r="AU47" s="43">
        <v>55.957799999999999</v>
      </c>
      <c r="AV47" s="43">
        <v>56.584600000000002</v>
      </c>
      <c r="AW47" s="43">
        <v>57.211399999999998</v>
      </c>
      <c r="AX47" s="43">
        <v>57.838200000000001</v>
      </c>
      <c r="AY47" s="43">
        <v>58.465000000000003</v>
      </c>
      <c r="AZ47" s="43">
        <v>59.046799999999998</v>
      </c>
      <c r="BA47" s="43">
        <v>59.628599999999999</v>
      </c>
      <c r="BB47" s="43">
        <v>60.2104</v>
      </c>
      <c r="BC47" s="43">
        <v>60.792200000000001</v>
      </c>
      <c r="BD47" s="43">
        <v>61.374000000000002</v>
      </c>
      <c r="BE47" s="43">
        <v>61.904800000000002</v>
      </c>
      <c r="BF47" s="43">
        <v>62.435600000000001</v>
      </c>
      <c r="BG47" s="43"/>
      <c r="BH47" s="44">
        <f t="shared" si="0"/>
        <v>39.561651851851835</v>
      </c>
      <c r="BI47" s="44">
        <f t="shared" si="1"/>
        <v>55.173632000000005</v>
      </c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</row>
    <row r="48" spans="1:95">
      <c r="A48" s="41">
        <v>104</v>
      </c>
      <c r="B48" s="41" t="s">
        <v>91</v>
      </c>
      <c r="C48" s="2">
        <v>2</v>
      </c>
      <c r="D48" s="2">
        <v>3500</v>
      </c>
      <c r="E48" s="2">
        <v>0</v>
      </c>
      <c r="F48" s="2">
        <v>60.242533333333327</v>
      </c>
      <c r="G48" s="43">
        <v>44.449399999999997</v>
      </c>
      <c r="H48" s="43">
        <v>45.9998</v>
      </c>
      <c r="I48" s="43">
        <v>47.550199999999997</v>
      </c>
      <c r="J48" s="43">
        <v>49.1006</v>
      </c>
      <c r="K48" s="43">
        <v>50.651000000000003</v>
      </c>
      <c r="L48" s="43">
        <v>51.751600000000003</v>
      </c>
      <c r="M48" s="43">
        <v>52.852200000000003</v>
      </c>
      <c r="N48" s="43">
        <v>53.952800000000003</v>
      </c>
      <c r="O48" s="43">
        <v>55.053400000000003</v>
      </c>
      <c r="P48" s="43">
        <v>56.154000000000003</v>
      </c>
      <c r="Q48" s="43">
        <v>57.198999999999998</v>
      </c>
      <c r="R48" s="43">
        <v>58.244</v>
      </c>
      <c r="S48" s="43">
        <v>59.289000000000001</v>
      </c>
      <c r="T48" s="43">
        <v>60.334000000000003</v>
      </c>
      <c r="U48" s="43">
        <v>61.378999999999998</v>
      </c>
      <c r="V48" s="43">
        <v>62.2074</v>
      </c>
      <c r="W48" s="43">
        <v>63.035800000000002</v>
      </c>
      <c r="X48" s="43">
        <v>63.864199999999997</v>
      </c>
      <c r="Y48" s="43">
        <v>64.692599999999999</v>
      </c>
      <c r="Z48" s="43">
        <v>65.521000000000001</v>
      </c>
      <c r="AA48" s="43">
        <v>66.170199999999994</v>
      </c>
      <c r="AB48" s="43">
        <v>66.819400000000002</v>
      </c>
      <c r="AC48" s="43">
        <v>67.468599999999995</v>
      </c>
      <c r="AD48" s="43">
        <v>68.117800000000003</v>
      </c>
      <c r="AE48" s="43">
        <v>68.766999999999996</v>
      </c>
      <c r="AF48" s="43">
        <v>68.954800000000006</v>
      </c>
      <c r="AG48" s="43">
        <v>69.142600000000002</v>
      </c>
      <c r="AH48" s="43">
        <v>69.330399999999997</v>
      </c>
      <c r="AI48" s="43">
        <v>69.518199999999993</v>
      </c>
      <c r="AJ48" s="43">
        <v>69.706000000000003</v>
      </c>
      <c r="AK48" s="43">
        <v>69.520799999999994</v>
      </c>
      <c r="AL48" s="43">
        <v>69.335599999999999</v>
      </c>
      <c r="AM48" s="43">
        <v>69.150400000000005</v>
      </c>
      <c r="AN48" s="43">
        <v>68.965199999999996</v>
      </c>
      <c r="AO48" s="43">
        <v>68.78</v>
      </c>
      <c r="AP48" s="43">
        <v>68.59</v>
      </c>
      <c r="AQ48" s="43">
        <v>68.400000000000006</v>
      </c>
      <c r="AR48" s="43">
        <v>68.209999999999994</v>
      </c>
      <c r="AS48" s="43">
        <v>68.02</v>
      </c>
      <c r="AT48" s="43">
        <v>67.83</v>
      </c>
      <c r="AU48" s="43">
        <v>67.672399999999996</v>
      </c>
      <c r="AV48" s="43">
        <v>67.514799999999994</v>
      </c>
      <c r="AW48" s="43">
        <v>67.357200000000006</v>
      </c>
      <c r="AX48" s="43">
        <v>67.199600000000004</v>
      </c>
      <c r="AY48" s="43">
        <v>67.042000000000002</v>
      </c>
      <c r="AZ48" s="43">
        <v>66.940799999999996</v>
      </c>
      <c r="BA48" s="43">
        <v>66.839600000000004</v>
      </c>
      <c r="BB48" s="43">
        <v>66.738399999999999</v>
      </c>
      <c r="BC48" s="43">
        <v>66.637200000000007</v>
      </c>
      <c r="BD48" s="43">
        <v>66.536000000000001</v>
      </c>
      <c r="BE48" s="43">
        <v>66.503799999999998</v>
      </c>
      <c r="BF48" s="43">
        <v>66.471599999999995</v>
      </c>
      <c r="BG48" s="43"/>
      <c r="BH48" s="44">
        <f t="shared" si="0"/>
        <v>59.211903703703697</v>
      </c>
      <c r="BI48" s="44">
        <f t="shared" si="1"/>
        <v>67.952400000000011</v>
      </c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2"/>
      <c r="CG48" s="42"/>
      <c r="CH48" s="42"/>
      <c r="CI48" s="42"/>
      <c r="CJ48" s="42"/>
      <c r="CK48" s="42"/>
      <c r="CL48" s="42"/>
      <c r="CM48" s="42"/>
      <c r="CN48" s="42"/>
      <c r="CO48" s="42"/>
      <c r="CP48" s="42"/>
      <c r="CQ48" s="42"/>
    </row>
    <row r="49" spans="1:95">
      <c r="A49" s="41">
        <v>89</v>
      </c>
      <c r="B49" s="41" t="s">
        <v>101</v>
      </c>
      <c r="C49" s="2">
        <v>2</v>
      </c>
      <c r="D49" s="2">
        <v>3361.8779070000001</v>
      </c>
      <c r="E49" s="2">
        <v>0</v>
      </c>
      <c r="F49" s="2">
        <v>36.653933333333342</v>
      </c>
      <c r="G49" s="43">
        <v>31.694600000000001</v>
      </c>
      <c r="H49" s="43">
        <v>32.2682</v>
      </c>
      <c r="I49" s="43">
        <v>32.841799999999999</v>
      </c>
      <c r="J49" s="43">
        <v>33.415399999999998</v>
      </c>
      <c r="K49" s="43">
        <v>33.988999999999997</v>
      </c>
      <c r="L49" s="43">
        <v>34.300199999999997</v>
      </c>
      <c r="M49" s="43">
        <v>34.611400000000003</v>
      </c>
      <c r="N49" s="43">
        <v>34.922600000000003</v>
      </c>
      <c r="O49" s="43">
        <v>35.233800000000002</v>
      </c>
      <c r="P49" s="43">
        <v>35.545000000000002</v>
      </c>
      <c r="Q49" s="43">
        <v>35.779600000000002</v>
      </c>
      <c r="R49" s="43">
        <v>36.014200000000002</v>
      </c>
      <c r="S49" s="43">
        <v>36.248800000000003</v>
      </c>
      <c r="T49" s="43">
        <v>36.483400000000003</v>
      </c>
      <c r="U49" s="43">
        <v>36.718000000000004</v>
      </c>
      <c r="V49" s="43">
        <v>36.854599999999998</v>
      </c>
      <c r="W49" s="43">
        <v>36.991199999999999</v>
      </c>
      <c r="X49" s="43">
        <v>37.127800000000001</v>
      </c>
      <c r="Y49" s="43">
        <v>37.264400000000002</v>
      </c>
      <c r="Z49" s="43">
        <v>37.401000000000003</v>
      </c>
      <c r="AA49" s="43">
        <v>37.751199999999997</v>
      </c>
      <c r="AB49" s="43">
        <v>38.101399999999998</v>
      </c>
      <c r="AC49" s="43">
        <v>38.451599999999999</v>
      </c>
      <c r="AD49" s="43">
        <v>38.8018</v>
      </c>
      <c r="AE49" s="43">
        <v>39.152000000000001</v>
      </c>
      <c r="AF49" s="43">
        <v>39.545000000000002</v>
      </c>
      <c r="AG49" s="43">
        <v>39.938000000000002</v>
      </c>
      <c r="AH49" s="43">
        <v>40.331000000000003</v>
      </c>
      <c r="AI49" s="43">
        <v>40.723999999999997</v>
      </c>
      <c r="AJ49" s="43">
        <v>41.116999999999997</v>
      </c>
      <c r="AK49" s="43">
        <v>41.515599999999999</v>
      </c>
      <c r="AL49" s="43">
        <v>41.914200000000001</v>
      </c>
      <c r="AM49" s="43">
        <v>42.312800000000003</v>
      </c>
      <c r="AN49" s="43">
        <v>42.711399999999998</v>
      </c>
      <c r="AO49" s="43">
        <v>43.11</v>
      </c>
      <c r="AP49" s="43">
        <v>43.513399999999997</v>
      </c>
      <c r="AQ49" s="43">
        <v>43.916800000000002</v>
      </c>
      <c r="AR49" s="43">
        <v>44.3202</v>
      </c>
      <c r="AS49" s="43">
        <v>44.723599999999998</v>
      </c>
      <c r="AT49" s="43">
        <v>45.127000000000002</v>
      </c>
      <c r="AU49" s="43">
        <v>45.536000000000001</v>
      </c>
      <c r="AV49" s="43">
        <v>45.945</v>
      </c>
      <c r="AW49" s="43">
        <v>46.353999999999999</v>
      </c>
      <c r="AX49" s="43">
        <v>46.762999999999998</v>
      </c>
      <c r="AY49" s="43">
        <v>47.171999999999997</v>
      </c>
      <c r="AZ49" s="43">
        <v>47.603200000000001</v>
      </c>
      <c r="BA49" s="43">
        <v>48.034399999999998</v>
      </c>
      <c r="BB49" s="43">
        <v>48.465600000000002</v>
      </c>
      <c r="BC49" s="43">
        <v>48.896799999999999</v>
      </c>
      <c r="BD49" s="43">
        <v>49.328000000000003</v>
      </c>
      <c r="BE49" s="43">
        <v>49.782400000000003</v>
      </c>
      <c r="BF49" s="43">
        <v>50.236800000000002</v>
      </c>
      <c r="BG49" s="43"/>
      <c r="BH49" s="44">
        <f t="shared" si="0"/>
        <v>36.201703703703707</v>
      </c>
      <c r="BI49" s="44">
        <f t="shared" si="1"/>
        <v>45.178168000000007</v>
      </c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</row>
    <row r="50" spans="1:95">
      <c r="A50" s="41">
        <v>7</v>
      </c>
      <c r="B50" s="41" t="s">
        <v>151</v>
      </c>
      <c r="C50" s="2">
        <v>2</v>
      </c>
      <c r="D50" s="2">
        <v>3319.1010179999998</v>
      </c>
      <c r="E50" s="2">
        <v>0</v>
      </c>
      <c r="F50" s="2">
        <v>21.280899999999999</v>
      </c>
      <c r="G50" s="43">
        <v>10.848800000000001</v>
      </c>
      <c r="H50" s="43">
        <v>11.262600000000001</v>
      </c>
      <c r="I50" s="43">
        <v>11.676399999999999</v>
      </c>
      <c r="J50" s="43">
        <v>12.090199999999999</v>
      </c>
      <c r="K50" s="43">
        <v>12.504</v>
      </c>
      <c r="L50" s="43">
        <v>12.9946</v>
      </c>
      <c r="M50" s="43">
        <v>13.485200000000001</v>
      </c>
      <c r="N50" s="43">
        <v>13.9758</v>
      </c>
      <c r="O50" s="43">
        <v>14.4664</v>
      </c>
      <c r="P50" s="43">
        <v>14.957000000000001</v>
      </c>
      <c r="Q50" s="43">
        <v>15.7912</v>
      </c>
      <c r="R50" s="43">
        <v>16.625399999999999</v>
      </c>
      <c r="S50" s="43">
        <v>17.459599999999998</v>
      </c>
      <c r="T50" s="43">
        <v>18.293800000000001</v>
      </c>
      <c r="U50" s="43">
        <v>19.128</v>
      </c>
      <c r="V50" s="43">
        <v>20.161999999999999</v>
      </c>
      <c r="W50" s="43">
        <v>21.196000000000002</v>
      </c>
      <c r="X50" s="43">
        <v>22.23</v>
      </c>
      <c r="Y50" s="43">
        <v>23.263999999999999</v>
      </c>
      <c r="Z50" s="43">
        <v>24.297999999999998</v>
      </c>
      <c r="AA50" s="43">
        <v>25.506</v>
      </c>
      <c r="AB50" s="43">
        <v>26.713999999999999</v>
      </c>
      <c r="AC50" s="43">
        <v>27.922000000000001</v>
      </c>
      <c r="AD50" s="43">
        <v>29.13</v>
      </c>
      <c r="AE50" s="43">
        <v>30.338000000000001</v>
      </c>
      <c r="AF50" s="43">
        <v>31.699200000000001</v>
      </c>
      <c r="AG50" s="43">
        <v>33.060400000000001</v>
      </c>
      <c r="AH50" s="43">
        <v>34.421599999999998</v>
      </c>
      <c r="AI50" s="43">
        <v>35.782800000000002</v>
      </c>
      <c r="AJ50" s="43">
        <v>37.143999999999998</v>
      </c>
      <c r="AK50" s="43">
        <v>38.512799999999999</v>
      </c>
      <c r="AL50" s="43">
        <v>39.881599999999999</v>
      </c>
      <c r="AM50" s="43">
        <v>41.250399999999999</v>
      </c>
      <c r="AN50" s="43">
        <v>42.619199999999999</v>
      </c>
      <c r="AO50" s="43">
        <v>43.988</v>
      </c>
      <c r="AP50" s="43">
        <v>44.9878</v>
      </c>
      <c r="AQ50" s="43">
        <v>45.9876</v>
      </c>
      <c r="AR50" s="43">
        <v>46.987400000000001</v>
      </c>
      <c r="AS50" s="43">
        <v>47.987200000000001</v>
      </c>
      <c r="AT50" s="43">
        <v>48.987000000000002</v>
      </c>
      <c r="AU50" s="43">
        <v>49.978200000000001</v>
      </c>
      <c r="AV50" s="43">
        <v>50.9694</v>
      </c>
      <c r="AW50" s="43">
        <v>51.960599999999999</v>
      </c>
      <c r="AX50" s="43">
        <v>52.951799999999999</v>
      </c>
      <c r="AY50" s="43">
        <v>53.942999999999998</v>
      </c>
      <c r="AZ50" s="43">
        <v>54.830199999999998</v>
      </c>
      <c r="BA50" s="43">
        <v>55.717399999999998</v>
      </c>
      <c r="BB50" s="43">
        <v>56.604599999999998</v>
      </c>
      <c r="BC50" s="43">
        <v>57.491799999999998</v>
      </c>
      <c r="BD50" s="43">
        <v>58.378999999999998</v>
      </c>
      <c r="BE50" s="43">
        <v>59.142600000000002</v>
      </c>
      <c r="BF50" s="43">
        <v>59.906199999999998</v>
      </c>
      <c r="BG50" s="43"/>
      <c r="BH50" s="44">
        <f t="shared" si="0"/>
        <v>19.669577777777778</v>
      </c>
      <c r="BI50" s="44">
        <f t="shared" si="1"/>
        <v>48.41648799999998</v>
      </c>
    </row>
    <row r="51" spans="1:95">
      <c r="A51" s="41">
        <v>27</v>
      </c>
      <c r="B51" s="41" t="s">
        <v>140</v>
      </c>
      <c r="C51" s="2">
        <v>2</v>
      </c>
      <c r="D51" s="2">
        <v>3166.911008</v>
      </c>
      <c r="E51" s="2">
        <v>0</v>
      </c>
      <c r="F51" s="2">
        <v>43.894666666666666</v>
      </c>
      <c r="G51" s="43">
        <v>37.061</v>
      </c>
      <c r="H51" s="43">
        <v>37.36</v>
      </c>
      <c r="I51" s="43">
        <v>37.658999999999999</v>
      </c>
      <c r="J51" s="43">
        <v>37.957999999999998</v>
      </c>
      <c r="K51" s="43">
        <v>38.256999999999998</v>
      </c>
      <c r="L51" s="43">
        <v>38.5608</v>
      </c>
      <c r="M51" s="43">
        <v>38.864600000000003</v>
      </c>
      <c r="N51" s="43">
        <v>39.168399999999998</v>
      </c>
      <c r="O51" s="43">
        <v>39.472200000000001</v>
      </c>
      <c r="P51" s="43">
        <v>39.776000000000003</v>
      </c>
      <c r="Q51" s="43">
        <v>40.083599999999997</v>
      </c>
      <c r="R51" s="43">
        <v>40.391199999999998</v>
      </c>
      <c r="S51" s="43">
        <v>40.698799999999999</v>
      </c>
      <c r="T51" s="43">
        <v>41.006399999999999</v>
      </c>
      <c r="U51" s="43">
        <v>41.314</v>
      </c>
      <c r="V51" s="43">
        <v>42.141399999999997</v>
      </c>
      <c r="W51" s="43">
        <v>42.968800000000002</v>
      </c>
      <c r="X51" s="43">
        <v>43.796199999999999</v>
      </c>
      <c r="Y51" s="43">
        <v>44.623600000000003</v>
      </c>
      <c r="Z51" s="43">
        <v>45.451000000000001</v>
      </c>
      <c r="AA51" s="43">
        <v>46.464599999999997</v>
      </c>
      <c r="AB51" s="43">
        <v>47.478200000000001</v>
      </c>
      <c r="AC51" s="43">
        <v>48.491799999999998</v>
      </c>
      <c r="AD51" s="43">
        <v>49.505400000000002</v>
      </c>
      <c r="AE51" s="43">
        <v>50.518999999999998</v>
      </c>
      <c r="AF51" s="43">
        <v>51.5306</v>
      </c>
      <c r="AG51" s="43">
        <v>52.542200000000001</v>
      </c>
      <c r="AH51" s="43">
        <v>53.553800000000003</v>
      </c>
      <c r="AI51" s="43">
        <v>54.565399999999997</v>
      </c>
      <c r="AJ51" s="43">
        <v>55.576999999999998</v>
      </c>
      <c r="AK51" s="43">
        <v>56.3416</v>
      </c>
      <c r="AL51" s="43">
        <v>57.106200000000001</v>
      </c>
      <c r="AM51" s="43">
        <v>57.870800000000003</v>
      </c>
      <c r="AN51" s="43">
        <v>58.635399999999997</v>
      </c>
      <c r="AO51" s="43">
        <v>59.4</v>
      </c>
      <c r="AP51" s="43">
        <v>59.886800000000001</v>
      </c>
      <c r="AQ51" s="43">
        <v>60.373600000000003</v>
      </c>
      <c r="AR51" s="43">
        <v>60.860399999999998</v>
      </c>
      <c r="AS51" s="43">
        <v>61.347200000000001</v>
      </c>
      <c r="AT51" s="43">
        <v>61.834000000000003</v>
      </c>
      <c r="AU51" s="43">
        <v>62.305</v>
      </c>
      <c r="AV51" s="43">
        <v>62.776000000000003</v>
      </c>
      <c r="AW51" s="43">
        <v>63.247</v>
      </c>
      <c r="AX51" s="43">
        <v>63.718000000000004</v>
      </c>
      <c r="AY51" s="43">
        <v>64.188999999999993</v>
      </c>
      <c r="AZ51" s="43">
        <v>64.631</v>
      </c>
      <c r="BA51" s="43">
        <v>65.072999999999993</v>
      </c>
      <c r="BB51" s="43">
        <v>65.515000000000001</v>
      </c>
      <c r="BC51" s="43">
        <v>65.956999999999994</v>
      </c>
      <c r="BD51" s="43">
        <v>66.399000000000001</v>
      </c>
      <c r="BE51" s="43">
        <v>66.811400000000006</v>
      </c>
      <c r="BF51" s="43">
        <v>67.223799999999997</v>
      </c>
      <c r="BG51" s="43"/>
      <c r="BH51" s="44">
        <f t="shared" si="0"/>
        <v>42.709029629629633</v>
      </c>
      <c r="BI51" s="44">
        <f t="shared" si="1"/>
        <v>61.407896000000008</v>
      </c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  <c r="CQ51" s="42"/>
    </row>
    <row r="52" spans="1:95">
      <c r="A52" s="41">
        <v>215</v>
      </c>
      <c r="B52" s="41" t="s">
        <v>18</v>
      </c>
      <c r="C52" s="2">
        <v>2</v>
      </c>
      <c r="D52" s="2">
        <v>2874.940552</v>
      </c>
      <c r="E52" s="2">
        <v>0</v>
      </c>
      <c r="F52" s="2">
        <v>24.21286666666667</v>
      </c>
      <c r="G52" s="43">
        <v>19.7818</v>
      </c>
      <c r="H52" s="43">
        <v>19.8916</v>
      </c>
      <c r="I52" s="43">
        <v>20.0014</v>
      </c>
      <c r="J52" s="43">
        <v>20.1112</v>
      </c>
      <c r="K52" s="43">
        <v>20.221</v>
      </c>
      <c r="L52" s="43">
        <v>20.354600000000001</v>
      </c>
      <c r="M52" s="43">
        <v>20.488199999999999</v>
      </c>
      <c r="N52" s="43">
        <v>20.6218</v>
      </c>
      <c r="O52" s="43">
        <v>20.755400000000002</v>
      </c>
      <c r="P52" s="43">
        <v>20.888999999999999</v>
      </c>
      <c r="Q52" s="43">
        <v>21.462800000000001</v>
      </c>
      <c r="R52" s="43">
        <v>22.0366</v>
      </c>
      <c r="S52" s="43">
        <v>22.610399999999998</v>
      </c>
      <c r="T52" s="43">
        <v>23.184200000000001</v>
      </c>
      <c r="U52" s="43">
        <v>23.757999999999999</v>
      </c>
      <c r="V52" s="43">
        <v>24.364599999999999</v>
      </c>
      <c r="W52" s="43">
        <v>24.9712</v>
      </c>
      <c r="X52" s="43">
        <v>25.5778</v>
      </c>
      <c r="Y52" s="43">
        <v>26.1844</v>
      </c>
      <c r="Z52" s="43">
        <v>26.791</v>
      </c>
      <c r="AA52" s="43">
        <v>27.0518</v>
      </c>
      <c r="AB52" s="43">
        <v>27.3126</v>
      </c>
      <c r="AC52" s="43">
        <v>27.573399999999999</v>
      </c>
      <c r="AD52" s="43">
        <v>27.834199999999999</v>
      </c>
      <c r="AE52" s="43">
        <v>28.094999999999999</v>
      </c>
      <c r="AF52" s="43">
        <v>28.360800000000001</v>
      </c>
      <c r="AG52" s="43">
        <v>28.6266</v>
      </c>
      <c r="AH52" s="43">
        <v>28.892399999999999</v>
      </c>
      <c r="AI52" s="43">
        <v>29.158200000000001</v>
      </c>
      <c r="AJ52" s="43">
        <v>29.423999999999999</v>
      </c>
      <c r="AK52" s="43">
        <v>29.5944</v>
      </c>
      <c r="AL52" s="43">
        <v>29.764800000000001</v>
      </c>
      <c r="AM52" s="43">
        <v>29.935199999999998</v>
      </c>
      <c r="AN52" s="43">
        <v>30.105599999999999</v>
      </c>
      <c r="AO52" s="43">
        <v>30.276</v>
      </c>
      <c r="AP52" s="43">
        <v>30.449400000000001</v>
      </c>
      <c r="AQ52" s="43">
        <v>30.622800000000002</v>
      </c>
      <c r="AR52" s="43">
        <v>30.796199999999999</v>
      </c>
      <c r="AS52" s="43">
        <v>30.9696</v>
      </c>
      <c r="AT52" s="43">
        <v>31.143000000000001</v>
      </c>
      <c r="AU52" s="43">
        <v>31.3626</v>
      </c>
      <c r="AV52" s="43">
        <v>31.5822</v>
      </c>
      <c r="AW52" s="43">
        <v>31.8018</v>
      </c>
      <c r="AX52" s="43">
        <v>32.0214</v>
      </c>
      <c r="AY52" s="43">
        <v>32.241</v>
      </c>
      <c r="AZ52" s="43">
        <v>32.538800000000002</v>
      </c>
      <c r="BA52" s="43">
        <v>32.836599999999997</v>
      </c>
      <c r="BB52" s="43">
        <v>33.134399999999999</v>
      </c>
      <c r="BC52" s="43">
        <v>33.432200000000002</v>
      </c>
      <c r="BD52" s="43">
        <v>33.729999999999997</v>
      </c>
      <c r="BE52" s="43">
        <v>34.110399999999998</v>
      </c>
      <c r="BF52" s="43">
        <v>34.4908</v>
      </c>
      <c r="BG52" s="43"/>
      <c r="BH52" s="44">
        <f t="shared" si="0"/>
        <v>23.663385185185192</v>
      </c>
      <c r="BI52" s="44">
        <f t="shared" si="1"/>
        <v>31.376552000000007</v>
      </c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  <c r="CQ52" s="42"/>
    </row>
    <row r="53" spans="1:95">
      <c r="A53" s="41">
        <v>64</v>
      </c>
      <c r="B53" s="41" t="s">
        <v>114</v>
      </c>
      <c r="C53" s="2">
        <v>2</v>
      </c>
      <c r="D53" s="2">
        <v>2853.4748909999998</v>
      </c>
      <c r="E53" s="2">
        <v>0</v>
      </c>
      <c r="F53" s="2">
        <v>42.561733333333329</v>
      </c>
      <c r="G53" s="43">
        <v>38.427399999999999</v>
      </c>
      <c r="H53" s="43">
        <v>38.9908</v>
      </c>
      <c r="I53" s="43">
        <v>39.554200000000002</v>
      </c>
      <c r="J53" s="43">
        <v>40.117600000000003</v>
      </c>
      <c r="K53" s="43">
        <v>40.680999999999997</v>
      </c>
      <c r="L53" s="43">
        <v>40.986600000000003</v>
      </c>
      <c r="M53" s="43">
        <v>41.292200000000001</v>
      </c>
      <c r="N53" s="43">
        <v>41.597799999999999</v>
      </c>
      <c r="O53" s="43">
        <v>41.903399999999998</v>
      </c>
      <c r="P53" s="43">
        <v>42.209000000000003</v>
      </c>
      <c r="Q53" s="43">
        <v>42.457599999999999</v>
      </c>
      <c r="R53" s="43">
        <v>42.706200000000003</v>
      </c>
      <c r="S53" s="43">
        <v>42.954799999999999</v>
      </c>
      <c r="T53" s="43">
        <v>43.203400000000002</v>
      </c>
      <c r="U53" s="43">
        <v>43.451999999999998</v>
      </c>
      <c r="V53" s="43">
        <v>43.533200000000001</v>
      </c>
      <c r="W53" s="43">
        <v>43.614400000000003</v>
      </c>
      <c r="X53" s="43">
        <v>43.695599999999999</v>
      </c>
      <c r="Y53" s="43">
        <v>43.776800000000001</v>
      </c>
      <c r="Z53" s="43">
        <v>43.857999999999997</v>
      </c>
      <c r="AA53" s="43">
        <v>43.874000000000002</v>
      </c>
      <c r="AB53" s="43">
        <v>43.89</v>
      </c>
      <c r="AC53" s="43">
        <v>43.905999999999999</v>
      </c>
      <c r="AD53" s="43">
        <v>43.921999999999997</v>
      </c>
      <c r="AE53" s="43">
        <v>43.938000000000002</v>
      </c>
      <c r="AF53" s="43">
        <v>43.845999999999997</v>
      </c>
      <c r="AG53" s="43">
        <v>43.753999999999998</v>
      </c>
      <c r="AH53" s="43">
        <v>43.661999999999999</v>
      </c>
      <c r="AI53" s="43">
        <v>43.57</v>
      </c>
      <c r="AJ53" s="43">
        <v>43.478000000000002</v>
      </c>
      <c r="AK53" s="43">
        <v>43.345199999999998</v>
      </c>
      <c r="AL53" s="43">
        <v>43.212400000000002</v>
      </c>
      <c r="AM53" s="43">
        <v>43.079599999999999</v>
      </c>
      <c r="AN53" s="43">
        <v>42.946800000000003</v>
      </c>
      <c r="AO53" s="43">
        <v>42.814</v>
      </c>
      <c r="AP53" s="43">
        <v>42.810600000000001</v>
      </c>
      <c r="AQ53" s="43">
        <v>42.807200000000002</v>
      </c>
      <c r="AR53" s="43">
        <v>42.803800000000003</v>
      </c>
      <c r="AS53" s="43">
        <v>42.800400000000003</v>
      </c>
      <c r="AT53" s="43">
        <v>42.796999999999997</v>
      </c>
      <c r="AU53" s="43">
        <v>42.843000000000004</v>
      </c>
      <c r="AV53" s="43">
        <v>42.889000000000003</v>
      </c>
      <c r="AW53" s="43">
        <v>42.935000000000002</v>
      </c>
      <c r="AX53" s="43">
        <v>42.981000000000002</v>
      </c>
      <c r="AY53" s="43">
        <v>43.027000000000001</v>
      </c>
      <c r="AZ53" s="43">
        <v>43.096600000000002</v>
      </c>
      <c r="BA53" s="43">
        <v>43.166200000000003</v>
      </c>
      <c r="BB53" s="43">
        <v>43.235799999999998</v>
      </c>
      <c r="BC53" s="43">
        <v>43.305399999999999</v>
      </c>
      <c r="BD53" s="43">
        <v>43.375</v>
      </c>
      <c r="BE53" s="43">
        <v>43.538600000000002</v>
      </c>
      <c r="BF53" s="43">
        <v>43.702199999999998</v>
      </c>
      <c r="BH53" s="44">
        <f t="shared" si="0"/>
        <v>42.449703703703697</v>
      </c>
      <c r="BI53" s="44">
        <f t="shared" si="1"/>
        <v>43.128872000000001</v>
      </c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</row>
    <row r="54" spans="1:95">
      <c r="A54" s="41">
        <v>97</v>
      </c>
      <c r="B54" s="41" t="s">
        <v>97</v>
      </c>
      <c r="C54" s="2">
        <v>2</v>
      </c>
      <c r="D54" s="2">
        <v>2661.6271980000001</v>
      </c>
      <c r="E54" s="2">
        <v>0</v>
      </c>
      <c r="F54" s="2">
        <v>32.115966666666665</v>
      </c>
      <c r="G54" s="43">
        <v>23.3384</v>
      </c>
      <c r="H54" s="43">
        <v>23.9298</v>
      </c>
      <c r="I54" s="43">
        <v>24.5212</v>
      </c>
      <c r="J54" s="43">
        <v>25.1126</v>
      </c>
      <c r="K54" s="43">
        <v>25.704000000000001</v>
      </c>
      <c r="L54" s="43">
        <v>26.343599999999999</v>
      </c>
      <c r="M54" s="43">
        <v>26.9832</v>
      </c>
      <c r="N54" s="43">
        <v>27.622800000000002</v>
      </c>
      <c r="O54" s="43">
        <v>28.2624</v>
      </c>
      <c r="P54" s="43">
        <v>28.902000000000001</v>
      </c>
      <c r="Q54" s="43">
        <v>29.543600000000001</v>
      </c>
      <c r="R54" s="43">
        <v>30.185199999999998</v>
      </c>
      <c r="S54" s="43">
        <v>30.826799999999999</v>
      </c>
      <c r="T54" s="43">
        <v>31.468399999999999</v>
      </c>
      <c r="U54" s="43">
        <v>32.11</v>
      </c>
      <c r="V54" s="43">
        <v>32.661999999999999</v>
      </c>
      <c r="W54" s="43">
        <v>33.213999999999999</v>
      </c>
      <c r="X54" s="43">
        <v>33.765999999999998</v>
      </c>
      <c r="Y54" s="43">
        <v>34.317999999999998</v>
      </c>
      <c r="Z54" s="43">
        <v>34.869999999999997</v>
      </c>
      <c r="AA54" s="43">
        <v>35.442999999999998</v>
      </c>
      <c r="AB54" s="43">
        <v>36.015999999999998</v>
      </c>
      <c r="AC54" s="43">
        <v>36.588999999999999</v>
      </c>
      <c r="AD54" s="43">
        <v>37.161999999999999</v>
      </c>
      <c r="AE54" s="43">
        <v>37.734999999999999</v>
      </c>
      <c r="AF54" s="43">
        <v>38.28</v>
      </c>
      <c r="AG54" s="43">
        <v>38.825000000000003</v>
      </c>
      <c r="AH54" s="43">
        <v>39.369999999999997</v>
      </c>
      <c r="AI54" s="43">
        <v>39.914999999999999</v>
      </c>
      <c r="AJ54" s="43">
        <v>40.46</v>
      </c>
      <c r="AK54" s="43">
        <v>40.956200000000003</v>
      </c>
      <c r="AL54" s="43">
        <v>41.452399999999997</v>
      </c>
      <c r="AM54" s="43">
        <v>41.948599999999999</v>
      </c>
      <c r="AN54" s="43">
        <v>42.444800000000001</v>
      </c>
      <c r="AO54" s="43">
        <v>42.941000000000003</v>
      </c>
      <c r="AP54" s="43">
        <v>43.444400000000002</v>
      </c>
      <c r="AQ54" s="43">
        <v>43.947800000000001</v>
      </c>
      <c r="AR54" s="43">
        <v>44.4512</v>
      </c>
      <c r="AS54" s="43">
        <v>44.954599999999999</v>
      </c>
      <c r="AT54" s="43">
        <v>45.457999999999998</v>
      </c>
      <c r="AU54" s="43">
        <v>46.096200000000003</v>
      </c>
      <c r="AV54" s="43">
        <v>46.734400000000001</v>
      </c>
      <c r="AW54" s="43">
        <v>47.372599999999998</v>
      </c>
      <c r="AX54" s="43">
        <v>48.010800000000003</v>
      </c>
      <c r="AY54" s="43">
        <v>48.649000000000001</v>
      </c>
      <c r="AZ54" s="43">
        <v>49.2346</v>
      </c>
      <c r="BA54" s="43">
        <v>49.8202</v>
      </c>
      <c r="BB54" s="43">
        <v>50.405799999999999</v>
      </c>
      <c r="BC54" s="43">
        <v>50.991399999999999</v>
      </c>
      <c r="BD54" s="43">
        <v>51.576999999999998</v>
      </c>
      <c r="BE54" s="43">
        <v>52.151000000000003</v>
      </c>
      <c r="BF54" s="43">
        <v>52.725000000000001</v>
      </c>
      <c r="BG54" s="43"/>
      <c r="BH54" s="44">
        <f t="shared" si="0"/>
        <v>31.249407407407407</v>
      </c>
      <c r="BI54" s="44">
        <f t="shared" si="1"/>
        <v>45.820479999999996</v>
      </c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</row>
    <row r="55" spans="1:95">
      <c r="A55" s="41">
        <v>241</v>
      </c>
      <c r="B55" s="41" t="s">
        <v>2</v>
      </c>
      <c r="C55" s="2">
        <v>2</v>
      </c>
      <c r="D55" s="2">
        <v>2600</v>
      </c>
      <c r="E55" s="2">
        <v>0</v>
      </c>
      <c r="F55" s="2">
        <v>15.045933333333334</v>
      </c>
      <c r="G55" s="43">
        <v>9.4852000000000007</v>
      </c>
      <c r="H55" s="43">
        <v>9.8704000000000001</v>
      </c>
      <c r="I55" s="43">
        <v>10.255599999999999</v>
      </c>
      <c r="J55" s="43">
        <v>10.6408</v>
      </c>
      <c r="K55" s="43">
        <v>11.026</v>
      </c>
      <c r="L55" s="43">
        <v>11.4808</v>
      </c>
      <c r="M55" s="43">
        <v>11.935600000000001</v>
      </c>
      <c r="N55" s="43">
        <v>12.3904</v>
      </c>
      <c r="O55" s="43">
        <v>12.8452</v>
      </c>
      <c r="P55" s="43">
        <v>13.3</v>
      </c>
      <c r="Q55" s="43">
        <v>13.6088</v>
      </c>
      <c r="R55" s="43">
        <v>13.9176</v>
      </c>
      <c r="S55" s="43">
        <v>14.2264</v>
      </c>
      <c r="T55" s="43">
        <v>14.5352</v>
      </c>
      <c r="U55" s="43">
        <v>14.843999999999999</v>
      </c>
      <c r="V55" s="43">
        <v>15.182</v>
      </c>
      <c r="W55" s="43">
        <v>15.52</v>
      </c>
      <c r="X55" s="43">
        <v>15.858000000000001</v>
      </c>
      <c r="Y55" s="43">
        <v>16.196000000000002</v>
      </c>
      <c r="Z55" s="43">
        <v>16.533999999999999</v>
      </c>
      <c r="AA55" s="43">
        <v>16.901800000000001</v>
      </c>
      <c r="AB55" s="43">
        <v>17.269600000000001</v>
      </c>
      <c r="AC55" s="43">
        <v>17.6374</v>
      </c>
      <c r="AD55" s="43">
        <v>18.005199999999999</v>
      </c>
      <c r="AE55" s="43">
        <v>18.373000000000001</v>
      </c>
      <c r="AF55" s="43">
        <v>18.884599999999999</v>
      </c>
      <c r="AG55" s="43">
        <v>19.3962</v>
      </c>
      <c r="AH55" s="43">
        <v>19.907800000000002</v>
      </c>
      <c r="AI55" s="43">
        <v>20.4194</v>
      </c>
      <c r="AJ55" s="43">
        <v>20.931000000000001</v>
      </c>
      <c r="AK55" s="43">
        <v>21.4968</v>
      </c>
      <c r="AL55" s="43">
        <v>22.0626</v>
      </c>
      <c r="AM55" s="43">
        <v>22.628399999999999</v>
      </c>
      <c r="AN55" s="43">
        <v>23.194199999999999</v>
      </c>
      <c r="AO55" s="43">
        <v>23.76</v>
      </c>
      <c r="AP55" s="43">
        <v>24.261399999999998</v>
      </c>
      <c r="AQ55" s="43">
        <v>24.762799999999999</v>
      </c>
      <c r="AR55" s="43">
        <v>25.264199999999999</v>
      </c>
      <c r="AS55" s="43">
        <v>25.765599999999999</v>
      </c>
      <c r="AT55" s="43">
        <v>26.266999999999999</v>
      </c>
      <c r="AU55" s="43">
        <v>26.800799999999999</v>
      </c>
      <c r="AV55" s="43">
        <v>27.334599999999998</v>
      </c>
      <c r="AW55" s="43">
        <v>27.868400000000001</v>
      </c>
      <c r="AX55" s="43">
        <v>28.402200000000001</v>
      </c>
      <c r="AY55" s="43">
        <v>28.936</v>
      </c>
      <c r="AZ55" s="43">
        <v>29.497199999999999</v>
      </c>
      <c r="BA55" s="43">
        <v>30.058399999999999</v>
      </c>
      <c r="BB55" s="43">
        <v>30.619599999999998</v>
      </c>
      <c r="BC55" s="43">
        <v>31.180800000000001</v>
      </c>
      <c r="BD55" s="43">
        <v>31.742000000000001</v>
      </c>
      <c r="BE55" s="43">
        <v>32.324800000000003</v>
      </c>
      <c r="BF55" s="43">
        <v>32.907600000000002</v>
      </c>
      <c r="BH55" s="44">
        <f t="shared" si="0"/>
        <v>14.448881481481484</v>
      </c>
      <c r="BI55" s="44">
        <f t="shared" si="1"/>
        <v>26.335743999999995</v>
      </c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</row>
    <row r="56" spans="1:95">
      <c r="A56" s="41">
        <v>173</v>
      </c>
      <c r="B56" s="41" t="s">
        <v>43</v>
      </c>
      <c r="C56" s="2">
        <v>2</v>
      </c>
      <c r="D56" s="2">
        <v>2564.2383220000002</v>
      </c>
      <c r="E56" s="2">
        <v>0</v>
      </c>
      <c r="F56" s="2">
        <v>36.990466666666663</v>
      </c>
      <c r="G56" s="43">
        <v>30.558399999999999</v>
      </c>
      <c r="H56" s="43">
        <v>30.819800000000001</v>
      </c>
      <c r="I56" s="43">
        <v>31.081199999999999</v>
      </c>
      <c r="J56" s="43">
        <v>31.342600000000001</v>
      </c>
      <c r="K56" s="43">
        <v>31.603999999999999</v>
      </c>
      <c r="L56" s="43">
        <v>31.879000000000001</v>
      </c>
      <c r="M56" s="43">
        <v>32.154000000000003</v>
      </c>
      <c r="N56" s="43">
        <v>32.429000000000002</v>
      </c>
      <c r="O56" s="43">
        <v>32.704000000000001</v>
      </c>
      <c r="P56" s="43">
        <v>32.978999999999999</v>
      </c>
      <c r="Q56" s="43">
        <v>33.495199999999997</v>
      </c>
      <c r="R56" s="43">
        <v>34.011400000000002</v>
      </c>
      <c r="S56" s="43">
        <v>34.5276</v>
      </c>
      <c r="T56" s="43">
        <v>35.043799999999997</v>
      </c>
      <c r="U56" s="43">
        <v>35.56</v>
      </c>
      <c r="V56" s="43">
        <v>35.944200000000002</v>
      </c>
      <c r="W56" s="43">
        <v>36.328400000000002</v>
      </c>
      <c r="X56" s="43">
        <v>36.712600000000002</v>
      </c>
      <c r="Y56" s="43">
        <v>37.096800000000002</v>
      </c>
      <c r="Z56" s="43">
        <v>37.481000000000002</v>
      </c>
      <c r="AA56" s="43">
        <v>38.594000000000001</v>
      </c>
      <c r="AB56" s="43">
        <v>39.707000000000001</v>
      </c>
      <c r="AC56" s="43">
        <v>40.82</v>
      </c>
      <c r="AD56" s="43">
        <v>41.933</v>
      </c>
      <c r="AE56" s="43">
        <v>43.045999999999999</v>
      </c>
      <c r="AF56" s="43">
        <v>44.154800000000002</v>
      </c>
      <c r="AG56" s="43">
        <v>45.263599999999997</v>
      </c>
      <c r="AH56" s="43">
        <v>46.372399999999999</v>
      </c>
      <c r="AI56" s="43">
        <v>47.481200000000001</v>
      </c>
      <c r="AJ56" s="43">
        <v>48.59</v>
      </c>
      <c r="AK56" s="43">
        <v>48.53</v>
      </c>
      <c r="AL56" s="43">
        <v>48.47</v>
      </c>
      <c r="AM56" s="43">
        <v>48.41</v>
      </c>
      <c r="AN56" s="43">
        <v>48.35</v>
      </c>
      <c r="AO56" s="43">
        <v>48.29</v>
      </c>
      <c r="AP56" s="43">
        <v>48.23</v>
      </c>
      <c r="AQ56" s="43">
        <v>48.17</v>
      </c>
      <c r="AR56" s="43">
        <v>48.11</v>
      </c>
      <c r="AS56" s="43">
        <v>48.05</v>
      </c>
      <c r="AT56" s="43">
        <v>47.99</v>
      </c>
      <c r="AU56" s="43">
        <v>47.998600000000003</v>
      </c>
      <c r="AV56" s="43">
        <v>48.007199999999997</v>
      </c>
      <c r="AW56" s="43">
        <v>48.015799999999999</v>
      </c>
      <c r="AX56" s="43">
        <v>48.0244</v>
      </c>
      <c r="AY56" s="43">
        <v>48.033000000000001</v>
      </c>
      <c r="AZ56" s="43">
        <v>48.155999999999999</v>
      </c>
      <c r="BA56" s="43">
        <v>48.279000000000003</v>
      </c>
      <c r="BB56" s="43">
        <v>48.402000000000001</v>
      </c>
      <c r="BC56" s="43">
        <v>48.524999999999999</v>
      </c>
      <c r="BD56" s="43">
        <v>48.648000000000003</v>
      </c>
      <c r="BE56" s="43">
        <v>48.885599999999997</v>
      </c>
      <c r="BF56" s="43">
        <v>49.123199999999997</v>
      </c>
      <c r="BG56" s="43"/>
      <c r="BH56" s="44">
        <f t="shared" si="0"/>
        <v>35.824829629629633</v>
      </c>
      <c r="BI56" s="44">
        <f t="shared" si="1"/>
        <v>48.205656000000005</v>
      </c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P56" s="42"/>
      <c r="CQ56" s="42"/>
    </row>
    <row r="57" spans="1:95">
      <c r="A57" s="41">
        <v>38</v>
      </c>
      <c r="B57" s="41" t="s">
        <v>132</v>
      </c>
      <c r="C57" s="2">
        <v>2</v>
      </c>
      <c r="D57" s="2">
        <v>2469.1150080000002</v>
      </c>
      <c r="E57" s="2">
        <v>0</v>
      </c>
      <c r="F57" s="2">
        <v>26.999000000000006</v>
      </c>
      <c r="G57" s="43">
        <v>14.525600000000001</v>
      </c>
      <c r="H57" s="43">
        <v>15.1142</v>
      </c>
      <c r="I57" s="43">
        <v>15.7028</v>
      </c>
      <c r="J57" s="43">
        <v>16.291399999999999</v>
      </c>
      <c r="K57" s="43">
        <v>16.88</v>
      </c>
      <c r="L57" s="43">
        <v>17.564</v>
      </c>
      <c r="M57" s="43">
        <v>18.248000000000001</v>
      </c>
      <c r="N57" s="43">
        <v>18.931999999999999</v>
      </c>
      <c r="O57" s="43">
        <v>19.616</v>
      </c>
      <c r="P57" s="43">
        <v>20.3</v>
      </c>
      <c r="Q57" s="43">
        <v>21.698399999999999</v>
      </c>
      <c r="R57" s="43">
        <v>23.096800000000002</v>
      </c>
      <c r="S57" s="43">
        <v>24.495200000000001</v>
      </c>
      <c r="T57" s="43">
        <v>25.893599999999999</v>
      </c>
      <c r="U57" s="43">
        <v>27.292000000000002</v>
      </c>
      <c r="V57" s="43">
        <v>28.2178</v>
      </c>
      <c r="W57" s="43">
        <v>29.143599999999999</v>
      </c>
      <c r="X57" s="43">
        <v>30.069400000000002</v>
      </c>
      <c r="Y57" s="43">
        <v>30.995200000000001</v>
      </c>
      <c r="Z57" s="43">
        <v>31.920999999999999</v>
      </c>
      <c r="AA57" s="43">
        <v>32.783200000000001</v>
      </c>
      <c r="AB57" s="43">
        <v>33.645400000000002</v>
      </c>
      <c r="AC57" s="43">
        <v>34.507599999999996</v>
      </c>
      <c r="AD57" s="43">
        <v>35.369799999999998</v>
      </c>
      <c r="AE57" s="43">
        <v>36.231999999999999</v>
      </c>
      <c r="AF57" s="43">
        <v>36.917000000000002</v>
      </c>
      <c r="AG57" s="43">
        <v>37.601999999999997</v>
      </c>
      <c r="AH57" s="43">
        <v>38.286999999999999</v>
      </c>
      <c r="AI57" s="43">
        <v>38.972000000000001</v>
      </c>
      <c r="AJ57" s="43">
        <v>39.656999999999996</v>
      </c>
      <c r="AK57" s="43">
        <v>40.240200000000002</v>
      </c>
      <c r="AL57" s="43">
        <v>40.823399999999999</v>
      </c>
      <c r="AM57" s="43">
        <v>41.406599999999997</v>
      </c>
      <c r="AN57" s="43">
        <v>41.989800000000002</v>
      </c>
      <c r="AO57" s="43">
        <v>42.573</v>
      </c>
      <c r="AP57" s="43">
        <v>43.166800000000002</v>
      </c>
      <c r="AQ57" s="43">
        <v>43.760599999999997</v>
      </c>
      <c r="AR57" s="43">
        <v>44.354399999999998</v>
      </c>
      <c r="AS57" s="43">
        <v>44.9482</v>
      </c>
      <c r="AT57" s="43">
        <v>45.542000000000002</v>
      </c>
      <c r="AU57" s="43">
        <v>46.141800000000003</v>
      </c>
      <c r="AV57" s="43">
        <v>46.741599999999998</v>
      </c>
      <c r="AW57" s="43">
        <v>47.3414</v>
      </c>
      <c r="AX57" s="43">
        <v>47.941200000000002</v>
      </c>
      <c r="AY57" s="43">
        <v>48.540999999999997</v>
      </c>
      <c r="AZ57" s="43">
        <v>49.135199999999998</v>
      </c>
      <c r="BA57" s="43">
        <v>49.729399999999998</v>
      </c>
      <c r="BB57" s="43">
        <v>50.323599999999999</v>
      </c>
      <c r="BC57" s="43">
        <v>50.9178</v>
      </c>
      <c r="BD57" s="43">
        <v>51.512</v>
      </c>
      <c r="BE57" s="43">
        <v>52.085000000000001</v>
      </c>
      <c r="BF57" s="43">
        <v>52.658000000000001</v>
      </c>
      <c r="BG57" s="43"/>
      <c r="BH57" s="44">
        <f t="shared" si="0"/>
        <v>25.66866666666667</v>
      </c>
      <c r="BI57" s="44">
        <f t="shared" si="1"/>
        <v>45.551559999999981</v>
      </c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</row>
    <row r="58" spans="1:95">
      <c r="A58" s="41">
        <v>158</v>
      </c>
      <c r="B58" s="41" t="s">
        <v>54</v>
      </c>
      <c r="C58" s="2">
        <v>2</v>
      </c>
      <c r="D58" s="2">
        <v>2401.642875</v>
      </c>
      <c r="E58" s="2">
        <v>0</v>
      </c>
      <c r="F58" s="2">
        <v>47.797433333333323</v>
      </c>
      <c r="G58" s="43">
        <v>40.206200000000003</v>
      </c>
      <c r="H58" s="43">
        <v>40.831400000000002</v>
      </c>
      <c r="I58" s="43">
        <v>41.456600000000002</v>
      </c>
      <c r="J58" s="43">
        <v>42.081800000000001</v>
      </c>
      <c r="K58" s="43">
        <v>42.707000000000001</v>
      </c>
      <c r="L58" s="43">
        <v>43.571599999999997</v>
      </c>
      <c r="M58" s="43">
        <v>44.436199999999999</v>
      </c>
      <c r="N58" s="43">
        <v>45.300800000000002</v>
      </c>
      <c r="O58" s="43">
        <v>46.165399999999998</v>
      </c>
      <c r="P58" s="43">
        <v>47.03</v>
      </c>
      <c r="Q58" s="43">
        <v>47.371400000000001</v>
      </c>
      <c r="R58" s="43">
        <v>47.712800000000001</v>
      </c>
      <c r="S58" s="43">
        <v>48.054200000000002</v>
      </c>
      <c r="T58" s="43">
        <v>48.395600000000002</v>
      </c>
      <c r="U58" s="43">
        <v>48.737000000000002</v>
      </c>
      <c r="V58" s="43">
        <v>48.977200000000003</v>
      </c>
      <c r="W58" s="43">
        <v>49.217399999999998</v>
      </c>
      <c r="X58" s="43">
        <v>49.457599999999999</v>
      </c>
      <c r="Y58" s="43">
        <v>49.697800000000001</v>
      </c>
      <c r="Z58" s="43">
        <v>49.938000000000002</v>
      </c>
      <c r="AA58" s="43">
        <v>50.177999999999997</v>
      </c>
      <c r="AB58" s="43">
        <v>50.417999999999999</v>
      </c>
      <c r="AC58" s="43">
        <v>50.658000000000001</v>
      </c>
      <c r="AD58" s="43">
        <v>50.898000000000003</v>
      </c>
      <c r="AE58" s="43">
        <v>51.137999999999998</v>
      </c>
      <c r="AF58" s="43">
        <v>51.377800000000001</v>
      </c>
      <c r="AG58" s="43">
        <v>51.617600000000003</v>
      </c>
      <c r="AH58" s="43">
        <v>51.857399999999998</v>
      </c>
      <c r="AI58" s="43">
        <v>52.097200000000001</v>
      </c>
      <c r="AJ58" s="43">
        <v>52.337000000000003</v>
      </c>
      <c r="AK58" s="43">
        <v>52.5764</v>
      </c>
      <c r="AL58" s="43">
        <v>52.815800000000003</v>
      </c>
      <c r="AM58" s="43">
        <v>53.055199999999999</v>
      </c>
      <c r="AN58" s="43">
        <v>53.294600000000003</v>
      </c>
      <c r="AO58" s="43">
        <v>53.533999999999999</v>
      </c>
      <c r="AP58" s="43">
        <v>53.7746</v>
      </c>
      <c r="AQ58" s="43">
        <v>54.0152</v>
      </c>
      <c r="AR58" s="43">
        <v>54.255800000000001</v>
      </c>
      <c r="AS58" s="43">
        <v>54.496400000000001</v>
      </c>
      <c r="AT58" s="43">
        <v>54.737000000000002</v>
      </c>
      <c r="AU58" s="43">
        <v>54.976199999999999</v>
      </c>
      <c r="AV58" s="43">
        <v>55.215400000000002</v>
      </c>
      <c r="AW58" s="43">
        <v>55.454599999999999</v>
      </c>
      <c r="AX58" s="43">
        <v>55.693800000000003</v>
      </c>
      <c r="AY58" s="43">
        <v>55.933</v>
      </c>
      <c r="AZ58" s="43">
        <v>56.196800000000003</v>
      </c>
      <c r="BA58" s="43">
        <v>56.460599999999999</v>
      </c>
      <c r="BB58" s="43">
        <v>56.724400000000003</v>
      </c>
      <c r="BC58" s="43">
        <v>56.988199999999999</v>
      </c>
      <c r="BD58" s="43">
        <v>57.252000000000002</v>
      </c>
      <c r="BE58" s="43">
        <v>57.556399999999996</v>
      </c>
      <c r="BF58" s="43">
        <v>57.860799999999998</v>
      </c>
      <c r="BG58" s="43"/>
      <c r="BH58" s="44">
        <f t="shared" si="0"/>
        <v>47.319681481481474</v>
      </c>
      <c r="BI58" s="44">
        <f t="shared" si="1"/>
        <v>54.766351999999998</v>
      </c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  <c r="CQ58" s="42"/>
    </row>
    <row r="59" spans="1:95">
      <c r="A59" s="41">
        <v>37</v>
      </c>
      <c r="B59" s="41" t="s">
        <v>133</v>
      </c>
      <c r="C59" s="2">
        <v>2</v>
      </c>
      <c r="D59" s="2">
        <v>2000</v>
      </c>
      <c r="E59" s="2">
        <v>0</v>
      </c>
      <c r="F59" s="2">
        <v>11.259099999999998</v>
      </c>
      <c r="G59" s="43">
        <v>10.394</v>
      </c>
      <c r="H59" s="43">
        <v>10.503</v>
      </c>
      <c r="I59" s="43">
        <v>10.612</v>
      </c>
      <c r="J59" s="43">
        <v>10.721</v>
      </c>
      <c r="K59" s="43">
        <v>10.83</v>
      </c>
      <c r="L59" s="43">
        <v>11.858000000000001</v>
      </c>
      <c r="M59" s="43">
        <v>12.885999999999999</v>
      </c>
      <c r="N59" s="43">
        <v>13.914</v>
      </c>
      <c r="O59" s="43">
        <v>14.942</v>
      </c>
      <c r="P59" s="43">
        <v>15.97</v>
      </c>
      <c r="Q59" s="43">
        <v>13.657999999999999</v>
      </c>
      <c r="R59" s="43">
        <v>11.346</v>
      </c>
      <c r="S59" s="43">
        <v>9.0340000000000007</v>
      </c>
      <c r="T59" s="43">
        <v>6.7220000000000004</v>
      </c>
      <c r="U59" s="43">
        <v>4.41</v>
      </c>
      <c r="V59" s="43">
        <v>5.3224</v>
      </c>
      <c r="W59" s="43">
        <v>6.2347999999999999</v>
      </c>
      <c r="X59" s="43">
        <v>7.1471999999999998</v>
      </c>
      <c r="Y59" s="43">
        <v>8.0595999999999997</v>
      </c>
      <c r="Z59" s="43">
        <v>8.9719999999999995</v>
      </c>
      <c r="AA59" s="43">
        <v>9.9638000000000009</v>
      </c>
      <c r="AB59" s="43">
        <v>10.9556</v>
      </c>
      <c r="AC59" s="43">
        <v>11.9474</v>
      </c>
      <c r="AD59" s="43">
        <v>12.9392</v>
      </c>
      <c r="AE59" s="43">
        <v>13.930999999999999</v>
      </c>
      <c r="AF59" s="43">
        <v>14.254</v>
      </c>
      <c r="AG59" s="43">
        <v>14.577</v>
      </c>
      <c r="AH59" s="43">
        <v>14.9</v>
      </c>
      <c r="AI59" s="43">
        <v>15.223000000000001</v>
      </c>
      <c r="AJ59" s="43">
        <v>15.545999999999999</v>
      </c>
      <c r="AK59" s="43">
        <v>15.898999999999999</v>
      </c>
      <c r="AL59" s="43">
        <v>16.251999999999999</v>
      </c>
      <c r="AM59" s="43">
        <v>16.605</v>
      </c>
      <c r="AN59" s="43">
        <v>16.957999999999998</v>
      </c>
      <c r="AO59" s="43">
        <v>17.311</v>
      </c>
      <c r="AP59" s="43">
        <v>17.565999999999999</v>
      </c>
      <c r="AQ59" s="43">
        <v>17.821000000000002</v>
      </c>
      <c r="AR59" s="43">
        <v>18.076000000000001</v>
      </c>
      <c r="AS59" s="43">
        <v>18.331</v>
      </c>
      <c r="AT59" s="43">
        <v>18.585999999999999</v>
      </c>
      <c r="AU59" s="43">
        <v>18.703600000000002</v>
      </c>
      <c r="AV59" s="43">
        <v>18.821200000000001</v>
      </c>
      <c r="AW59" s="43">
        <v>18.938800000000001</v>
      </c>
      <c r="AX59" s="43">
        <v>19.0564</v>
      </c>
      <c r="AY59" s="43">
        <v>19.173999999999999</v>
      </c>
      <c r="AZ59" s="43">
        <v>19.302</v>
      </c>
      <c r="BA59" s="43">
        <v>19.43</v>
      </c>
      <c r="BB59" s="43">
        <v>19.558</v>
      </c>
      <c r="BC59" s="43">
        <v>19.686</v>
      </c>
      <c r="BD59" s="43">
        <v>19.814</v>
      </c>
      <c r="BE59" s="43">
        <v>20.003</v>
      </c>
      <c r="BF59" s="43">
        <v>20.192</v>
      </c>
      <c r="BG59" s="43"/>
      <c r="BH59" s="44">
        <f t="shared" si="0"/>
        <v>10.818666666666665</v>
      </c>
      <c r="BI59" s="44">
        <f t="shared" si="1"/>
        <v>18.070119999999996</v>
      </c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  <c r="CQ59" s="42"/>
    </row>
    <row r="60" spans="1:95">
      <c r="A60" s="41">
        <v>170</v>
      </c>
      <c r="B60" s="41" t="s">
        <v>46</v>
      </c>
      <c r="C60" s="2">
        <v>2</v>
      </c>
      <c r="D60" s="2">
        <v>1812.9961800000001</v>
      </c>
      <c r="E60" s="2">
        <v>0</v>
      </c>
      <c r="F60" s="2">
        <v>10.787900000000002</v>
      </c>
      <c r="G60" s="43">
        <v>4.0739999999999998</v>
      </c>
      <c r="H60" s="43">
        <v>4.423</v>
      </c>
      <c r="I60" s="43">
        <v>4.7720000000000002</v>
      </c>
      <c r="J60" s="43">
        <v>5.1210000000000004</v>
      </c>
      <c r="K60" s="43">
        <v>5.47</v>
      </c>
      <c r="L60" s="43">
        <v>6.3352000000000004</v>
      </c>
      <c r="M60" s="43">
        <v>7.2004000000000001</v>
      </c>
      <c r="N60" s="43">
        <v>8.0655999999999999</v>
      </c>
      <c r="O60" s="43">
        <v>8.9307999999999996</v>
      </c>
      <c r="P60" s="43">
        <v>9.7959999999999994</v>
      </c>
      <c r="Q60" s="43">
        <v>10.222799999999999</v>
      </c>
      <c r="R60" s="43">
        <v>10.6496</v>
      </c>
      <c r="S60" s="43">
        <v>11.0764</v>
      </c>
      <c r="T60" s="43">
        <v>11.5032</v>
      </c>
      <c r="U60" s="43">
        <v>11.93</v>
      </c>
      <c r="V60" s="43">
        <v>12.1534</v>
      </c>
      <c r="W60" s="43">
        <v>12.376799999999999</v>
      </c>
      <c r="X60" s="43">
        <v>12.600199999999999</v>
      </c>
      <c r="Y60" s="43">
        <v>12.823600000000001</v>
      </c>
      <c r="Z60" s="43">
        <v>13.047000000000001</v>
      </c>
      <c r="AA60" s="43">
        <v>13.2372</v>
      </c>
      <c r="AB60" s="43">
        <v>13.4274</v>
      </c>
      <c r="AC60" s="43">
        <v>13.617599999999999</v>
      </c>
      <c r="AD60" s="43">
        <v>13.8078</v>
      </c>
      <c r="AE60" s="43">
        <v>13.997999999999999</v>
      </c>
      <c r="AF60" s="43">
        <v>14.1972</v>
      </c>
      <c r="AG60" s="43">
        <v>14.3964</v>
      </c>
      <c r="AH60" s="43">
        <v>14.595599999999999</v>
      </c>
      <c r="AI60" s="43">
        <v>14.7948</v>
      </c>
      <c r="AJ60" s="43">
        <v>14.994</v>
      </c>
      <c r="AK60" s="43">
        <v>14.811400000000001</v>
      </c>
      <c r="AL60" s="43">
        <v>14.6288</v>
      </c>
      <c r="AM60" s="43">
        <v>14.446199999999999</v>
      </c>
      <c r="AN60" s="43">
        <v>14.2636</v>
      </c>
      <c r="AO60" s="43">
        <v>14.081</v>
      </c>
      <c r="AP60" s="43">
        <v>13.9056</v>
      </c>
      <c r="AQ60" s="43">
        <v>13.7302</v>
      </c>
      <c r="AR60" s="43">
        <v>13.5548</v>
      </c>
      <c r="AS60" s="43">
        <v>13.3794</v>
      </c>
      <c r="AT60" s="43">
        <v>13.204000000000001</v>
      </c>
      <c r="AU60" s="43">
        <v>13.076599999999999</v>
      </c>
      <c r="AV60" s="43">
        <v>12.949199999999999</v>
      </c>
      <c r="AW60" s="43">
        <v>12.8218</v>
      </c>
      <c r="AX60" s="43">
        <v>12.6944</v>
      </c>
      <c r="AY60" s="43">
        <v>12.567</v>
      </c>
      <c r="AZ60" s="43">
        <v>12.54</v>
      </c>
      <c r="BA60" s="43">
        <v>12.513</v>
      </c>
      <c r="BB60" s="43">
        <v>12.486000000000001</v>
      </c>
      <c r="BC60" s="43">
        <v>12.459</v>
      </c>
      <c r="BD60" s="43">
        <v>12.432</v>
      </c>
      <c r="BE60" s="43">
        <v>12.5022</v>
      </c>
      <c r="BF60" s="43">
        <v>12.5724</v>
      </c>
      <c r="BG60" s="43"/>
      <c r="BH60" s="44">
        <f t="shared" si="0"/>
        <v>10.34268888888889</v>
      </c>
      <c r="BI60" s="44">
        <f t="shared" si="1"/>
        <v>13.440120000000002</v>
      </c>
    </row>
    <row r="61" spans="1:95">
      <c r="A61" s="41">
        <v>116</v>
      </c>
      <c r="B61" s="41" t="s">
        <v>82</v>
      </c>
      <c r="C61" s="2">
        <v>2</v>
      </c>
      <c r="D61" s="2">
        <v>1800</v>
      </c>
      <c r="E61" s="2">
        <v>0</v>
      </c>
      <c r="F61" s="2">
        <v>53.607233333333348</v>
      </c>
      <c r="G61" s="43">
        <v>41.174199999999999</v>
      </c>
      <c r="H61" s="43">
        <v>42.153399999999998</v>
      </c>
      <c r="I61" s="43">
        <v>43.132599999999996</v>
      </c>
      <c r="J61" s="43">
        <v>44.111800000000002</v>
      </c>
      <c r="K61" s="43">
        <v>45.091000000000001</v>
      </c>
      <c r="L61" s="43">
        <v>46.912799999999997</v>
      </c>
      <c r="M61" s="43">
        <v>48.7346</v>
      </c>
      <c r="N61" s="43">
        <v>50.556399999999996</v>
      </c>
      <c r="O61" s="43">
        <v>52.3782</v>
      </c>
      <c r="P61" s="43">
        <v>54.2</v>
      </c>
      <c r="Q61" s="43">
        <v>54.7</v>
      </c>
      <c r="R61" s="43">
        <v>55.2</v>
      </c>
      <c r="S61" s="43">
        <v>55.7</v>
      </c>
      <c r="T61" s="43">
        <v>56.2</v>
      </c>
      <c r="U61" s="43">
        <v>56.7</v>
      </c>
      <c r="V61" s="43">
        <v>56.74</v>
      </c>
      <c r="W61" s="43">
        <v>56.78</v>
      </c>
      <c r="X61" s="43">
        <v>56.82</v>
      </c>
      <c r="Y61" s="43">
        <v>56.86</v>
      </c>
      <c r="Z61" s="43">
        <v>56.9</v>
      </c>
      <c r="AA61" s="43">
        <v>57.0488</v>
      </c>
      <c r="AB61" s="43">
        <v>57.197600000000001</v>
      </c>
      <c r="AC61" s="43">
        <v>57.346400000000003</v>
      </c>
      <c r="AD61" s="43">
        <v>57.495199999999997</v>
      </c>
      <c r="AE61" s="43">
        <v>57.643999999999998</v>
      </c>
      <c r="AF61" s="43">
        <v>57.792000000000002</v>
      </c>
      <c r="AG61" s="43">
        <v>57.94</v>
      </c>
      <c r="AH61" s="43">
        <v>58.088000000000001</v>
      </c>
      <c r="AI61" s="43">
        <v>58.235999999999997</v>
      </c>
      <c r="AJ61" s="43">
        <v>58.384</v>
      </c>
      <c r="AK61" s="43">
        <v>58.510800000000003</v>
      </c>
      <c r="AL61" s="43">
        <v>58.637599999999999</v>
      </c>
      <c r="AM61" s="43">
        <v>58.764400000000002</v>
      </c>
      <c r="AN61" s="43">
        <v>58.891199999999998</v>
      </c>
      <c r="AO61" s="43">
        <v>59.018000000000001</v>
      </c>
      <c r="AP61" s="43">
        <v>59.096800000000002</v>
      </c>
      <c r="AQ61" s="43">
        <v>59.175600000000003</v>
      </c>
      <c r="AR61" s="43">
        <v>59.254399999999997</v>
      </c>
      <c r="AS61" s="43">
        <v>59.333199999999998</v>
      </c>
      <c r="AT61" s="43">
        <v>59.411999999999999</v>
      </c>
      <c r="AU61" s="43">
        <v>59.490600000000001</v>
      </c>
      <c r="AV61" s="43">
        <v>59.569200000000002</v>
      </c>
      <c r="AW61" s="43">
        <v>59.647799999999997</v>
      </c>
      <c r="AX61" s="43">
        <v>59.726399999999998</v>
      </c>
      <c r="AY61" s="43">
        <v>59.805</v>
      </c>
      <c r="AZ61" s="43">
        <v>59.886000000000003</v>
      </c>
      <c r="BA61" s="43">
        <v>59.966999999999999</v>
      </c>
      <c r="BB61" s="43">
        <v>60.048000000000002</v>
      </c>
      <c r="BC61" s="43">
        <v>60.128999999999998</v>
      </c>
      <c r="BD61" s="43">
        <v>60.21</v>
      </c>
      <c r="BE61" s="43">
        <v>60.341999999999999</v>
      </c>
      <c r="BF61" s="43">
        <v>60.473999999999997</v>
      </c>
      <c r="BH61" s="44">
        <f t="shared" ref="BH61:BH124" si="2">AVERAGE(G61:AG61)</f>
        <v>53.092925925925933</v>
      </c>
      <c r="BI61" s="44">
        <f t="shared" ref="BI61:BI124" si="3">AVERAGE(AH61:BF61)</f>
        <v>59.363880000000009</v>
      </c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  <c r="CQ61" s="42"/>
    </row>
    <row r="62" spans="1:95">
      <c r="A62" s="41">
        <v>204</v>
      </c>
      <c r="B62" s="41" t="s">
        <v>26</v>
      </c>
      <c r="C62" s="2">
        <v>2</v>
      </c>
      <c r="D62" s="2">
        <v>1788.6289670000001</v>
      </c>
      <c r="E62" s="2">
        <v>0</v>
      </c>
      <c r="F62" s="2">
        <v>18.379633333333334</v>
      </c>
      <c r="G62" s="43">
        <v>16.670000000000002</v>
      </c>
      <c r="H62" s="43">
        <v>16.908999999999999</v>
      </c>
      <c r="I62" s="43">
        <v>17.148</v>
      </c>
      <c r="J62" s="43">
        <v>17.387</v>
      </c>
      <c r="K62" s="43">
        <v>17.626000000000001</v>
      </c>
      <c r="L62" s="43">
        <v>18.003599999999999</v>
      </c>
      <c r="M62" s="43">
        <v>18.3812</v>
      </c>
      <c r="N62" s="43">
        <v>18.758800000000001</v>
      </c>
      <c r="O62" s="43">
        <v>19.136399999999998</v>
      </c>
      <c r="P62" s="43">
        <v>19.513999999999999</v>
      </c>
      <c r="Q62" s="43">
        <v>19.5078</v>
      </c>
      <c r="R62" s="43">
        <v>19.5016</v>
      </c>
      <c r="S62" s="43">
        <v>19.4954</v>
      </c>
      <c r="T62" s="43">
        <v>19.4892</v>
      </c>
      <c r="U62" s="43">
        <v>19.483000000000001</v>
      </c>
      <c r="V62" s="43">
        <v>19.342199999999998</v>
      </c>
      <c r="W62" s="43">
        <v>19.2014</v>
      </c>
      <c r="X62" s="43">
        <v>19.060600000000001</v>
      </c>
      <c r="Y62" s="43">
        <v>18.919799999999999</v>
      </c>
      <c r="Z62" s="43">
        <v>18.779</v>
      </c>
      <c r="AA62" s="43">
        <v>18.62</v>
      </c>
      <c r="AB62" s="43">
        <v>18.460999999999999</v>
      </c>
      <c r="AC62" s="43">
        <v>18.302</v>
      </c>
      <c r="AD62" s="43">
        <v>18.143000000000001</v>
      </c>
      <c r="AE62" s="43">
        <v>17.984000000000002</v>
      </c>
      <c r="AF62" s="43">
        <v>17.827000000000002</v>
      </c>
      <c r="AG62" s="43">
        <v>17.670000000000002</v>
      </c>
      <c r="AH62" s="43">
        <v>17.513000000000002</v>
      </c>
      <c r="AI62" s="43">
        <v>17.356000000000002</v>
      </c>
      <c r="AJ62" s="43">
        <v>17.199000000000002</v>
      </c>
      <c r="AK62" s="43">
        <v>17.0472</v>
      </c>
      <c r="AL62" s="43">
        <v>16.895399999999999</v>
      </c>
      <c r="AM62" s="43">
        <v>16.743600000000001</v>
      </c>
      <c r="AN62" s="43">
        <v>16.591799999999999</v>
      </c>
      <c r="AO62" s="43">
        <v>16.440000000000001</v>
      </c>
      <c r="AP62" s="43">
        <v>16.293800000000001</v>
      </c>
      <c r="AQ62" s="43">
        <v>16.147600000000001</v>
      </c>
      <c r="AR62" s="43">
        <v>16.0014</v>
      </c>
      <c r="AS62" s="43">
        <v>15.8552</v>
      </c>
      <c r="AT62" s="43">
        <v>15.709</v>
      </c>
      <c r="AU62" s="43">
        <v>15.592599999999999</v>
      </c>
      <c r="AV62" s="43">
        <v>15.4762</v>
      </c>
      <c r="AW62" s="43">
        <v>15.3598</v>
      </c>
      <c r="AX62" s="43">
        <v>15.243399999999999</v>
      </c>
      <c r="AY62" s="43">
        <v>15.127000000000001</v>
      </c>
      <c r="AZ62" s="43">
        <v>15.1098</v>
      </c>
      <c r="BA62" s="43">
        <v>15.092599999999999</v>
      </c>
      <c r="BB62" s="43">
        <v>15.0754</v>
      </c>
      <c r="BC62" s="43">
        <v>15.058199999999999</v>
      </c>
      <c r="BD62" s="43">
        <v>15.041</v>
      </c>
      <c r="BE62" s="43">
        <v>15.1264</v>
      </c>
      <c r="BF62" s="43">
        <v>15.2118</v>
      </c>
      <c r="BG62" s="43"/>
      <c r="BH62" s="44">
        <f t="shared" si="2"/>
        <v>18.493370370370371</v>
      </c>
      <c r="BI62" s="44">
        <f t="shared" si="3"/>
        <v>15.932288000000002</v>
      </c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  <c r="CQ62" s="42"/>
    </row>
    <row r="63" spans="1:95">
      <c r="A63" s="41">
        <v>166</v>
      </c>
      <c r="B63" s="41" t="s">
        <v>49</v>
      </c>
      <c r="C63" s="2">
        <v>2</v>
      </c>
      <c r="D63" s="2">
        <v>1450.905573</v>
      </c>
      <c r="E63" s="2">
        <v>0</v>
      </c>
      <c r="F63" s="2">
        <v>26.544366666666672</v>
      </c>
      <c r="G63" s="43">
        <v>22.385400000000001</v>
      </c>
      <c r="H63" s="43">
        <v>22.666799999999999</v>
      </c>
      <c r="I63" s="43">
        <v>22.9482</v>
      </c>
      <c r="J63" s="43">
        <v>23.229600000000001</v>
      </c>
      <c r="K63" s="43">
        <v>23.510999999999999</v>
      </c>
      <c r="L63" s="43">
        <v>23.772200000000002</v>
      </c>
      <c r="M63" s="43">
        <v>24.0334</v>
      </c>
      <c r="N63" s="43">
        <v>24.294599999999999</v>
      </c>
      <c r="O63" s="43">
        <v>24.555800000000001</v>
      </c>
      <c r="P63" s="43">
        <v>24.817</v>
      </c>
      <c r="Q63" s="43">
        <v>25.1218</v>
      </c>
      <c r="R63" s="43">
        <v>25.426600000000001</v>
      </c>
      <c r="S63" s="43">
        <v>25.731400000000001</v>
      </c>
      <c r="T63" s="43">
        <v>26.036200000000001</v>
      </c>
      <c r="U63" s="43">
        <v>26.341000000000001</v>
      </c>
      <c r="V63" s="43">
        <v>26.686</v>
      </c>
      <c r="W63" s="43">
        <v>27.030999999999999</v>
      </c>
      <c r="X63" s="43">
        <v>27.376000000000001</v>
      </c>
      <c r="Y63" s="43">
        <v>27.721</v>
      </c>
      <c r="Z63" s="43">
        <v>28.065999999999999</v>
      </c>
      <c r="AA63" s="43">
        <v>28.3216</v>
      </c>
      <c r="AB63" s="43">
        <v>28.577200000000001</v>
      </c>
      <c r="AC63" s="43">
        <v>28.832799999999999</v>
      </c>
      <c r="AD63" s="43">
        <v>29.0884</v>
      </c>
      <c r="AE63" s="43">
        <v>29.344000000000001</v>
      </c>
      <c r="AF63" s="43">
        <v>29.590399999999999</v>
      </c>
      <c r="AG63" s="43">
        <v>29.8368</v>
      </c>
      <c r="AH63" s="43">
        <v>30.083200000000001</v>
      </c>
      <c r="AI63" s="43">
        <v>30.329599999999999</v>
      </c>
      <c r="AJ63" s="43">
        <v>30.576000000000001</v>
      </c>
      <c r="AK63" s="43">
        <v>30.827999999999999</v>
      </c>
      <c r="AL63" s="43">
        <v>31.08</v>
      </c>
      <c r="AM63" s="43">
        <v>31.332000000000001</v>
      </c>
      <c r="AN63" s="43">
        <v>31.584</v>
      </c>
      <c r="AO63" s="43">
        <v>31.835999999999999</v>
      </c>
      <c r="AP63" s="43">
        <v>32.096400000000003</v>
      </c>
      <c r="AQ63" s="43">
        <v>32.3568</v>
      </c>
      <c r="AR63" s="43">
        <v>32.617199999999997</v>
      </c>
      <c r="AS63" s="43">
        <v>32.877600000000001</v>
      </c>
      <c r="AT63" s="43">
        <v>33.137999999999998</v>
      </c>
      <c r="AU63" s="43">
        <v>33.406599999999997</v>
      </c>
      <c r="AV63" s="43">
        <v>33.675199999999997</v>
      </c>
      <c r="AW63" s="43">
        <v>33.943800000000003</v>
      </c>
      <c r="AX63" s="43">
        <v>34.212400000000002</v>
      </c>
      <c r="AY63" s="43">
        <v>34.481000000000002</v>
      </c>
      <c r="AZ63" s="43">
        <v>34.761200000000002</v>
      </c>
      <c r="BA63" s="43">
        <v>35.041400000000003</v>
      </c>
      <c r="BB63" s="43">
        <v>35.321599999999997</v>
      </c>
      <c r="BC63" s="43">
        <v>35.601799999999997</v>
      </c>
      <c r="BD63" s="43">
        <v>35.881999999999998</v>
      </c>
      <c r="BE63" s="43">
        <v>36.215600000000002</v>
      </c>
      <c r="BF63" s="43">
        <v>36.549199999999999</v>
      </c>
      <c r="BG63" s="43"/>
      <c r="BH63" s="44">
        <f t="shared" si="2"/>
        <v>26.123785185185188</v>
      </c>
      <c r="BI63" s="44">
        <f t="shared" si="3"/>
        <v>33.193064</v>
      </c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2"/>
      <c r="CG63" s="42"/>
      <c r="CH63" s="42"/>
      <c r="CI63" s="42"/>
      <c r="CJ63" s="42"/>
      <c r="CK63" s="42"/>
      <c r="CL63" s="42"/>
      <c r="CM63" s="42"/>
      <c r="CN63" s="42"/>
      <c r="CO63" s="42"/>
      <c r="CP63" s="42"/>
      <c r="CQ63" s="42"/>
    </row>
    <row r="64" spans="1:95">
      <c r="A64" s="41">
        <v>124</v>
      </c>
      <c r="B64" s="41" t="s">
        <v>74</v>
      </c>
      <c r="C64" s="2">
        <v>2</v>
      </c>
      <c r="D64" s="2">
        <v>1303.3341129999999</v>
      </c>
      <c r="E64" s="2">
        <v>0</v>
      </c>
      <c r="F64" s="2">
        <v>30.827133333333336</v>
      </c>
      <c r="G64" s="43">
        <v>19.327200000000001</v>
      </c>
      <c r="H64" s="43">
        <v>20.022400000000001</v>
      </c>
      <c r="I64" s="43">
        <v>20.717600000000001</v>
      </c>
      <c r="J64" s="43">
        <v>21.412800000000001</v>
      </c>
      <c r="K64" s="43">
        <v>22.108000000000001</v>
      </c>
      <c r="L64" s="43">
        <v>22.891400000000001</v>
      </c>
      <c r="M64" s="43">
        <v>23.674800000000001</v>
      </c>
      <c r="N64" s="43">
        <v>24.458200000000001</v>
      </c>
      <c r="O64" s="43">
        <v>25.241599999999998</v>
      </c>
      <c r="P64" s="43">
        <v>26.024999999999999</v>
      </c>
      <c r="Q64" s="43">
        <v>26.8964</v>
      </c>
      <c r="R64" s="43">
        <v>27.767800000000001</v>
      </c>
      <c r="S64" s="43">
        <v>28.639199999999999</v>
      </c>
      <c r="T64" s="43">
        <v>29.5106</v>
      </c>
      <c r="U64" s="43">
        <v>30.382000000000001</v>
      </c>
      <c r="V64" s="43">
        <v>31.338999999999999</v>
      </c>
      <c r="W64" s="43">
        <v>32.295999999999999</v>
      </c>
      <c r="X64" s="43">
        <v>33.253</v>
      </c>
      <c r="Y64" s="43">
        <v>34.21</v>
      </c>
      <c r="Z64" s="43">
        <v>35.167000000000002</v>
      </c>
      <c r="AA64" s="43">
        <v>35.987000000000002</v>
      </c>
      <c r="AB64" s="43">
        <v>36.807000000000002</v>
      </c>
      <c r="AC64" s="43">
        <v>37.627000000000002</v>
      </c>
      <c r="AD64" s="43">
        <v>38.447000000000003</v>
      </c>
      <c r="AE64" s="43">
        <v>39.267000000000003</v>
      </c>
      <c r="AF64" s="43">
        <v>39.6006</v>
      </c>
      <c r="AG64" s="43">
        <v>39.934199999999997</v>
      </c>
      <c r="AH64" s="43">
        <v>40.267800000000001</v>
      </c>
      <c r="AI64" s="43">
        <v>40.601399999999998</v>
      </c>
      <c r="AJ64" s="43">
        <v>40.935000000000002</v>
      </c>
      <c r="AK64" s="43">
        <v>41.272799999999997</v>
      </c>
      <c r="AL64" s="43">
        <v>41.610599999999998</v>
      </c>
      <c r="AM64" s="43">
        <v>41.948399999999999</v>
      </c>
      <c r="AN64" s="43">
        <v>42.286200000000001</v>
      </c>
      <c r="AO64" s="43">
        <v>42.624000000000002</v>
      </c>
      <c r="AP64" s="43">
        <v>42.965400000000002</v>
      </c>
      <c r="AQ64" s="43">
        <v>43.306800000000003</v>
      </c>
      <c r="AR64" s="43">
        <v>43.648200000000003</v>
      </c>
      <c r="AS64" s="43">
        <v>43.989600000000003</v>
      </c>
      <c r="AT64" s="43">
        <v>44.331000000000003</v>
      </c>
      <c r="AU64" s="43">
        <v>44.674999999999997</v>
      </c>
      <c r="AV64" s="43">
        <v>45.018999999999998</v>
      </c>
      <c r="AW64" s="43">
        <v>45.363</v>
      </c>
      <c r="AX64" s="43">
        <v>45.707000000000001</v>
      </c>
      <c r="AY64" s="43">
        <v>46.051000000000002</v>
      </c>
      <c r="AZ64" s="43">
        <v>46.401000000000003</v>
      </c>
      <c r="BA64" s="43">
        <v>46.750999999999998</v>
      </c>
      <c r="BB64" s="43">
        <v>47.100999999999999</v>
      </c>
      <c r="BC64" s="43">
        <v>47.451000000000001</v>
      </c>
      <c r="BD64" s="43">
        <v>47.801000000000002</v>
      </c>
      <c r="BE64" s="43">
        <v>48.182200000000002</v>
      </c>
      <c r="BF64" s="43">
        <v>48.563400000000001</v>
      </c>
      <c r="BG64" s="43"/>
      <c r="BH64" s="44">
        <f t="shared" si="2"/>
        <v>29.741103703703704</v>
      </c>
      <c r="BI64" s="44">
        <f t="shared" si="3"/>
        <v>44.354112000000008</v>
      </c>
    </row>
    <row r="65" spans="1:95">
      <c r="A65" s="41">
        <v>160</v>
      </c>
      <c r="B65" s="41" t="s">
        <v>52</v>
      </c>
      <c r="C65" s="2">
        <v>2</v>
      </c>
      <c r="D65" s="2">
        <v>1288.1260709999999</v>
      </c>
      <c r="E65" s="2">
        <v>0</v>
      </c>
      <c r="F65" s="2">
        <v>26.066600000000001</v>
      </c>
      <c r="G65" s="43">
        <v>16.950399999999998</v>
      </c>
      <c r="H65" s="43">
        <v>17.739799999999999</v>
      </c>
      <c r="I65" s="43">
        <v>18.529199999999999</v>
      </c>
      <c r="J65" s="43">
        <v>19.3186</v>
      </c>
      <c r="K65" s="43">
        <v>20.108000000000001</v>
      </c>
      <c r="L65" s="43">
        <v>20.627600000000001</v>
      </c>
      <c r="M65" s="43">
        <v>21.147200000000002</v>
      </c>
      <c r="N65" s="43">
        <v>21.666799999999999</v>
      </c>
      <c r="O65" s="43">
        <v>22.186399999999999</v>
      </c>
      <c r="P65" s="43">
        <v>22.706</v>
      </c>
      <c r="Q65" s="43">
        <v>23.2714</v>
      </c>
      <c r="R65" s="43">
        <v>23.8368</v>
      </c>
      <c r="S65" s="43">
        <v>24.402200000000001</v>
      </c>
      <c r="T65" s="43">
        <v>24.967600000000001</v>
      </c>
      <c r="U65" s="43">
        <v>25.533000000000001</v>
      </c>
      <c r="V65" s="43">
        <v>26.142800000000001</v>
      </c>
      <c r="W65" s="43">
        <v>26.752600000000001</v>
      </c>
      <c r="X65" s="43">
        <v>27.362400000000001</v>
      </c>
      <c r="Y65" s="43">
        <v>27.972200000000001</v>
      </c>
      <c r="Z65" s="43">
        <v>28.582000000000001</v>
      </c>
      <c r="AA65" s="43">
        <v>29.233000000000001</v>
      </c>
      <c r="AB65" s="43">
        <v>29.884</v>
      </c>
      <c r="AC65" s="43">
        <v>30.535</v>
      </c>
      <c r="AD65" s="43">
        <v>31.186</v>
      </c>
      <c r="AE65" s="43">
        <v>31.837</v>
      </c>
      <c r="AF65" s="43">
        <v>32.526000000000003</v>
      </c>
      <c r="AG65" s="43">
        <v>33.215000000000003</v>
      </c>
      <c r="AH65" s="43">
        <v>33.904000000000003</v>
      </c>
      <c r="AI65" s="43">
        <v>34.593000000000004</v>
      </c>
      <c r="AJ65" s="43">
        <v>35.281999999999996</v>
      </c>
      <c r="AK65" s="43">
        <v>35.994199999999999</v>
      </c>
      <c r="AL65" s="43">
        <v>36.706400000000002</v>
      </c>
      <c r="AM65" s="43">
        <v>37.418599999999998</v>
      </c>
      <c r="AN65" s="43">
        <v>38.130800000000001</v>
      </c>
      <c r="AO65" s="43">
        <v>38.843000000000004</v>
      </c>
      <c r="AP65" s="43">
        <v>39.544600000000003</v>
      </c>
      <c r="AQ65" s="43">
        <v>40.246200000000002</v>
      </c>
      <c r="AR65" s="43">
        <v>40.947800000000001</v>
      </c>
      <c r="AS65" s="43">
        <v>41.6494</v>
      </c>
      <c r="AT65" s="43">
        <v>42.350999999999999</v>
      </c>
      <c r="AU65" s="43">
        <v>43.030799999999999</v>
      </c>
      <c r="AV65" s="43">
        <v>43.710599999999999</v>
      </c>
      <c r="AW65" s="43">
        <v>44.3904</v>
      </c>
      <c r="AX65" s="43">
        <v>45.0702</v>
      </c>
      <c r="AY65" s="43">
        <v>45.75</v>
      </c>
      <c r="AZ65" s="43">
        <v>46.400199999999998</v>
      </c>
      <c r="BA65" s="43">
        <v>47.050400000000003</v>
      </c>
      <c r="BB65" s="43">
        <v>47.700600000000001</v>
      </c>
      <c r="BC65" s="43">
        <v>48.3508</v>
      </c>
      <c r="BD65" s="43">
        <v>49.000999999999998</v>
      </c>
      <c r="BE65" s="43">
        <v>49.615200000000002</v>
      </c>
      <c r="BF65" s="43">
        <v>50.229399999999998</v>
      </c>
      <c r="BG65" s="43"/>
      <c r="BH65" s="44">
        <f t="shared" si="2"/>
        <v>25.119222222222223</v>
      </c>
      <c r="BI65" s="44">
        <f t="shared" si="3"/>
        <v>42.236424</v>
      </c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2"/>
      <c r="CG65" s="42"/>
      <c r="CH65" s="42"/>
      <c r="CI65" s="42"/>
      <c r="CJ65" s="42"/>
      <c r="CK65" s="42"/>
      <c r="CL65" s="42"/>
      <c r="CM65" s="42"/>
      <c r="CN65" s="42"/>
      <c r="CO65" s="42"/>
      <c r="CP65" s="42"/>
      <c r="CQ65" s="42"/>
    </row>
    <row r="66" spans="1:95">
      <c r="A66" s="41">
        <v>79</v>
      </c>
      <c r="B66" s="41" t="s">
        <v>106</v>
      </c>
      <c r="C66" s="2">
        <v>2</v>
      </c>
      <c r="D66" s="2">
        <v>1164.1215010000001</v>
      </c>
      <c r="E66" s="2">
        <v>0</v>
      </c>
      <c r="F66" s="2">
        <v>24.621133333333329</v>
      </c>
      <c r="G66" s="43">
        <v>12.6098</v>
      </c>
      <c r="H66" s="43">
        <v>13.0906</v>
      </c>
      <c r="I66" s="43">
        <v>13.571400000000001</v>
      </c>
      <c r="J66" s="43">
        <v>14.052199999999999</v>
      </c>
      <c r="K66" s="43">
        <v>14.532999999999999</v>
      </c>
      <c r="L66" s="43">
        <v>15.525600000000001</v>
      </c>
      <c r="M66" s="43">
        <v>16.5182</v>
      </c>
      <c r="N66" s="43">
        <v>17.5108</v>
      </c>
      <c r="O66" s="43">
        <v>18.503399999999999</v>
      </c>
      <c r="P66" s="43">
        <v>19.495999999999999</v>
      </c>
      <c r="Q66" s="43">
        <v>20.481999999999999</v>
      </c>
      <c r="R66" s="43">
        <v>21.468</v>
      </c>
      <c r="S66" s="43">
        <v>22.454000000000001</v>
      </c>
      <c r="T66" s="43">
        <v>23.44</v>
      </c>
      <c r="U66" s="43">
        <v>24.425999999999998</v>
      </c>
      <c r="V66" s="43">
        <v>25.223600000000001</v>
      </c>
      <c r="W66" s="43">
        <v>26.0212</v>
      </c>
      <c r="X66" s="43">
        <v>26.8188</v>
      </c>
      <c r="Y66" s="43">
        <v>27.616399999999999</v>
      </c>
      <c r="Z66" s="43">
        <v>28.414000000000001</v>
      </c>
      <c r="AA66" s="43">
        <v>29.335000000000001</v>
      </c>
      <c r="AB66" s="43">
        <v>30.256</v>
      </c>
      <c r="AC66" s="43">
        <v>31.177</v>
      </c>
      <c r="AD66" s="43">
        <v>32.097999999999999</v>
      </c>
      <c r="AE66" s="43">
        <v>33.018999999999998</v>
      </c>
      <c r="AF66" s="43">
        <v>34.077599999999997</v>
      </c>
      <c r="AG66" s="43">
        <v>35.136200000000002</v>
      </c>
      <c r="AH66" s="43">
        <v>36.194800000000001</v>
      </c>
      <c r="AI66" s="43">
        <v>37.253399999999999</v>
      </c>
      <c r="AJ66" s="43">
        <v>38.311999999999998</v>
      </c>
      <c r="AK66" s="43">
        <v>39.411799999999999</v>
      </c>
      <c r="AL66" s="43">
        <v>40.511600000000001</v>
      </c>
      <c r="AM66" s="43">
        <v>41.611400000000003</v>
      </c>
      <c r="AN66" s="43">
        <v>42.711199999999998</v>
      </c>
      <c r="AO66" s="43">
        <v>43.811</v>
      </c>
      <c r="AP66" s="43">
        <v>44.812800000000003</v>
      </c>
      <c r="AQ66" s="43">
        <v>45.814599999999999</v>
      </c>
      <c r="AR66" s="43">
        <v>46.816400000000002</v>
      </c>
      <c r="AS66" s="43">
        <v>47.818199999999997</v>
      </c>
      <c r="AT66" s="43">
        <v>48.82</v>
      </c>
      <c r="AU66" s="43">
        <v>49.680199999999999</v>
      </c>
      <c r="AV66" s="43">
        <v>50.540399999999998</v>
      </c>
      <c r="AW66" s="43">
        <v>51.400599999999997</v>
      </c>
      <c r="AX66" s="43">
        <v>52.260800000000003</v>
      </c>
      <c r="AY66" s="43">
        <v>53.121000000000002</v>
      </c>
      <c r="AZ66" s="43">
        <v>53.828000000000003</v>
      </c>
      <c r="BA66" s="43">
        <v>54.534999999999997</v>
      </c>
      <c r="BB66" s="43">
        <v>55.241999999999997</v>
      </c>
      <c r="BC66" s="43">
        <v>55.948999999999998</v>
      </c>
      <c r="BD66" s="43">
        <v>56.655999999999999</v>
      </c>
      <c r="BE66" s="43">
        <v>57.208399999999997</v>
      </c>
      <c r="BF66" s="43">
        <v>57.760800000000003</v>
      </c>
      <c r="BH66" s="44">
        <f t="shared" si="2"/>
        <v>23.217548148148147</v>
      </c>
      <c r="BI66" s="44">
        <f t="shared" si="3"/>
        <v>48.083255999999992</v>
      </c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2"/>
      <c r="CG66" s="42"/>
      <c r="CH66" s="42"/>
      <c r="CI66" s="42"/>
      <c r="CJ66" s="42"/>
      <c r="CK66" s="42"/>
      <c r="CL66" s="42"/>
      <c r="CM66" s="42"/>
      <c r="CN66" s="42"/>
      <c r="CO66" s="42"/>
      <c r="CP66" s="42"/>
      <c r="CQ66" s="42"/>
    </row>
    <row r="67" spans="1:95">
      <c r="A67" s="41">
        <v>94</v>
      </c>
      <c r="B67" s="41" t="s">
        <v>98</v>
      </c>
      <c r="C67" s="2">
        <v>2</v>
      </c>
      <c r="D67" s="2">
        <v>1100</v>
      </c>
      <c r="E67" s="2">
        <v>0</v>
      </c>
      <c r="F67" s="2">
        <v>20.815199999999997</v>
      </c>
      <c r="G67" s="43">
        <v>15.990399999999999</v>
      </c>
      <c r="H67" s="43">
        <v>16.387799999999999</v>
      </c>
      <c r="I67" s="43">
        <v>16.7852</v>
      </c>
      <c r="J67" s="43">
        <v>17.182600000000001</v>
      </c>
      <c r="K67" s="43">
        <v>17.579999999999998</v>
      </c>
      <c r="L67" s="43">
        <v>18.016400000000001</v>
      </c>
      <c r="M67" s="43">
        <v>18.4528</v>
      </c>
      <c r="N67" s="43">
        <v>18.889199999999999</v>
      </c>
      <c r="O67" s="43">
        <v>19.325600000000001</v>
      </c>
      <c r="P67" s="43">
        <v>19.762</v>
      </c>
      <c r="Q67" s="43">
        <v>19.8904</v>
      </c>
      <c r="R67" s="43">
        <v>20.018799999999999</v>
      </c>
      <c r="S67" s="43">
        <v>20.147200000000002</v>
      </c>
      <c r="T67" s="43">
        <v>20.275600000000001</v>
      </c>
      <c r="U67" s="43">
        <v>20.404</v>
      </c>
      <c r="V67" s="43">
        <v>20.4314</v>
      </c>
      <c r="W67" s="43">
        <v>20.4588</v>
      </c>
      <c r="X67" s="43">
        <v>20.4862</v>
      </c>
      <c r="Y67" s="43">
        <v>20.5136</v>
      </c>
      <c r="Z67" s="43">
        <v>20.541</v>
      </c>
      <c r="AA67" s="43">
        <v>21.085000000000001</v>
      </c>
      <c r="AB67" s="43">
        <v>21.629000000000001</v>
      </c>
      <c r="AC67" s="43">
        <v>22.172999999999998</v>
      </c>
      <c r="AD67" s="43">
        <v>22.716999999999999</v>
      </c>
      <c r="AE67" s="43">
        <v>23.260999999999999</v>
      </c>
      <c r="AF67" s="43">
        <v>24.3108</v>
      </c>
      <c r="AG67" s="43">
        <v>25.360600000000002</v>
      </c>
      <c r="AH67" s="43">
        <v>26.410399999999999</v>
      </c>
      <c r="AI67" s="43">
        <v>27.4602</v>
      </c>
      <c r="AJ67" s="43">
        <v>28.51</v>
      </c>
      <c r="AK67" s="43">
        <v>29.326000000000001</v>
      </c>
      <c r="AL67" s="43">
        <v>30.141999999999999</v>
      </c>
      <c r="AM67" s="43">
        <v>30.957999999999998</v>
      </c>
      <c r="AN67" s="43">
        <v>31.774000000000001</v>
      </c>
      <c r="AO67" s="43">
        <v>32.590000000000003</v>
      </c>
      <c r="AP67" s="43">
        <v>33.192</v>
      </c>
      <c r="AQ67" s="43">
        <v>33.793999999999997</v>
      </c>
      <c r="AR67" s="43">
        <v>34.396000000000001</v>
      </c>
      <c r="AS67" s="43">
        <v>34.997999999999998</v>
      </c>
      <c r="AT67" s="43">
        <v>35.6</v>
      </c>
      <c r="AU67" s="43">
        <v>37.296399999999998</v>
      </c>
      <c r="AV67" s="43">
        <v>38.992800000000003</v>
      </c>
      <c r="AW67" s="43">
        <v>40.6892</v>
      </c>
      <c r="AX67" s="43">
        <v>42.385599999999997</v>
      </c>
      <c r="AY67" s="43">
        <v>44.082000000000001</v>
      </c>
      <c r="AZ67" s="43">
        <v>45.663600000000002</v>
      </c>
      <c r="BA67" s="43">
        <v>47.245199999999997</v>
      </c>
      <c r="BB67" s="43">
        <v>48.826799999999999</v>
      </c>
      <c r="BC67" s="43">
        <v>50.4084</v>
      </c>
      <c r="BD67" s="43">
        <v>51.99</v>
      </c>
      <c r="BE67" s="43">
        <v>53.312600000000003</v>
      </c>
      <c r="BF67" s="43">
        <v>54.635199999999998</v>
      </c>
      <c r="BG67" s="43"/>
      <c r="BH67" s="44">
        <f t="shared" si="2"/>
        <v>20.076866666666664</v>
      </c>
      <c r="BI67" s="44">
        <f t="shared" si="3"/>
        <v>38.587136000000001</v>
      </c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2"/>
      <c r="CG67" s="42"/>
      <c r="CH67" s="42"/>
      <c r="CI67" s="42"/>
      <c r="CJ67" s="42"/>
      <c r="CK67" s="42"/>
      <c r="CL67" s="42"/>
      <c r="CM67" s="42"/>
      <c r="CN67" s="42"/>
      <c r="CO67" s="42"/>
      <c r="CP67" s="42"/>
      <c r="CQ67" s="42"/>
    </row>
    <row r="68" spans="1:95">
      <c r="A68" s="41">
        <v>92</v>
      </c>
      <c r="B68" s="41" t="s">
        <v>99</v>
      </c>
      <c r="C68" s="2">
        <v>2</v>
      </c>
      <c r="D68" s="2">
        <v>1096.2152530000001</v>
      </c>
      <c r="E68" s="2">
        <v>0</v>
      </c>
      <c r="F68" s="2">
        <v>17.964266666666671</v>
      </c>
      <c r="G68" s="43">
        <v>13.7498</v>
      </c>
      <c r="H68" s="43">
        <v>13.8996</v>
      </c>
      <c r="I68" s="43">
        <v>14.0494</v>
      </c>
      <c r="J68" s="43">
        <v>14.199199999999999</v>
      </c>
      <c r="K68" s="43">
        <v>14.349</v>
      </c>
      <c r="L68" s="43">
        <v>14.505599999999999</v>
      </c>
      <c r="M68" s="43">
        <v>14.6622</v>
      </c>
      <c r="N68" s="43">
        <v>14.8188</v>
      </c>
      <c r="O68" s="43">
        <v>14.9754</v>
      </c>
      <c r="P68" s="43">
        <v>15.132</v>
      </c>
      <c r="Q68" s="43">
        <v>15.2956</v>
      </c>
      <c r="R68" s="43">
        <v>15.459199999999999</v>
      </c>
      <c r="S68" s="43">
        <v>15.6228</v>
      </c>
      <c r="T68" s="43">
        <v>15.7864</v>
      </c>
      <c r="U68" s="43">
        <v>15.95</v>
      </c>
      <c r="V68" s="43">
        <v>16.280999999999999</v>
      </c>
      <c r="W68" s="43">
        <v>16.611999999999998</v>
      </c>
      <c r="X68" s="43">
        <v>16.943000000000001</v>
      </c>
      <c r="Y68" s="43">
        <v>17.274000000000001</v>
      </c>
      <c r="Z68" s="43">
        <v>17.605</v>
      </c>
      <c r="AA68" s="43">
        <v>18.5702</v>
      </c>
      <c r="AB68" s="43">
        <v>19.535399999999999</v>
      </c>
      <c r="AC68" s="43">
        <v>20.500599999999999</v>
      </c>
      <c r="AD68" s="43">
        <v>21.465800000000002</v>
      </c>
      <c r="AE68" s="43">
        <v>22.431000000000001</v>
      </c>
      <c r="AF68" s="43">
        <v>23.571000000000002</v>
      </c>
      <c r="AG68" s="43">
        <v>24.710999999999999</v>
      </c>
      <c r="AH68" s="43">
        <v>25.850999999999999</v>
      </c>
      <c r="AI68" s="43">
        <v>26.991</v>
      </c>
      <c r="AJ68" s="43">
        <v>28.131</v>
      </c>
      <c r="AK68" s="43">
        <v>28.9678</v>
      </c>
      <c r="AL68" s="43">
        <v>29.804600000000001</v>
      </c>
      <c r="AM68" s="43">
        <v>30.641400000000001</v>
      </c>
      <c r="AN68" s="43">
        <v>31.478200000000001</v>
      </c>
      <c r="AO68" s="43">
        <v>32.314999999999998</v>
      </c>
      <c r="AP68" s="43">
        <v>33.022199999999998</v>
      </c>
      <c r="AQ68" s="43">
        <v>33.729399999999998</v>
      </c>
      <c r="AR68" s="43">
        <v>34.436599999999999</v>
      </c>
      <c r="AS68" s="43">
        <v>35.143799999999999</v>
      </c>
      <c r="AT68" s="43">
        <v>35.850999999999999</v>
      </c>
      <c r="AU68" s="43">
        <v>36.589799999999997</v>
      </c>
      <c r="AV68" s="43">
        <v>37.328600000000002</v>
      </c>
      <c r="AW68" s="43">
        <v>38.067399999999999</v>
      </c>
      <c r="AX68" s="43">
        <v>38.806199999999997</v>
      </c>
      <c r="AY68" s="43">
        <v>39.545000000000002</v>
      </c>
      <c r="AZ68" s="43">
        <v>40.28</v>
      </c>
      <c r="BA68" s="43">
        <v>41.015000000000001</v>
      </c>
      <c r="BB68" s="43">
        <v>41.75</v>
      </c>
      <c r="BC68" s="43">
        <v>42.484999999999999</v>
      </c>
      <c r="BD68" s="43">
        <v>43.22</v>
      </c>
      <c r="BE68" s="43">
        <v>43.897399999999998</v>
      </c>
      <c r="BF68" s="43">
        <v>44.574800000000003</v>
      </c>
      <c r="BG68" s="43"/>
      <c r="BH68" s="44">
        <f t="shared" si="2"/>
        <v>16.9612962962963</v>
      </c>
      <c r="BI68" s="44">
        <f t="shared" si="3"/>
        <v>35.756887999999996</v>
      </c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2"/>
      <c r="CG68" s="42"/>
      <c r="CH68" s="42"/>
      <c r="CI68" s="42"/>
      <c r="CJ68" s="42"/>
      <c r="CK68" s="42"/>
      <c r="CL68" s="42"/>
      <c r="CM68" s="42"/>
      <c r="CN68" s="42"/>
      <c r="CO68" s="42"/>
      <c r="CP68" s="42"/>
      <c r="CQ68" s="42"/>
    </row>
    <row r="69" spans="1:95">
      <c r="A69" s="41">
        <v>131</v>
      </c>
      <c r="B69" s="41" t="s">
        <v>70</v>
      </c>
      <c r="C69" s="2">
        <v>2</v>
      </c>
      <c r="D69" s="2">
        <v>1054.1358190000001</v>
      </c>
      <c r="E69" s="2">
        <v>0</v>
      </c>
      <c r="F69" s="2">
        <v>16.777733333333334</v>
      </c>
      <c r="G69" s="43">
        <v>10.9894</v>
      </c>
      <c r="H69" s="43">
        <v>11.3368</v>
      </c>
      <c r="I69" s="43">
        <v>11.684200000000001</v>
      </c>
      <c r="J69" s="43">
        <v>12.031599999999999</v>
      </c>
      <c r="K69" s="43">
        <v>12.379</v>
      </c>
      <c r="L69" s="43">
        <v>12.7232</v>
      </c>
      <c r="M69" s="43">
        <v>13.067399999999999</v>
      </c>
      <c r="N69" s="43">
        <v>13.4116</v>
      </c>
      <c r="O69" s="43">
        <v>13.755800000000001</v>
      </c>
      <c r="P69" s="43">
        <v>14.1</v>
      </c>
      <c r="Q69" s="43">
        <v>14.546799999999999</v>
      </c>
      <c r="R69" s="43">
        <v>14.993600000000001</v>
      </c>
      <c r="S69" s="43">
        <v>15.4404</v>
      </c>
      <c r="T69" s="43">
        <v>15.8872</v>
      </c>
      <c r="U69" s="43">
        <v>16.334</v>
      </c>
      <c r="V69" s="43">
        <v>16.771999999999998</v>
      </c>
      <c r="W69" s="43">
        <v>17.21</v>
      </c>
      <c r="X69" s="43">
        <v>17.648</v>
      </c>
      <c r="Y69" s="43">
        <v>18.085999999999999</v>
      </c>
      <c r="Z69" s="43">
        <v>18.524000000000001</v>
      </c>
      <c r="AA69" s="43">
        <v>19.005800000000001</v>
      </c>
      <c r="AB69" s="43">
        <v>19.4876</v>
      </c>
      <c r="AC69" s="43">
        <v>19.9694</v>
      </c>
      <c r="AD69" s="43">
        <v>20.4512</v>
      </c>
      <c r="AE69" s="43">
        <v>20.933</v>
      </c>
      <c r="AF69" s="43">
        <v>21.459599999999998</v>
      </c>
      <c r="AG69" s="43">
        <v>21.9862</v>
      </c>
      <c r="AH69" s="43">
        <v>22.512799999999999</v>
      </c>
      <c r="AI69" s="43">
        <v>23.039400000000001</v>
      </c>
      <c r="AJ69" s="43">
        <v>23.565999999999999</v>
      </c>
      <c r="AK69" s="43">
        <v>24.012</v>
      </c>
      <c r="AL69" s="43">
        <v>24.457999999999998</v>
      </c>
      <c r="AM69" s="43">
        <v>24.904</v>
      </c>
      <c r="AN69" s="43">
        <v>25.35</v>
      </c>
      <c r="AO69" s="43">
        <v>25.795999999999999</v>
      </c>
      <c r="AP69" s="43">
        <v>26.061</v>
      </c>
      <c r="AQ69" s="43">
        <v>26.326000000000001</v>
      </c>
      <c r="AR69" s="43">
        <v>26.591000000000001</v>
      </c>
      <c r="AS69" s="43">
        <v>26.856000000000002</v>
      </c>
      <c r="AT69" s="43">
        <v>27.120999999999999</v>
      </c>
      <c r="AU69" s="43">
        <v>27.459599999999998</v>
      </c>
      <c r="AV69" s="43">
        <v>27.798200000000001</v>
      </c>
      <c r="AW69" s="43">
        <v>28.136800000000001</v>
      </c>
      <c r="AX69" s="43">
        <v>28.4754</v>
      </c>
      <c r="AY69" s="43">
        <v>28.814</v>
      </c>
      <c r="AZ69" s="43">
        <v>29.437200000000001</v>
      </c>
      <c r="BA69" s="43">
        <v>30.060400000000001</v>
      </c>
      <c r="BB69" s="43">
        <v>30.683599999999998</v>
      </c>
      <c r="BC69" s="43">
        <v>31.306799999999999</v>
      </c>
      <c r="BD69" s="43">
        <v>31.93</v>
      </c>
      <c r="BE69" s="43">
        <v>32.568399999999997</v>
      </c>
      <c r="BF69" s="43">
        <v>33.206800000000001</v>
      </c>
      <c r="BG69" s="43"/>
      <c r="BH69" s="44">
        <f t="shared" si="2"/>
        <v>16.081992592592595</v>
      </c>
      <c r="BI69" s="44">
        <f t="shared" si="3"/>
        <v>27.458815999999999</v>
      </c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2"/>
      <c r="CG69" s="42"/>
      <c r="CH69" s="42"/>
      <c r="CI69" s="42"/>
      <c r="CJ69" s="42"/>
      <c r="CK69" s="42"/>
      <c r="CL69" s="42"/>
      <c r="CM69" s="42"/>
      <c r="CN69" s="42"/>
      <c r="CO69" s="42"/>
      <c r="CP69" s="42"/>
      <c r="CQ69" s="42"/>
    </row>
    <row r="70" spans="1:95">
      <c r="A70" s="41">
        <v>1</v>
      </c>
      <c r="B70" s="41" t="s">
        <v>154</v>
      </c>
      <c r="C70" s="2">
        <v>2</v>
      </c>
      <c r="D70" s="2">
        <v>1000</v>
      </c>
      <c r="E70" s="2">
        <v>0</v>
      </c>
      <c r="F70" s="2">
        <v>13.3909</v>
      </c>
      <c r="G70" s="43">
        <v>8.2650000000000006</v>
      </c>
      <c r="H70" s="43">
        <v>8.5370000000000008</v>
      </c>
      <c r="I70" s="43">
        <v>8.8089999999999993</v>
      </c>
      <c r="J70" s="43">
        <v>9.0809999999999995</v>
      </c>
      <c r="K70" s="43">
        <v>9.3529999999999998</v>
      </c>
      <c r="L70" s="43">
        <v>9.6885999999999992</v>
      </c>
      <c r="M70" s="43">
        <v>10.0242</v>
      </c>
      <c r="N70" s="43">
        <v>10.3598</v>
      </c>
      <c r="O70" s="43">
        <v>10.695399999999999</v>
      </c>
      <c r="P70" s="43">
        <v>11.031000000000001</v>
      </c>
      <c r="Q70" s="43">
        <v>11.480399999999999</v>
      </c>
      <c r="R70" s="43">
        <v>11.9298</v>
      </c>
      <c r="S70" s="43">
        <v>12.379200000000001</v>
      </c>
      <c r="T70" s="43">
        <v>12.8286</v>
      </c>
      <c r="U70" s="43">
        <v>13.278</v>
      </c>
      <c r="V70" s="43">
        <v>13.757400000000001</v>
      </c>
      <c r="W70" s="43">
        <v>14.236800000000001</v>
      </c>
      <c r="X70" s="43">
        <v>14.716200000000001</v>
      </c>
      <c r="Y70" s="43">
        <v>15.195600000000001</v>
      </c>
      <c r="Z70" s="43">
        <v>15.675000000000001</v>
      </c>
      <c r="AA70" s="43">
        <v>15.923400000000001</v>
      </c>
      <c r="AB70" s="43">
        <v>16.171800000000001</v>
      </c>
      <c r="AC70" s="43">
        <v>16.420200000000001</v>
      </c>
      <c r="AD70" s="43">
        <v>16.668600000000001</v>
      </c>
      <c r="AE70" s="43">
        <v>16.917000000000002</v>
      </c>
      <c r="AF70" s="43">
        <v>17.164999999999999</v>
      </c>
      <c r="AG70" s="43">
        <v>17.413</v>
      </c>
      <c r="AH70" s="43">
        <v>17.661000000000001</v>
      </c>
      <c r="AI70" s="43">
        <v>17.908999999999999</v>
      </c>
      <c r="AJ70" s="43">
        <v>18.157</v>
      </c>
      <c r="AK70" s="43">
        <v>18.393799999999999</v>
      </c>
      <c r="AL70" s="43">
        <v>18.630600000000001</v>
      </c>
      <c r="AM70" s="43">
        <v>18.8674</v>
      </c>
      <c r="AN70" s="43">
        <v>19.104199999999999</v>
      </c>
      <c r="AO70" s="43">
        <v>19.341000000000001</v>
      </c>
      <c r="AP70" s="43">
        <v>19.589400000000001</v>
      </c>
      <c r="AQ70" s="43">
        <v>19.837800000000001</v>
      </c>
      <c r="AR70" s="43">
        <v>20.086200000000002</v>
      </c>
      <c r="AS70" s="43">
        <v>20.334599999999998</v>
      </c>
      <c r="AT70" s="43">
        <v>20.582999999999998</v>
      </c>
      <c r="AU70" s="43">
        <v>20.8428</v>
      </c>
      <c r="AV70" s="43">
        <v>21.102599999999999</v>
      </c>
      <c r="AW70" s="43">
        <v>21.362400000000001</v>
      </c>
      <c r="AX70" s="43">
        <v>21.622199999999999</v>
      </c>
      <c r="AY70" s="43">
        <v>21.882000000000001</v>
      </c>
      <c r="AZ70" s="43">
        <v>22.153400000000001</v>
      </c>
      <c r="BA70" s="43">
        <v>22.424800000000001</v>
      </c>
      <c r="BB70" s="43">
        <v>22.696200000000001</v>
      </c>
      <c r="BC70" s="43">
        <v>22.967600000000001</v>
      </c>
      <c r="BD70" s="43">
        <v>23.239000000000001</v>
      </c>
      <c r="BE70" s="43">
        <v>23.5472</v>
      </c>
      <c r="BF70" s="43">
        <v>23.855399999999999</v>
      </c>
      <c r="BG70" s="43"/>
      <c r="BH70" s="44">
        <f t="shared" si="2"/>
        <v>12.888888888888891</v>
      </c>
      <c r="BI70" s="44">
        <f t="shared" si="3"/>
        <v>20.647623999999997</v>
      </c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2"/>
      <c r="CG70" s="42"/>
      <c r="CH70" s="42"/>
      <c r="CI70" s="42"/>
      <c r="CJ70" s="42"/>
      <c r="CK70" s="42"/>
      <c r="CL70" s="42"/>
      <c r="CM70" s="42"/>
      <c r="CN70" s="42"/>
      <c r="CO70" s="42"/>
      <c r="CP70" s="42"/>
      <c r="CQ70" s="42"/>
    </row>
    <row r="71" spans="1:95">
      <c r="A71" s="41">
        <v>42</v>
      </c>
      <c r="B71" s="41" t="s">
        <v>130</v>
      </c>
      <c r="C71" s="2">
        <v>2</v>
      </c>
      <c r="D71" s="2">
        <v>887.01545329999999</v>
      </c>
      <c r="E71" s="2">
        <v>0</v>
      </c>
      <c r="F71" s="2">
        <v>30.390666666666679</v>
      </c>
      <c r="G71" s="43">
        <v>20.783799999999999</v>
      </c>
      <c r="H71" s="43">
        <v>21.467600000000001</v>
      </c>
      <c r="I71" s="43">
        <v>22.151399999999999</v>
      </c>
      <c r="J71" s="43">
        <v>22.8352</v>
      </c>
      <c r="K71" s="43">
        <v>23.518999999999998</v>
      </c>
      <c r="L71" s="43">
        <v>24.280799999999999</v>
      </c>
      <c r="M71" s="43">
        <v>25.0426</v>
      </c>
      <c r="N71" s="43">
        <v>25.804400000000001</v>
      </c>
      <c r="O71" s="43">
        <v>26.566199999999998</v>
      </c>
      <c r="P71" s="43">
        <v>27.327999999999999</v>
      </c>
      <c r="Q71" s="43">
        <v>28.253599999999999</v>
      </c>
      <c r="R71" s="43">
        <v>29.179200000000002</v>
      </c>
      <c r="S71" s="43">
        <v>30.104800000000001</v>
      </c>
      <c r="T71" s="43">
        <v>31.0304</v>
      </c>
      <c r="U71" s="43">
        <v>31.956</v>
      </c>
      <c r="V71" s="43">
        <v>32.339599999999997</v>
      </c>
      <c r="W71" s="43">
        <v>32.723199999999999</v>
      </c>
      <c r="X71" s="43">
        <v>33.1068</v>
      </c>
      <c r="Y71" s="43">
        <v>33.490400000000001</v>
      </c>
      <c r="Z71" s="43">
        <v>33.874000000000002</v>
      </c>
      <c r="AA71" s="43">
        <v>34.205599999999997</v>
      </c>
      <c r="AB71" s="43">
        <v>34.537199999999999</v>
      </c>
      <c r="AC71" s="43">
        <v>34.8688</v>
      </c>
      <c r="AD71" s="43">
        <v>35.200400000000002</v>
      </c>
      <c r="AE71" s="43">
        <v>35.531999999999996</v>
      </c>
      <c r="AF71" s="43">
        <v>35.790599999999998</v>
      </c>
      <c r="AG71" s="43">
        <v>36.049199999999999</v>
      </c>
      <c r="AH71" s="43">
        <v>36.3078</v>
      </c>
      <c r="AI71" s="43">
        <v>36.566400000000002</v>
      </c>
      <c r="AJ71" s="43">
        <v>36.825000000000003</v>
      </c>
      <c r="AK71" s="43">
        <v>36.906199999999998</v>
      </c>
      <c r="AL71" s="43">
        <v>36.987400000000001</v>
      </c>
      <c r="AM71" s="43">
        <v>37.068600000000004</v>
      </c>
      <c r="AN71" s="43">
        <v>37.149799999999999</v>
      </c>
      <c r="AO71" s="43">
        <v>37.231000000000002</v>
      </c>
      <c r="AP71" s="43">
        <v>37.312600000000003</v>
      </c>
      <c r="AQ71" s="43">
        <v>37.394199999999998</v>
      </c>
      <c r="AR71" s="43">
        <v>37.4758</v>
      </c>
      <c r="AS71" s="43">
        <v>37.557400000000001</v>
      </c>
      <c r="AT71" s="43">
        <v>37.639000000000003</v>
      </c>
      <c r="AU71" s="43">
        <v>37.724600000000002</v>
      </c>
      <c r="AV71" s="43">
        <v>37.810200000000002</v>
      </c>
      <c r="AW71" s="43">
        <v>37.895800000000001</v>
      </c>
      <c r="AX71" s="43">
        <v>37.981400000000001</v>
      </c>
      <c r="AY71" s="43">
        <v>38.067</v>
      </c>
      <c r="AZ71" s="43">
        <v>38.223399999999998</v>
      </c>
      <c r="BA71" s="43">
        <v>38.379800000000003</v>
      </c>
      <c r="BB71" s="43">
        <v>38.536200000000001</v>
      </c>
      <c r="BC71" s="43">
        <v>38.692599999999999</v>
      </c>
      <c r="BD71" s="43">
        <v>38.848999999999997</v>
      </c>
      <c r="BE71" s="43">
        <v>39.1006</v>
      </c>
      <c r="BF71" s="43">
        <v>39.352200000000003</v>
      </c>
      <c r="BG71" s="43"/>
      <c r="BH71" s="44">
        <f t="shared" si="2"/>
        <v>29.704474074074081</v>
      </c>
      <c r="BI71" s="44">
        <f t="shared" si="3"/>
        <v>37.721360000000004</v>
      </c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2"/>
      <c r="CG71" s="42"/>
      <c r="CH71" s="42"/>
      <c r="CI71" s="42"/>
      <c r="CJ71" s="42"/>
      <c r="CK71" s="42"/>
      <c r="CL71" s="42"/>
      <c r="CM71" s="42"/>
      <c r="CN71" s="42"/>
      <c r="CO71" s="42"/>
      <c r="CP71" s="42"/>
      <c r="CQ71" s="42"/>
    </row>
    <row r="72" spans="1:95">
      <c r="A72" s="41">
        <v>214</v>
      </c>
      <c r="B72" s="41" t="s">
        <v>19</v>
      </c>
      <c r="C72" s="2">
        <v>2</v>
      </c>
      <c r="D72" s="2">
        <v>837.53527570000006</v>
      </c>
      <c r="E72" s="2">
        <v>0</v>
      </c>
      <c r="F72" s="2">
        <v>11.629800000000001</v>
      </c>
      <c r="G72" s="43">
        <v>5.4028</v>
      </c>
      <c r="H72" s="43">
        <v>5.5595999999999997</v>
      </c>
      <c r="I72" s="43">
        <v>5.7164000000000001</v>
      </c>
      <c r="J72" s="43">
        <v>5.8731999999999998</v>
      </c>
      <c r="K72" s="43">
        <v>6.03</v>
      </c>
      <c r="L72" s="43">
        <v>6.3944000000000001</v>
      </c>
      <c r="M72" s="43">
        <v>6.7587999999999999</v>
      </c>
      <c r="N72" s="43">
        <v>7.1231999999999998</v>
      </c>
      <c r="O72" s="43">
        <v>7.4875999999999996</v>
      </c>
      <c r="P72" s="43">
        <v>7.8520000000000003</v>
      </c>
      <c r="Q72" s="43">
        <v>8.5107999999999997</v>
      </c>
      <c r="R72" s="43">
        <v>9.1696000000000009</v>
      </c>
      <c r="S72" s="43">
        <v>9.8284000000000002</v>
      </c>
      <c r="T72" s="43">
        <v>10.4872</v>
      </c>
      <c r="U72" s="43">
        <v>11.146000000000001</v>
      </c>
      <c r="V72" s="43">
        <v>11.8278</v>
      </c>
      <c r="W72" s="43">
        <v>12.509600000000001</v>
      </c>
      <c r="X72" s="43">
        <v>13.1914</v>
      </c>
      <c r="Y72" s="43">
        <v>13.873200000000001</v>
      </c>
      <c r="Z72" s="43">
        <v>14.555</v>
      </c>
      <c r="AA72" s="43">
        <v>14.997400000000001</v>
      </c>
      <c r="AB72" s="43">
        <v>15.4398</v>
      </c>
      <c r="AC72" s="43">
        <v>15.882199999999999</v>
      </c>
      <c r="AD72" s="43">
        <v>16.3246</v>
      </c>
      <c r="AE72" s="43">
        <v>16.766999999999999</v>
      </c>
      <c r="AF72" s="43">
        <v>17.1904</v>
      </c>
      <c r="AG72" s="43">
        <v>17.613800000000001</v>
      </c>
      <c r="AH72" s="43">
        <v>18.037199999999999</v>
      </c>
      <c r="AI72" s="43">
        <v>18.460599999999999</v>
      </c>
      <c r="AJ72" s="43">
        <v>18.884</v>
      </c>
      <c r="AK72" s="43">
        <v>19.215800000000002</v>
      </c>
      <c r="AL72" s="43">
        <v>19.547599999999999</v>
      </c>
      <c r="AM72" s="43">
        <v>19.8794</v>
      </c>
      <c r="AN72" s="43">
        <v>20.211200000000002</v>
      </c>
      <c r="AO72" s="43">
        <v>20.542999999999999</v>
      </c>
      <c r="AP72" s="43">
        <v>20.8962</v>
      </c>
      <c r="AQ72" s="43">
        <v>21.249400000000001</v>
      </c>
      <c r="AR72" s="43">
        <v>21.602599999999999</v>
      </c>
      <c r="AS72" s="43">
        <v>21.9558</v>
      </c>
      <c r="AT72" s="43">
        <v>22.309000000000001</v>
      </c>
      <c r="AU72" s="43">
        <v>22.685600000000001</v>
      </c>
      <c r="AV72" s="43">
        <v>23.062200000000001</v>
      </c>
      <c r="AW72" s="43">
        <v>23.438800000000001</v>
      </c>
      <c r="AX72" s="43">
        <v>23.8154</v>
      </c>
      <c r="AY72" s="43">
        <v>24.192</v>
      </c>
      <c r="AZ72" s="43">
        <v>24.609400000000001</v>
      </c>
      <c r="BA72" s="43">
        <v>25.026800000000001</v>
      </c>
      <c r="BB72" s="43">
        <v>25.444199999999999</v>
      </c>
      <c r="BC72" s="43">
        <v>25.861599999999999</v>
      </c>
      <c r="BD72" s="43">
        <v>26.279</v>
      </c>
      <c r="BE72" s="43">
        <v>26.7424</v>
      </c>
      <c r="BF72" s="43">
        <v>27.2058</v>
      </c>
      <c r="BG72" s="43"/>
      <c r="BH72" s="44">
        <f t="shared" si="2"/>
        <v>10.870822222222225</v>
      </c>
      <c r="BI72" s="44">
        <f t="shared" si="3"/>
        <v>22.446200000000005</v>
      </c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2"/>
      <c r="CG72" s="42"/>
      <c r="CH72" s="42"/>
      <c r="CI72" s="42"/>
      <c r="CJ72" s="42"/>
      <c r="CK72" s="42"/>
      <c r="CL72" s="42"/>
      <c r="CM72" s="42"/>
      <c r="CN72" s="42"/>
      <c r="CO72" s="42"/>
      <c r="CP72" s="42"/>
      <c r="CQ72" s="42"/>
    </row>
    <row r="73" spans="1:95">
      <c r="A73" s="41">
        <v>45</v>
      </c>
      <c r="B73" s="41" t="s">
        <v>127</v>
      </c>
      <c r="C73" s="2">
        <v>2</v>
      </c>
      <c r="D73" s="2">
        <v>836.71728459999997</v>
      </c>
      <c r="E73" s="2">
        <v>0</v>
      </c>
      <c r="F73" s="2">
        <v>19.577400000000001</v>
      </c>
      <c r="G73" s="43">
        <v>16.579599999999999</v>
      </c>
      <c r="H73" s="43">
        <v>16.956199999999999</v>
      </c>
      <c r="I73" s="43">
        <v>17.332799999999999</v>
      </c>
      <c r="J73" s="43">
        <v>17.709399999999999</v>
      </c>
      <c r="K73" s="43">
        <v>18.085999999999999</v>
      </c>
      <c r="L73" s="43">
        <v>17.948799999999999</v>
      </c>
      <c r="M73" s="43">
        <v>17.811599999999999</v>
      </c>
      <c r="N73" s="43">
        <v>17.674399999999999</v>
      </c>
      <c r="O73" s="43">
        <v>17.537199999999999</v>
      </c>
      <c r="P73" s="43">
        <v>17.399999999999999</v>
      </c>
      <c r="Q73" s="43">
        <v>17.399999999999999</v>
      </c>
      <c r="R73" s="43">
        <v>17.399999999999999</v>
      </c>
      <c r="S73" s="43">
        <v>17.399999999999999</v>
      </c>
      <c r="T73" s="43">
        <v>17.399999999999999</v>
      </c>
      <c r="U73" s="43">
        <v>17.399999999999999</v>
      </c>
      <c r="V73" s="43">
        <v>17.791599999999999</v>
      </c>
      <c r="W73" s="43">
        <v>18.183199999999999</v>
      </c>
      <c r="X73" s="43">
        <v>18.5748</v>
      </c>
      <c r="Y73" s="43">
        <v>18.9664</v>
      </c>
      <c r="Z73" s="43">
        <v>19.358000000000001</v>
      </c>
      <c r="AA73" s="43">
        <v>20.061199999999999</v>
      </c>
      <c r="AB73" s="43">
        <v>20.764399999999998</v>
      </c>
      <c r="AC73" s="43">
        <v>21.467600000000001</v>
      </c>
      <c r="AD73" s="43">
        <v>22.1708</v>
      </c>
      <c r="AE73" s="43">
        <v>22.873999999999999</v>
      </c>
      <c r="AF73" s="43">
        <v>23.587599999999998</v>
      </c>
      <c r="AG73" s="43">
        <v>24.301200000000001</v>
      </c>
      <c r="AH73" s="43">
        <v>25.014800000000001</v>
      </c>
      <c r="AI73" s="43">
        <v>25.728400000000001</v>
      </c>
      <c r="AJ73" s="43">
        <v>26.442</v>
      </c>
      <c r="AK73" s="43">
        <v>27.345800000000001</v>
      </c>
      <c r="AL73" s="43">
        <v>28.249600000000001</v>
      </c>
      <c r="AM73" s="43">
        <v>29.153400000000001</v>
      </c>
      <c r="AN73" s="43">
        <v>30.057200000000002</v>
      </c>
      <c r="AO73" s="43">
        <v>30.960999999999999</v>
      </c>
      <c r="AP73" s="43">
        <v>31.944199999999999</v>
      </c>
      <c r="AQ73" s="43">
        <v>32.927399999999999</v>
      </c>
      <c r="AR73" s="43">
        <v>33.910600000000002</v>
      </c>
      <c r="AS73" s="43">
        <v>34.893799999999999</v>
      </c>
      <c r="AT73" s="43">
        <v>35.877000000000002</v>
      </c>
      <c r="AU73" s="43">
        <v>37.206000000000003</v>
      </c>
      <c r="AV73" s="43">
        <v>38.534999999999997</v>
      </c>
      <c r="AW73" s="43">
        <v>39.863999999999997</v>
      </c>
      <c r="AX73" s="43">
        <v>41.192999999999998</v>
      </c>
      <c r="AY73" s="43">
        <v>42.521999999999998</v>
      </c>
      <c r="AZ73" s="43">
        <v>43.8628</v>
      </c>
      <c r="BA73" s="43">
        <v>45.203600000000002</v>
      </c>
      <c r="BB73" s="43">
        <v>46.544400000000003</v>
      </c>
      <c r="BC73" s="43">
        <v>47.885199999999998</v>
      </c>
      <c r="BD73" s="43">
        <v>49.225999999999999</v>
      </c>
      <c r="BE73" s="43">
        <v>50.500799999999998</v>
      </c>
      <c r="BF73" s="43">
        <v>51.775599999999997</v>
      </c>
      <c r="BG73" s="43"/>
      <c r="BH73" s="44">
        <f t="shared" si="2"/>
        <v>18.893955555555557</v>
      </c>
      <c r="BI73" s="44">
        <f t="shared" si="3"/>
        <v>37.072944000000007</v>
      </c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2"/>
      <c r="CG73" s="42"/>
      <c r="CH73" s="42"/>
      <c r="CI73" s="42"/>
      <c r="CJ73" s="42"/>
      <c r="CK73" s="42"/>
      <c r="CL73" s="42"/>
      <c r="CM73" s="42"/>
      <c r="CN73" s="42"/>
      <c r="CO73" s="42"/>
      <c r="CP73" s="42"/>
      <c r="CQ73" s="42"/>
    </row>
    <row r="74" spans="1:95">
      <c r="A74" s="41">
        <v>236</v>
      </c>
      <c r="B74" s="41" t="s">
        <v>3</v>
      </c>
      <c r="C74" s="2">
        <v>2</v>
      </c>
      <c r="D74" s="2">
        <v>833.4864129</v>
      </c>
      <c r="E74" s="2">
        <v>0</v>
      </c>
      <c r="F74" s="2">
        <v>18.390666666666664</v>
      </c>
      <c r="G74" s="43">
        <v>15.0442</v>
      </c>
      <c r="H74" s="43">
        <v>15.388400000000001</v>
      </c>
      <c r="I74" s="43">
        <v>15.7326</v>
      </c>
      <c r="J74" s="43">
        <v>16.076799999999999</v>
      </c>
      <c r="K74" s="43">
        <v>16.420999999999999</v>
      </c>
      <c r="L74" s="43">
        <v>16.796800000000001</v>
      </c>
      <c r="M74" s="43">
        <v>17.172599999999999</v>
      </c>
      <c r="N74" s="43">
        <v>17.548400000000001</v>
      </c>
      <c r="O74" s="43">
        <v>17.924199999999999</v>
      </c>
      <c r="P74" s="43">
        <v>18.3</v>
      </c>
      <c r="Q74" s="43">
        <v>18.3964</v>
      </c>
      <c r="R74" s="43">
        <v>18.492799999999999</v>
      </c>
      <c r="S74" s="43">
        <v>18.589200000000002</v>
      </c>
      <c r="T74" s="43">
        <v>18.685600000000001</v>
      </c>
      <c r="U74" s="43">
        <v>18.782</v>
      </c>
      <c r="V74" s="43">
        <v>18.875</v>
      </c>
      <c r="W74" s="43">
        <v>18.968</v>
      </c>
      <c r="X74" s="43">
        <v>19.061</v>
      </c>
      <c r="Y74" s="43">
        <v>19.154</v>
      </c>
      <c r="Z74" s="43">
        <v>19.247</v>
      </c>
      <c r="AA74" s="43">
        <v>19.309799999999999</v>
      </c>
      <c r="AB74" s="43">
        <v>19.372599999999998</v>
      </c>
      <c r="AC74" s="43">
        <v>19.435400000000001</v>
      </c>
      <c r="AD74" s="43">
        <v>19.498200000000001</v>
      </c>
      <c r="AE74" s="43">
        <v>19.561</v>
      </c>
      <c r="AF74" s="43">
        <v>19.6998</v>
      </c>
      <c r="AG74" s="43">
        <v>19.8386</v>
      </c>
      <c r="AH74" s="43">
        <v>19.977399999999999</v>
      </c>
      <c r="AI74" s="43">
        <v>20.116199999999999</v>
      </c>
      <c r="AJ74" s="43">
        <v>20.254999999999999</v>
      </c>
      <c r="AK74" s="43">
        <v>20.641400000000001</v>
      </c>
      <c r="AL74" s="43">
        <v>21.027799999999999</v>
      </c>
      <c r="AM74" s="43">
        <v>21.414200000000001</v>
      </c>
      <c r="AN74" s="43">
        <v>21.800599999999999</v>
      </c>
      <c r="AO74" s="43">
        <v>22.187000000000001</v>
      </c>
      <c r="AP74" s="43">
        <v>22.624400000000001</v>
      </c>
      <c r="AQ74" s="43">
        <v>23.061800000000002</v>
      </c>
      <c r="AR74" s="43">
        <v>23.499199999999998</v>
      </c>
      <c r="AS74" s="43">
        <v>23.936599999999999</v>
      </c>
      <c r="AT74" s="43">
        <v>24.373999999999999</v>
      </c>
      <c r="AU74" s="43">
        <v>24.955400000000001</v>
      </c>
      <c r="AV74" s="43">
        <v>25.536799999999999</v>
      </c>
      <c r="AW74" s="43">
        <v>26.118200000000002</v>
      </c>
      <c r="AX74" s="43">
        <v>26.6996</v>
      </c>
      <c r="AY74" s="43">
        <v>27.280999999999999</v>
      </c>
      <c r="AZ74" s="43">
        <v>27.903400000000001</v>
      </c>
      <c r="BA74" s="43">
        <v>28.5258</v>
      </c>
      <c r="BB74" s="43">
        <v>29.148199999999999</v>
      </c>
      <c r="BC74" s="43">
        <v>29.770600000000002</v>
      </c>
      <c r="BD74" s="43">
        <v>30.393000000000001</v>
      </c>
      <c r="BE74" s="43">
        <v>31.035599999999999</v>
      </c>
      <c r="BF74" s="43">
        <v>31.6782</v>
      </c>
      <c r="BG74" s="43"/>
      <c r="BH74" s="44">
        <f t="shared" si="2"/>
        <v>18.198940740740738</v>
      </c>
      <c r="BI74" s="44">
        <f t="shared" si="3"/>
        <v>24.958456000000002</v>
      </c>
    </row>
    <row r="75" spans="1:95">
      <c r="A75" s="41">
        <v>182</v>
      </c>
      <c r="B75" s="41" t="s">
        <v>36</v>
      </c>
      <c r="C75" s="2">
        <v>2</v>
      </c>
      <c r="D75" s="2">
        <v>786.26164070000004</v>
      </c>
      <c r="E75" s="2">
        <v>0</v>
      </c>
      <c r="F75" s="2">
        <v>3.9911000000000008</v>
      </c>
      <c r="G75" s="43">
        <v>2.4738000000000002</v>
      </c>
      <c r="H75" s="43">
        <v>2.5476000000000001</v>
      </c>
      <c r="I75" s="43">
        <v>2.6214</v>
      </c>
      <c r="J75" s="43">
        <v>2.6951999999999998</v>
      </c>
      <c r="K75" s="43">
        <v>2.7690000000000001</v>
      </c>
      <c r="L75" s="43">
        <v>2.8536000000000001</v>
      </c>
      <c r="M75" s="43">
        <v>2.9382000000000001</v>
      </c>
      <c r="N75" s="43">
        <v>3.0228000000000002</v>
      </c>
      <c r="O75" s="43">
        <v>3.1074000000000002</v>
      </c>
      <c r="P75" s="43">
        <v>3.1920000000000002</v>
      </c>
      <c r="Q75" s="43">
        <v>3.3532000000000002</v>
      </c>
      <c r="R75" s="43">
        <v>3.5144000000000002</v>
      </c>
      <c r="S75" s="43">
        <v>3.6756000000000002</v>
      </c>
      <c r="T75" s="43">
        <v>3.8368000000000002</v>
      </c>
      <c r="U75" s="43">
        <v>3.9980000000000002</v>
      </c>
      <c r="V75" s="43">
        <v>4.1425999999999998</v>
      </c>
      <c r="W75" s="43">
        <v>4.2872000000000003</v>
      </c>
      <c r="X75" s="43">
        <v>4.4318</v>
      </c>
      <c r="Y75" s="43">
        <v>4.5763999999999996</v>
      </c>
      <c r="Z75" s="43">
        <v>4.7210000000000001</v>
      </c>
      <c r="AA75" s="43">
        <v>4.7881999999999998</v>
      </c>
      <c r="AB75" s="43">
        <v>4.8554000000000004</v>
      </c>
      <c r="AC75" s="43">
        <v>4.9226000000000001</v>
      </c>
      <c r="AD75" s="43">
        <v>4.9897999999999998</v>
      </c>
      <c r="AE75" s="43">
        <v>5.0570000000000004</v>
      </c>
      <c r="AF75" s="43">
        <v>5.1288</v>
      </c>
      <c r="AG75" s="43">
        <v>5.2005999999999997</v>
      </c>
      <c r="AH75" s="43">
        <v>5.2724000000000002</v>
      </c>
      <c r="AI75" s="43">
        <v>5.3441999999999998</v>
      </c>
      <c r="AJ75" s="43">
        <v>5.4160000000000004</v>
      </c>
      <c r="AK75" s="43">
        <v>5.9916</v>
      </c>
      <c r="AL75" s="43">
        <v>6.5671999999999997</v>
      </c>
      <c r="AM75" s="43">
        <v>7.1428000000000003</v>
      </c>
      <c r="AN75" s="43">
        <v>7.7183999999999999</v>
      </c>
      <c r="AO75" s="43">
        <v>8.2940000000000005</v>
      </c>
      <c r="AP75" s="43">
        <v>9.3895999999999997</v>
      </c>
      <c r="AQ75" s="43">
        <v>10.485200000000001</v>
      </c>
      <c r="AR75" s="43">
        <v>11.5808</v>
      </c>
      <c r="AS75" s="43">
        <v>12.676399999999999</v>
      </c>
      <c r="AT75" s="43">
        <v>13.772</v>
      </c>
      <c r="AU75" s="43">
        <v>14.525399999999999</v>
      </c>
      <c r="AV75" s="43">
        <v>15.2788</v>
      </c>
      <c r="AW75" s="43">
        <v>16.0322</v>
      </c>
      <c r="AX75" s="43">
        <v>16.785599999999999</v>
      </c>
      <c r="AY75" s="43">
        <v>17.539000000000001</v>
      </c>
      <c r="AZ75" s="43">
        <v>17.793199999999999</v>
      </c>
      <c r="BA75" s="43">
        <v>18.0474</v>
      </c>
      <c r="BB75" s="43">
        <v>18.301600000000001</v>
      </c>
      <c r="BC75" s="43">
        <v>18.555800000000001</v>
      </c>
      <c r="BD75" s="43">
        <v>18.809999999999999</v>
      </c>
      <c r="BE75" s="43">
        <v>19.119199999999999</v>
      </c>
      <c r="BF75" s="43">
        <v>19.4284</v>
      </c>
      <c r="BG75" s="43"/>
      <c r="BH75" s="44">
        <f t="shared" si="2"/>
        <v>3.8407555555555564</v>
      </c>
      <c r="BI75" s="44">
        <f t="shared" si="3"/>
        <v>12.794688000000001</v>
      </c>
    </row>
    <row r="76" spans="1:95">
      <c r="A76" s="41">
        <v>19</v>
      </c>
      <c r="B76" s="41" t="s">
        <v>144</v>
      </c>
      <c r="C76" s="2">
        <v>2</v>
      </c>
      <c r="D76" s="2">
        <v>710.9835468</v>
      </c>
      <c r="E76" s="2">
        <v>0</v>
      </c>
      <c r="F76" s="2">
        <v>11.654599999999999</v>
      </c>
      <c r="G76" s="43">
        <v>5.3502000000000001</v>
      </c>
      <c r="H76" s="43">
        <v>5.5654000000000003</v>
      </c>
      <c r="I76" s="43">
        <v>5.7805999999999997</v>
      </c>
      <c r="J76" s="43">
        <v>5.9958</v>
      </c>
      <c r="K76" s="43">
        <v>6.2110000000000003</v>
      </c>
      <c r="L76" s="43">
        <v>6.4874000000000001</v>
      </c>
      <c r="M76" s="43">
        <v>6.7637999999999998</v>
      </c>
      <c r="N76" s="43">
        <v>7.0401999999999996</v>
      </c>
      <c r="O76" s="43">
        <v>7.3166000000000002</v>
      </c>
      <c r="P76" s="43">
        <v>7.593</v>
      </c>
      <c r="Q76" s="43">
        <v>8.0416000000000007</v>
      </c>
      <c r="R76" s="43">
        <v>8.4901999999999997</v>
      </c>
      <c r="S76" s="43">
        <v>8.9388000000000005</v>
      </c>
      <c r="T76" s="43">
        <v>9.3873999999999995</v>
      </c>
      <c r="U76" s="43">
        <v>9.8360000000000003</v>
      </c>
      <c r="V76" s="43">
        <v>10.839</v>
      </c>
      <c r="W76" s="43">
        <v>11.842000000000001</v>
      </c>
      <c r="X76" s="43">
        <v>12.845000000000001</v>
      </c>
      <c r="Y76" s="43">
        <v>13.848000000000001</v>
      </c>
      <c r="Z76" s="43">
        <v>14.851000000000001</v>
      </c>
      <c r="AA76" s="43">
        <v>15.38</v>
      </c>
      <c r="AB76" s="43">
        <v>15.909000000000001</v>
      </c>
      <c r="AC76" s="43">
        <v>16.437999999999999</v>
      </c>
      <c r="AD76" s="43">
        <v>16.966999999999999</v>
      </c>
      <c r="AE76" s="43">
        <v>17.495999999999999</v>
      </c>
      <c r="AF76" s="43">
        <v>17.959</v>
      </c>
      <c r="AG76" s="43">
        <v>18.422000000000001</v>
      </c>
      <c r="AH76" s="43">
        <v>18.885000000000002</v>
      </c>
      <c r="AI76" s="43">
        <v>19.347999999999999</v>
      </c>
      <c r="AJ76" s="43">
        <v>19.811</v>
      </c>
      <c r="AK76" s="43">
        <v>20.1874</v>
      </c>
      <c r="AL76" s="43">
        <v>20.563800000000001</v>
      </c>
      <c r="AM76" s="43">
        <v>20.940200000000001</v>
      </c>
      <c r="AN76" s="43">
        <v>21.316600000000001</v>
      </c>
      <c r="AO76" s="43">
        <v>21.693000000000001</v>
      </c>
      <c r="AP76" s="43">
        <v>22.072399999999998</v>
      </c>
      <c r="AQ76" s="43">
        <v>22.451799999999999</v>
      </c>
      <c r="AR76" s="43">
        <v>22.831199999999999</v>
      </c>
      <c r="AS76" s="43">
        <v>23.210599999999999</v>
      </c>
      <c r="AT76" s="43">
        <v>23.59</v>
      </c>
      <c r="AU76" s="43">
        <v>23.999199999999998</v>
      </c>
      <c r="AV76" s="43">
        <v>24.4084</v>
      </c>
      <c r="AW76" s="43">
        <v>24.817599999999999</v>
      </c>
      <c r="AX76" s="43">
        <v>25.226800000000001</v>
      </c>
      <c r="AY76" s="43">
        <v>25.635999999999999</v>
      </c>
      <c r="AZ76" s="43">
        <v>26.087599999999998</v>
      </c>
      <c r="BA76" s="43">
        <v>26.539200000000001</v>
      </c>
      <c r="BB76" s="43">
        <v>26.9908</v>
      </c>
      <c r="BC76" s="43">
        <v>27.442399999999999</v>
      </c>
      <c r="BD76" s="43">
        <v>27.893999999999998</v>
      </c>
      <c r="BE76" s="43">
        <v>28.3902</v>
      </c>
      <c r="BF76" s="43">
        <v>28.886399999999998</v>
      </c>
      <c r="BG76" s="43"/>
      <c r="BH76" s="44">
        <f t="shared" si="2"/>
        <v>10.799777777777777</v>
      </c>
      <c r="BI76" s="44">
        <f t="shared" si="3"/>
        <v>23.728784000000001</v>
      </c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2"/>
      <c r="CG76" s="42"/>
      <c r="CH76" s="42"/>
      <c r="CI76" s="42"/>
      <c r="CJ76" s="42"/>
      <c r="CK76" s="42"/>
      <c r="CL76" s="42"/>
      <c r="CM76" s="42"/>
      <c r="CN76" s="42"/>
      <c r="CO76" s="42"/>
      <c r="CP76" s="42"/>
      <c r="CQ76" s="42"/>
    </row>
    <row r="77" spans="1:95">
      <c r="A77" s="41">
        <v>153</v>
      </c>
      <c r="B77" s="41" t="s">
        <v>57</v>
      </c>
      <c r="C77" s="2">
        <v>2</v>
      </c>
      <c r="D77" s="2">
        <v>642.49515789999998</v>
      </c>
      <c r="E77" s="2">
        <v>0</v>
      </c>
      <c r="F77" s="2">
        <v>5.4507333333333312</v>
      </c>
      <c r="G77" s="43">
        <v>3.5314000000000001</v>
      </c>
      <c r="H77" s="43">
        <v>3.5828000000000002</v>
      </c>
      <c r="I77" s="43">
        <v>3.6341999999999999</v>
      </c>
      <c r="J77" s="43">
        <v>3.6856</v>
      </c>
      <c r="K77" s="43">
        <v>3.7370000000000001</v>
      </c>
      <c r="L77" s="43">
        <v>3.7808000000000002</v>
      </c>
      <c r="M77" s="43">
        <v>3.8246000000000002</v>
      </c>
      <c r="N77" s="43">
        <v>3.8683999999999998</v>
      </c>
      <c r="O77" s="43">
        <v>3.9121999999999999</v>
      </c>
      <c r="P77" s="43">
        <v>3.956</v>
      </c>
      <c r="Q77" s="43">
        <v>4.1307999999999998</v>
      </c>
      <c r="R77" s="43">
        <v>4.3056000000000001</v>
      </c>
      <c r="S77" s="43">
        <v>4.4804000000000004</v>
      </c>
      <c r="T77" s="43">
        <v>4.6551999999999998</v>
      </c>
      <c r="U77" s="43">
        <v>4.83</v>
      </c>
      <c r="V77" s="43">
        <v>5.0822000000000003</v>
      </c>
      <c r="W77" s="43">
        <v>5.3343999999999996</v>
      </c>
      <c r="X77" s="43">
        <v>5.5865999999999998</v>
      </c>
      <c r="Y77" s="43">
        <v>5.8388</v>
      </c>
      <c r="Z77" s="43">
        <v>6.0910000000000002</v>
      </c>
      <c r="AA77" s="43">
        <v>6.35</v>
      </c>
      <c r="AB77" s="43">
        <v>6.609</v>
      </c>
      <c r="AC77" s="43">
        <v>6.8680000000000003</v>
      </c>
      <c r="AD77" s="43">
        <v>7.1269999999999998</v>
      </c>
      <c r="AE77" s="43">
        <v>7.3860000000000001</v>
      </c>
      <c r="AF77" s="43">
        <v>7.6795999999999998</v>
      </c>
      <c r="AG77" s="43">
        <v>7.9732000000000003</v>
      </c>
      <c r="AH77" s="43">
        <v>8.2667999999999999</v>
      </c>
      <c r="AI77" s="43">
        <v>8.5603999999999996</v>
      </c>
      <c r="AJ77" s="43">
        <v>8.8539999999999992</v>
      </c>
      <c r="AK77" s="43">
        <v>9.2622</v>
      </c>
      <c r="AL77" s="43">
        <v>9.6704000000000008</v>
      </c>
      <c r="AM77" s="43">
        <v>10.0786</v>
      </c>
      <c r="AN77" s="43">
        <v>10.486800000000001</v>
      </c>
      <c r="AO77" s="43">
        <v>10.895</v>
      </c>
      <c r="AP77" s="43">
        <v>11.402200000000001</v>
      </c>
      <c r="AQ77" s="43">
        <v>11.9094</v>
      </c>
      <c r="AR77" s="43">
        <v>12.416600000000001</v>
      </c>
      <c r="AS77" s="43">
        <v>12.9238</v>
      </c>
      <c r="AT77" s="43">
        <v>13.430999999999999</v>
      </c>
      <c r="AU77" s="43">
        <v>13.7676</v>
      </c>
      <c r="AV77" s="43">
        <v>14.104200000000001</v>
      </c>
      <c r="AW77" s="43">
        <v>14.440799999999999</v>
      </c>
      <c r="AX77" s="43">
        <v>14.7774</v>
      </c>
      <c r="AY77" s="43">
        <v>15.114000000000001</v>
      </c>
      <c r="AZ77" s="43">
        <v>15.4224</v>
      </c>
      <c r="BA77" s="43">
        <v>15.7308</v>
      </c>
      <c r="BB77" s="43">
        <v>16.039200000000001</v>
      </c>
      <c r="BC77" s="43">
        <v>16.3476</v>
      </c>
      <c r="BD77" s="43">
        <v>16.655999999999999</v>
      </c>
      <c r="BE77" s="43">
        <v>16.995799999999999</v>
      </c>
      <c r="BF77" s="43">
        <v>17.335599999999999</v>
      </c>
      <c r="BG77" s="43"/>
      <c r="BH77" s="44">
        <f t="shared" si="2"/>
        <v>5.105214814814814</v>
      </c>
      <c r="BI77" s="44">
        <f t="shared" si="3"/>
        <v>12.995543999999997</v>
      </c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2"/>
      <c r="CG77" s="42"/>
      <c r="CH77" s="42"/>
      <c r="CI77" s="42"/>
      <c r="CJ77" s="42"/>
      <c r="CK77" s="42"/>
      <c r="CL77" s="42"/>
      <c r="CM77" s="42"/>
      <c r="CN77" s="42"/>
      <c r="CO77" s="42"/>
      <c r="CP77" s="42"/>
      <c r="CQ77" s="42"/>
    </row>
    <row r="78" spans="1:95">
      <c r="A78" s="41">
        <v>69</v>
      </c>
      <c r="B78" s="41" t="s">
        <v>110</v>
      </c>
      <c r="C78" s="2">
        <v>2</v>
      </c>
      <c r="D78" s="2">
        <v>566.39685069999996</v>
      </c>
      <c r="E78" s="2">
        <v>0</v>
      </c>
      <c r="F78" s="2">
        <v>9.6073000000000004</v>
      </c>
      <c r="G78" s="43">
        <v>6.6638000000000002</v>
      </c>
      <c r="H78" s="43">
        <v>6.8945999999999996</v>
      </c>
      <c r="I78" s="43">
        <v>7.1254</v>
      </c>
      <c r="J78" s="43">
        <v>7.3562000000000003</v>
      </c>
      <c r="K78" s="43">
        <v>7.5869999999999997</v>
      </c>
      <c r="L78" s="43">
        <v>7.7872000000000003</v>
      </c>
      <c r="M78" s="43">
        <v>7.9874000000000001</v>
      </c>
      <c r="N78" s="43">
        <v>8.1875999999999998</v>
      </c>
      <c r="O78" s="43">
        <v>8.3878000000000004</v>
      </c>
      <c r="P78" s="43">
        <v>8.5879999999999992</v>
      </c>
      <c r="Q78" s="43">
        <v>8.7623999999999995</v>
      </c>
      <c r="R78" s="43">
        <v>8.9367999999999999</v>
      </c>
      <c r="S78" s="43">
        <v>9.1112000000000002</v>
      </c>
      <c r="T78" s="43">
        <v>9.2856000000000005</v>
      </c>
      <c r="U78" s="43">
        <v>9.4600000000000009</v>
      </c>
      <c r="V78" s="43">
        <v>9.65</v>
      </c>
      <c r="W78" s="43">
        <v>9.84</v>
      </c>
      <c r="X78" s="43">
        <v>10.029999999999999</v>
      </c>
      <c r="Y78" s="43">
        <v>10.220000000000001</v>
      </c>
      <c r="Z78" s="43">
        <v>10.41</v>
      </c>
      <c r="AA78" s="43">
        <v>10.618600000000001</v>
      </c>
      <c r="AB78" s="43">
        <v>10.827199999999999</v>
      </c>
      <c r="AC78" s="43">
        <v>11.0358</v>
      </c>
      <c r="AD78" s="43">
        <v>11.244400000000001</v>
      </c>
      <c r="AE78" s="43">
        <v>11.452999999999999</v>
      </c>
      <c r="AF78" s="43">
        <v>11.6866</v>
      </c>
      <c r="AG78" s="43">
        <v>11.920199999999999</v>
      </c>
      <c r="AH78" s="43">
        <v>12.1538</v>
      </c>
      <c r="AI78" s="43">
        <v>12.3874</v>
      </c>
      <c r="AJ78" s="43">
        <v>12.621</v>
      </c>
      <c r="AK78" s="43">
        <v>12.8622</v>
      </c>
      <c r="AL78" s="43">
        <v>13.103400000000001</v>
      </c>
      <c r="AM78" s="43">
        <v>13.3446</v>
      </c>
      <c r="AN78" s="43">
        <v>13.585800000000001</v>
      </c>
      <c r="AO78" s="43">
        <v>13.827</v>
      </c>
      <c r="AP78" s="43">
        <v>14.009399999999999</v>
      </c>
      <c r="AQ78" s="43">
        <v>14.191800000000001</v>
      </c>
      <c r="AR78" s="43">
        <v>14.3742</v>
      </c>
      <c r="AS78" s="43">
        <v>14.5566</v>
      </c>
      <c r="AT78" s="43">
        <v>14.739000000000001</v>
      </c>
      <c r="AU78" s="43">
        <v>14.9312</v>
      </c>
      <c r="AV78" s="43">
        <v>15.1234</v>
      </c>
      <c r="AW78" s="43">
        <v>15.3156</v>
      </c>
      <c r="AX78" s="43">
        <v>15.5078</v>
      </c>
      <c r="AY78" s="43">
        <v>15.7</v>
      </c>
      <c r="AZ78" s="43">
        <v>15.9114</v>
      </c>
      <c r="BA78" s="43">
        <v>16.122800000000002</v>
      </c>
      <c r="BB78" s="43">
        <v>16.334199999999999</v>
      </c>
      <c r="BC78" s="43">
        <v>16.5456</v>
      </c>
      <c r="BD78" s="43">
        <v>16.757000000000001</v>
      </c>
      <c r="BE78" s="43">
        <v>17.0184</v>
      </c>
      <c r="BF78" s="43">
        <v>17.279800000000002</v>
      </c>
      <c r="BG78" s="43"/>
      <c r="BH78" s="44">
        <f t="shared" si="2"/>
        <v>9.2983999999999991</v>
      </c>
      <c r="BI78" s="44">
        <f t="shared" si="3"/>
        <v>14.732135999999999</v>
      </c>
    </row>
    <row r="79" spans="1:95">
      <c r="A79" s="41">
        <v>36</v>
      </c>
      <c r="B79" s="41" t="s">
        <v>134</v>
      </c>
      <c r="C79" s="2">
        <v>2</v>
      </c>
      <c r="D79" s="2">
        <v>470.15290929999998</v>
      </c>
      <c r="E79" s="2">
        <v>0</v>
      </c>
      <c r="F79" s="2">
        <v>3.6581333333333337</v>
      </c>
      <c r="G79" s="43">
        <v>2.0726</v>
      </c>
      <c r="H79" s="43">
        <v>2.1072000000000002</v>
      </c>
      <c r="I79" s="43">
        <v>2.1417999999999999</v>
      </c>
      <c r="J79" s="43">
        <v>2.1764000000000001</v>
      </c>
      <c r="K79" s="43">
        <v>2.2109999999999999</v>
      </c>
      <c r="L79" s="43">
        <v>2.2452000000000001</v>
      </c>
      <c r="M79" s="43">
        <v>2.2793999999999999</v>
      </c>
      <c r="N79" s="43">
        <v>2.3136000000000001</v>
      </c>
      <c r="O79" s="43">
        <v>2.3477999999999999</v>
      </c>
      <c r="P79" s="43">
        <v>2.3820000000000001</v>
      </c>
      <c r="Q79" s="43">
        <v>2.5491999999999999</v>
      </c>
      <c r="R79" s="43">
        <v>2.7164000000000001</v>
      </c>
      <c r="S79" s="43">
        <v>2.8835999999999999</v>
      </c>
      <c r="T79" s="43">
        <v>3.0508000000000002</v>
      </c>
      <c r="U79" s="43">
        <v>3.218</v>
      </c>
      <c r="V79" s="43">
        <v>3.4422000000000001</v>
      </c>
      <c r="W79" s="43">
        <v>3.6663999999999999</v>
      </c>
      <c r="X79" s="43">
        <v>3.8906000000000001</v>
      </c>
      <c r="Y79" s="43">
        <v>4.1147999999999998</v>
      </c>
      <c r="Z79" s="43">
        <v>4.3390000000000004</v>
      </c>
      <c r="AA79" s="43">
        <v>4.5153999999999996</v>
      </c>
      <c r="AB79" s="43">
        <v>4.6917999999999997</v>
      </c>
      <c r="AC79" s="43">
        <v>4.8681999999999999</v>
      </c>
      <c r="AD79" s="43">
        <v>5.0446</v>
      </c>
      <c r="AE79" s="43">
        <v>5.2210000000000001</v>
      </c>
      <c r="AF79" s="43">
        <v>5.431</v>
      </c>
      <c r="AG79" s="43">
        <v>5.641</v>
      </c>
      <c r="AH79" s="43">
        <v>5.851</v>
      </c>
      <c r="AI79" s="43">
        <v>6.0609999999999999</v>
      </c>
      <c r="AJ79" s="43">
        <v>6.2709999999999999</v>
      </c>
      <c r="AK79" s="43">
        <v>6.4589999999999996</v>
      </c>
      <c r="AL79" s="43">
        <v>6.6470000000000002</v>
      </c>
      <c r="AM79" s="43">
        <v>6.835</v>
      </c>
      <c r="AN79" s="43">
        <v>7.0229999999999997</v>
      </c>
      <c r="AO79" s="43">
        <v>7.2110000000000003</v>
      </c>
      <c r="AP79" s="43">
        <v>7.4180000000000001</v>
      </c>
      <c r="AQ79" s="43">
        <v>7.625</v>
      </c>
      <c r="AR79" s="43">
        <v>7.8319999999999999</v>
      </c>
      <c r="AS79" s="43">
        <v>8.0389999999999997</v>
      </c>
      <c r="AT79" s="43">
        <v>8.2460000000000004</v>
      </c>
      <c r="AU79" s="43">
        <v>8.4718</v>
      </c>
      <c r="AV79" s="43">
        <v>8.6975999999999996</v>
      </c>
      <c r="AW79" s="43">
        <v>8.9234000000000009</v>
      </c>
      <c r="AX79" s="43">
        <v>9.1492000000000004</v>
      </c>
      <c r="AY79" s="43">
        <v>9.375</v>
      </c>
      <c r="AZ79" s="43">
        <v>9.6283999999999992</v>
      </c>
      <c r="BA79" s="43">
        <v>9.8818000000000001</v>
      </c>
      <c r="BB79" s="43">
        <v>10.135199999999999</v>
      </c>
      <c r="BC79" s="43">
        <v>10.3886</v>
      </c>
      <c r="BD79" s="43">
        <v>10.641999999999999</v>
      </c>
      <c r="BE79" s="43">
        <v>10.928000000000001</v>
      </c>
      <c r="BF79" s="43">
        <v>11.214</v>
      </c>
      <c r="BG79" s="43"/>
      <c r="BH79" s="44">
        <f t="shared" si="2"/>
        <v>3.3911481481481491</v>
      </c>
      <c r="BI79" s="44">
        <f t="shared" si="3"/>
        <v>8.3581199999999995</v>
      </c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2"/>
      <c r="CG79" s="42"/>
      <c r="CH79" s="42"/>
      <c r="CI79" s="42"/>
      <c r="CJ79" s="42"/>
      <c r="CK79" s="42"/>
      <c r="CL79" s="42"/>
      <c r="CM79" s="42"/>
      <c r="CN79" s="42"/>
      <c r="CO79" s="42"/>
      <c r="CP79" s="42"/>
      <c r="CQ79" s="42"/>
    </row>
    <row r="80" spans="1:95">
      <c r="A80" s="41">
        <v>123</v>
      </c>
      <c r="B80" s="41" t="s">
        <v>75</v>
      </c>
      <c r="C80" s="2">
        <v>2</v>
      </c>
      <c r="D80" s="2">
        <v>412.09228869999998</v>
      </c>
      <c r="E80" s="2">
        <v>0</v>
      </c>
      <c r="F80" s="2">
        <v>9.7866999999999997</v>
      </c>
      <c r="G80" s="43">
        <v>4.0004</v>
      </c>
      <c r="H80" s="43">
        <v>4.5857999999999999</v>
      </c>
      <c r="I80" s="43">
        <v>5.1711999999999998</v>
      </c>
      <c r="J80" s="43">
        <v>5.7565999999999997</v>
      </c>
      <c r="K80" s="43">
        <v>6.3419999999999996</v>
      </c>
      <c r="L80" s="43">
        <v>6.7952000000000004</v>
      </c>
      <c r="M80" s="43">
        <v>7.2484000000000002</v>
      </c>
      <c r="N80" s="43">
        <v>7.7016</v>
      </c>
      <c r="O80" s="43">
        <v>8.1547999999999998</v>
      </c>
      <c r="P80" s="43">
        <v>8.6080000000000005</v>
      </c>
      <c r="Q80" s="43">
        <v>9.0508000000000006</v>
      </c>
      <c r="R80" s="43">
        <v>9.4936000000000007</v>
      </c>
      <c r="S80" s="43">
        <v>9.9364000000000008</v>
      </c>
      <c r="T80" s="43">
        <v>10.379200000000001</v>
      </c>
      <c r="U80" s="43">
        <v>10.821999999999999</v>
      </c>
      <c r="V80" s="43">
        <v>10.9476</v>
      </c>
      <c r="W80" s="43">
        <v>11.0732</v>
      </c>
      <c r="X80" s="43">
        <v>11.1988</v>
      </c>
      <c r="Y80" s="43">
        <v>11.324400000000001</v>
      </c>
      <c r="Z80" s="43">
        <v>11.45</v>
      </c>
      <c r="AA80" s="43">
        <v>11.510400000000001</v>
      </c>
      <c r="AB80" s="43">
        <v>11.5708</v>
      </c>
      <c r="AC80" s="43">
        <v>11.6312</v>
      </c>
      <c r="AD80" s="43">
        <v>11.691599999999999</v>
      </c>
      <c r="AE80" s="43">
        <v>11.752000000000001</v>
      </c>
      <c r="AF80" s="43">
        <v>12.195</v>
      </c>
      <c r="AG80" s="43">
        <v>12.638</v>
      </c>
      <c r="AH80" s="43">
        <v>13.081</v>
      </c>
      <c r="AI80" s="43">
        <v>13.523999999999999</v>
      </c>
      <c r="AJ80" s="43">
        <v>13.967000000000001</v>
      </c>
      <c r="AK80" s="43">
        <v>14.5646</v>
      </c>
      <c r="AL80" s="43">
        <v>15.1622</v>
      </c>
      <c r="AM80" s="43">
        <v>15.7598</v>
      </c>
      <c r="AN80" s="43">
        <v>16.357399999999998</v>
      </c>
      <c r="AO80" s="43">
        <v>16.954999999999998</v>
      </c>
      <c r="AP80" s="43">
        <v>17.558399999999999</v>
      </c>
      <c r="AQ80" s="43">
        <v>18.161799999999999</v>
      </c>
      <c r="AR80" s="43">
        <v>18.7652</v>
      </c>
      <c r="AS80" s="43">
        <v>19.368600000000001</v>
      </c>
      <c r="AT80" s="43">
        <v>19.972000000000001</v>
      </c>
      <c r="AU80" s="43">
        <v>20.6328</v>
      </c>
      <c r="AV80" s="43">
        <v>21.293600000000001</v>
      </c>
      <c r="AW80" s="43">
        <v>21.9544</v>
      </c>
      <c r="AX80" s="43">
        <v>22.615200000000002</v>
      </c>
      <c r="AY80" s="43">
        <v>23.276</v>
      </c>
      <c r="AZ80" s="43">
        <v>23.990200000000002</v>
      </c>
      <c r="BA80" s="43">
        <v>24.7044</v>
      </c>
      <c r="BB80" s="43">
        <v>25.418600000000001</v>
      </c>
      <c r="BC80" s="43">
        <v>26.1328</v>
      </c>
      <c r="BD80" s="43">
        <v>26.847000000000001</v>
      </c>
      <c r="BE80" s="43">
        <v>27.573799999999999</v>
      </c>
      <c r="BF80" s="43">
        <v>28.300599999999999</v>
      </c>
      <c r="BG80" s="43"/>
      <c r="BH80" s="44">
        <f t="shared" si="2"/>
        <v>9.3714444444444442</v>
      </c>
      <c r="BI80" s="44">
        <f t="shared" si="3"/>
        <v>20.237455999999998</v>
      </c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44"/>
      <c r="CE80" s="44"/>
      <c r="CF80" s="42"/>
      <c r="CG80" s="42"/>
      <c r="CH80" s="42"/>
      <c r="CI80" s="42"/>
      <c r="CJ80" s="42"/>
      <c r="CK80" s="42"/>
      <c r="CL80" s="42"/>
      <c r="CM80" s="42"/>
      <c r="CN80" s="42"/>
      <c r="CO80" s="42"/>
      <c r="CP80" s="42"/>
      <c r="CQ80" s="42"/>
    </row>
    <row r="81" spans="1:95">
      <c r="A81" s="41">
        <v>150</v>
      </c>
      <c r="B81" s="41" t="s">
        <v>59</v>
      </c>
      <c r="C81" s="2">
        <v>2</v>
      </c>
      <c r="D81" s="2">
        <v>378.93861290000001</v>
      </c>
      <c r="E81" s="2">
        <v>0</v>
      </c>
      <c r="F81" s="2">
        <v>23.038733333333344</v>
      </c>
      <c r="G81" s="43">
        <v>19.574999999999999</v>
      </c>
      <c r="H81" s="43">
        <v>19.923999999999999</v>
      </c>
      <c r="I81" s="43">
        <v>20.273</v>
      </c>
      <c r="J81" s="43">
        <v>20.622</v>
      </c>
      <c r="K81" s="43">
        <v>20.971</v>
      </c>
      <c r="L81" s="43">
        <v>21.3428</v>
      </c>
      <c r="M81" s="43">
        <v>21.714600000000001</v>
      </c>
      <c r="N81" s="43">
        <v>22.086400000000001</v>
      </c>
      <c r="O81" s="43">
        <v>22.458200000000001</v>
      </c>
      <c r="P81" s="43">
        <v>22.83</v>
      </c>
      <c r="Q81" s="43">
        <v>23.048400000000001</v>
      </c>
      <c r="R81" s="43">
        <v>23.2668</v>
      </c>
      <c r="S81" s="43">
        <v>23.485199999999999</v>
      </c>
      <c r="T81" s="43">
        <v>23.703600000000002</v>
      </c>
      <c r="U81" s="43">
        <v>23.922000000000001</v>
      </c>
      <c r="V81" s="43">
        <v>23.932200000000002</v>
      </c>
      <c r="W81" s="43">
        <v>23.942399999999999</v>
      </c>
      <c r="X81" s="43">
        <v>23.9526</v>
      </c>
      <c r="Y81" s="43">
        <v>23.962800000000001</v>
      </c>
      <c r="Z81" s="43">
        <v>23.972999999999999</v>
      </c>
      <c r="AA81" s="43">
        <v>23.994399999999999</v>
      </c>
      <c r="AB81" s="43">
        <v>24.015799999999999</v>
      </c>
      <c r="AC81" s="43">
        <v>24.037199999999999</v>
      </c>
      <c r="AD81" s="43">
        <v>24.058599999999998</v>
      </c>
      <c r="AE81" s="43">
        <v>24.08</v>
      </c>
      <c r="AF81" s="43">
        <v>24.186</v>
      </c>
      <c r="AG81" s="43">
        <v>24.292000000000002</v>
      </c>
      <c r="AH81" s="43">
        <v>24.398</v>
      </c>
      <c r="AI81" s="43">
        <v>24.504000000000001</v>
      </c>
      <c r="AJ81" s="43">
        <v>24.61</v>
      </c>
      <c r="AK81" s="43">
        <v>24.816400000000002</v>
      </c>
      <c r="AL81" s="43">
        <v>25.0228</v>
      </c>
      <c r="AM81" s="43">
        <v>25.229199999999999</v>
      </c>
      <c r="AN81" s="43">
        <v>25.435600000000001</v>
      </c>
      <c r="AO81" s="43">
        <v>25.641999999999999</v>
      </c>
      <c r="AP81" s="43">
        <v>25.956600000000002</v>
      </c>
      <c r="AQ81" s="43">
        <v>26.2712</v>
      </c>
      <c r="AR81" s="43">
        <v>26.585799999999999</v>
      </c>
      <c r="AS81" s="43">
        <v>26.900400000000001</v>
      </c>
      <c r="AT81" s="43">
        <v>27.215</v>
      </c>
      <c r="AU81" s="43">
        <v>27.649000000000001</v>
      </c>
      <c r="AV81" s="43">
        <v>28.082999999999998</v>
      </c>
      <c r="AW81" s="43">
        <v>28.516999999999999</v>
      </c>
      <c r="AX81" s="43">
        <v>28.951000000000001</v>
      </c>
      <c r="AY81" s="43">
        <v>29.385000000000002</v>
      </c>
      <c r="AZ81" s="43">
        <v>29.924600000000002</v>
      </c>
      <c r="BA81" s="43">
        <v>30.464200000000002</v>
      </c>
      <c r="BB81" s="43">
        <v>31.003799999999998</v>
      </c>
      <c r="BC81" s="43">
        <v>31.543399999999998</v>
      </c>
      <c r="BD81" s="43">
        <v>32.082999999999998</v>
      </c>
      <c r="BE81" s="43">
        <v>32.6524</v>
      </c>
      <c r="BF81" s="43">
        <v>33.221800000000002</v>
      </c>
      <c r="BG81" s="43"/>
      <c r="BH81" s="44">
        <f t="shared" si="2"/>
        <v>22.875925925925934</v>
      </c>
      <c r="BI81" s="44">
        <f t="shared" si="3"/>
        <v>27.842607999999998</v>
      </c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2"/>
      <c r="CG81" s="42"/>
      <c r="CH81" s="42"/>
      <c r="CI81" s="42"/>
      <c r="CJ81" s="42"/>
      <c r="CK81" s="42"/>
      <c r="CL81" s="42"/>
      <c r="CM81" s="42"/>
      <c r="CN81" s="42"/>
      <c r="CO81" s="42"/>
      <c r="CP81" s="42"/>
      <c r="CQ81" s="42"/>
    </row>
    <row r="82" spans="1:95">
      <c r="A82" s="41">
        <v>149</v>
      </c>
      <c r="B82" s="41" t="s">
        <v>60</v>
      </c>
      <c r="C82" s="2">
        <v>2</v>
      </c>
      <c r="D82" s="2">
        <v>365.23229900000001</v>
      </c>
      <c r="E82" s="2">
        <v>0</v>
      </c>
      <c r="F82" s="2">
        <v>10.510733333333331</v>
      </c>
      <c r="G82" s="43">
        <v>3.8552</v>
      </c>
      <c r="H82" s="43">
        <v>4.0434000000000001</v>
      </c>
      <c r="I82" s="43">
        <v>4.2316000000000003</v>
      </c>
      <c r="J82" s="43">
        <v>4.4198000000000004</v>
      </c>
      <c r="K82" s="43">
        <v>4.6079999999999997</v>
      </c>
      <c r="L82" s="43">
        <v>4.8423999999999996</v>
      </c>
      <c r="M82" s="43">
        <v>5.0768000000000004</v>
      </c>
      <c r="N82" s="43">
        <v>5.3112000000000004</v>
      </c>
      <c r="O82" s="43">
        <v>5.5456000000000003</v>
      </c>
      <c r="P82" s="43">
        <v>5.78</v>
      </c>
      <c r="Q82" s="43">
        <v>6.3630000000000004</v>
      </c>
      <c r="R82" s="43">
        <v>6.9459999999999997</v>
      </c>
      <c r="S82" s="43">
        <v>7.5289999999999999</v>
      </c>
      <c r="T82" s="43">
        <v>8.1120000000000001</v>
      </c>
      <c r="U82" s="43">
        <v>8.6950000000000003</v>
      </c>
      <c r="V82" s="43">
        <v>9.5782000000000007</v>
      </c>
      <c r="W82" s="43">
        <v>10.461399999999999</v>
      </c>
      <c r="X82" s="43">
        <v>11.3446</v>
      </c>
      <c r="Y82" s="43">
        <v>12.2278</v>
      </c>
      <c r="Z82" s="43">
        <v>13.111000000000001</v>
      </c>
      <c r="AA82" s="43">
        <v>13.837999999999999</v>
      </c>
      <c r="AB82" s="43">
        <v>14.565</v>
      </c>
      <c r="AC82" s="43">
        <v>15.292</v>
      </c>
      <c r="AD82" s="43">
        <v>16.018999999999998</v>
      </c>
      <c r="AE82" s="43">
        <v>16.745999999999999</v>
      </c>
      <c r="AF82" s="43">
        <v>17.616</v>
      </c>
      <c r="AG82" s="43">
        <v>18.486000000000001</v>
      </c>
      <c r="AH82" s="43">
        <v>19.356000000000002</v>
      </c>
      <c r="AI82" s="43">
        <v>20.225999999999999</v>
      </c>
      <c r="AJ82" s="43">
        <v>21.096</v>
      </c>
      <c r="AK82" s="43">
        <v>22.120999999999999</v>
      </c>
      <c r="AL82" s="43">
        <v>23.146000000000001</v>
      </c>
      <c r="AM82" s="43">
        <v>24.170999999999999</v>
      </c>
      <c r="AN82" s="43">
        <v>25.196000000000002</v>
      </c>
      <c r="AO82" s="43">
        <v>26.221</v>
      </c>
      <c r="AP82" s="43">
        <v>26.796399999999998</v>
      </c>
      <c r="AQ82" s="43">
        <v>27.3718</v>
      </c>
      <c r="AR82" s="43">
        <v>27.947199999999999</v>
      </c>
      <c r="AS82" s="43">
        <v>28.522600000000001</v>
      </c>
      <c r="AT82" s="43">
        <v>29.097999999999999</v>
      </c>
      <c r="AU82" s="43">
        <v>29.278199999999998</v>
      </c>
      <c r="AV82" s="43">
        <v>29.458400000000001</v>
      </c>
      <c r="AW82" s="43">
        <v>29.6386</v>
      </c>
      <c r="AX82" s="43">
        <v>29.8188</v>
      </c>
      <c r="AY82" s="43">
        <v>29.998999999999999</v>
      </c>
      <c r="AZ82" s="43">
        <v>30.190799999999999</v>
      </c>
      <c r="BA82" s="43">
        <v>30.3826</v>
      </c>
      <c r="BB82" s="43">
        <v>30.574400000000001</v>
      </c>
      <c r="BC82" s="43">
        <v>30.766200000000001</v>
      </c>
      <c r="BD82" s="43">
        <v>30.957999999999998</v>
      </c>
      <c r="BE82" s="43">
        <v>31.215599999999998</v>
      </c>
      <c r="BF82" s="43">
        <v>31.473199999999999</v>
      </c>
      <c r="BG82" s="43"/>
      <c r="BH82" s="44">
        <f t="shared" si="2"/>
        <v>9.4312592592592566</v>
      </c>
      <c r="BI82" s="44">
        <f t="shared" si="3"/>
        <v>27.400911999999998</v>
      </c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2"/>
      <c r="CG82" s="42"/>
      <c r="CH82" s="42"/>
      <c r="CI82" s="42"/>
      <c r="CJ82" s="42"/>
      <c r="CK82" s="42"/>
      <c r="CL82" s="42"/>
      <c r="CM82" s="42"/>
      <c r="CN82" s="42"/>
      <c r="CO82" s="42"/>
      <c r="CP82" s="42"/>
      <c r="CQ82" s="42"/>
    </row>
    <row r="83" spans="1:95">
      <c r="A83" s="41">
        <v>230</v>
      </c>
      <c r="B83" s="41" t="s">
        <v>7</v>
      </c>
      <c r="C83" s="2">
        <v>3</v>
      </c>
      <c r="D83" s="2">
        <v>28697.708030000002</v>
      </c>
      <c r="E83" s="2">
        <v>1</v>
      </c>
      <c r="F83" s="2">
        <v>73.424066666666675</v>
      </c>
      <c r="G83" s="43">
        <v>70.372600000000006</v>
      </c>
      <c r="H83" s="43">
        <v>70.749200000000002</v>
      </c>
      <c r="I83" s="43">
        <v>71.125799999999998</v>
      </c>
      <c r="J83" s="43">
        <v>71.502399999999994</v>
      </c>
      <c r="K83" s="43">
        <v>71.879000000000005</v>
      </c>
      <c r="L83" s="43">
        <v>72.223600000000005</v>
      </c>
      <c r="M83" s="43">
        <v>72.568200000000004</v>
      </c>
      <c r="N83" s="43">
        <v>72.912800000000004</v>
      </c>
      <c r="O83" s="43">
        <v>73.257400000000004</v>
      </c>
      <c r="P83" s="43">
        <v>73.602000000000004</v>
      </c>
      <c r="Q83" s="43">
        <v>73.612200000000001</v>
      </c>
      <c r="R83" s="43">
        <v>73.622399999999999</v>
      </c>
      <c r="S83" s="43">
        <v>73.632599999999996</v>
      </c>
      <c r="T83" s="43">
        <v>73.642799999999994</v>
      </c>
      <c r="U83" s="43">
        <v>73.653000000000006</v>
      </c>
      <c r="V83" s="43">
        <v>73.67</v>
      </c>
      <c r="W83" s="43">
        <v>73.686999999999998</v>
      </c>
      <c r="X83" s="43">
        <v>73.703999999999994</v>
      </c>
      <c r="Y83" s="43">
        <v>73.721000000000004</v>
      </c>
      <c r="Z83" s="43">
        <v>73.738</v>
      </c>
      <c r="AA83" s="43">
        <v>73.889200000000002</v>
      </c>
      <c r="AB83" s="43">
        <v>74.040400000000005</v>
      </c>
      <c r="AC83" s="43">
        <v>74.191599999999994</v>
      </c>
      <c r="AD83" s="43">
        <v>74.342799999999997</v>
      </c>
      <c r="AE83" s="43">
        <v>74.494</v>
      </c>
      <c r="AF83" s="43">
        <v>74.655199999999994</v>
      </c>
      <c r="AG83" s="43">
        <v>74.816400000000002</v>
      </c>
      <c r="AH83" s="43">
        <v>74.977599999999995</v>
      </c>
      <c r="AI83" s="43">
        <v>75.138800000000003</v>
      </c>
      <c r="AJ83" s="43">
        <v>75.3</v>
      </c>
      <c r="AK83" s="43">
        <v>75.69</v>
      </c>
      <c r="AL83" s="43">
        <v>76.08</v>
      </c>
      <c r="AM83" s="43">
        <v>76.47</v>
      </c>
      <c r="AN83" s="43">
        <v>76.86</v>
      </c>
      <c r="AO83" s="43">
        <v>77.25</v>
      </c>
      <c r="AP83" s="43">
        <v>77.617800000000003</v>
      </c>
      <c r="AQ83" s="43">
        <v>77.985600000000005</v>
      </c>
      <c r="AR83" s="43">
        <v>78.353399999999993</v>
      </c>
      <c r="AS83" s="43">
        <v>78.721199999999996</v>
      </c>
      <c r="AT83" s="43">
        <v>79.088999999999999</v>
      </c>
      <c r="AU83" s="43">
        <v>79.417400000000001</v>
      </c>
      <c r="AV83" s="43">
        <v>79.745800000000003</v>
      </c>
      <c r="AW83" s="43">
        <v>80.074200000000005</v>
      </c>
      <c r="AX83" s="43">
        <v>80.402600000000007</v>
      </c>
      <c r="AY83" s="43">
        <v>80.730999999999995</v>
      </c>
      <c r="AZ83" s="43">
        <v>81.013400000000004</v>
      </c>
      <c r="BA83" s="43">
        <v>81.2958</v>
      </c>
      <c r="BB83" s="43">
        <v>81.578199999999995</v>
      </c>
      <c r="BC83" s="43">
        <v>81.860600000000005</v>
      </c>
      <c r="BD83" s="43">
        <v>82.143000000000001</v>
      </c>
      <c r="BE83" s="43">
        <v>82.384</v>
      </c>
      <c r="BF83" s="43">
        <v>82.625</v>
      </c>
      <c r="BG83" s="43"/>
      <c r="BH83" s="44">
        <f t="shared" si="2"/>
        <v>73.233540740740736</v>
      </c>
      <c r="BI83" s="44">
        <f t="shared" si="3"/>
        <v>78.912175999999988</v>
      </c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2"/>
      <c r="CG83" s="42"/>
      <c r="CH83" s="42"/>
      <c r="CI83" s="42"/>
      <c r="CJ83" s="42"/>
      <c r="CK83" s="42"/>
      <c r="CL83" s="42"/>
      <c r="CM83" s="42"/>
      <c r="CN83" s="42"/>
      <c r="CO83" s="42"/>
      <c r="CP83" s="42"/>
      <c r="CQ83" s="42"/>
    </row>
    <row r="84" spans="1:95">
      <c r="A84" s="41">
        <v>39</v>
      </c>
      <c r="B84" s="41" t="s">
        <v>131</v>
      </c>
      <c r="C84" s="2">
        <v>3</v>
      </c>
      <c r="D84" s="2">
        <v>25123.678609999999</v>
      </c>
      <c r="E84" s="2">
        <v>1</v>
      </c>
      <c r="F84" s="2">
        <v>74.95793333333333</v>
      </c>
      <c r="G84" s="43">
        <v>69.827200000000005</v>
      </c>
      <c r="H84" s="43">
        <v>70.593400000000003</v>
      </c>
      <c r="I84" s="43">
        <v>71.3596</v>
      </c>
      <c r="J84" s="43">
        <v>72.125799999999998</v>
      </c>
      <c r="K84" s="43">
        <v>72.891999999999996</v>
      </c>
      <c r="L84" s="43">
        <v>73.444400000000002</v>
      </c>
      <c r="M84" s="43">
        <v>73.996799999999993</v>
      </c>
      <c r="N84" s="43">
        <v>74.549199999999999</v>
      </c>
      <c r="O84" s="43">
        <v>75.101600000000005</v>
      </c>
      <c r="P84" s="43">
        <v>75.653999999999996</v>
      </c>
      <c r="Q84" s="43">
        <v>75.645399999999995</v>
      </c>
      <c r="R84" s="43">
        <v>75.636799999999994</v>
      </c>
      <c r="S84" s="43">
        <v>75.628200000000007</v>
      </c>
      <c r="T84" s="43">
        <v>75.619600000000005</v>
      </c>
      <c r="U84" s="43">
        <v>75.611000000000004</v>
      </c>
      <c r="V84" s="43">
        <v>75.621399999999994</v>
      </c>
      <c r="W84" s="43">
        <v>75.631799999999998</v>
      </c>
      <c r="X84" s="43">
        <v>75.642200000000003</v>
      </c>
      <c r="Y84" s="43">
        <v>75.652600000000007</v>
      </c>
      <c r="Z84" s="43">
        <v>75.662999999999997</v>
      </c>
      <c r="AA84" s="43">
        <v>75.801199999999994</v>
      </c>
      <c r="AB84" s="43">
        <v>75.939400000000006</v>
      </c>
      <c r="AC84" s="43">
        <v>76.077600000000004</v>
      </c>
      <c r="AD84" s="43">
        <v>76.215800000000002</v>
      </c>
      <c r="AE84" s="43">
        <v>76.353999999999999</v>
      </c>
      <c r="AF84" s="43">
        <v>76.399600000000007</v>
      </c>
      <c r="AG84" s="43">
        <v>76.4452</v>
      </c>
      <c r="AH84" s="43">
        <v>76.490799999999993</v>
      </c>
      <c r="AI84" s="43">
        <v>76.5364</v>
      </c>
      <c r="AJ84" s="43">
        <v>76.581999999999994</v>
      </c>
      <c r="AK84" s="43">
        <v>76.800600000000003</v>
      </c>
      <c r="AL84" s="43">
        <v>77.019199999999998</v>
      </c>
      <c r="AM84" s="43">
        <v>77.237799999999993</v>
      </c>
      <c r="AN84" s="43">
        <v>77.456400000000002</v>
      </c>
      <c r="AO84" s="43">
        <v>77.674999999999997</v>
      </c>
      <c r="AP84" s="43">
        <v>78.035600000000002</v>
      </c>
      <c r="AQ84" s="43">
        <v>78.396199999999993</v>
      </c>
      <c r="AR84" s="43">
        <v>78.756799999999998</v>
      </c>
      <c r="AS84" s="43">
        <v>79.117400000000004</v>
      </c>
      <c r="AT84" s="43">
        <v>79.477999999999994</v>
      </c>
      <c r="AU84" s="43">
        <v>79.606800000000007</v>
      </c>
      <c r="AV84" s="43">
        <v>79.735600000000005</v>
      </c>
      <c r="AW84" s="43">
        <v>79.864400000000003</v>
      </c>
      <c r="AX84" s="43">
        <v>79.993200000000002</v>
      </c>
      <c r="AY84" s="43">
        <v>80.122</v>
      </c>
      <c r="AZ84" s="43">
        <v>80.208399999999997</v>
      </c>
      <c r="BA84" s="43">
        <v>80.294799999999995</v>
      </c>
      <c r="BB84" s="43">
        <v>80.381200000000007</v>
      </c>
      <c r="BC84" s="43">
        <v>80.467600000000004</v>
      </c>
      <c r="BD84" s="43">
        <v>80.554000000000002</v>
      </c>
      <c r="BE84" s="43">
        <v>80.661799999999999</v>
      </c>
      <c r="BF84" s="43">
        <v>80.769599999999997</v>
      </c>
      <c r="BG84" s="43"/>
      <c r="BH84" s="44">
        <f t="shared" si="2"/>
        <v>74.782548148148152</v>
      </c>
      <c r="BI84" s="44">
        <f t="shared" si="3"/>
        <v>78.889663999999996</v>
      </c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4"/>
      <c r="CF84" s="42"/>
      <c r="CG84" s="42"/>
      <c r="CH84" s="42"/>
      <c r="CI84" s="42"/>
      <c r="CJ84" s="42"/>
      <c r="CK84" s="42"/>
      <c r="CL84" s="42"/>
      <c r="CM84" s="42"/>
      <c r="CN84" s="42"/>
      <c r="CO84" s="42"/>
      <c r="CP84" s="42"/>
      <c r="CQ84" s="42"/>
    </row>
    <row r="85" spans="1:95">
      <c r="A85" s="41">
        <v>59</v>
      </c>
      <c r="B85" s="41" t="s">
        <v>117</v>
      </c>
      <c r="C85" s="2">
        <v>3</v>
      </c>
      <c r="D85" s="2">
        <v>23612.410929999998</v>
      </c>
      <c r="E85" s="2">
        <v>1</v>
      </c>
      <c r="F85" s="2">
        <v>81.230933333333311</v>
      </c>
      <c r="G85" s="43">
        <v>74.359200000000001</v>
      </c>
      <c r="H85" s="43">
        <v>75.031400000000005</v>
      </c>
      <c r="I85" s="43">
        <v>75.703599999999994</v>
      </c>
      <c r="J85" s="43">
        <v>76.375799999999998</v>
      </c>
      <c r="K85" s="43">
        <v>77.048000000000002</v>
      </c>
      <c r="L85" s="43">
        <v>77.585800000000006</v>
      </c>
      <c r="M85" s="43">
        <v>78.123599999999996</v>
      </c>
      <c r="N85" s="43">
        <v>78.6614</v>
      </c>
      <c r="O85" s="43">
        <v>79.199200000000005</v>
      </c>
      <c r="P85" s="43">
        <v>79.736999999999995</v>
      </c>
      <c r="Q85" s="43">
        <v>80.218800000000002</v>
      </c>
      <c r="R85" s="43">
        <v>80.700599999999994</v>
      </c>
      <c r="S85" s="43">
        <v>81.182400000000001</v>
      </c>
      <c r="T85" s="43">
        <v>81.664199999999994</v>
      </c>
      <c r="U85" s="43">
        <v>82.146000000000001</v>
      </c>
      <c r="V85" s="43">
        <v>82.461399999999998</v>
      </c>
      <c r="W85" s="43">
        <v>82.776799999999994</v>
      </c>
      <c r="X85" s="43">
        <v>83.092200000000005</v>
      </c>
      <c r="Y85" s="43">
        <v>83.407600000000002</v>
      </c>
      <c r="Z85" s="43">
        <v>83.722999999999999</v>
      </c>
      <c r="AA85" s="43">
        <v>83.848600000000005</v>
      </c>
      <c r="AB85" s="43">
        <v>83.974199999999996</v>
      </c>
      <c r="AC85" s="43">
        <v>84.099800000000002</v>
      </c>
      <c r="AD85" s="43">
        <v>84.225399999999993</v>
      </c>
      <c r="AE85" s="43">
        <v>84.350999999999999</v>
      </c>
      <c r="AF85" s="43">
        <v>84.449399999999997</v>
      </c>
      <c r="AG85" s="43">
        <v>84.547799999999995</v>
      </c>
      <c r="AH85" s="43">
        <v>84.646199999999993</v>
      </c>
      <c r="AI85" s="43">
        <v>84.744600000000005</v>
      </c>
      <c r="AJ85" s="43">
        <v>84.843000000000004</v>
      </c>
      <c r="AK85" s="43">
        <v>84.870199999999997</v>
      </c>
      <c r="AL85" s="43">
        <v>84.897400000000005</v>
      </c>
      <c r="AM85" s="43">
        <v>84.924599999999998</v>
      </c>
      <c r="AN85" s="43">
        <v>84.951800000000006</v>
      </c>
      <c r="AO85" s="43">
        <v>84.978999999999999</v>
      </c>
      <c r="AP85" s="43">
        <v>85.003200000000007</v>
      </c>
      <c r="AQ85" s="43">
        <v>85.0274</v>
      </c>
      <c r="AR85" s="43">
        <v>85.051599999999993</v>
      </c>
      <c r="AS85" s="43">
        <v>85.075800000000001</v>
      </c>
      <c r="AT85" s="43">
        <v>85.1</v>
      </c>
      <c r="AU85" s="43">
        <v>85.251199999999997</v>
      </c>
      <c r="AV85" s="43">
        <v>85.4024</v>
      </c>
      <c r="AW85" s="43">
        <v>85.553600000000003</v>
      </c>
      <c r="AX85" s="43">
        <v>85.704800000000006</v>
      </c>
      <c r="AY85" s="43">
        <v>85.855999999999995</v>
      </c>
      <c r="AZ85" s="43">
        <v>86.043800000000005</v>
      </c>
      <c r="BA85" s="43">
        <v>86.2316</v>
      </c>
      <c r="BB85" s="43">
        <v>86.419399999999996</v>
      </c>
      <c r="BC85" s="43">
        <v>86.607200000000006</v>
      </c>
      <c r="BD85" s="43">
        <v>86.795000000000002</v>
      </c>
      <c r="BE85" s="43">
        <v>86.930800000000005</v>
      </c>
      <c r="BF85" s="43">
        <v>87.066599999999994</v>
      </c>
      <c r="BG85" s="43"/>
      <c r="BH85" s="44">
        <f t="shared" si="2"/>
        <v>80.840525925925903</v>
      </c>
      <c r="BI85" s="44">
        <f t="shared" si="3"/>
        <v>85.519087999999996</v>
      </c>
    </row>
    <row r="86" spans="1:95">
      <c r="A86" s="41">
        <v>154</v>
      </c>
      <c r="B86" s="41" t="s">
        <v>56</v>
      </c>
      <c r="C86" s="2">
        <v>3</v>
      </c>
      <c r="D86" s="2">
        <v>23441.659670000001</v>
      </c>
      <c r="E86" s="2">
        <v>1</v>
      </c>
      <c r="F86" s="2">
        <v>63.695700000000009</v>
      </c>
      <c r="G86" s="43">
        <v>59.952199999999998</v>
      </c>
      <c r="H86" s="43">
        <v>60.1524</v>
      </c>
      <c r="I86" s="43">
        <v>60.352600000000002</v>
      </c>
      <c r="J86" s="43">
        <v>60.552799999999998</v>
      </c>
      <c r="K86" s="43">
        <v>60.753</v>
      </c>
      <c r="L86" s="43">
        <v>60.935000000000002</v>
      </c>
      <c r="M86" s="43">
        <v>61.116999999999997</v>
      </c>
      <c r="N86" s="43">
        <v>61.298999999999999</v>
      </c>
      <c r="O86" s="43">
        <v>61.481000000000002</v>
      </c>
      <c r="P86" s="43">
        <v>61.662999999999997</v>
      </c>
      <c r="Q86" s="43">
        <v>61.966999999999999</v>
      </c>
      <c r="R86" s="43">
        <v>62.271000000000001</v>
      </c>
      <c r="S86" s="43">
        <v>62.575000000000003</v>
      </c>
      <c r="T86" s="43">
        <v>62.878999999999998</v>
      </c>
      <c r="U86" s="43">
        <v>63.183</v>
      </c>
      <c r="V86" s="43">
        <v>63.495399999999997</v>
      </c>
      <c r="W86" s="43">
        <v>63.8078</v>
      </c>
      <c r="X86" s="43">
        <v>64.120199999999997</v>
      </c>
      <c r="Y86" s="43">
        <v>64.432599999999994</v>
      </c>
      <c r="Z86" s="43">
        <v>64.745000000000005</v>
      </c>
      <c r="AA86" s="43">
        <v>65.139799999999994</v>
      </c>
      <c r="AB86" s="43">
        <v>65.534599999999998</v>
      </c>
      <c r="AC86" s="43">
        <v>65.929400000000001</v>
      </c>
      <c r="AD86" s="43">
        <v>66.324200000000005</v>
      </c>
      <c r="AE86" s="43">
        <v>66.718999999999994</v>
      </c>
      <c r="AF86" s="43">
        <v>67.111999999999995</v>
      </c>
      <c r="AG86" s="43">
        <v>67.504999999999995</v>
      </c>
      <c r="AH86" s="43">
        <v>67.897999999999996</v>
      </c>
      <c r="AI86" s="43">
        <v>68.290999999999997</v>
      </c>
      <c r="AJ86" s="43">
        <v>68.683999999999997</v>
      </c>
      <c r="AK86" s="43">
        <v>69.509399999999999</v>
      </c>
      <c r="AL86" s="43">
        <v>70.334800000000001</v>
      </c>
      <c r="AM86" s="43">
        <v>71.160200000000003</v>
      </c>
      <c r="AN86" s="43">
        <v>71.985600000000005</v>
      </c>
      <c r="AO86" s="43">
        <v>72.811000000000007</v>
      </c>
      <c r="AP86" s="43">
        <v>73.608599999999996</v>
      </c>
      <c r="AQ86" s="43">
        <v>74.406199999999998</v>
      </c>
      <c r="AR86" s="43">
        <v>75.203800000000001</v>
      </c>
      <c r="AS86" s="43">
        <v>76.001400000000004</v>
      </c>
      <c r="AT86" s="43">
        <v>76.799000000000007</v>
      </c>
      <c r="AU86" s="43">
        <v>77.473600000000005</v>
      </c>
      <c r="AV86" s="43">
        <v>78.148200000000003</v>
      </c>
      <c r="AW86" s="43">
        <v>78.822800000000001</v>
      </c>
      <c r="AX86" s="43">
        <v>79.497399999999999</v>
      </c>
      <c r="AY86" s="43">
        <v>80.171999999999997</v>
      </c>
      <c r="AZ86" s="43">
        <v>80.686999999999998</v>
      </c>
      <c r="BA86" s="43">
        <v>81.201999999999998</v>
      </c>
      <c r="BB86" s="43">
        <v>81.716999999999999</v>
      </c>
      <c r="BC86" s="43">
        <v>82.231999999999999</v>
      </c>
      <c r="BD86" s="43">
        <v>82.747</v>
      </c>
      <c r="BE86" s="43">
        <v>83.132000000000005</v>
      </c>
      <c r="BF86" s="43">
        <v>83.516999999999996</v>
      </c>
      <c r="BG86" s="43"/>
      <c r="BH86" s="44">
        <f t="shared" si="2"/>
        <v>63.185111111111127</v>
      </c>
      <c r="BI86" s="44">
        <f t="shared" si="3"/>
        <v>76.241640000000004</v>
      </c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2"/>
      <c r="CG86" s="42"/>
      <c r="CH86" s="42"/>
      <c r="CI86" s="42"/>
      <c r="CJ86" s="42"/>
      <c r="CK86" s="42"/>
      <c r="CL86" s="42"/>
      <c r="CM86" s="42"/>
      <c r="CN86" s="42"/>
      <c r="CO86" s="42"/>
      <c r="CP86" s="42"/>
      <c r="CQ86" s="42"/>
    </row>
    <row r="87" spans="1:95">
      <c r="A87" s="41">
        <v>22</v>
      </c>
      <c r="B87" s="41" t="s">
        <v>142</v>
      </c>
      <c r="C87" s="2">
        <v>3</v>
      </c>
      <c r="D87" s="2">
        <v>22382.896489999999</v>
      </c>
      <c r="E87" s="2">
        <v>1</v>
      </c>
      <c r="F87" s="2">
        <v>94.596866666666685</v>
      </c>
      <c r="G87" s="43">
        <v>92.595399999999998</v>
      </c>
      <c r="H87" s="43">
        <v>92.730800000000002</v>
      </c>
      <c r="I87" s="43">
        <v>92.866200000000006</v>
      </c>
      <c r="J87" s="43">
        <v>93.001599999999996</v>
      </c>
      <c r="K87" s="43">
        <v>93.137</v>
      </c>
      <c r="L87" s="43">
        <v>93.278199999999998</v>
      </c>
      <c r="M87" s="43">
        <v>93.419399999999996</v>
      </c>
      <c r="N87" s="43">
        <v>93.560599999999994</v>
      </c>
      <c r="O87" s="43">
        <v>93.701800000000006</v>
      </c>
      <c r="P87" s="43">
        <v>93.843000000000004</v>
      </c>
      <c r="Q87" s="43">
        <v>93.970399999999998</v>
      </c>
      <c r="R87" s="43">
        <v>94.097800000000007</v>
      </c>
      <c r="S87" s="43">
        <v>94.225200000000001</v>
      </c>
      <c r="T87" s="43">
        <v>94.352599999999995</v>
      </c>
      <c r="U87" s="43">
        <v>94.48</v>
      </c>
      <c r="V87" s="43">
        <v>94.660200000000003</v>
      </c>
      <c r="W87" s="43">
        <v>94.840400000000002</v>
      </c>
      <c r="X87" s="43">
        <v>95.020600000000002</v>
      </c>
      <c r="Y87" s="43">
        <v>95.200800000000001</v>
      </c>
      <c r="Z87" s="43">
        <v>95.381</v>
      </c>
      <c r="AA87" s="43">
        <v>95.490799999999993</v>
      </c>
      <c r="AB87" s="43">
        <v>95.6006</v>
      </c>
      <c r="AC87" s="43">
        <v>95.710400000000007</v>
      </c>
      <c r="AD87" s="43">
        <v>95.8202</v>
      </c>
      <c r="AE87" s="43">
        <v>95.93</v>
      </c>
      <c r="AF87" s="43">
        <v>96.019400000000005</v>
      </c>
      <c r="AG87" s="43">
        <v>96.108800000000002</v>
      </c>
      <c r="AH87" s="43">
        <v>96.1982</v>
      </c>
      <c r="AI87" s="43">
        <v>96.287599999999998</v>
      </c>
      <c r="AJ87" s="43">
        <v>96.376999999999995</v>
      </c>
      <c r="AK87" s="43">
        <v>96.456999999999994</v>
      </c>
      <c r="AL87" s="43">
        <v>96.537000000000006</v>
      </c>
      <c r="AM87" s="43">
        <v>96.617000000000004</v>
      </c>
      <c r="AN87" s="43">
        <v>96.697000000000003</v>
      </c>
      <c r="AO87" s="43">
        <v>96.777000000000001</v>
      </c>
      <c r="AP87" s="43">
        <v>96.845200000000006</v>
      </c>
      <c r="AQ87" s="43">
        <v>96.913399999999996</v>
      </c>
      <c r="AR87" s="43">
        <v>96.9816</v>
      </c>
      <c r="AS87" s="43">
        <v>97.049800000000005</v>
      </c>
      <c r="AT87" s="43">
        <v>97.117999999999995</v>
      </c>
      <c r="AU87" s="43">
        <v>97.152799999999999</v>
      </c>
      <c r="AV87" s="43">
        <v>97.187600000000003</v>
      </c>
      <c r="AW87" s="43">
        <v>97.222399999999993</v>
      </c>
      <c r="AX87" s="43">
        <v>97.257199999999997</v>
      </c>
      <c r="AY87" s="43">
        <v>97.292000000000002</v>
      </c>
      <c r="AZ87" s="43">
        <v>97.324799999999996</v>
      </c>
      <c r="BA87" s="43">
        <v>97.357600000000005</v>
      </c>
      <c r="BB87" s="43">
        <v>97.3904</v>
      </c>
      <c r="BC87" s="43">
        <v>97.423199999999994</v>
      </c>
      <c r="BD87" s="43">
        <v>97.456000000000003</v>
      </c>
      <c r="BE87" s="43">
        <v>97.485399999999998</v>
      </c>
      <c r="BF87" s="43">
        <v>97.514799999999994</v>
      </c>
      <c r="BG87" s="43"/>
      <c r="BH87" s="44">
        <f t="shared" si="2"/>
        <v>94.409007407407429</v>
      </c>
      <c r="BI87" s="44">
        <f t="shared" si="3"/>
        <v>96.996800000000007</v>
      </c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2"/>
      <c r="CG87" s="42"/>
      <c r="CH87" s="42"/>
      <c r="CI87" s="42"/>
      <c r="CJ87" s="42"/>
      <c r="CK87" s="42"/>
      <c r="CL87" s="42"/>
      <c r="CM87" s="42"/>
      <c r="CN87" s="42"/>
      <c r="CO87" s="42"/>
      <c r="CP87" s="42"/>
      <c r="CQ87" s="42"/>
    </row>
    <row r="88" spans="1:95">
      <c r="A88" s="41">
        <v>14</v>
      </c>
      <c r="B88" s="41" t="s">
        <v>148</v>
      </c>
      <c r="C88" s="2">
        <v>3</v>
      </c>
      <c r="D88" s="2">
        <v>21811.427919999998</v>
      </c>
      <c r="E88" s="2">
        <v>1</v>
      </c>
      <c r="F88" s="2">
        <v>84.957100000000011</v>
      </c>
      <c r="G88" s="43">
        <v>81.920199999999994</v>
      </c>
      <c r="H88" s="43">
        <v>82.311400000000006</v>
      </c>
      <c r="I88" s="43">
        <v>82.702600000000004</v>
      </c>
      <c r="J88" s="43">
        <v>83.093800000000002</v>
      </c>
      <c r="K88" s="43">
        <v>83.484999999999999</v>
      </c>
      <c r="L88" s="43">
        <v>83.840999999999994</v>
      </c>
      <c r="M88" s="43">
        <v>84.197000000000003</v>
      </c>
      <c r="N88" s="43">
        <v>84.552999999999997</v>
      </c>
      <c r="O88" s="43">
        <v>84.909000000000006</v>
      </c>
      <c r="P88" s="43">
        <v>85.265000000000001</v>
      </c>
      <c r="Q88" s="43">
        <v>85.396199999999993</v>
      </c>
      <c r="R88" s="43">
        <v>85.5274</v>
      </c>
      <c r="S88" s="43">
        <v>85.658600000000007</v>
      </c>
      <c r="T88" s="43">
        <v>85.7898</v>
      </c>
      <c r="U88" s="43">
        <v>85.921000000000006</v>
      </c>
      <c r="V88" s="43">
        <v>85.888800000000003</v>
      </c>
      <c r="W88" s="43">
        <v>85.8566</v>
      </c>
      <c r="X88" s="43">
        <v>85.824399999999997</v>
      </c>
      <c r="Y88" s="43">
        <v>85.792199999999994</v>
      </c>
      <c r="Z88" s="43">
        <v>85.76</v>
      </c>
      <c r="AA88" s="43">
        <v>85.7</v>
      </c>
      <c r="AB88" s="43">
        <v>85.64</v>
      </c>
      <c r="AC88" s="43">
        <v>85.58</v>
      </c>
      <c r="AD88" s="43">
        <v>85.52</v>
      </c>
      <c r="AE88" s="43">
        <v>85.46</v>
      </c>
      <c r="AF88" s="43">
        <v>85.447999999999993</v>
      </c>
      <c r="AG88" s="43">
        <v>85.436000000000007</v>
      </c>
      <c r="AH88" s="43">
        <v>85.424000000000007</v>
      </c>
      <c r="AI88" s="43">
        <v>85.412000000000006</v>
      </c>
      <c r="AJ88" s="43">
        <v>85.4</v>
      </c>
      <c r="AK88" s="43">
        <v>85.541200000000003</v>
      </c>
      <c r="AL88" s="43">
        <v>85.682400000000001</v>
      </c>
      <c r="AM88" s="43">
        <v>85.823599999999999</v>
      </c>
      <c r="AN88" s="43">
        <v>85.964799999999997</v>
      </c>
      <c r="AO88" s="43">
        <v>86.105999999999995</v>
      </c>
      <c r="AP88" s="43">
        <v>86.317800000000005</v>
      </c>
      <c r="AQ88" s="43">
        <v>86.529600000000002</v>
      </c>
      <c r="AR88" s="43">
        <v>86.741399999999999</v>
      </c>
      <c r="AS88" s="43">
        <v>86.953199999999995</v>
      </c>
      <c r="AT88" s="43">
        <v>87.165000000000006</v>
      </c>
      <c r="AU88" s="43">
        <v>87.368399999999994</v>
      </c>
      <c r="AV88" s="43">
        <v>87.571799999999996</v>
      </c>
      <c r="AW88" s="43">
        <v>87.775199999999998</v>
      </c>
      <c r="AX88" s="43">
        <v>87.9786</v>
      </c>
      <c r="AY88" s="43">
        <v>88.182000000000002</v>
      </c>
      <c r="AZ88" s="43">
        <v>88.354799999999997</v>
      </c>
      <c r="BA88" s="43">
        <v>88.527600000000007</v>
      </c>
      <c r="BB88" s="43">
        <v>88.700400000000002</v>
      </c>
      <c r="BC88" s="43">
        <v>88.873199999999997</v>
      </c>
      <c r="BD88" s="43">
        <v>89.046000000000006</v>
      </c>
      <c r="BE88" s="43">
        <v>89.191599999999994</v>
      </c>
      <c r="BF88" s="43">
        <v>89.337199999999996</v>
      </c>
      <c r="BG88" s="43"/>
      <c r="BH88" s="44">
        <f t="shared" si="2"/>
        <v>84.90655555555557</v>
      </c>
      <c r="BI88" s="44">
        <f t="shared" si="3"/>
        <v>87.198712</v>
      </c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2"/>
      <c r="CG88" s="42"/>
      <c r="CH88" s="42"/>
      <c r="CI88" s="42"/>
      <c r="CJ88" s="42"/>
      <c r="CK88" s="42"/>
      <c r="CL88" s="42"/>
      <c r="CM88" s="42"/>
      <c r="CN88" s="42"/>
      <c r="CO88" s="42"/>
      <c r="CP88" s="42"/>
      <c r="CQ88" s="42"/>
    </row>
    <row r="89" spans="1:95">
      <c r="A89" s="41">
        <v>108</v>
      </c>
      <c r="B89" s="41" t="s">
        <v>88</v>
      </c>
      <c r="C89" s="2">
        <v>3</v>
      </c>
      <c r="D89" s="2">
        <v>20988.681850000001</v>
      </c>
      <c r="E89" s="2">
        <v>1</v>
      </c>
      <c r="F89" s="2">
        <v>64.834000000000017</v>
      </c>
      <c r="G89" s="43">
        <v>59.857399999999998</v>
      </c>
      <c r="H89" s="43">
        <v>60.3538</v>
      </c>
      <c r="I89" s="43">
        <v>60.850200000000001</v>
      </c>
      <c r="J89" s="43">
        <v>61.346600000000002</v>
      </c>
      <c r="K89" s="43">
        <v>61.843000000000004</v>
      </c>
      <c r="L89" s="43">
        <v>62.328800000000001</v>
      </c>
      <c r="M89" s="43">
        <v>62.814599999999999</v>
      </c>
      <c r="N89" s="43">
        <v>63.300400000000003</v>
      </c>
      <c r="O89" s="43">
        <v>63.786200000000001</v>
      </c>
      <c r="P89" s="43">
        <v>64.272000000000006</v>
      </c>
      <c r="Q89" s="43">
        <v>64.546199999999999</v>
      </c>
      <c r="R89" s="43">
        <v>64.820400000000006</v>
      </c>
      <c r="S89" s="43">
        <v>65.0946</v>
      </c>
      <c r="T89" s="43">
        <v>65.368799999999993</v>
      </c>
      <c r="U89" s="43">
        <v>65.643000000000001</v>
      </c>
      <c r="V89" s="43">
        <v>65.842399999999998</v>
      </c>
      <c r="W89" s="43">
        <v>66.041799999999995</v>
      </c>
      <c r="X89" s="43">
        <v>66.241200000000006</v>
      </c>
      <c r="Y89" s="43">
        <v>66.440600000000003</v>
      </c>
      <c r="Z89" s="43">
        <v>66.64</v>
      </c>
      <c r="AA89" s="43">
        <v>66.677199999999999</v>
      </c>
      <c r="AB89" s="43">
        <v>66.714399999999998</v>
      </c>
      <c r="AC89" s="43">
        <v>66.751599999999996</v>
      </c>
      <c r="AD89" s="43">
        <v>66.788799999999995</v>
      </c>
      <c r="AE89" s="43">
        <v>66.825999999999993</v>
      </c>
      <c r="AF89" s="43">
        <v>66.805999999999997</v>
      </c>
      <c r="AG89" s="43">
        <v>66.786000000000001</v>
      </c>
      <c r="AH89" s="43">
        <v>66.766000000000005</v>
      </c>
      <c r="AI89" s="43">
        <v>66.745999999999995</v>
      </c>
      <c r="AJ89" s="43">
        <v>66.725999999999999</v>
      </c>
      <c r="AK89" s="43">
        <v>66.765199999999993</v>
      </c>
      <c r="AL89" s="43">
        <v>66.804400000000001</v>
      </c>
      <c r="AM89" s="43">
        <v>66.843599999999995</v>
      </c>
      <c r="AN89" s="43">
        <v>66.882800000000003</v>
      </c>
      <c r="AO89" s="43">
        <v>66.921999999999997</v>
      </c>
      <c r="AP89" s="43">
        <v>66.981999999999999</v>
      </c>
      <c r="AQ89" s="43">
        <v>67.042000000000002</v>
      </c>
      <c r="AR89" s="43">
        <v>67.102000000000004</v>
      </c>
      <c r="AS89" s="43">
        <v>67.162000000000006</v>
      </c>
      <c r="AT89" s="43">
        <v>67.221999999999994</v>
      </c>
      <c r="AU89" s="43">
        <v>67.295199999999994</v>
      </c>
      <c r="AV89" s="43">
        <v>67.368399999999994</v>
      </c>
      <c r="AW89" s="43">
        <v>67.441599999999994</v>
      </c>
      <c r="AX89" s="43">
        <v>67.514799999999994</v>
      </c>
      <c r="AY89" s="43">
        <v>67.587999999999994</v>
      </c>
      <c r="AZ89" s="43">
        <v>67.714399999999998</v>
      </c>
      <c r="BA89" s="43">
        <v>67.840800000000002</v>
      </c>
      <c r="BB89" s="43">
        <v>67.967200000000005</v>
      </c>
      <c r="BC89" s="43">
        <v>68.093599999999995</v>
      </c>
      <c r="BD89" s="43">
        <v>68.22</v>
      </c>
      <c r="BE89" s="43">
        <v>68.400000000000006</v>
      </c>
      <c r="BF89" s="43">
        <v>68.58</v>
      </c>
      <c r="BG89" s="43"/>
      <c r="BH89" s="44">
        <f t="shared" si="2"/>
        <v>64.621555555555574</v>
      </c>
      <c r="BI89" s="44">
        <f t="shared" si="3"/>
        <v>67.359599999999986</v>
      </c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2"/>
      <c r="CG89" s="42"/>
      <c r="CH89" s="42"/>
      <c r="CI89" s="42"/>
      <c r="CJ89" s="42"/>
      <c r="CK89" s="42"/>
      <c r="CL89" s="42"/>
      <c r="CM89" s="42"/>
      <c r="CN89" s="42"/>
      <c r="CO89" s="42"/>
      <c r="CP89" s="42"/>
      <c r="CQ89" s="42"/>
    </row>
    <row r="90" spans="1:95">
      <c r="A90" s="41">
        <v>229</v>
      </c>
      <c r="B90" s="41" t="s">
        <v>8</v>
      </c>
      <c r="C90" s="2">
        <v>3</v>
      </c>
      <c r="D90" s="2">
        <v>20957.243709999999</v>
      </c>
      <c r="E90" s="2">
        <v>1</v>
      </c>
      <c r="F90" s="2">
        <v>77.958933333333334</v>
      </c>
      <c r="G90" s="43">
        <v>78.319400000000002</v>
      </c>
      <c r="H90" s="43">
        <v>78.194800000000001</v>
      </c>
      <c r="I90" s="43">
        <v>78.0702</v>
      </c>
      <c r="J90" s="43">
        <v>77.945599999999999</v>
      </c>
      <c r="K90" s="43">
        <v>77.820999999999998</v>
      </c>
      <c r="L90" s="43">
        <v>77.680199999999999</v>
      </c>
      <c r="M90" s="43">
        <v>77.539400000000001</v>
      </c>
      <c r="N90" s="43">
        <v>77.398600000000002</v>
      </c>
      <c r="O90" s="43">
        <v>77.257800000000003</v>
      </c>
      <c r="P90" s="43">
        <v>77.117000000000004</v>
      </c>
      <c r="Q90" s="43">
        <v>77.230199999999996</v>
      </c>
      <c r="R90" s="43">
        <v>77.343400000000003</v>
      </c>
      <c r="S90" s="43">
        <v>77.456599999999995</v>
      </c>
      <c r="T90" s="43">
        <v>77.569800000000001</v>
      </c>
      <c r="U90" s="43">
        <v>77.683000000000007</v>
      </c>
      <c r="V90" s="43">
        <v>77.842600000000004</v>
      </c>
      <c r="W90" s="43">
        <v>78.002200000000002</v>
      </c>
      <c r="X90" s="43">
        <v>78.161799999999999</v>
      </c>
      <c r="Y90" s="43">
        <v>78.321399999999997</v>
      </c>
      <c r="Z90" s="43">
        <v>78.480999999999995</v>
      </c>
      <c r="AA90" s="43">
        <v>78.462800000000001</v>
      </c>
      <c r="AB90" s="43">
        <v>78.444599999999994</v>
      </c>
      <c r="AC90" s="43">
        <v>78.426400000000001</v>
      </c>
      <c r="AD90" s="43">
        <v>78.408199999999994</v>
      </c>
      <c r="AE90" s="43">
        <v>78.39</v>
      </c>
      <c r="AF90" s="43">
        <v>78.34</v>
      </c>
      <c r="AG90" s="43">
        <v>78.290000000000006</v>
      </c>
      <c r="AH90" s="43">
        <v>78.239999999999995</v>
      </c>
      <c r="AI90" s="43">
        <v>78.19</v>
      </c>
      <c r="AJ90" s="43">
        <v>78.14</v>
      </c>
      <c r="AK90" s="43">
        <v>78.182599999999994</v>
      </c>
      <c r="AL90" s="43">
        <v>78.225200000000001</v>
      </c>
      <c r="AM90" s="43">
        <v>78.267799999999994</v>
      </c>
      <c r="AN90" s="43">
        <v>78.310400000000001</v>
      </c>
      <c r="AO90" s="43">
        <v>78.352999999999994</v>
      </c>
      <c r="AP90" s="43">
        <v>78.412599999999998</v>
      </c>
      <c r="AQ90" s="43">
        <v>78.472200000000001</v>
      </c>
      <c r="AR90" s="43">
        <v>78.531800000000004</v>
      </c>
      <c r="AS90" s="43">
        <v>78.591399999999993</v>
      </c>
      <c r="AT90" s="43">
        <v>78.650999999999996</v>
      </c>
      <c r="AU90" s="43">
        <v>78.722200000000001</v>
      </c>
      <c r="AV90" s="43">
        <v>78.793400000000005</v>
      </c>
      <c r="AW90" s="43">
        <v>78.864599999999996</v>
      </c>
      <c r="AX90" s="43">
        <v>78.9358</v>
      </c>
      <c r="AY90" s="43">
        <v>79.007000000000005</v>
      </c>
      <c r="AZ90" s="43">
        <v>79.107200000000006</v>
      </c>
      <c r="BA90" s="43">
        <v>79.207400000000007</v>
      </c>
      <c r="BB90" s="43">
        <v>79.307599999999994</v>
      </c>
      <c r="BC90" s="43">
        <v>79.407799999999995</v>
      </c>
      <c r="BD90" s="43">
        <v>79.507999999999996</v>
      </c>
      <c r="BE90" s="43">
        <v>79.635599999999997</v>
      </c>
      <c r="BF90" s="43">
        <v>79.763199999999998</v>
      </c>
      <c r="BG90" s="43"/>
      <c r="BH90" s="44">
        <f t="shared" si="2"/>
        <v>77.933259259259273</v>
      </c>
      <c r="BI90" s="44">
        <f t="shared" si="3"/>
        <v>78.753112000000002</v>
      </c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2"/>
      <c r="CG90" s="42"/>
      <c r="CH90" s="42"/>
      <c r="CI90" s="42"/>
      <c r="CJ90" s="42"/>
      <c r="CK90" s="42"/>
      <c r="CL90" s="42"/>
      <c r="CM90" s="42"/>
      <c r="CN90" s="42"/>
      <c r="CO90" s="42"/>
      <c r="CP90" s="42"/>
      <c r="CQ90" s="42"/>
    </row>
    <row r="91" spans="1:95">
      <c r="A91" s="41">
        <v>177</v>
      </c>
      <c r="B91" s="41" t="s">
        <v>40</v>
      </c>
      <c r="C91" s="2">
        <v>3</v>
      </c>
      <c r="D91" s="2">
        <v>16000</v>
      </c>
      <c r="E91" s="2">
        <v>1</v>
      </c>
      <c r="F91" s="2">
        <v>61.633200000000002</v>
      </c>
      <c r="G91" s="43">
        <v>45.9392</v>
      </c>
      <c r="H91" s="43">
        <v>47.334400000000002</v>
      </c>
      <c r="I91" s="43">
        <v>48.729599999999998</v>
      </c>
      <c r="J91" s="43">
        <v>50.1248</v>
      </c>
      <c r="K91" s="43">
        <v>51.52</v>
      </c>
      <c r="L91" s="43">
        <v>52.8812</v>
      </c>
      <c r="M91" s="43">
        <v>54.242400000000004</v>
      </c>
      <c r="N91" s="43">
        <v>55.6036</v>
      </c>
      <c r="O91" s="43">
        <v>56.964799999999997</v>
      </c>
      <c r="P91" s="43">
        <v>58.326000000000001</v>
      </c>
      <c r="Q91" s="43">
        <v>59.214399999999998</v>
      </c>
      <c r="R91" s="43">
        <v>60.102800000000002</v>
      </c>
      <c r="S91" s="43">
        <v>60.991199999999999</v>
      </c>
      <c r="T91" s="43">
        <v>61.879600000000003</v>
      </c>
      <c r="U91" s="43">
        <v>62.768000000000001</v>
      </c>
      <c r="V91" s="43">
        <v>63.597000000000001</v>
      </c>
      <c r="W91" s="43">
        <v>64.426000000000002</v>
      </c>
      <c r="X91" s="43">
        <v>65.254999999999995</v>
      </c>
      <c r="Y91" s="43">
        <v>66.084000000000003</v>
      </c>
      <c r="Z91" s="43">
        <v>66.912999999999997</v>
      </c>
      <c r="AA91" s="43">
        <v>67.360799999999998</v>
      </c>
      <c r="AB91" s="43">
        <v>67.808599999999998</v>
      </c>
      <c r="AC91" s="43">
        <v>68.256399999999999</v>
      </c>
      <c r="AD91" s="43">
        <v>68.7042</v>
      </c>
      <c r="AE91" s="43">
        <v>69.152000000000001</v>
      </c>
      <c r="AF91" s="43">
        <v>69.755799999999994</v>
      </c>
      <c r="AG91" s="43">
        <v>70.3596</v>
      </c>
      <c r="AH91" s="43">
        <v>70.963399999999993</v>
      </c>
      <c r="AI91" s="43">
        <v>71.5672</v>
      </c>
      <c r="AJ91" s="43">
        <v>72.171000000000006</v>
      </c>
      <c r="AK91" s="43">
        <v>75.162999999999997</v>
      </c>
      <c r="AL91" s="43">
        <v>78.155000000000001</v>
      </c>
      <c r="AM91" s="43">
        <v>81.147000000000006</v>
      </c>
      <c r="AN91" s="43">
        <v>84.138999999999996</v>
      </c>
      <c r="AO91" s="43">
        <v>87.131</v>
      </c>
      <c r="AP91" s="43">
        <v>88.634200000000007</v>
      </c>
      <c r="AQ91" s="43">
        <v>90.1374</v>
      </c>
      <c r="AR91" s="43">
        <v>91.640600000000006</v>
      </c>
      <c r="AS91" s="43">
        <v>93.143799999999999</v>
      </c>
      <c r="AT91" s="43">
        <v>94.647000000000006</v>
      </c>
      <c r="AU91" s="43">
        <v>95.245199999999997</v>
      </c>
      <c r="AV91" s="43">
        <v>95.843400000000003</v>
      </c>
      <c r="AW91" s="43">
        <v>96.441599999999994</v>
      </c>
      <c r="AX91" s="43">
        <v>97.0398</v>
      </c>
      <c r="AY91" s="43">
        <v>97.638000000000005</v>
      </c>
      <c r="AZ91" s="43">
        <v>97.864999999999995</v>
      </c>
      <c r="BA91" s="43">
        <v>98.091999999999999</v>
      </c>
      <c r="BB91" s="43">
        <v>98.319000000000003</v>
      </c>
      <c r="BC91" s="43">
        <v>98.546000000000006</v>
      </c>
      <c r="BD91" s="43">
        <v>98.772999999999996</v>
      </c>
      <c r="BE91" s="43">
        <v>98.866200000000006</v>
      </c>
      <c r="BF91" s="43">
        <v>98.959400000000002</v>
      </c>
      <c r="BG91" s="43"/>
      <c r="BH91" s="44">
        <f t="shared" si="2"/>
        <v>60.529422222222223</v>
      </c>
      <c r="BI91" s="44">
        <f t="shared" si="3"/>
        <v>90.010728</v>
      </c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2"/>
      <c r="CG91" s="42"/>
      <c r="CH91" s="42"/>
      <c r="CI91" s="42"/>
      <c r="CJ91" s="42"/>
      <c r="CK91" s="42"/>
      <c r="CL91" s="42"/>
      <c r="CM91" s="42"/>
      <c r="CN91" s="42"/>
      <c r="CO91" s="42"/>
      <c r="CP91" s="42"/>
      <c r="CQ91" s="42"/>
    </row>
    <row r="92" spans="1:95">
      <c r="A92" s="41">
        <v>181</v>
      </c>
      <c r="B92" s="41" t="s">
        <v>37</v>
      </c>
      <c r="C92" s="2">
        <v>3</v>
      </c>
      <c r="D92" s="2">
        <v>12846.01706</v>
      </c>
      <c r="E92" s="2">
        <v>1</v>
      </c>
      <c r="F92" s="2">
        <v>65.712299999999999</v>
      </c>
      <c r="G92" s="43">
        <v>54.619399999999999</v>
      </c>
      <c r="H92" s="43">
        <v>55.507800000000003</v>
      </c>
      <c r="I92" s="43">
        <v>56.3962</v>
      </c>
      <c r="J92" s="43">
        <v>57.284599999999998</v>
      </c>
      <c r="K92" s="43">
        <v>58.173000000000002</v>
      </c>
      <c r="L92" s="43">
        <v>59.032600000000002</v>
      </c>
      <c r="M92" s="43">
        <v>59.892200000000003</v>
      </c>
      <c r="N92" s="43">
        <v>60.751800000000003</v>
      </c>
      <c r="O92" s="43">
        <v>61.611400000000003</v>
      </c>
      <c r="P92" s="43">
        <v>62.470999999999997</v>
      </c>
      <c r="Q92" s="43">
        <v>63.2622</v>
      </c>
      <c r="R92" s="43">
        <v>64.053399999999996</v>
      </c>
      <c r="S92" s="43">
        <v>64.8446</v>
      </c>
      <c r="T92" s="43">
        <v>65.635800000000003</v>
      </c>
      <c r="U92" s="43">
        <v>66.427000000000007</v>
      </c>
      <c r="V92" s="43">
        <v>67.091800000000006</v>
      </c>
      <c r="W92" s="43">
        <v>67.756600000000006</v>
      </c>
      <c r="X92" s="43">
        <v>68.421400000000006</v>
      </c>
      <c r="Y92" s="43">
        <v>69.086200000000005</v>
      </c>
      <c r="Z92" s="43">
        <v>69.751000000000005</v>
      </c>
      <c r="AA92" s="43">
        <v>70.185400000000001</v>
      </c>
      <c r="AB92" s="43">
        <v>70.619799999999998</v>
      </c>
      <c r="AC92" s="43">
        <v>71.054199999999994</v>
      </c>
      <c r="AD92" s="43">
        <v>71.488600000000005</v>
      </c>
      <c r="AE92" s="43">
        <v>71.923000000000002</v>
      </c>
      <c r="AF92" s="43">
        <v>72.217200000000005</v>
      </c>
      <c r="AG92" s="43">
        <v>72.511399999999995</v>
      </c>
      <c r="AH92" s="43">
        <v>72.805599999999998</v>
      </c>
      <c r="AI92" s="43">
        <v>73.099800000000002</v>
      </c>
      <c r="AJ92" s="43">
        <v>73.394000000000005</v>
      </c>
      <c r="AK92" s="43">
        <v>73.389600000000002</v>
      </c>
      <c r="AL92" s="43">
        <v>73.385199999999998</v>
      </c>
      <c r="AM92" s="43">
        <v>73.380799999999994</v>
      </c>
      <c r="AN92" s="43">
        <v>73.376400000000004</v>
      </c>
      <c r="AO92" s="43">
        <v>73.372</v>
      </c>
      <c r="AP92" s="43">
        <v>73.367599999999996</v>
      </c>
      <c r="AQ92" s="43">
        <v>73.363200000000006</v>
      </c>
      <c r="AR92" s="43">
        <v>73.358800000000002</v>
      </c>
      <c r="AS92" s="43">
        <v>73.354399999999998</v>
      </c>
      <c r="AT92" s="43">
        <v>73.349999999999994</v>
      </c>
      <c r="AU92" s="43">
        <v>73.266000000000005</v>
      </c>
      <c r="AV92" s="43">
        <v>73.182000000000002</v>
      </c>
      <c r="AW92" s="43">
        <v>73.097999999999999</v>
      </c>
      <c r="AX92" s="43">
        <v>73.013999999999996</v>
      </c>
      <c r="AY92" s="43">
        <v>72.930000000000007</v>
      </c>
      <c r="AZ92" s="43">
        <v>73.074399999999997</v>
      </c>
      <c r="BA92" s="43">
        <v>73.218800000000002</v>
      </c>
      <c r="BB92" s="43">
        <v>73.363200000000006</v>
      </c>
      <c r="BC92" s="43">
        <v>73.507599999999996</v>
      </c>
      <c r="BD92" s="43">
        <v>73.652000000000001</v>
      </c>
      <c r="BE92" s="43">
        <v>73.824399999999997</v>
      </c>
      <c r="BF92" s="43">
        <v>73.996799999999993</v>
      </c>
      <c r="BG92" s="43"/>
      <c r="BH92" s="44">
        <f t="shared" si="2"/>
        <v>64.891466666666673</v>
      </c>
      <c r="BI92" s="44">
        <f t="shared" si="3"/>
        <v>73.324983999999986</v>
      </c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2"/>
      <c r="CG92" s="42"/>
      <c r="CH92" s="42"/>
      <c r="CI92" s="42"/>
      <c r="CJ92" s="42"/>
      <c r="CK92" s="42"/>
      <c r="CL92" s="42"/>
      <c r="CM92" s="42"/>
      <c r="CN92" s="42"/>
      <c r="CO92" s="42"/>
      <c r="CP92" s="42"/>
      <c r="CQ92" s="42"/>
    </row>
    <row r="93" spans="1:95">
      <c r="A93" s="41">
        <v>99</v>
      </c>
      <c r="B93" s="41" t="s">
        <v>95</v>
      </c>
      <c r="C93" s="2">
        <v>3</v>
      </c>
      <c r="D93" s="2">
        <v>12715.60824</v>
      </c>
      <c r="E93" s="2">
        <v>1</v>
      </c>
      <c r="F93" s="2">
        <v>61.919699999999999</v>
      </c>
      <c r="G93" s="43">
        <v>56.333199999999998</v>
      </c>
      <c r="H93" s="43">
        <v>56.755400000000002</v>
      </c>
      <c r="I93" s="43">
        <v>57.177599999999998</v>
      </c>
      <c r="J93" s="43">
        <v>57.599800000000002</v>
      </c>
      <c r="K93" s="43">
        <v>58.021999999999998</v>
      </c>
      <c r="L93" s="43">
        <v>58.44</v>
      </c>
      <c r="M93" s="43">
        <v>58.857999999999997</v>
      </c>
      <c r="N93" s="43">
        <v>59.276000000000003</v>
      </c>
      <c r="O93" s="43">
        <v>59.694000000000003</v>
      </c>
      <c r="P93" s="43">
        <v>60.112000000000002</v>
      </c>
      <c r="Q93" s="43">
        <v>60.535800000000002</v>
      </c>
      <c r="R93" s="43">
        <v>60.959600000000002</v>
      </c>
      <c r="S93" s="43">
        <v>61.383400000000002</v>
      </c>
      <c r="T93" s="43">
        <v>61.807200000000002</v>
      </c>
      <c r="U93" s="43">
        <v>62.231000000000002</v>
      </c>
      <c r="V93" s="43">
        <v>62.622999999999998</v>
      </c>
      <c r="W93" s="43">
        <v>63.015000000000001</v>
      </c>
      <c r="X93" s="43">
        <v>63.406999999999996</v>
      </c>
      <c r="Y93" s="43">
        <v>63.798999999999999</v>
      </c>
      <c r="Z93" s="43">
        <v>64.191000000000003</v>
      </c>
      <c r="AA93" s="43">
        <v>64.371799999999993</v>
      </c>
      <c r="AB93" s="43">
        <v>64.552599999999998</v>
      </c>
      <c r="AC93" s="43">
        <v>64.733400000000003</v>
      </c>
      <c r="AD93" s="43">
        <v>64.914199999999994</v>
      </c>
      <c r="AE93" s="43">
        <v>65.094999999999999</v>
      </c>
      <c r="AF93" s="43">
        <v>65.243600000000001</v>
      </c>
      <c r="AG93" s="43">
        <v>65.392200000000003</v>
      </c>
      <c r="AH93" s="43">
        <v>65.540800000000004</v>
      </c>
      <c r="AI93" s="43">
        <v>65.689400000000006</v>
      </c>
      <c r="AJ93" s="43">
        <v>65.837999999999994</v>
      </c>
      <c r="AK93" s="43">
        <v>65.712199999999996</v>
      </c>
      <c r="AL93" s="43">
        <v>65.586399999999998</v>
      </c>
      <c r="AM93" s="43">
        <v>65.460599999999999</v>
      </c>
      <c r="AN93" s="43">
        <v>65.334800000000001</v>
      </c>
      <c r="AO93" s="43">
        <v>65.209000000000003</v>
      </c>
      <c r="AP93" s="43">
        <v>65.0822</v>
      </c>
      <c r="AQ93" s="43">
        <v>64.955399999999997</v>
      </c>
      <c r="AR93" s="43">
        <v>64.828599999999994</v>
      </c>
      <c r="AS93" s="43">
        <v>64.701800000000006</v>
      </c>
      <c r="AT93" s="43">
        <v>64.575000000000003</v>
      </c>
      <c r="AU93" s="43">
        <v>64.933000000000007</v>
      </c>
      <c r="AV93" s="43">
        <v>65.290999999999997</v>
      </c>
      <c r="AW93" s="43">
        <v>65.649000000000001</v>
      </c>
      <c r="AX93" s="43">
        <v>66.007000000000005</v>
      </c>
      <c r="AY93" s="43">
        <v>66.364999999999995</v>
      </c>
      <c r="AZ93" s="43">
        <v>66.885000000000005</v>
      </c>
      <c r="BA93" s="43">
        <v>67.405000000000001</v>
      </c>
      <c r="BB93" s="43">
        <v>67.924999999999997</v>
      </c>
      <c r="BC93" s="43">
        <v>68.444999999999993</v>
      </c>
      <c r="BD93" s="43">
        <v>68.965000000000003</v>
      </c>
      <c r="BE93" s="43">
        <v>69.4358</v>
      </c>
      <c r="BF93" s="43">
        <v>69.906599999999997</v>
      </c>
      <c r="BG93" s="43"/>
      <c r="BH93" s="44">
        <f t="shared" si="2"/>
        <v>61.500844444444446</v>
      </c>
      <c r="BI93" s="44">
        <f t="shared" si="3"/>
        <v>66.229063999999994</v>
      </c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2"/>
      <c r="CG93" s="42"/>
      <c r="CH93" s="42"/>
      <c r="CI93" s="42"/>
      <c r="CJ93" s="42"/>
      <c r="CK93" s="42"/>
      <c r="CL93" s="42"/>
      <c r="CM93" s="42"/>
      <c r="CN93" s="42"/>
      <c r="CO93" s="42"/>
      <c r="CP93" s="42"/>
      <c r="CQ93" s="42"/>
    </row>
    <row r="94" spans="1:95">
      <c r="A94" s="41">
        <v>235</v>
      </c>
      <c r="B94" s="41" t="s">
        <v>4</v>
      </c>
      <c r="C94" s="2">
        <v>3</v>
      </c>
      <c r="D94" s="2">
        <v>10039.25078</v>
      </c>
      <c r="E94" s="2">
        <v>1</v>
      </c>
      <c r="F94" s="2">
        <v>75.164266666666649</v>
      </c>
      <c r="G94" s="43">
        <v>62.694800000000001</v>
      </c>
      <c r="H94" s="43">
        <v>63.776600000000002</v>
      </c>
      <c r="I94" s="43">
        <v>64.858400000000003</v>
      </c>
      <c r="J94" s="43">
        <v>65.940200000000004</v>
      </c>
      <c r="K94" s="43">
        <v>67.022000000000006</v>
      </c>
      <c r="L94" s="43">
        <v>67.988</v>
      </c>
      <c r="M94" s="43">
        <v>68.953999999999994</v>
      </c>
      <c r="N94" s="43">
        <v>69.92</v>
      </c>
      <c r="O94" s="43">
        <v>70.885999999999996</v>
      </c>
      <c r="P94" s="43">
        <v>71.852000000000004</v>
      </c>
      <c r="Q94" s="43">
        <v>72.638800000000003</v>
      </c>
      <c r="R94" s="43">
        <v>73.425600000000003</v>
      </c>
      <c r="S94" s="43">
        <v>74.212400000000002</v>
      </c>
      <c r="T94" s="43">
        <v>74.999200000000002</v>
      </c>
      <c r="U94" s="43">
        <v>75.786000000000001</v>
      </c>
      <c r="V94" s="43">
        <v>76.465800000000002</v>
      </c>
      <c r="W94" s="43">
        <v>77.145600000000002</v>
      </c>
      <c r="X94" s="43">
        <v>77.825400000000002</v>
      </c>
      <c r="Y94" s="43">
        <v>78.505200000000002</v>
      </c>
      <c r="Z94" s="43">
        <v>79.185000000000002</v>
      </c>
      <c r="AA94" s="43">
        <v>79.733000000000004</v>
      </c>
      <c r="AB94" s="43">
        <v>80.281000000000006</v>
      </c>
      <c r="AC94" s="43">
        <v>80.828999999999994</v>
      </c>
      <c r="AD94" s="43">
        <v>81.376999999999995</v>
      </c>
      <c r="AE94" s="43">
        <v>81.924999999999997</v>
      </c>
      <c r="AF94" s="43">
        <v>82.396799999999999</v>
      </c>
      <c r="AG94" s="43">
        <v>82.868600000000001</v>
      </c>
      <c r="AH94" s="43">
        <v>83.340400000000002</v>
      </c>
      <c r="AI94" s="43">
        <v>83.812200000000004</v>
      </c>
      <c r="AJ94" s="43">
        <v>84.284000000000006</v>
      </c>
      <c r="AK94" s="43">
        <v>84.891199999999998</v>
      </c>
      <c r="AL94" s="43">
        <v>85.498400000000004</v>
      </c>
      <c r="AM94" s="43">
        <v>86.105599999999995</v>
      </c>
      <c r="AN94" s="43">
        <v>86.712800000000001</v>
      </c>
      <c r="AO94" s="43">
        <v>87.32</v>
      </c>
      <c r="AP94" s="43">
        <v>87.833799999999997</v>
      </c>
      <c r="AQ94" s="43">
        <v>88.3476</v>
      </c>
      <c r="AR94" s="43">
        <v>88.861400000000003</v>
      </c>
      <c r="AS94" s="43">
        <v>89.375200000000007</v>
      </c>
      <c r="AT94" s="43">
        <v>89.888999999999996</v>
      </c>
      <c r="AU94" s="43">
        <v>90.293400000000005</v>
      </c>
      <c r="AV94" s="43">
        <v>90.697800000000001</v>
      </c>
      <c r="AW94" s="43">
        <v>91.102199999999996</v>
      </c>
      <c r="AX94" s="43">
        <v>91.506600000000006</v>
      </c>
      <c r="AY94" s="43">
        <v>91.911000000000001</v>
      </c>
      <c r="AZ94" s="43">
        <v>92.191599999999994</v>
      </c>
      <c r="BA94" s="43">
        <v>92.472200000000001</v>
      </c>
      <c r="BB94" s="43">
        <v>92.752799999999993</v>
      </c>
      <c r="BC94" s="43">
        <v>93.0334</v>
      </c>
      <c r="BD94" s="43">
        <v>93.313999999999993</v>
      </c>
      <c r="BE94" s="43">
        <v>93.504800000000003</v>
      </c>
      <c r="BF94" s="43">
        <v>93.695599999999999</v>
      </c>
      <c r="BH94" s="44">
        <f t="shared" si="2"/>
        <v>74.203385185185169</v>
      </c>
      <c r="BI94" s="44">
        <f t="shared" si="3"/>
        <v>89.309879999999993</v>
      </c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</row>
    <row r="95" spans="1:95">
      <c r="A95" s="41">
        <v>222</v>
      </c>
      <c r="B95" s="41" t="s">
        <v>13</v>
      </c>
      <c r="C95" s="2">
        <v>4</v>
      </c>
      <c r="D95" s="2">
        <v>6992.1891889999997</v>
      </c>
      <c r="E95" s="2">
        <v>1</v>
      </c>
      <c r="F95" s="2">
        <v>43.067133333333338</v>
      </c>
      <c r="G95" s="43">
        <v>32.057400000000001</v>
      </c>
      <c r="H95" s="43">
        <v>32.599800000000002</v>
      </c>
      <c r="I95" s="43">
        <v>33.142200000000003</v>
      </c>
      <c r="J95" s="43">
        <v>33.684600000000003</v>
      </c>
      <c r="K95" s="43">
        <v>34.226999999999997</v>
      </c>
      <c r="L95" s="43">
        <v>35.028399999999998</v>
      </c>
      <c r="M95" s="43">
        <v>35.829799999999999</v>
      </c>
      <c r="N95" s="43">
        <v>36.6312</v>
      </c>
      <c r="O95" s="43">
        <v>37.432600000000001</v>
      </c>
      <c r="P95" s="43">
        <v>38.234000000000002</v>
      </c>
      <c r="Q95" s="43">
        <v>38.904400000000003</v>
      </c>
      <c r="R95" s="43">
        <v>39.574800000000003</v>
      </c>
      <c r="S95" s="43">
        <v>40.245199999999997</v>
      </c>
      <c r="T95" s="43">
        <v>40.915599999999998</v>
      </c>
      <c r="U95" s="43">
        <v>41.585999999999999</v>
      </c>
      <c r="V95" s="43">
        <v>42.024799999999999</v>
      </c>
      <c r="W95" s="43">
        <v>42.4636</v>
      </c>
      <c r="X95" s="43">
        <v>42.9024</v>
      </c>
      <c r="Y95" s="43">
        <v>43.341200000000001</v>
      </c>
      <c r="Z95" s="43">
        <v>43.78</v>
      </c>
      <c r="AA95" s="43">
        <v>45.513599999999997</v>
      </c>
      <c r="AB95" s="43">
        <v>47.247199999999999</v>
      </c>
      <c r="AC95" s="43">
        <v>48.980800000000002</v>
      </c>
      <c r="AD95" s="43">
        <v>50.714399999999998</v>
      </c>
      <c r="AE95" s="43">
        <v>52.448</v>
      </c>
      <c r="AF95" s="43">
        <v>53.798999999999999</v>
      </c>
      <c r="AG95" s="43">
        <v>55.15</v>
      </c>
      <c r="AH95" s="43">
        <v>56.500999999999998</v>
      </c>
      <c r="AI95" s="43">
        <v>57.851999999999997</v>
      </c>
      <c r="AJ95" s="43">
        <v>59.203000000000003</v>
      </c>
      <c r="AK95" s="43">
        <v>59.786999999999999</v>
      </c>
      <c r="AL95" s="43">
        <v>60.371000000000002</v>
      </c>
      <c r="AM95" s="43">
        <v>60.954999999999998</v>
      </c>
      <c r="AN95" s="43">
        <v>61.539000000000001</v>
      </c>
      <c r="AO95" s="43">
        <v>62.122999999999998</v>
      </c>
      <c r="AP95" s="43">
        <v>62.646599999999999</v>
      </c>
      <c r="AQ95" s="43">
        <v>63.170200000000001</v>
      </c>
      <c r="AR95" s="43">
        <v>63.693800000000003</v>
      </c>
      <c r="AS95" s="43">
        <v>64.217399999999998</v>
      </c>
      <c r="AT95" s="43">
        <v>64.741</v>
      </c>
      <c r="AU95" s="43">
        <v>65.161000000000001</v>
      </c>
      <c r="AV95" s="43">
        <v>65.581000000000003</v>
      </c>
      <c r="AW95" s="43">
        <v>66.001000000000005</v>
      </c>
      <c r="AX95" s="43">
        <v>66.421000000000006</v>
      </c>
      <c r="AY95" s="43">
        <v>66.840999999999994</v>
      </c>
      <c r="AZ95" s="43">
        <v>67.5702</v>
      </c>
      <c r="BA95" s="43">
        <v>68.299400000000006</v>
      </c>
      <c r="BB95" s="43">
        <v>69.028599999999997</v>
      </c>
      <c r="BC95" s="43">
        <v>69.757800000000003</v>
      </c>
      <c r="BD95" s="43">
        <v>70.486999999999995</v>
      </c>
      <c r="BE95" s="43">
        <v>71.409400000000005</v>
      </c>
      <c r="BF95" s="43">
        <v>72.331800000000001</v>
      </c>
      <c r="BG95" s="43"/>
      <c r="BH95" s="44">
        <f t="shared" si="2"/>
        <v>41.424370370370376</v>
      </c>
      <c r="BI95" s="44">
        <f t="shared" si="3"/>
        <v>64.627568000000011</v>
      </c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2"/>
      <c r="CG95" s="42"/>
      <c r="CH95" s="42"/>
      <c r="CI95" s="42"/>
      <c r="CJ95" s="42"/>
      <c r="CK95" s="42"/>
      <c r="CL95" s="42"/>
      <c r="CM95" s="42"/>
      <c r="CN95" s="42"/>
      <c r="CO95" s="42"/>
      <c r="CP95" s="42"/>
      <c r="CQ95" s="42"/>
    </row>
    <row r="96" spans="1:95">
      <c r="A96" s="41">
        <v>109</v>
      </c>
      <c r="B96" s="41" t="s">
        <v>87</v>
      </c>
      <c r="C96" s="2">
        <v>4</v>
      </c>
      <c r="D96" s="2">
        <v>5247.4458119999999</v>
      </c>
      <c r="E96" s="2">
        <v>1</v>
      </c>
      <c r="F96" s="2">
        <v>43.528833333333338</v>
      </c>
      <c r="G96" s="43">
        <v>34.515000000000001</v>
      </c>
      <c r="H96" s="43">
        <v>35.261000000000003</v>
      </c>
      <c r="I96" s="43">
        <v>36.006999999999998</v>
      </c>
      <c r="J96" s="43">
        <v>36.753</v>
      </c>
      <c r="K96" s="43">
        <v>37.499000000000002</v>
      </c>
      <c r="L96" s="43">
        <v>38.264000000000003</v>
      </c>
      <c r="M96" s="43">
        <v>39.029000000000003</v>
      </c>
      <c r="N96" s="43">
        <v>39.793999999999997</v>
      </c>
      <c r="O96" s="43">
        <v>40.558999999999997</v>
      </c>
      <c r="P96" s="43">
        <v>41.323999999999998</v>
      </c>
      <c r="Q96" s="43">
        <v>41.861800000000002</v>
      </c>
      <c r="R96" s="43">
        <v>42.3996</v>
      </c>
      <c r="S96" s="43">
        <v>42.937399999999997</v>
      </c>
      <c r="T96" s="43">
        <v>43.475200000000001</v>
      </c>
      <c r="U96" s="43">
        <v>44.012999999999998</v>
      </c>
      <c r="V96" s="43">
        <v>44.558199999999999</v>
      </c>
      <c r="W96" s="43">
        <v>45.103400000000001</v>
      </c>
      <c r="X96" s="43">
        <v>45.648600000000002</v>
      </c>
      <c r="Y96" s="43">
        <v>46.193800000000003</v>
      </c>
      <c r="Z96" s="43">
        <v>46.738999999999997</v>
      </c>
      <c r="AA96" s="43">
        <v>47.076000000000001</v>
      </c>
      <c r="AB96" s="43">
        <v>47.412999999999997</v>
      </c>
      <c r="AC96" s="43">
        <v>47.75</v>
      </c>
      <c r="AD96" s="43">
        <v>48.087000000000003</v>
      </c>
      <c r="AE96" s="43">
        <v>48.423999999999999</v>
      </c>
      <c r="AF96" s="43">
        <v>48.628</v>
      </c>
      <c r="AG96" s="43">
        <v>48.832000000000001</v>
      </c>
      <c r="AH96" s="43">
        <v>49.036000000000001</v>
      </c>
      <c r="AI96" s="43">
        <v>49.24</v>
      </c>
      <c r="AJ96" s="43">
        <v>49.444000000000003</v>
      </c>
      <c r="AK96" s="43">
        <v>49.678199999999997</v>
      </c>
      <c r="AL96" s="43">
        <v>49.912399999999998</v>
      </c>
      <c r="AM96" s="43">
        <v>50.146599999999999</v>
      </c>
      <c r="AN96" s="43">
        <v>50.380800000000001</v>
      </c>
      <c r="AO96" s="43">
        <v>50.615000000000002</v>
      </c>
      <c r="AP96" s="43">
        <v>50.854799999999997</v>
      </c>
      <c r="AQ96" s="43">
        <v>51.0946</v>
      </c>
      <c r="AR96" s="43">
        <v>51.334400000000002</v>
      </c>
      <c r="AS96" s="43">
        <v>51.574199999999998</v>
      </c>
      <c r="AT96" s="43">
        <v>51.814</v>
      </c>
      <c r="AU96" s="43">
        <v>51.8566</v>
      </c>
      <c r="AV96" s="43">
        <v>51.8992</v>
      </c>
      <c r="AW96" s="43">
        <v>51.941800000000001</v>
      </c>
      <c r="AX96" s="43">
        <v>51.984400000000001</v>
      </c>
      <c r="AY96" s="43">
        <v>52.027000000000001</v>
      </c>
      <c r="AZ96" s="43">
        <v>52.02</v>
      </c>
      <c r="BA96" s="43">
        <v>52.012999999999998</v>
      </c>
      <c r="BB96" s="43">
        <v>52.006</v>
      </c>
      <c r="BC96" s="43">
        <v>51.999000000000002</v>
      </c>
      <c r="BD96" s="43">
        <v>51.991999999999997</v>
      </c>
      <c r="BE96" s="43">
        <v>52.073999999999998</v>
      </c>
      <c r="BF96" s="43">
        <v>52.155999999999999</v>
      </c>
      <c r="BG96" s="43"/>
      <c r="BH96" s="44">
        <f t="shared" si="2"/>
        <v>42.894259259259265</v>
      </c>
      <c r="BI96" s="44">
        <f t="shared" si="3"/>
        <v>51.163760000000003</v>
      </c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2"/>
      <c r="CG96" s="42"/>
      <c r="CH96" s="42"/>
      <c r="CI96" s="42"/>
      <c r="CJ96" s="42"/>
      <c r="CK96" s="42"/>
      <c r="CL96" s="42"/>
      <c r="CM96" s="42"/>
      <c r="CN96" s="42"/>
      <c r="CO96" s="42"/>
      <c r="CP96" s="42"/>
      <c r="CQ96" s="42"/>
    </row>
    <row r="97" spans="1:95">
      <c r="A97" s="41">
        <v>29</v>
      </c>
      <c r="B97" s="41" t="s">
        <v>138</v>
      </c>
      <c r="C97" s="2">
        <v>4</v>
      </c>
      <c r="D97" s="2">
        <v>5086.3358040000003</v>
      </c>
      <c r="E97" s="2">
        <v>1</v>
      </c>
      <c r="F97" s="2">
        <v>15.523966666666665</v>
      </c>
      <c r="G97" s="43">
        <v>3.2158000000000002</v>
      </c>
      <c r="H97" s="43">
        <v>3.3715999999999999</v>
      </c>
      <c r="I97" s="43">
        <v>3.5274000000000001</v>
      </c>
      <c r="J97" s="43">
        <v>3.6831999999999998</v>
      </c>
      <c r="K97" s="43">
        <v>3.839</v>
      </c>
      <c r="L97" s="43">
        <v>4.6379999999999999</v>
      </c>
      <c r="M97" s="43">
        <v>5.4370000000000003</v>
      </c>
      <c r="N97" s="43">
        <v>6.2359999999999998</v>
      </c>
      <c r="O97" s="43">
        <v>7.0350000000000001</v>
      </c>
      <c r="P97" s="43">
        <v>7.8339999999999996</v>
      </c>
      <c r="Q97" s="43">
        <v>8.6440000000000001</v>
      </c>
      <c r="R97" s="43">
        <v>9.4540000000000006</v>
      </c>
      <c r="S97" s="43">
        <v>10.263999999999999</v>
      </c>
      <c r="T97" s="43">
        <v>11.074</v>
      </c>
      <c r="U97" s="43">
        <v>11.884</v>
      </c>
      <c r="V97" s="43">
        <v>12.803000000000001</v>
      </c>
      <c r="W97" s="43">
        <v>13.722</v>
      </c>
      <c r="X97" s="43">
        <v>14.641</v>
      </c>
      <c r="Y97" s="43">
        <v>15.56</v>
      </c>
      <c r="Z97" s="43">
        <v>16.478999999999999</v>
      </c>
      <c r="AA97" s="43">
        <v>18.527999999999999</v>
      </c>
      <c r="AB97" s="43">
        <v>20.577000000000002</v>
      </c>
      <c r="AC97" s="43">
        <v>22.626000000000001</v>
      </c>
      <c r="AD97" s="43">
        <v>24.675000000000001</v>
      </c>
      <c r="AE97" s="43">
        <v>26.724</v>
      </c>
      <c r="AF97" s="43">
        <v>29.765799999999999</v>
      </c>
      <c r="AG97" s="43">
        <v>32.807600000000001</v>
      </c>
      <c r="AH97" s="43">
        <v>35.849400000000003</v>
      </c>
      <c r="AI97" s="43">
        <v>38.891199999999998</v>
      </c>
      <c r="AJ97" s="43">
        <v>41.933</v>
      </c>
      <c r="AK97" s="43">
        <v>43.342599999999997</v>
      </c>
      <c r="AL97" s="43">
        <v>44.752200000000002</v>
      </c>
      <c r="AM97" s="43">
        <v>46.161799999999999</v>
      </c>
      <c r="AN97" s="43">
        <v>47.571399999999997</v>
      </c>
      <c r="AO97" s="43">
        <v>48.981000000000002</v>
      </c>
      <c r="AP97" s="43">
        <v>49.828600000000002</v>
      </c>
      <c r="AQ97" s="43">
        <v>50.676200000000001</v>
      </c>
      <c r="AR97" s="43">
        <v>51.523800000000001</v>
      </c>
      <c r="AS97" s="43">
        <v>52.371400000000001</v>
      </c>
      <c r="AT97" s="43">
        <v>53.219000000000001</v>
      </c>
      <c r="AU97" s="43">
        <v>54.039200000000001</v>
      </c>
      <c r="AV97" s="43">
        <v>54.859400000000001</v>
      </c>
      <c r="AW97" s="43">
        <v>55.679600000000001</v>
      </c>
      <c r="AX97" s="43">
        <v>56.4998</v>
      </c>
      <c r="AY97" s="43">
        <v>57.32</v>
      </c>
      <c r="AZ97" s="43">
        <v>58.051400000000001</v>
      </c>
      <c r="BA97" s="43">
        <v>58.782800000000002</v>
      </c>
      <c r="BB97" s="43">
        <v>59.514200000000002</v>
      </c>
      <c r="BC97" s="43">
        <v>60.245600000000003</v>
      </c>
      <c r="BD97" s="43">
        <v>60.976999999999997</v>
      </c>
      <c r="BE97" s="43">
        <v>61.614800000000002</v>
      </c>
      <c r="BF97" s="43">
        <v>62.252600000000001</v>
      </c>
      <c r="BG97" s="43"/>
      <c r="BH97" s="44">
        <f t="shared" si="2"/>
        <v>12.927607407407406</v>
      </c>
      <c r="BI97" s="44">
        <f t="shared" si="3"/>
        <v>52.197520000000026</v>
      </c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2"/>
      <c r="CG97" s="42"/>
      <c r="CH97" s="42"/>
      <c r="CI97" s="42"/>
      <c r="CJ97" s="42"/>
      <c r="CK97" s="42"/>
      <c r="CL97" s="42"/>
      <c r="CM97" s="42"/>
      <c r="CN97" s="42"/>
      <c r="CO97" s="42"/>
      <c r="CP97" s="42"/>
      <c r="CQ97" s="42"/>
    </row>
    <row r="98" spans="1:95">
      <c r="A98" s="41">
        <v>112</v>
      </c>
      <c r="B98" s="41" t="s">
        <v>85</v>
      </c>
      <c r="C98" s="2">
        <v>4</v>
      </c>
      <c r="D98" s="2">
        <v>3972.8567200000002</v>
      </c>
      <c r="E98" s="2">
        <v>1</v>
      </c>
      <c r="F98" s="2">
        <v>59.62833333333333</v>
      </c>
      <c r="G98" s="43">
        <v>51.555599999999998</v>
      </c>
      <c r="H98" s="43">
        <v>52.232199999999999</v>
      </c>
      <c r="I98" s="43">
        <v>52.908799999999999</v>
      </c>
      <c r="J98" s="43">
        <v>53.5854</v>
      </c>
      <c r="K98" s="43">
        <v>54.262</v>
      </c>
      <c r="L98" s="43">
        <v>54.6038</v>
      </c>
      <c r="M98" s="43">
        <v>54.945599999999999</v>
      </c>
      <c r="N98" s="43">
        <v>55.287399999999998</v>
      </c>
      <c r="O98" s="43">
        <v>55.629199999999997</v>
      </c>
      <c r="P98" s="43">
        <v>55.970999999999997</v>
      </c>
      <c r="Q98" s="43">
        <v>56.306800000000003</v>
      </c>
      <c r="R98" s="43">
        <v>56.642600000000002</v>
      </c>
      <c r="S98" s="43">
        <v>56.978400000000001</v>
      </c>
      <c r="T98" s="43">
        <v>57.3142</v>
      </c>
      <c r="U98" s="43">
        <v>57.65</v>
      </c>
      <c r="V98" s="43">
        <v>58.107799999999997</v>
      </c>
      <c r="W98" s="43">
        <v>58.565600000000003</v>
      </c>
      <c r="X98" s="43">
        <v>59.023400000000002</v>
      </c>
      <c r="Y98" s="43">
        <v>59.481200000000001</v>
      </c>
      <c r="Z98" s="43">
        <v>59.939</v>
      </c>
      <c r="AA98" s="43">
        <v>61.203000000000003</v>
      </c>
      <c r="AB98" s="43">
        <v>62.466999999999999</v>
      </c>
      <c r="AC98" s="43">
        <v>63.731000000000002</v>
      </c>
      <c r="AD98" s="43">
        <v>64.995000000000005</v>
      </c>
      <c r="AE98" s="43">
        <v>66.259</v>
      </c>
      <c r="AF98" s="43">
        <v>67.453000000000003</v>
      </c>
      <c r="AG98" s="43">
        <v>68.647000000000006</v>
      </c>
      <c r="AH98" s="43">
        <v>69.840999999999994</v>
      </c>
      <c r="AI98" s="43">
        <v>71.034999999999997</v>
      </c>
      <c r="AJ98" s="43">
        <v>72.228999999999999</v>
      </c>
      <c r="AK98" s="43">
        <v>73.456199999999995</v>
      </c>
      <c r="AL98" s="43">
        <v>74.683400000000006</v>
      </c>
      <c r="AM98" s="43">
        <v>75.910600000000002</v>
      </c>
      <c r="AN98" s="43">
        <v>77.137799999999999</v>
      </c>
      <c r="AO98" s="43">
        <v>78.364999999999995</v>
      </c>
      <c r="AP98" s="43">
        <v>78.653599999999997</v>
      </c>
      <c r="AQ98" s="43">
        <v>78.9422</v>
      </c>
      <c r="AR98" s="43">
        <v>79.230800000000002</v>
      </c>
      <c r="AS98" s="43">
        <v>79.519400000000005</v>
      </c>
      <c r="AT98" s="43">
        <v>79.808000000000007</v>
      </c>
      <c r="AU98" s="43">
        <v>80.081800000000001</v>
      </c>
      <c r="AV98" s="43">
        <v>80.355599999999995</v>
      </c>
      <c r="AW98" s="43">
        <v>80.629400000000004</v>
      </c>
      <c r="AX98" s="43">
        <v>80.903199999999998</v>
      </c>
      <c r="AY98" s="43">
        <v>81.177000000000007</v>
      </c>
      <c r="AZ98" s="43">
        <v>81.436199999999999</v>
      </c>
      <c r="BA98" s="43">
        <v>81.695400000000006</v>
      </c>
      <c r="BB98" s="43">
        <v>81.954599999999999</v>
      </c>
      <c r="BC98" s="43">
        <v>82.213800000000006</v>
      </c>
      <c r="BD98" s="43">
        <v>82.472999999999999</v>
      </c>
      <c r="BE98" s="43">
        <v>82.711799999999997</v>
      </c>
      <c r="BF98" s="43">
        <v>82.950599999999994</v>
      </c>
      <c r="BG98" s="43"/>
      <c r="BH98" s="44">
        <f t="shared" si="2"/>
        <v>58.360925925925919</v>
      </c>
      <c r="BI98" s="44">
        <f t="shared" si="3"/>
        <v>78.695776000000009</v>
      </c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2"/>
      <c r="CG98" s="42"/>
      <c r="CH98" s="42"/>
      <c r="CI98" s="42"/>
      <c r="CJ98" s="42"/>
      <c r="CK98" s="42"/>
      <c r="CL98" s="42"/>
      <c r="CM98" s="42"/>
      <c r="CN98" s="42"/>
      <c r="CO98" s="42"/>
      <c r="CP98" s="42"/>
      <c r="CQ98" s="42"/>
    </row>
    <row r="99" spans="1:95">
      <c r="A99" s="41">
        <v>50</v>
      </c>
      <c r="B99" s="41" t="s">
        <v>125</v>
      </c>
      <c r="C99" s="2">
        <v>4</v>
      </c>
      <c r="D99" s="2">
        <v>3854.8369659999998</v>
      </c>
      <c r="E99" s="2">
        <v>1</v>
      </c>
      <c r="F99" s="2">
        <v>43.829799999999999</v>
      </c>
      <c r="G99" s="43">
        <v>32.3354</v>
      </c>
      <c r="H99" s="43">
        <v>33.069800000000001</v>
      </c>
      <c r="I99" s="43">
        <v>33.804200000000002</v>
      </c>
      <c r="J99" s="43">
        <v>34.538600000000002</v>
      </c>
      <c r="K99" s="43">
        <v>35.273000000000003</v>
      </c>
      <c r="L99" s="43">
        <v>36.044199999999996</v>
      </c>
      <c r="M99" s="43">
        <v>36.815399999999997</v>
      </c>
      <c r="N99" s="43">
        <v>37.586599999999997</v>
      </c>
      <c r="O99" s="43">
        <v>38.357799999999997</v>
      </c>
      <c r="P99" s="43">
        <v>39.128999999999998</v>
      </c>
      <c r="Q99" s="43">
        <v>39.956000000000003</v>
      </c>
      <c r="R99" s="43">
        <v>40.783000000000001</v>
      </c>
      <c r="S99" s="43">
        <v>41.61</v>
      </c>
      <c r="T99" s="43">
        <v>42.436999999999998</v>
      </c>
      <c r="U99" s="43">
        <v>43.264000000000003</v>
      </c>
      <c r="V99" s="43">
        <v>44.182600000000001</v>
      </c>
      <c r="W99" s="43">
        <v>45.101199999999999</v>
      </c>
      <c r="X99" s="43">
        <v>46.019799999999996</v>
      </c>
      <c r="Y99" s="43">
        <v>46.938400000000001</v>
      </c>
      <c r="Z99" s="43">
        <v>47.856999999999999</v>
      </c>
      <c r="AA99" s="43">
        <v>48.729799999999997</v>
      </c>
      <c r="AB99" s="43">
        <v>49.602600000000002</v>
      </c>
      <c r="AC99" s="43">
        <v>50.4754</v>
      </c>
      <c r="AD99" s="43">
        <v>51.348199999999999</v>
      </c>
      <c r="AE99" s="43">
        <v>52.220999999999997</v>
      </c>
      <c r="AF99" s="43">
        <v>52.641599999999997</v>
      </c>
      <c r="AG99" s="43">
        <v>53.062199999999997</v>
      </c>
      <c r="AH99" s="43">
        <v>53.482799999999997</v>
      </c>
      <c r="AI99" s="43">
        <v>53.903399999999998</v>
      </c>
      <c r="AJ99" s="43">
        <v>54.323999999999998</v>
      </c>
      <c r="AK99" s="43">
        <v>54.741799999999998</v>
      </c>
      <c r="AL99" s="43">
        <v>55.159599999999998</v>
      </c>
      <c r="AM99" s="43">
        <v>55.577399999999997</v>
      </c>
      <c r="AN99" s="43">
        <v>55.995199999999997</v>
      </c>
      <c r="AO99" s="43">
        <v>56.412999999999997</v>
      </c>
      <c r="AP99" s="43">
        <v>56.869399999999999</v>
      </c>
      <c r="AQ99" s="43">
        <v>57.325800000000001</v>
      </c>
      <c r="AR99" s="43">
        <v>57.782200000000003</v>
      </c>
      <c r="AS99" s="43">
        <v>58.238599999999998</v>
      </c>
      <c r="AT99" s="43">
        <v>58.695</v>
      </c>
      <c r="AU99" s="43">
        <v>59.153599999999997</v>
      </c>
      <c r="AV99" s="43">
        <v>59.612200000000001</v>
      </c>
      <c r="AW99" s="43">
        <v>60.070799999999998</v>
      </c>
      <c r="AX99" s="43">
        <v>60.529400000000003</v>
      </c>
      <c r="AY99" s="43">
        <v>60.988</v>
      </c>
      <c r="AZ99" s="43">
        <v>61.435000000000002</v>
      </c>
      <c r="BA99" s="43">
        <v>61.881999999999998</v>
      </c>
      <c r="BB99" s="43">
        <v>62.329000000000001</v>
      </c>
      <c r="BC99" s="43">
        <v>62.776000000000003</v>
      </c>
      <c r="BD99" s="43">
        <v>63.222999999999999</v>
      </c>
      <c r="BE99" s="43">
        <v>63.6494</v>
      </c>
      <c r="BF99" s="43">
        <v>64.075800000000001</v>
      </c>
      <c r="BH99" s="44">
        <f t="shared" si="2"/>
        <v>42.71051111111111</v>
      </c>
      <c r="BI99" s="44">
        <f t="shared" si="3"/>
        <v>58.729296000000005</v>
      </c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2"/>
      <c r="CG99" s="42"/>
      <c r="CH99" s="42"/>
      <c r="CI99" s="42"/>
      <c r="CJ99" s="42"/>
      <c r="CK99" s="42"/>
      <c r="CL99" s="42"/>
      <c r="CM99" s="42"/>
      <c r="CN99" s="42"/>
      <c r="CO99" s="42"/>
      <c r="CP99" s="42"/>
      <c r="CQ99" s="42"/>
    </row>
    <row r="100" spans="1:95">
      <c r="A100" s="41">
        <v>65</v>
      </c>
      <c r="B100" s="41" t="s">
        <v>113</v>
      </c>
      <c r="C100" s="2">
        <v>4</v>
      </c>
      <c r="D100" s="2">
        <v>3591.4353550000001</v>
      </c>
      <c r="E100" s="2">
        <v>1</v>
      </c>
      <c r="F100" s="2">
        <v>42.565466666666666</v>
      </c>
      <c r="G100" s="43">
        <v>38.457799999999999</v>
      </c>
      <c r="H100" s="43">
        <v>38.570599999999999</v>
      </c>
      <c r="I100" s="43">
        <v>38.683399999999999</v>
      </c>
      <c r="J100" s="43">
        <v>38.796199999999999</v>
      </c>
      <c r="K100" s="43">
        <v>38.908999999999999</v>
      </c>
      <c r="L100" s="43">
        <v>39.007599999999996</v>
      </c>
      <c r="M100" s="43">
        <v>39.106200000000001</v>
      </c>
      <c r="N100" s="43">
        <v>39.204799999999999</v>
      </c>
      <c r="O100" s="43">
        <v>39.303400000000003</v>
      </c>
      <c r="P100" s="43">
        <v>39.402000000000001</v>
      </c>
      <c r="Q100" s="43">
        <v>39.823599999999999</v>
      </c>
      <c r="R100" s="43">
        <v>40.245199999999997</v>
      </c>
      <c r="S100" s="43">
        <v>40.666800000000002</v>
      </c>
      <c r="T100" s="43">
        <v>41.0884</v>
      </c>
      <c r="U100" s="43">
        <v>41.51</v>
      </c>
      <c r="V100" s="43">
        <v>42.019599999999997</v>
      </c>
      <c r="W100" s="43">
        <v>42.529200000000003</v>
      </c>
      <c r="X100" s="43">
        <v>43.038800000000002</v>
      </c>
      <c r="Y100" s="43">
        <v>43.548400000000001</v>
      </c>
      <c r="Z100" s="43">
        <v>44.058</v>
      </c>
      <c r="AA100" s="43">
        <v>44.573599999999999</v>
      </c>
      <c r="AB100" s="43">
        <v>45.089199999999998</v>
      </c>
      <c r="AC100" s="43">
        <v>45.604799999999997</v>
      </c>
      <c r="AD100" s="43">
        <v>46.120399999999997</v>
      </c>
      <c r="AE100" s="43">
        <v>46.636000000000003</v>
      </c>
      <c r="AF100" s="43">
        <v>47.1554</v>
      </c>
      <c r="AG100" s="43">
        <v>47.674799999999998</v>
      </c>
      <c r="AH100" s="43">
        <v>48.194200000000002</v>
      </c>
      <c r="AI100" s="43">
        <v>48.7136</v>
      </c>
      <c r="AJ100" s="43">
        <v>49.232999999999997</v>
      </c>
      <c r="AK100" s="43">
        <v>50.1798</v>
      </c>
      <c r="AL100" s="43">
        <v>51.126600000000003</v>
      </c>
      <c r="AM100" s="43">
        <v>52.073399999999999</v>
      </c>
      <c r="AN100" s="43">
        <v>53.020200000000003</v>
      </c>
      <c r="AO100" s="43">
        <v>53.966999999999999</v>
      </c>
      <c r="AP100" s="43">
        <v>54.956000000000003</v>
      </c>
      <c r="AQ100" s="43">
        <v>55.945</v>
      </c>
      <c r="AR100" s="43">
        <v>56.933999999999997</v>
      </c>
      <c r="AS100" s="43">
        <v>57.923000000000002</v>
      </c>
      <c r="AT100" s="43">
        <v>58.911999999999999</v>
      </c>
      <c r="AU100" s="43">
        <v>59.459200000000003</v>
      </c>
      <c r="AV100" s="43">
        <v>60.006399999999999</v>
      </c>
      <c r="AW100" s="43">
        <v>60.553600000000003</v>
      </c>
      <c r="AX100" s="43">
        <v>61.1008</v>
      </c>
      <c r="AY100" s="43">
        <v>61.648000000000003</v>
      </c>
      <c r="AZ100" s="43">
        <v>62.174399999999999</v>
      </c>
      <c r="BA100" s="43">
        <v>62.700800000000001</v>
      </c>
      <c r="BB100" s="43">
        <v>63.227200000000003</v>
      </c>
      <c r="BC100" s="43">
        <v>63.753599999999999</v>
      </c>
      <c r="BD100" s="43">
        <v>64.28</v>
      </c>
      <c r="BE100" s="43">
        <v>64.763400000000004</v>
      </c>
      <c r="BF100" s="43">
        <v>65.246799999999993</v>
      </c>
      <c r="BG100" s="43"/>
      <c r="BH100" s="44">
        <f t="shared" si="2"/>
        <v>41.882340740740744</v>
      </c>
      <c r="BI100" s="44">
        <f t="shared" si="3"/>
        <v>57.603680000000004</v>
      </c>
      <c r="BJ100" s="44"/>
      <c r="BK100" s="44"/>
      <c r="BL100" s="44"/>
      <c r="BM100" s="44"/>
      <c r="BN100" s="44"/>
      <c r="BO100" s="44"/>
      <c r="BP100" s="44"/>
      <c r="BQ100" s="44"/>
      <c r="BR100" s="44"/>
      <c r="BS100" s="44"/>
      <c r="BT100" s="44"/>
      <c r="BU100" s="44"/>
      <c r="BV100" s="44"/>
      <c r="BW100" s="44"/>
      <c r="BX100" s="44"/>
      <c r="BY100" s="44"/>
      <c r="BZ100" s="44"/>
      <c r="CA100" s="44"/>
      <c r="CB100" s="44"/>
      <c r="CC100" s="44"/>
      <c r="CD100" s="44"/>
      <c r="CE100" s="44"/>
      <c r="CF100" s="42"/>
      <c r="CG100" s="42"/>
      <c r="CH100" s="42"/>
      <c r="CI100" s="42"/>
      <c r="CJ100" s="42"/>
      <c r="CK100" s="42"/>
      <c r="CL100" s="42"/>
      <c r="CM100" s="42"/>
      <c r="CN100" s="42"/>
      <c r="CO100" s="42"/>
      <c r="CP100" s="42"/>
      <c r="CQ100" s="42"/>
    </row>
    <row r="101" spans="1:95">
      <c r="A101" s="41">
        <v>211</v>
      </c>
      <c r="B101" s="41" t="s">
        <v>21</v>
      </c>
      <c r="C101" s="2">
        <v>4</v>
      </c>
      <c r="D101" s="2">
        <v>3158.4667899999999</v>
      </c>
      <c r="E101" s="2">
        <v>1</v>
      </c>
      <c r="F101" s="2">
        <v>44.512133333333331</v>
      </c>
      <c r="G101" s="43">
        <v>37.407600000000002</v>
      </c>
      <c r="H101" s="43">
        <v>38.057200000000002</v>
      </c>
      <c r="I101" s="43">
        <v>38.706800000000001</v>
      </c>
      <c r="J101" s="43">
        <v>39.356400000000001</v>
      </c>
      <c r="K101" s="43">
        <v>40.006</v>
      </c>
      <c r="L101" s="43">
        <v>40.6738</v>
      </c>
      <c r="M101" s="43">
        <v>41.3416</v>
      </c>
      <c r="N101" s="43">
        <v>42.009399999999999</v>
      </c>
      <c r="O101" s="43">
        <v>42.677199999999999</v>
      </c>
      <c r="P101" s="43">
        <v>43.344999999999999</v>
      </c>
      <c r="Q101" s="43">
        <v>43.688200000000002</v>
      </c>
      <c r="R101" s="43">
        <v>44.031399999999998</v>
      </c>
      <c r="S101" s="43">
        <v>44.374600000000001</v>
      </c>
      <c r="T101" s="43">
        <v>44.717799999999997</v>
      </c>
      <c r="U101" s="43">
        <v>45.061</v>
      </c>
      <c r="V101" s="43">
        <v>45.3904</v>
      </c>
      <c r="W101" s="43">
        <v>45.719799999999999</v>
      </c>
      <c r="X101" s="43">
        <v>46.049199999999999</v>
      </c>
      <c r="Y101" s="43">
        <v>46.378599999999999</v>
      </c>
      <c r="Z101" s="43">
        <v>46.707999999999998</v>
      </c>
      <c r="AA101" s="43">
        <v>46.944600000000001</v>
      </c>
      <c r="AB101" s="43">
        <v>47.181199999999997</v>
      </c>
      <c r="AC101" s="43">
        <v>47.4178</v>
      </c>
      <c r="AD101" s="43">
        <v>47.654400000000003</v>
      </c>
      <c r="AE101" s="43">
        <v>47.890999999999998</v>
      </c>
      <c r="AF101" s="43">
        <v>48.098999999999997</v>
      </c>
      <c r="AG101" s="43">
        <v>48.307000000000002</v>
      </c>
      <c r="AH101" s="43">
        <v>48.515000000000001</v>
      </c>
      <c r="AI101" s="43">
        <v>48.722999999999999</v>
      </c>
      <c r="AJ101" s="43">
        <v>48.930999999999997</v>
      </c>
      <c r="AK101" s="43">
        <v>49.165599999999998</v>
      </c>
      <c r="AL101" s="43">
        <v>49.400199999999998</v>
      </c>
      <c r="AM101" s="43">
        <v>49.634799999999998</v>
      </c>
      <c r="AN101" s="43">
        <v>49.869399999999999</v>
      </c>
      <c r="AO101" s="43">
        <v>50.103999999999999</v>
      </c>
      <c r="AP101" s="43">
        <v>50.4726</v>
      </c>
      <c r="AQ101" s="43">
        <v>50.841200000000001</v>
      </c>
      <c r="AR101" s="43">
        <v>51.209800000000001</v>
      </c>
      <c r="AS101" s="43">
        <v>51.578400000000002</v>
      </c>
      <c r="AT101" s="43">
        <v>51.947000000000003</v>
      </c>
      <c r="AU101" s="43">
        <v>52.3142</v>
      </c>
      <c r="AV101" s="43">
        <v>52.681399999999996</v>
      </c>
      <c r="AW101" s="43">
        <v>53.0486</v>
      </c>
      <c r="AX101" s="43">
        <v>53.415799999999997</v>
      </c>
      <c r="AY101" s="43">
        <v>53.783000000000001</v>
      </c>
      <c r="AZ101" s="43">
        <v>54.161000000000001</v>
      </c>
      <c r="BA101" s="43">
        <v>54.539000000000001</v>
      </c>
      <c r="BB101" s="43">
        <v>54.917000000000002</v>
      </c>
      <c r="BC101" s="43">
        <v>55.295000000000002</v>
      </c>
      <c r="BD101" s="43">
        <v>55.673000000000002</v>
      </c>
      <c r="BE101" s="43">
        <v>56.068600000000004</v>
      </c>
      <c r="BF101" s="43">
        <v>56.464199999999998</v>
      </c>
      <c r="BG101" s="43"/>
      <c r="BH101" s="44">
        <f t="shared" si="2"/>
        <v>44.044259259259256</v>
      </c>
      <c r="BI101" s="44">
        <f t="shared" si="3"/>
        <v>52.110112000000001</v>
      </c>
      <c r="BJ101" s="44"/>
      <c r="BK101" s="44"/>
      <c r="BL101" s="44"/>
      <c r="BM101" s="44"/>
      <c r="BN101" s="44"/>
      <c r="BO101" s="44"/>
      <c r="BP101" s="44"/>
      <c r="BQ101" s="44"/>
      <c r="BR101" s="44"/>
      <c r="BS101" s="44"/>
      <c r="BT101" s="44"/>
      <c r="BU101" s="44"/>
      <c r="BV101" s="44"/>
      <c r="BW101" s="44"/>
      <c r="BX101" s="44"/>
      <c r="BY101" s="44"/>
      <c r="BZ101" s="44"/>
      <c r="CA101" s="44"/>
      <c r="CB101" s="44"/>
      <c r="CC101" s="44"/>
      <c r="CD101" s="44"/>
      <c r="CE101" s="44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</row>
    <row r="102" spans="1:95">
      <c r="A102" s="41">
        <v>208</v>
      </c>
      <c r="B102" s="41" t="s">
        <v>24</v>
      </c>
      <c r="C102" s="2">
        <v>4</v>
      </c>
      <c r="D102" s="2">
        <v>2866.6203620000001</v>
      </c>
      <c r="E102" s="2">
        <v>1</v>
      </c>
      <c r="F102" s="2">
        <v>14.193833333333336</v>
      </c>
      <c r="G102" s="43">
        <v>4.4291999999999998</v>
      </c>
      <c r="H102" s="43">
        <v>4.9454000000000002</v>
      </c>
      <c r="I102" s="43">
        <v>5.4615999999999998</v>
      </c>
      <c r="J102" s="43">
        <v>5.9778000000000002</v>
      </c>
      <c r="K102" s="43">
        <v>6.4939999999999998</v>
      </c>
      <c r="L102" s="43">
        <v>7.1361999999999997</v>
      </c>
      <c r="M102" s="43">
        <v>7.7784000000000004</v>
      </c>
      <c r="N102" s="43">
        <v>8.4206000000000003</v>
      </c>
      <c r="O102" s="43">
        <v>9.0627999999999993</v>
      </c>
      <c r="P102" s="43">
        <v>9.7050000000000001</v>
      </c>
      <c r="Q102" s="43">
        <v>10.5648</v>
      </c>
      <c r="R102" s="43">
        <v>11.4246</v>
      </c>
      <c r="S102" s="43">
        <v>12.2844</v>
      </c>
      <c r="T102" s="43">
        <v>13.1442</v>
      </c>
      <c r="U102" s="43">
        <v>14.004</v>
      </c>
      <c r="V102" s="43">
        <v>14.772399999999999</v>
      </c>
      <c r="W102" s="43">
        <v>15.540800000000001</v>
      </c>
      <c r="X102" s="43">
        <v>16.309200000000001</v>
      </c>
      <c r="Y102" s="43">
        <v>17.0776</v>
      </c>
      <c r="Z102" s="43">
        <v>17.846</v>
      </c>
      <c r="AA102" s="43">
        <v>18.637599999999999</v>
      </c>
      <c r="AB102" s="43">
        <v>19.429200000000002</v>
      </c>
      <c r="AC102" s="43">
        <v>20.220800000000001</v>
      </c>
      <c r="AD102" s="43">
        <v>21.0124</v>
      </c>
      <c r="AE102" s="43">
        <v>21.803999999999998</v>
      </c>
      <c r="AF102" s="43">
        <v>22.024799999999999</v>
      </c>
      <c r="AG102" s="43">
        <v>22.2456</v>
      </c>
      <c r="AH102" s="43">
        <v>22.4664</v>
      </c>
      <c r="AI102" s="43">
        <v>22.687200000000001</v>
      </c>
      <c r="AJ102" s="43">
        <v>22.908000000000001</v>
      </c>
      <c r="AK102" s="43">
        <v>22.936</v>
      </c>
      <c r="AL102" s="43">
        <v>22.963999999999999</v>
      </c>
      <c r="AM102" s="43">
        <v>22.992000000000001</v>
      </c>
      <c r="AN102" s="43">
        <v>23.02</v>
      </c>
      <c r="AO102" s="43">
        <v>23.047999999999998</v>
      </c>
      <c r="AP102" s="43">
        <v>22.966000000000001</v>
      </c>
      <c r="AQ102" s="43">
        <v>22.884</v>
      </c>
      <c r="AR102" s="43">
        <v>22.802</v>
      </c>
      <c r="AS102" s="43">
        <v>22.72</v>
      </c>
      <c r="AT102" s="43">
        <v>22.638000000000002</v>
      </c>
      <c r="AU102" s="43">
        <v>22.493600000000001</v>
      </c>
      <c r="AV102" s="43">
        <v>22.3492</v>
      </c>
      <c r="AW102" s="43">
        <v>22.204799999999999</v>
      </c>
      <c r="AX102" s="43">
        <v>22.060400000000001</v>
      </c>
      <c r="AY102" s="43">
        <v>21.916</v>
      </c>
      <c r="AZ102" s="43">
        <v>21.795999999999999</v>
      </c>
      <c r="BA102" s="43">
        <v>21.675999999999998</v>
      </c>
      <c r="BB102" s="43">
        <v>21.556000000000001</v>
      </c>
      <c r="BC102" s="43">
        <v>21.436</v>
      </c>
      <c r="BD102" s="43">
        <v>21.315999999999999</v>
      </c>
      <c r="BE102" s="43">
        <v>21.280799999999999</v>
      </c>
      <c r="BF102" s="43">
        <v>21.2456</v>
      </c>
      <c r="BG102" s="43"/>
      <c r="BH102" s="44">
        <f t="shared" si="2"/>
        <v>13.250125925925927</v>
      </c>
      <c r="BI102" s="44">
        <f t="shared" si="3"/>
        <v>22.334479999999996</v>
      </c>
      <c r="BJ102" s="44"/>
      <c r="BK102" s="44"/>
      <c r="BL102" s="44"/>
      <c r="BM102" s="44"/>
      <c r="BN102" s="44"/>
      <c r="BO102" s="44"/>
      <c r="BP102" s="44"/>
      <c r="BQ102" s="44"/>
      <c r="BR102" s="44"/>
      <c r="BS102" s="44"/>
      <c r="BT102" s="44"/>
      <c r="BU102" s="44"/>
      <c r="BV102" s="44"/>
      <c r="BW102" s="44"/>
      <c r="BX102" s="44"/>
      <c r="BY102" s="44"/>
      <c r="BZ102" s="44"/>
      <c r="CA102" s="44"/>
      <c r="CB102" s="44"/>
      <c r="CC102" s="44"/>
      <c r="CD102" s="44"/>
      <c r="CE102" s="44"/>
      <c r="CF102" s="42"/>
      <c r="CG102" s="42"/>
      <c r="CH102" s="42"/>
      <c r="CI102" s="42"/>
      <c r="CJ102" s="42"/>
      <c r="CK102" s="42"/>
      <c r="CL102" s="42"/>
      <c r="CM102" s="42"/>
      <c r="CN102" s="42"/>
      <c r="CO102" s="42"/>
      <c r="CP102" s="42"/>
      <c r="CQ102" s="42"/>
    </row>
    <row r="103" spans="1:95">
      <c r="A103" s="41">
        <v>148</v>
      </c>
      <c r="B103" s="41" t="s">
        <v>61</v>
      </c>
      <c r="C103" s="2">
        <v>4</v>
      </c>
      <c r="D103" s="2">
        <v>2450.349968</v>
      </c>
      <c r="E103" s="2">
        <v>1</v>
      </c>
      <c r="F103" s="2">
        <v>38.469900000000003</v>
      </c>
      <c r="G103" s="43">
        <v>29.858000000000001</v>
      </c>
      <c r="H103" s="43">
        <v>30.359000000000002</v>
      </c>
      <c r="I103" s="43">
        <v>30.86</v>
      </c>
      <c r="J103" s="43">
        <v>31.361000000000001</v>
      </c>
      <c r="K103" s="43">
        <v>31.861999999999998</v>
      </c>
      <c r="L103" s="43">
        <v>32.384999999999998</v>
      </c>
      <c r="M103" s="43">
        <v>32.908000000000001</v>
      </c>
      <c r="N103" s="43">
        <v>33.430999999999997</v>
      </c>
      <c r="O103" s="43">
        <v>33.954000000000001</v>
      </c>
      <c r="P103" s="43">
        <v>34.476999999999997</v>
      </c>
      <c r="Q103" s="43">
        <v>35.124400000000001</v>
      </c>
      <c r="R103" s="43">
        <v>35.771799999999999</v>
      </c>
      <c r="S103" s="43">
        <v>36.419199999999996</v>
      </c>
      <c r="T103" s="43">
        <v>37.066600000000001</v>
      </c>
      <c r="U103" s="43">
        <v>37.713999999999999</v>
      </c>
      <c r="V103" s="43">
        <v>38.413200000000003</v>
      </c>
      <c r="W103" s="43">
        <v>39.112400000000001</v>
      </c>
      <c r="X103" s="43">
        <v>39.811599999999999</v>
      </c>
      <c r="Y103" s="43">
        <v>40.510800000000003</v>
      </c>
      <c r="Z103" s="43">
        <v>41.21</v>
      </c>
      <c r="AA103" s="43">
        <v>41.9238</v>
      </c>
      <c r="AB103" s="43">
        <v>42.637599999999999</v>
      </c>
      <c r="AC103" s="43">
        <v>43.351399999999998</v>
      </c>
      <c r="AD103" s="43">
        <v>44.065199999999997</v>
      </c>
      <c r="AE103" s="43">
        <v>44.779000000000003</v>
      </c>
      <c r="AF103" s="43">
        <v>45.501399999999997</v>
      </c>
      <c r="AG103" s="43">
        <v>46.223799999999997</v>
      </c>
      <c r="AH103" s="43">
        <v>46.946199999999997</v>
      </c>
      <c r="AI103" s="43">
        <v>47.668599999999998</v>
      </c>
      <c r="AJ103" s="43">
        <v>48.390999999999998</v>
      </c>
      <c r="AK103" s="43">
        <v>49.051200000000001</v>
      </c>
      <c r="AL103" s="43">
        <v>49.711399999999998</v>
      </c>
      <c r="AM103" s="43">
        <v>50.371600000000001</v>
      </c>
      <c r="AN103" s="43">
        <v>51.031799999999997</v>
      </c>
      <c r="AO103" s="43">
        <v>51.692</v>
      </c>
      <c r="AP103" s="43">
        <v>52.020600000000002</v>
      </c>
      <c r="AQ103" s="43">
        <v>52.349200000000003</v>
      </c>
      <c r="AR103" s="43">
        <v>52.677799999999998</v>
      </c>
      <c r="AS103" s="43">
        <v>53.006399999999999</v>
      </c>
      <c r="AT103" s="43">
        <v>53.335000000000001</v>
      </c>
      <c r="AU103" s="43">
        <v>53.661999999999999</v>
      </c>
      <c r="AV103" s="43">
        <v>53.988999999999997</v>
      </c>
      <c r="AW103" s="43">
        <v>54.316000000000003</v>
      </c>
      <c r="AX103" s="43">
        <v>54.643000000000001</v>
      </c>
      <c r="AY103" s="43">
        <v>54.97</v>
      </c>
      <c r="AZ103" s="43">
        <v>55.311199999999999</v>
      </c>
      <c r="BA103" s="43">
        <v>55.6524</v>
      </c>
      <c r="BB103" s="43">
        <v>55.993600000000001</v>
      </c>
      <c r="BC103" s="43">
        <v>56.334800000000001</v>
      </c>
      <c r="BD103" s="43">
        <v>56.676000000000002</v>
      </c>
      <c r="BE103" s="43">
        <v>57.040999999999997</v>
      </c>
      <c r="BF103" s="43">
        <v>57.405999999999999</v>
      </c>
      <c r="BG103" s="43"/>
      <c r="BH103" s="44">
        <f t="shared" si="2"/>
        <v>37.447822222222221</v>
      </c>
      <c r="BI103" s="44">
        <f t="shared" si="3"/>
        <v>52.969912000000001</v>
      </c>
      <c r="BJ103" s="44"/>
      <c r="BK103" s="44"/>
      <c r="BL103" s="44"/>
      <c r="BM103" s="44"/>
      <c r="BN103" s="44"/>
      <c r="BO103" s="44"/>
      <c r="BP103" s="44"/>
      <c r="BQ103" s="44"/>
      <c r="BR103" s="44"/>
      <c r="BS103" s="44"/>
      <c r="BT103" s="44"/>
      <c r="BU103" s="44"/>
      <c r="BV103" s="44"/>
      <c r="BW103" s="44"/>
      <c r="BX103" s="44"/>
      <c r="BY103" s="44"/>
      <c r="BZ103" s="44"/>
      <c r="CA103" s="44"/>
      <c r="CB103" s="44"/>
      <c r="CC103" s="44"/>
      <c r="CD103" s="44"/>
      <c r="CE103" s="44"/>
      <c r="CF103" s="42"/>
      <c r="CG103" s="42"/>
      <c r="CH103" s="42"/>
      <c r="CI103" s="42"/>
      <c r="CJ103" s="42"/>
      <c r="CK103" s="42"/>
      <c r="CL103" s="42"/>
      <c r="CM103" s="42"/>
      <c r="CN103" s="42"/>
      <c r="CO103" s="42"/>
      <c r="CP103" s="42"/>
      <c r="CQ103" s="42"/>
    </row>
    <row r="104" spans="1:95">
      <c r="A104" s="41">
        <v>146</v>
      </c>
      <c r="B104" s="41" t="s">
        <v>62</v>
      </c>
      <c r="C104" s="2">
        <v>4</v>
      </c>
      <c r="D104" s="2">
        <v>2328.6066890000002</v>
      </c>
      <c r="E104" s="2">
        <v>1</v>
      </c>
      <c r="F104" s="2">
        <v>48.572733333333318</v>
      </c>
      <c r="G104" s="43">
        <v>36.966000000000001</v>
      </c>
      <c r="H104" s="43">
        <v>38.253</v>
      </c>
      <c r="I104" s="43">
        <v>39.54</v>
      </c>
      <c r="J104" s="43">
        <v>40.826999999999998</v>
      </c>
      <c r="K104" s="43">
        <v>42.113999999999997</v>
      </c>
      <c r="L104" s="43">
        <v>42.701599999999999</v>
      </c>
      <c r="M104" s="43">
        <v>43.289200000000001</v>
      </c>
      <c r="N104" s="43">
        <v>43.876800000000003</v>
      </c>
      <c r="O104" s="43">
        <v>44.464399999999998</v>
      </c>
      <c r="P104" s="43">
        <v>45.052</v>
      </c>
      <c r="Q104" s="43">
        <v>45.772799999999997</v>
      </c>
      <c r="R104" s="43">
        <v>46.493600000000001</v>
      </c>
      <c r="S104" s="43">
        <v>47.214399999999998</v>
      </c>
      <c r="T104" s="43">
        <v>47.935200000000002</v>
      </c>
      <c r="U104" s="43">
        <v>48.655999999999999</v>
      </c>
      <c r="V104" s="43">
        <v>49.3414</v>
      </c>
      <c r="W104" s="43">
        <v>50.026800000000001</v>
      </c>
      <c r="X104" s="43">
        <v>50.712200000000003</v>
      </c>
      <c r="Y104" s="43">
        <v>51.397599999999997</v>
      </c>
      <c r="Z104" s="43">
        <v>52.082999999999998</v>
      </c>
      <c r="AA104" s="43">
        <v>52.674399999999999</v>
      </c>
      <c r="AB104" s="43">
        <v>53.265799999999999</v>
      </c>
      <c r="AC104" s="43">
        <v>53.857199999999999</v>
      </c>
      <c r="AD104" s="43">
        <v>54.448599999999999</v>
      </c>
      <c r="AE104" s="43">
        <v>55.04</v>
      </c>
      <c r="AF104" s="43">
        <v>55.438600000000001</v>
      </c>
      <c r="AG104" s="43">
        <v>55.837200000000003</v>
      </c>
      <c r="AH104" s="43">
        <v>56.235799999999998</v>
      </c>
      <c r="AI104" s="43">
        <v>56.634399999999999</v>
      </c>
      <c r="AJ104" s="43">
        <v>57.033000000000001</v>
      </c>
      <c r="AK104" s="43">
        <v>56.987400000000001</v>
      </c>
      <c r="AL104" s="43">
        <v>56.941800000000001</v>
      </c>
      <c r="AM104" s="43">
        <v>56.8962</v>
      </c>
      <c r="AN104" s="43">
        <v>56.8506</v>
      </c>
      <c r="AO104" s="43">
        <v>56.805</v>
      </c>
      <c r="AP104" s="43">
        <v>56.870600000000003</v>
      </c>
      <c r="AQ104" s="43">
        <v>56.936199999999999</v>
      </c>
      <c r="AR104" s="43">
        <v>57.001800000000003</v>
      </c>
      <c r="AS104" s="43">
        <v>57.067399999999999</v>
      </c>
      <c r="AT104" s="43">
        <v>57.133000000000003</v>
      </c>
      <c r="AU104" s="43">
        <v>58.205199999999998</v>
      </c>
      <c r="AV104" s="43">
        <v>59.2774</v>
      </c>
      <c r="AW104" s="43">
        <v>60.349600000000002</v>
      </c>
      <c r="AX104" s="43">
        <v>61.421799999999998</v>
      </c>
      <c r="AY104" s="43">
        <v>62.494</v>
      </c>
      <c r="AZ104" s="43">
        <v>63.508600000000001</v>
      </c>
      <c r="BA104" s="43">
        <v>64.523200000000003</v>
      </c>
      <c r="BB104" s="43">
        <v>65.537800000000004</v>
      </c>
      <c r="BC104" s="43">
        <v>66.552400000000006</v>
      </c>
      <c r="BD104" s="43">
        <v>67.566999999999993</v>
      </c>
      <c r="BE104" s="43">
        <v>68.458200000000005</v>
      </c>
      <c r="BF104" s="43">
        <v>69.349400000000003</v>
      </c>
      <c r="BG104" s="43"/>
      <c r="BH104" s="44">
        <f t="shared" si="2"/>
        <v>47.676992592592583</v>
      </c>
      <c r="BI104" s="44">
        <f t="shared" si="3"/>
        <v>60.265512000000015</v>
      </c>
      <c r="BJ104" s="44"/>
      <c r="BK104" s="44"/>
      <c r="BL104" s="44"/>
      <c r="BM104" s="44"/>
      <c r="BN104" s="44"/>
      <c r="BO104" s="44"/>
      <c r="BP104" s="44"/>
      <c r="BQ104" s="44"/>
      <c r="BR104" s="44"/>
      <c r="BS104" s="44"/>
      <c r="BT104" s="44"/>
      <c r="BU104" s="44"/>
      <c r="BV104" s="44"/>
      <c r="BW104" s="44"/>
      <c r="BX104" s="44"/>
      <c r="BY104" s="44"/>
      <c r="BZ104" s="44"/>
      <c r="CA104" s="44"/>
      <c r="CB104" s="44"/>
      <c r="CC104" s="44"/>
      <c r="CD104" s="44"/>
      <c r="CE104" s="44"/>
      <c r="CF104" s="42"/>
      <c r="CG104" s="42"/>
      <c r="CH104" s="42"/>
      <c r="CI104" s="42"/>
      <c r="CJ104" s="42"/>
      <c r="CK104" s="42"/>
      <c r="CL104" s="42"/>
      <c r="CM104" s="42"/>
      <c r="CN104" s="42"/>
      <c r="CO104" s="42"/>
      <c r="CP104" s="42"/>
      <c r="CQ104" s="42"/>
    </row>
    <row r="105" spans="1:95">
      <c r="A105" s="41">
        <v>102</v>
      </c>
      <c r="B105" s="41" t="s">
        <v>93</v>
      </c>
      <c r="C105" s="2">
        <v>4</v>
      </c>
      <c r="D105" s="2">
        <v>1627.763111</v>
      </c>
      <c r="E105" s="2">
        <v>1</v>
      </c>
      <c r="F105" s="2">
        <v>20.759133333333335</v>
      </c>
      <c r="G105" s="43">
        <v>14.826599999999999</v>
      </c>
      <c r="H105" s="43">
        <v>15.0672</v>
      </c>
      <c r="I105" s="43">
        <v>15.3078</v>
      </c>
      <c r="J105" s="43">
        <v>15.548400000000001</v>
      </c>
      <c r="K105" s="43">
        <v>15.789</v>
      </c>
      <c r="L105" s="43">
        <v>16.045400000000001</v>
      </c>
      <c r="M105" s="43">
        <v>16.3018</v>
      </c>
      <c r="N105" s="43">
        <v>16.558199999999999</v>
      </c>
      <c r="O105" s="43">
        <v>16.814599999999999</v>
      </c>
      <c r="P105" s="43">
        <v>17.071000000000002</v>
      </c>
      <c r="Q105" s="43">
        <v>17.520199999999999</v>
      </c>
      <c r="R105" s="43">
        <v>17.9694</v>
      </c>
      <c r="S105" s="43">
        <v>18.418600000000001</v>
      </c>
      <c r="T105" s="43">
        <v>18.867799999999999</v>
      </c>
      <c r="U105" s="43">
        <v>19.317</v>
      </c>
      <c r="V105" s="43">
        <v>19.874400000000001</v>
      </c>
      <c r="W105" s="43">
        <v>20.431799999999999</v>
      </c>
      <c r="X105" s="43">
        <v>20.9892</v>
      </c>
      <c r="Y105" s="43">
        <v>21.546600000000002</v>
      </c>
      <c r="Z105" s="43">
        <v>22.103999999999999</v>
      </c>
      <c r="AA105" s="43">
        <v>22.901</v>
      </c>
      <c r="AB105" s="43">
        <v>23.698</v>
      </c>
      <c r="AC105" s="43">
        <v>24.495000000000001</v>
      </c>
      <c r="AD105" s="43">
        <v>25.292000000000002</v>
      </c>
      <c r="AE105" s="43">
        <v>26.088999999999999</v>
      </c>
      <c r="AF105" s="43">
        <v>26.988</v>
      </c>
      <c r="AG105" s="43">
        <v>27.887</v>
      </c>
      <c r="AH105" s="43">
        <v>28.786000000000001</v>
      </c>
      <c r="AI105" s="43">
        <v>29.684999999999999</v>
      </c>
      <c r="AJ105" s="43">
        <v>30.584</v>
      </c>
      <c r="AK105" s="43">
        <v>31.577999999999999</v>
      </c>
      <c r="AL105" s="43">
        <v>32.572000000000003</v>
      </c>
      <c r="AM105" s="43">
        <v>33.566000000000003</v>
      </c>
      <c r="AN105" s="43">
        <v>34.56</v>
      </c>
      <c r="AO105" s="43">
        <v>35.554000000000002</v>
      </c>
      <c r="AP105" s="43">
        <v>36.843600000000002</v>
      </c>
      <c r="AQ105" s="43">
        <v>38.133200000000002</v>
      </c>
      <c r="AR105" s="43">
        <v>39.422800000000002</v>
      </c>
      <c r="AS105" s="43">
        <v>40.712400000000002</v>
      </c>
      <c r="AT105" s="43">
        <v>42.002000000000002</v>
      </c>
      <c r="AU105" s="43">
        <v>42.789000000000001</v>
      </c>
      <c r="AV105" s="43">
        <v>43.576000000000001</v>
      </c>
      <c r="AW105" s="43">
        <v>44.363</v>
      </c>
      <c r="AX105" s="43">
        <v>45.15</v>
      </c>
      <c r="AY105" s="43">
        <v>45.936999999999998</v>
      </c>
      <c r="AZ105" s="43">
        <v>46.734400000000001</v>
      </c>
      <c r="BA105" s="43">
        <v>47.531799999999997</v>
      </c>
      <c r="BB105" s="43">
        <v>48.3292</v>
      </c>
      <c r="BC105" s="43">
        <v>49.126600000000003</v>
      </c>
      <c r="BD105" s="43">
        <v>49.923999999999999</v>
      </c>
      <c r="BE105" s="43">
        <v>50.6858</v>
      </c>
      <c r="BF105" s="43">
        <v>51.447600000000001</v>
      </c>
      <c r="BG105" s="43"/>
      <c r="BH105" s="44">
        <f t="shared" si="2"/>
        <v>19.767370370370372</v>
      </c>
      <c r="BI105" s="44">
        <f t="shared" si="3"/>
        <v>40.783735999999998</v>
      </c>
      <c r="BJ105" s="44"/>
      <c r="BK105" s="44"/>
      <c r="BL105" s="44"/>
      <c r="BM105" s="44"/>
      <c r="BN105" s="44"/>
      <c r="BO105" s="44"/>
      <c r="BP105" s="44"/>
      <c r="BQ105" s="44"/>
      <c r="BR105" s="44"/>
      <c r="BS105" s="44"/>
      <c r="BT105" s="44"/>
      <c r="BU105" s="44"/>
      <c r="BV105" s="44"/>
      <c r="BW105" s="44"/>
      <c r="BX105" s="44"/>
      <c r="BY105" s="44"/>
      <c r="BZ105" s="44"/>
      <c r="CA105" s="44"/>
      <c r="CB105" s="44"/>
      <c r="CC105" s="44"/>
      <c r="CD105" s="44"/>
      <c r="CE105" s="44"/>
      <c r="CF105" s="42"/>
      <c r="CG105" s="42"/>
      <c r="CH105" s="42"/>
      <c r="CI105" s="42"/>
      <c r="CJ105" s="42"/>
      <c r="CK105" s="42"/>
      <c r="CL105" s="42"/>
      <c r="CM105" s="42"/>
      <c r="CN105" s="42"/>
      <c r="CO105" s="42"/>
      <c r="CP105" s="42"/>
      <c r="CQ105" s="42"/>
    </row>
    <row r="106" spans="1:95">
      <c r="A106" s="41">
        <v>139</v>
      </c>
      <c r="B106" s="41" t="s">
        <v>66</v>
      </c>
      <c r="C106" s="2">
        <v>4</v>
      </c>
      <c r="D106" s="2">
        <v>1615.7270779999999</v>
      </c>
      <c r="E106" s="2">
        <v>1</v>
      </c>
      <c r="F106" s="2">
        <v>22.357100000000003</v>
      </c>
      <c r="G106" s="43">
        <v>7.5220000000000002</v>
      </c>
      <c r="H106" s="43">
        <v>8.1639999999999997</v>
      </c>
      <c r="I106" s="43">
        <v>8.8059999999999992</v>
      </c>
      <c r="J106" s="43">
        <v>9.4480000000000004</v>
      </c>
      <c r="K106" s="43">
        <v>10.09</v>
      </c>
      <c r="L106" s="43">
        <v>10.9848</v>
      </c>
      <c r="M106" s="43">
        <v>11.8796</v>
      </c>
      <c r="N106" s="43">
        <v>12.7744</v>
      </c>
      <c r="O106" s="43">
        <v>13.6692</v>
      </c>
      <c r="P106" s="43">
        <v>14.564</v>
      </c>
      <c r="Q106" s="43">
        <v>15.765000000000001</v>
      </c>
      <c r="R106" s="43">
        <v>16.966000000000001</v>
      </c>
      <c r="S106" s="43">
        <v>18.167000000000002</v>
      </c>
      <c r="T106" s="43">
        <v>19.367999999999999</v>
      </c>
      <c r="U106" s="43">
        <v>20.568999999999999</v>
      </c>
      <c r="V106" s="43">
        <v>21.929400000000001</v>
      </c>
      <c r="W106" s="43">
        <v>23.2898</v>
      </c>
      <c r="X106" s="43">
        <v>24.650200000000002</v>
      </c>
      <c r="Y106" s="43">
        <v>26.0106</v>
      </c>
      <c r="Z106" s="43">
        <v>27.370999999999999</v>
      </c>
      <c r="AA106" s="43">
        <v>28.895600000000002</v>
      </c>
      <c r="AB106" s="43">
        <v>30.420200000000001</v>
      </c>
      <c r="AC106" s="43">
        <v>31.944800000000001</v>
      </c>
      <c r="AD106" s="43">
        <v>33.4694</v>
      </c>
      <c r="AE106" s="43">
        <v>34.994</v>
      </c>
      <c r="AF106" s="43">
        <v>35.929400000000001</v>
      </c>
      <c r="AG106" s="43">
        <v>36.864800000000002</v>
      </c>
      <c r="AH106" s="43">
        <v>37.800199999999997</v>
      </c>
      <c r="AI106" s="43">
        <v>38.735599999999998</v>
      </c>
      <c r="AJ106" s="43">
        <v>39.670999999999999</v>
      </c>
      <c r="AK106" s="43">
        <v>39.702800000000003</v>
      </c>
      <c r="AL106" s="43">
        <v>39.7346</v>
      </c>
      <c r="AM106" s="43">
        <v>39.766399999999997</v>
      </c>
      <c r="AN106" s="43">
        <v>39.798200000000001</v>
      </c>
      <c r="AO106" s="43">
        <v>39.83</v>
      </c>
      <c r="AP106" s="43">
        <v>39.861800000000002</v>
      </c>
      <c r="AQ106" s="43">
        <v>39.893599999999999</v>
      </c>
      <c r="AR106" s="43">
        <v>39.925400000000003</v>
      </c>
      <c r="AS106" s="43">
        <v>39.9572</v>
      </c>
      <c r="AT106" s="43">
        <v>39.988999999999997</v>
      </c>
      <c r="AU106" s="43">
        <v>40.061799999999998</v>
      </c>
      <c r="AV106" s="43">
        <v>40.134599999999999</v>
      </c>
      <c r="AW106" s="43">
        <v>40.2074</v>
      </c>
      <c r="AX106" s="43">
        <v>40.280200000000001</v>
      </c>
      <c r="AY106" s="43">
        <v>40.353000000000002</v>
      </c>
      <c r="AZ106" s="43">
        <v>40.528399999999998</v>
      </c>
      <c r="BA106" s="43">
        <v>40.703800000000001</v>
      </c>
      <c r="BB106" s="43">
        <v>40.879199999999997</v>
      </c>
      <c r="BC106" s="43">
        <v>41.054600000000001</v>
      </c>
      <c r="BD106" s="43">
        <v>41.23</v>
      </c>
      <c r="BE106" s="43">
        <v>41.51</v>
      </c>
      <c r="BF106" s="43">
        <v>41.79</v>
      </c>
      <c r="BG106" s="43"/>
      <c r="BH106" s="44">
        <f t="shared" si="2"/>
        <v>20.537266666666667</v>
      </c>
      <c r="BI106" s="44">
        <f t="shared" si="3"/>
        <v>40.135951999999996</v>
      </c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  <c r="CB106" s="44"/>
      <c r="CC106" s="44"/>
      <c r="CD106" s="44"/>
      <c r="CE106" s="44"/>
      <c r="CF106" s="42"/>
      <c r="CG106" s="42"/>
      <c r="CH106" s="42"/>
      <c r="CI106" s="42"/>
      <c r="CJ106" s="42"/>
      <c r="CK106" s="42"/>
      <c r="CL106" s="42"/>
      <c r="CM106" s="42"/>
      <c r="CN106" s="42"/>
      <c r="CO106" s="42"/>
      <c r="CP106" s="42"/>
      <c r="CQ106" s="42"/>
    </row>
    <row r="107" spans="1:95">
      <c r="A107" s="41">
        <v>192</v>
      </c>
      <c r="B107" s="41" t="s">
        <v>34</v>
      </c>
      <c r="C107" s="2">
        <v>4</v>
      </c>
      <c r="D107" s="2">
        <v>1541.2844270000001</v>
      </c>
      <c r="E107" s="2">
        <v>1</v>
      </c>
      <c r="F107" s="2">
        <v>32.650333333333329</v>
      </c>
      <c r="G107" s="43">
        <v>23.670200000000001</v>
      </c>
      <c r="H107" s="43">
        <v>24.340399999999999</v>
      </c>
      <c r="I107" s="43">
        <v>25.0106</v>
      </c>
      <c r="J107" s="43">
        <v>25.680800000000001</v>
      </c>
      <c r="K107" s="43">
        <v>26.350999999999999</v>
      </c>
      <c r="L107" s="43">
        <v>27.0808</v>
      </c>
      <c r="M107" s="43">
        <v>27.810600000000001</v>
      </c>
      <c r="N107" s="43">
        <v>28.540400000000002</v>
      </c>
      <c r="O107" s="43">
        <v>29.270199999999999</v>
      </c>
      <c r="P107" s="43">
        <v>30</v>
      </c>
      <c r="Q107" s="43">
        <v>30.738600000000002</v>
      </c>
      <c r="R107" s="43">
        <v>31.4772</v>
      </c>
      <c r="S107" s="43">
        <v>32.215800000000002</v>
      </c>
      <c r="T107" s="43">
        <v>32.9544</v>
      </c>
      <c r="U107" s="43">
        <v>33.692999999999998</v>
      </c>
      <c r="V107" s="43">
        <v>34.108199999999997</v>
      </c>
      <c r="W107" s="43">
        <v>34.523400000000002</v>
      </c>
      <c r="X107" s="43">
        <v>34.938600000000001</v>
      </c>
      <c r="Y107" s="43">
        <v>35.3538</v>
      </c>
      <c r="Z107" s="43">
        <v>35.768999999999998</v>
      </c>
      <c r="AA107" s="43">
        <v>36.125</v>
      </c>
      <c r="AB107" s="43">
        <v>36.481000000000002</v>
      </c>
      <c r="AC107" s="43">
        <v>36.837000000000003</v>
      </c>
      <c r="AD107" s="43">
        <v>37.192999999999998</v>
      </c>
      <c r="AE107" s="43">
        <v>37.548999999999999</v>
      </c>
      <c r="AF107" s="43">
        <v>37.819200000000002</v>
      </c>
      <c r="AG107" s="43">
        <v>38.089399999999998</v>
      </c>
      <c r="AH107" s="43">
        <v>38.3596</v>
      </c>
      <c r="AI107" s="43">
        <v>38.629800000000003</v>
      </c>
      <c r="AJ107" s="43">
        <v>38.9</v>
      </c>
      <c r="AK107" s="43">
        <v>39.043999999999997</v>
      </c>
      <c r="AL107" s="43">
        <v>39.188000000000002</v>
      </c>
      <c r="AM107" s="43">
        <v>39.332000000000001</v>
      </c>
      <c r="AN107" s="43">
        <v>39.475999999999999</v>
      </c>
      <c r="AO107" s="43">
        <v>39.619999999999997</v>
      </c>
      <c r="AP107" s="43">
        <v>39.765000000000001</v>
      </c>
      <c r="AQ107" s="43">
        <v>39.909999999999997</v>
      </c>
      <c r="AR107" s="43">
        <v>40.055</v>
      </c>
      <c r="AS107" s="43">
        <v>40.200000000000003</v>
      </c>
      <c r="AT107" s="43">
        <v>40.344999999999999</v>
      </c>
      <c r="AU107" s="43">
        <v>40.5002</v>
      </c>
      <c r="AV107" s="43">
        <v>40.6554</v>
      </c>
      <c r="AW107" s="43">
        <v>40.810600000000001</v>
      </c>
      <c r="AX107" s="43">
        <v>40.965800000000002</v>
      </c>
      <c r="AY107" s="43">
        <v>41.121000000000002</v>
      </c>
      <c r="AZ107" s="43">
        <v>41.347200000000001</v>
      </c>
      <c r="BA107" s="43">
        <v>41.573399999999999</v>
      </c>
      <c r="BB107" s="43">
        <v>41.799599999999998</v>
      </c>
      <c r="BC107" s="43">
        <v>42.025799999999997</v>
      </c>
      <c r="BD107" s="43">
        <v>42.252000000000002</v>
      </c>
      <c r="BE107" s="43">
        <v>42.559800000000003</v>
      </c>
      <c r="BF107" s="43">
        <v>42.867600000000003</v>
      </c>
      <c r="BG107" s="43"/>
      <c r="BH107" s="44">
        <f t="shared" si="2"/>
        <v>31.985948148148143</v>
      </c>
      <c r="BI107" s="44">
        <f t="shared" si="3"/>
        <v>40.452112</v>
      </c>
      <c r="BJ107" s="44"/>
      <c r="BK107" s="44"/>
      <c r="BL107" s="44"/>
      <c r="BM107" s="44"/>
      <c r="BN107" s="44"/>
      <c r="BO107" s="44"/>
      <c r="BP107" s="44"/>
      <c r="BQ107" s="44"/>
      <c r="BR107" s="44"/>
      <c r="BS107" s="44"/>
      <c r="BT107" s="44"/>
      <c r="BU107" s="44"/>
      <c r="BV107" s="44"/>
      <c r="BW107" s="44"/>
      <c r="BX107" s="44"/>
      <c r="BY107" s="44"/>
      <c r="BZ107" s="44"/>
      <c r="CA107" s="44"/>
      <c r="CB107" s="44"/>
      <c r="CC107" s="44"/>
      <c r="CD107" s="44"/>
      <c r="CE107" s="44"/>
      <c r="CF107" s="42"/>
      <c r="CG107" s="42"/>
      <c r="CH107" s="42"/>
      <c r="CI107" s="42"/>
      <c r="CJ107" s="42"/>
      <c r="CK107" s="42"/>
      <c r="CL107" s="42"/>
      <c r="CM107" s="42"/>
      <c r="CN107" s="42"/>
      <c r="CO107" s="42"/>
      <c r="CP107" s="42"/>
      <c r="CQ107" s="42"/>
    </row>
    <row r="108" spans="1:95">
      <c r="A108" s="41">
        <v>242</v>
      </c>
      <c r="B108" s="41" t="s">
        <v>1</v>
      </c>
      <c r="C108" s="2">
        <v>4</v>
      </c>
      <c r="D108" s="2">
        <v>1363.586</v>
      </c>
      <c r="E108" s="2">
        <v>1</v>
      </c>
      <c r="F108" s="2">
        <v>33.171533333333336</v>
      </c>
      <c r="G108" s="43">
        <v>19.1904</v>
      </c>
      <c r="H108" s="43">
        <v>20.235800000000001</v>
      </c>
      <c r="I108" s="43">
        <v>21.281199999999998</v>
      </c>
      <c r="J108" s="43">
        <v>22.326599999999999</v>
      </c>
      <c r="K108" s="43">
        <v>23.372</v>
      </c>
      <c r="L108" s="43">
        <v>24.767800000000001</v>
      </c>
      <c r="M108" s="43">
        <v>26.163599999999999</v>
      </c>
      <c r="N108" s="43">
        <v>27.5594</v>
      </c>
      <c r="O108" s="43">
        <v>28.955200000000001</v>
      </c>
      <c r="P108" s="43">
        <v>30.350999999999999</v>
      </c>
      <c r="Q108" s="43">
        <v>31.267600000000002</v>
      </c>
      <c r="R108" s="43">
        <v>32.184199999999997</v>
      </c>
      <c r="S108" s="43">
        <v>33.1008</v>
      </c>
      <c r="T108" s="43">
        <v>34.017400000000002</v>
      </c>
      <c r="U108" s="43">
        <v>34.933999999999997</v>
      </c>
      <c r="V108" s="43">
        <v>35.910200000000003</v>
      </c>
      <c r="W108" s="43">
        <v>36.886400000000002</v>
      </c>
      <c r="X108" s="43">
        <v>37.8626</v>
      </c>
      <c r="Y108" s="43">
        <v>38.838799999999999</v>
      </c>
      <c r="Z108" s="43">
        <v>39.814999999999998</v>
      </c>
      <c r="AA108" s="43">
        <v>39.783000000000001</v>
      </c>
      <c r="AB108" s="43">
        <v>39.750999999999998</v>
      </c>
      <c r="AC108" s="43">
        <v>39.719000000000001</v>
      </c>
      <c r="AD108" s="43">
        <v>39.686999999999998</v>
      </c>
      <c r="AE108" s="43">
        <v>39.655000000000001</v>
      </c>
      <c r="AF108" s="43">
        <v>39.605400000000003</v>
      </c>
      <c r="AG108" s="43">
        <v>39.555799999999998</v>
      </c>
      <c r="AH108" s="43">
        <v>39.5062</v>
      </c>
      <c r="AI108" s="43">
        <v>39.456600000000002</v>
      </c>
      <c r="AJ108" s="43">
        <v>39.406999999999996</v>
      </c>
      <c r="AK108" s="43">
        <v>38.946399999999997</v>
      </c>
      <c r="AL108" s="43">
        <v>38.485799999999998</v>
      </c>
      <c r="AM108" s="43">
        <v>38.025199999999998</v>
      </c>
      <c r="AN108" s="43">
        <v>37.564599999999999</v>
      </c>
      <c r="AO108" s="43">
        <v>37.103999999999999</v>
      </c>
      <c r="AP108" s="43">
        <v>36.643599999999999</v>
      </c>
      <c r="AQ108" s="43">
        <v>36.183199999999999</v>
      </c>
      <c r="AR108" s="43">
        <v>35.722799999999999</v>
      </c>
      <c r="AS108" s="43">
        <v>35.2624</v>
      </c>
      <c r="AT108" s="43">
        <v>34.802</v>
      </c>
      <c r="AU108" s="43">
        <v>35.164000000000001</v>
      </c>
      <c r="AV108" s="43">
        <v>35.526000000000003</v>
      </c>
      <c r="AW108" s="43">
        <v>35.887999999999998</v>
      </c>
      <c r="AX108" s="43">
        <v>36.25</v>
      </c>
      <c r="AY108" s="43">
        <v>36.612000000000002</v>
      </c>
      <c r="AZ108" s="43">
        <v>37.034599999999998</v>
      </c>
      <c r="BA108" s="43">
        <v>37.4572</v>
      </c>
      <c r="BB108" s="43">
        <v>37.879800000000003</v>
      </c>
      <c r="BC108" s="43">
        <v>38.302399999999999</v>
      </c>
      <c r="BD108" s="43">
        <v>38.725000000000001</v>
      </c>
      <c r="BE108" s="43">
        <v>39.165399999999998</v>
      </c>
      <c r="BF108" s="43">
        <v>39.605800000000002</v>
      </c>
      <c r="BG108" s="43"/>
      <c r="BH108" s="44">
        <f t="shared" si="2"/>
        <v>32.473192592592596</v>
      </c>
      <c r="BI108" s="44">
        <f t="shared" si="3"/>
        <v>37.388799999999996</v>
      </c>
    </row>
    <row r="109" spans="1:95">
      <c r="A109" s="41">
        <v>114</v>
      </c>
      <c r="B109" s="41" t="s">
        <v>83</v>
      </c>
      <c r="C109" s="2">
        <v>4</v>
      </c>
      <c r="D109" s="2">
        <v>1351.5256260000001</v>
      </c>
      <c r="E109" s="2">
        <v>1</v>
      </c>
      <c r="F109" s="2">
        <v>12.744933333333334</v>
      </c>
      <c r="G109" s="43">
        <v>7.6105999999999998</v>
      </c>
      <c r="H109" s="43">
        <v>7.8592000000000004</v>
      </c>
      <c r="I109" s="43">
        <v>8.1077999999999992</v>
      </c>
      <c r="J109" s="43">
        <v>8.3564000000000007</v>
      </c>
      <c r="K109" s="43">
        <v>8.6050000000000004</v>
      </c>
      <c r="L109" s="43">
        <v>8.9429999999999996</v>
      </c>
      <c r="M109" s="43">
        <v>9.2810000000000006</v>
      </c>
      <c r="N109" s="43">
        <v>9.6189999999999998</v>
      </c>
      <c r="O109" s="43">
        <v>9.9570000000000007</v>
      </c>
      <c r="P109" s="43">
        <v>10.295</v>
      </c>
      <c r="Q109" s="43">
        <v>10.8188</v>
      </c>
      <c r="R109" s="43">
        <v>11.342599999999999</v>
      </c>
      <c r="S109" s="43">
        <v>11.866400000000001</v>
      </c>
      <c r="T109" s="43">
        <v>12.3902</v>
      </c>
      <c r="U109" s="43">
        <v>12.914</v>
      </c>
      <c r="V109" s="43">
        <v>13.447800000000001</v>
      </c>
      <c r="W109" s="43">
        <v>13.9816</v>
      </c>
      <c r="X109" s="43">
        <v>14.5154</v>
      </c>
      <c r="Y109" s="43">
        <v>15.049200000000001</v>
      </c>
      <c r="Z109" s="43">
        <v>15.583</v>
      </c>
      <c r="AA109" s="43">
        <v>15.6822</v>
      </c>
      <c r="AB109" s="43">
        <v>15.7814</v>
      </c>
      <c r="AC109" s="43">
        <v>15.880599999999999</v>
      </c>
      <c r="AD109" s="43">
        <v>15.979799999999999</v>
      </c>
      <c r="AE109" s="43">
        <v>16.079000000000001</v>
      </c>
      <c r="AF109" s="43">
        <v>16.212800000000001</v>
      </c>
      <c r="AG109" s="43">
        <v>16.346599999999999</v>
      </c>
      <c r="AH109" s="43">
        <v>16.480399999999999</v>
      </c>
      <c r="AI109" s="43">
        <v>16.6142</v>
      </c>
      <c r="AJ109" s="43">
        <v>16.748000000000001</v>
      </c>
      <c r="AK109" s="43">
        <v>17.050999999999998</v>
      </c>
      <c r="AL109" s="43">
        <v>17.353999999999999</v>
      </c>
      <c r="AM109" s="43">
        <v>17.657</v>
      </c>
      <c r="AN109" s="43">
        <v>17.96</v>
      </c>
      <c r="AO109" s="43">
        <v>18.263000000000002</v>
      </c>
      <c r="AP109" s="43">
        <v>18.588799999999999</v>
      </c>
      <c r="AQ109" s="43">
        <v>18.9146</v>
      </c>
      <c r="AR109" s="43">
        <v>19.240400000000001</v>
      </c>
      <c r="AS109" s="43">
        <v>19.566199999999998</v>
      </c>
      <c r="AT109" s="43">
        <v>19.891999999999999</v>
      </c>
      <c r="AU109" s="43">
        <v>20.2486</v>
      </c>
      <c r="AV109" s="43">
        <v>20.6052</v>
      </c>
      <c r="AW109" s="43">
        <v>20.9618</v>
      </c>
      <c r="AX109" s="43">
        <v>21.3184</v>
      </c>
      <c r="AY109" s="43">
        <v>21.675000000000001</v>
      </c>
      <c r="AZ109" s="43">
        <v>22.054200000000002</v>
      </c>
      <c r="BA109" s="43">
        <v>22.433399999999999</v>
      </c>
      <c r="BB109" s="43">
        <v>22.8126</v>
      </c>
      <c r="BC109" s="43">
        <v>23.191800000000001</v>
      </c>
      <c r="BD109" s="43">
        <v>23.571000000000002</v>
      </c>
      <c r="BE109" s="43">
        <v>23.984200000000001</v>
      </c>
      <c r="BF109" s="43">
        <v>24.397400000000001</v>
      </c>
      <c r="BG109" s="43"/>
      <c r="BH109" s="44">
        <f t="shared" si="2"/>
        <v>12.315014814814818</v>
      </c>
      <c r="BI109" s="44">
        <f t="shared" si="3"/>
        <v>20.063327999999998</v>
      </c>
      <c r="BJ109" s="44"/>
      <c r="BK109" s="44"/>
      <c r="BL109" s="44"/>
      <c r="BM109" s="44"/>
      <c r="BN109" s="44"/>
      <c r="BO109" s="44"/>
      <c r="BP109" s="44"/>
      <c r="BQ109" s="44"/>
      <c r="BR109" s="44"/>
      <c r="BS109" s="44"/>
      <c r="BT109" s="44"/>
      <c r="BU109" s="44"/>
      <c r="BV109" s="44"/>
      <c r="BW109" s="44"/>
      <c r="BX109" s="44"/>
      <c r="BY109" s="44"/>
      <c r="BZ109" s="44"/>
      <c r="CA109" s="44"/>
      <c r="CB109" s="44"/>
      <c r="CC109" s="44"/>
      <c r="CD109" s="44"/>
      <c r="CE109" s="44"/>
      <c r="CF109" s="42"/>
      <c r="CG109" s="42"/>
      <c r="CH109" s="42"/>
      <c r="CI109" s="42"/>
      <c r="CJ109" s="42"/>
      <c r="CK109" s="42"/>
      <c r="CL109" s="42"/>
      <c r="CM109" s="42"/>
      <c r="CN109" s="42"/>
      <c r="CO109" s="42"/>
      <c r="CP109" s="42"/>
      <c r="CQ109" s="42"/>
    </row>
    <row r="110" spans="1:95">
      <c r="A110" s="41">
        <v>24</v>
      </c>
      <c r="B110" s="41" t="s">
        <v>141</v>
      </c>
      <c r="C110" s="2">
        <v>4</v>
      </c>
      <c r="D110" s="2">
        <v>1177.932652</v>
      </c>
      <c r="E110" s="2">
        <v>1</v>
      </c>
      <c r="F110" s="2">
        <v>22.275000000000002</v>
      </c>
      <c r="G110" s="43">
        <v>9.9238</v>
      </c>
      <c r="H110" s="43">
        <v>10.5726</v>
      </c>
      <c r="I110" s="43">
        <v>11.221399999999999</v>
      </c>
      <c r="J110" s="43">
        <v>11.870200000000001</v>
      </c>
      <c r="K110" s="43">
        <v>12.519</v>
      </c>
      <c r="L110" s="43">
        <v>13.353400000000001</v>
      </c>
      <c r="M110" s="43">
        <v>14.187799999999999</v>
      </c>
      <c r="N110" s="43">
        <v>15.0222</v>
      </c>
      <c r="O110" s="43">
        <v>15.8566</v>
      </c>
      <c r="P110" s="43">
        <v>16.690999999999999</v>
      </c>
      <c r="Q110" s="43">
        <v>17.733599999999999</v>
      </c>
      <c r="R110" s="43">
        <v>18.776199999999999</v>
      </c>
      <c r="S110" s="43">
        <v>19.8188</v>
      </c>
      <c r="T110" s="43">
        <v>20.8614</v>
      </c>
      <c r="U110" s="43">
        <v>21.904</v>
      </c>
      <c r="V110" s="43">
        <v>22.991</v>
      </c>
      <c r="W110" s="43">
        <v>24.077999999999999</v>
      </c>
      <c r="X110" s="43">
        <v>25.164999999999999</v>
      </c>
      <c r="Y110" s="43">
        <v>26.251999999999999</v>
      </c>
      <c r="Z110" s="43">
        <v>27.338999999999999</v>
      </c>
      <c r="AA110" s="43">
        <v>28.0304</v>
      </c>
      <c r="AB110" s="43">
        <v>28.721800000000002</v>
      </c>
      <c r="AC110" s="43">
        <v>29.4132</v>
      </c>
      <c r="AD110" s="43">
        <v>30.104600000000001</v>
      </c>
      <c r="AE110" s="43">
        <v>30.795999999999999</v>
      </c>
      <c r="AF110" s="43">
        <v>31.533799999999999</v>
      </c>
      <c r="AG110" s="43">
        <v>32.271599999999999</v>
      </c>
      <c r="AH110" s="43">
        <v>33.009399999999999</v>
      </c>
      <c r="AI110" s="43">
        <v>33.747199999999999</v>
      </c>
      <c r="AJ110" s="43">
        <v>34.484999999999999</v>
      </c>
      <c r="AK110" s="43">
        <v>34.939599999999999</v>
      </c>
      <c r="AL110" s="43">
        <v>35.394199999999998</v>
      </c>
      <c r="AM110" s="43">
        <v>35.848799999999997</v>
      </c>
      <c r="AN110" s="43">
        <v>36.303400000000003</v>
      </c>
      <c r="AO110" s="43">
        <v>36.758000000000003</v>
      </c>
      <c r="AP110" s="43">
        <v>37.073</v>
      </c>
      <c r="AQ110" s="43">
        <v>37.387999999999998</v>
      </c>
      <c r="AR110" s="43">
        <v>37.703000000000003</v>
      </c>
      <c r="AS110" s="43">
        <v>38.018000000000001</v>
      </c>
      <c r="AT110" s="43">
        <v>38.332999999999998</v>
      </c>
      <c r="AU110" s="43">
        <v>38.866999999999997</v>
      </c>
      <c r="AV110" s="43">
        <v>39.401000000000003</v>
      </c>
      <c r="AW110" s="43">
        <v>39.935000000000002</v>
      </c>
      <c r="AX110" s="43">
        <v>40.469000000000001</v>
      </c>
      <c r="AY110" s="43">
        <v>41.003</v>
      </c>
      <c r="AZ110" s="43">
        <v>41.654000000000003</v>
      </c>
      <c r="BA110" s="43">
        <v>42.305</v>
      </c>
      <c r="BB110" s="43">
        <v>42.956000000000003</v>
      </c>
      <c r="BC110" s="43">
        <v>43.606999999999999</v>
      </c>
      <c r="BD110" s="43">
        <v>44.258000000000003</v>
      </c>
      <c r="BE110" s="43">
        <v>44.9086</v>
      </c>
      <c r="BF110" s="43">
        <v>45.559199999999997</v>
      </c>
      <c r="BG110" s="43"/>
      <c r="BH110" s="44">
        <f t="shared" si="2"/>
        <v>21.000311111111113</v>
      </c>
      <c r="BI110" s="44">
        <f t="shared" si="3"/>
        <v>38.956936000000006</v>
      </c>
      <c r="BJ110" s="44"/>
      <c r="BK110" s="44"/>
      <c r="BL110" s="44"/>
      <c r="BM110" s="44"/>
      <c r="BN110" s="44"/>
      <c r="BO110" s="44"/>
      <c r="BP110" s="44"/>
      <c r="BQ110" s="44"/>
      <c r="BR110" s="44"/>
      <c r="BS110" s="44"/>
      <c r="BT110" s="44"/>
      <c r="BU110" s="44"/>
      <c r="BV110" s="44"/>
      <c r="BW110" s="44"/>
      <c r="BX110" s="44"/>
      <c r="BY110" s="44"/>
      <c r="BZ110" s="44"/>
      <c r="CA110" s="44"/>
      <c r="CB110" s="44"/>
      <c r="CC110" s="44"/>
      <c r="CD110" s="44"/>
      <c r="CE110" s="44"/>
      <c r="CF110" s="42"/>
      <c r="CG110" s="42"/>
      <c r="CH110" s="42"/>
      <c r="CI110" s="42"/>
      <c r="CJ110" s="42"/>
      <c r="CK110" s="42"/>
      <c r="CL110" s="42"/>
      <c r="CM110" s="42"/>
      <c r="CN110" s="42"/>
      <c r="CO110" s="42"/>
      <c r="CP110" s="42"/>
      <c r="CQ110" s="42"/>
    </row>
    <row r="111" spans="1:95">
      <c r="A111" s="41">
        <v>101</v>
      </c>
      <c r="B111" s="41" t="s">
        <v>94</v>
      </c>
      <c r="C111" s="2">
        <v>4</v>
      </c>
      <c r="D111" s="2">
        <v>1063.579706</v>
      </c>
      <c r="E111" s="2">
        <v>1</v>
      </c>
      <c r="F111" s="2">
        <v>21.636800000000001</v>
      </c>
      <c r="G111" s="43">
        <v>18.0962</v>
      </c>
      <c r="H111" s="43">
        <v>18.2684</v>
      </c>
      <c r="I111" s="43">
        <v>18.4406</v>
      </c>
      <c r="J111" s="43">
        <v>18.6128</v>
      </c>
      <c r="K111" s="43">
        <v>18.785</v>
      </c>
      <c r="L111" s="43">
        <v>18.98</v>
      </c>
      <c r="M111" s="43">
        <v>19.175000000000001</v>
      </c>
      <c r="N111" s="43">
        <v>19.37</v>
      </c>
      <c r="O111" s="43">
        <v>19.565000000000001</v>
      </c>
      <c r="P111" s="43">
        <v>19.760000000000002</v>
      </c>
      <c r="Q111" s="43">
        <v>20.074400000000001</v>
      </c>
      <c r="R111" s="43">
        <v>20.3888</v>
      </c>
      <c r="S111" s="43">
        <v>20.703199999999999</v>
      </c>
      <c r="T111" s="43">
        <v>21.017600000000002</v>
      </c>
      <c r="U111" s="43">
        <v>21.332000000000001</v>
      </c>
      <c r="V111" s="43">
        <v>21.685199999999998</v>
      </c>
      <c r="W111" s="43">
        <v>22.038399999999999</v>
      </c>
      <c r="X111" s="43">
        <v>22.3916</v>
      </c>
      <c r="Y111" s="43">
        <v>22.744800000000001</v>
      </c>
      <c r="Z111" s="43">
        <v>23.097999999999999</v>
      </c>
      <c r="AA111" s="43">
        <v>23.347999999999999</v>
      </c>
      <c r="AB111" s="43">
        <v>23.597999999999999</v>
      </c>
      <c r="AC111" s="43">
        <v>23.847999999999999</v>
      </c>
      <c r="AD111" s="43">
        <v>24.097999999999999</v>
      </c>
      <c r="AE111" s="43">
        <v>24.347999999999999</v>
      </c>
      <c r="AF111" s="43">
        <v>24.587800000000001</v>
      </c>
      <c r="AG111" s="43">
        <v>24.8276</v>
      </c>
      <c r="AH111" s="43">
        <v>25.067399999999999</v>
      </c>
      <c r="AI111" s="43">
        <v>25.307200000000002</v>
      </c>
      <c r="AJ111" s="43">
        <v>25.547000000000001</v>
      </c>
      <c r="AK111" s="43">
        <v>25.759</v>
      </c>
      <c r="AL111" s="43">
        <v>25.971</v>
      </c>
      <c r="AM111" s="43">
        <v>26.183</v>
      </c>
      <c r="AN111" s="43">
        <v>26.395</v>
      </c>
      <c r="AO111" s="43">
        <v>26.606999999999999</v>
      </c>
      <c r="AP111" s="43">
        <v>26.818999999999999</v>
      </c>
      <c r="AQ111" s="43">
        <v>27.030999999999999</v>
      </c>
      <c r="AR111" s="43">
        <v>27.242999999999999</v>
      </c>
      <c r="AS111" s="43">
        <v>27.454999999999998</v>
      </c>
      <c r="AT111" s="43">
        <v>27.667000000000002</v>
      </c>
      <c r="AU111" s="43">
        <v>27.980599999999999</v>
      </c>
      <c r="AV111" s="43">
        <v>28.2942</v>
      </c>
      <c r="AW111" s="43">
        <v>28.607800000000001</v>
      </c>
      <c r="AX111" s="43">
        <v>28.921399999999998</v>
      </c>
      <c r="AY111" s="43">
        <v>29.234999999999999</v>
      </c>
      <c r="AZ111" s="43">
        <v>29.574000000000002</v>
      </c>
      <c r="BA111" s="43">
        <v>29.913</v>
      </c>
      <c r="BB111" s="43">
        <v>30.251999999999999</v>
      </c>
      <c r="BC111" s="43">
        <v>30.591000000000001</v>
      </c>
      <c r="BD111" s="43">
        <v>30.93</v>
      </c>
      <c r="BE111" s="43">
        <v>31.295000000000002</v>
      </c>
      <c r="BF111" s="43">
        <v>31.66</v>
      </c>
      <c r="BG111" s="43"/>
      <c r="BH111" s="44">
        <f t="shared" si="2"/>
        <v>21.228977777777779</v>
      </c>
      <c r="BI111" s="44">
        <f t="shared" si="3"/>
        <v>28.012223999999993</v>
      </c>
      <c r="BJ111" s="44"/>
      <c r="BK111" s="44"/>
      <c r="BL111" s="44"/>
      <c r="BM111" s="44"/>
      <c r="BN111" s="44"/>
      <c r="BO111" s="44"/>
      <c r="BP111" s="44"/>
      <c r="BQ111" s="44"/>
      <c r="BR111" s="44"/>
      <c r="BS111" s="44"/>
      <c r="BT111" s="44"/>
      <c r="BU111" s="44"/>
      <c r="BV111" s="44"/>
      <c r="BW111" s="44"/>
      <c r="BX111" s="44"/>
      <c r="BY111" s="44"/>
      <c r="BZ111" s="44"/>
      <c r="CA111" s="44"/>
      <c r="CB111" s="44"/>
      <c r="CC111" s="44"/>
      <c r="CD111" s="44"/>
      <c r="CE111" s="44"/>
      <c r="CF111" s="42"/>
      <c r="CG111" s="42"/>
      <c r="CH111" s="42"/>
      <c r="CI111" s="42"/>
      <c r="CJ111" s="42"/>
      <c r="CK111" s="42"/>
      <c r="CL111" s="42"/>
      <c r="CM111" s="42"/>
      <c r="CN111" s="42"/>
      <c r="CO111" s="42"/>
      <c r="CP111" s="42"/>
      <c r="CQ111" s="42"/>
    </row>
    <row r="112" spans="1:95">
      <c r="A112" s="41">
        <v>205</v>
      </c>
      <c r="B112" s="41" t="s">
        <v>25</v>
      </c>
      <c r="C112" s="2">
        <v>4</v>
      </c>
      <c r="D112" s="2">
        <v>1054.9745210000001</v>
      </c>
      <c r="E112" s="2">
        <v>1</v>
      </c>
      <c r="F112" s="2">
        <v>18.866566666666667</v>
      </c>
      <c r="G112" s="43">
        <v>11.2714</v>
      </c>
      <c r="H112" s="43">
        <v>11.796799999999999</v>
      </c>
      <c r="I112" s="43">
        <v>12.3222</v>
      </c>
      <c r="J112" s="43">
        <v>12.8476</v>
      </c>
      <c r="K112" s="43">
        <v>13.372999999999999</v>
      </c>
      <c r="L112" s="43">
        <v>14.003</v>
      </c>
      <c r="M112" s="43">
        <v>14.632999999999999</v>
      </c>
      <c r="N112" s="43">
        <v>15.263</v>
      </c>
      <c r="O112" s="43">
        <v>15.893000000000001</v>
      </c>
      <c r="P112" s="43">
        <v>16.523</v>
      </c>
      <c r="Q112" s="43">
        <v>17.007000000000001</v>
      </c>
      <c r="R112" s="43">
        <v>17.491</v>
      </c>
      <c r="S112" s="43">
        <v>17.975000000000001</v>
      </c>
      <c r="T112" s="43">
        <v>18.459</v>
      </c>
      <c r="U112" s="43">
        <v>18.943000000000001</v>
      </c>
      <c r="V112" s="43">
        <v>19.1462</v>
      </c>
      <c r="W112" s="43">
        <v>19.349399999999999</v>
      </c>
      <c r="X112" s="43">
        <v>19.552600000000002</v>
      </c>
      <c r="Y112" s="43">
        <v>19.755800000000001</v>
      </c>
      <c r="Z112" s="43">
        <v>19.959</v>
      </c>
      <c r="AA112" s="43">
        <v>20.554600000000001</v>
      </c>
      <c r="AB112" s="43">
        <v>21.150200000000002</v>
      </c>
      <c r="AC112" s="43">
        <v>21.745799999999999</v>
      </c>
      <c r="AD112" s="43">
        <v>22.3414</v>
      </c>
      <c r="AE112" s="43">
        <v>22.937000000000001</v>
      </c>
      <c r="AF112" s="43">
        <v>24.0716</v>
      </c>
      <c r="AG112" s="43">
        <v>25.206199999999999</v>
      </c>
      <c r="AH112" s="43">
        <v>26.340800000000002</v>
      </c>
      <c r="AI112" s="43">
        <v>27.4754</v>
      </c>
      <c r="AJ112" s="43">
        <v>28.61</v>
      </c>
      <c r="AK112" s="43">
        <v>29.334399999999999</v>
      </c>
      <c r="AL112" s="43">
        <v>30.058800000000002</v>
      </c>
      <c r="AM112" s="43">
        <v>30.783200000000001</v>
      </c>
      <c r="AN112" s="43">
        <v>31.5076</v>
      </c>
      <c r="AO112" s="43">
        <v>32.231999999999999</v>
      </c>
      <c r="AP112" s="43">
        <v>32.284599999999998</v>
      </c>
      <c r="AQ112" s="43">
        <v>32.337200000000003</v>
      </c>
      <c r="AR112" s="43">
        <v>32.389800000000001</v>
      </c>
      <c r="AS112" s="43">
        <v>32.442399999999999</v>
      </c>
      <c r="AT112" s="43">
        <v>32.494999999999997</v>
      </c>
      <c r="AU112" s="43">
        <v>32.548000000000002</v>
      </c>
      <c r="AV112" s="43">
        <v>32.600999999999999</v>
      </c>
      <c r="AW112" s="43">
        <v>32.654000000000003</v>
      </c>
      <c r="AX112" s="43">
        <v>32.707000000000001</v>
      </c>
      <c r="AY112" s="43">
        <v>32.76</v>
      </c>
      <c r="AZ112" s="43">
        <v>32.824800000000003</v>
      </c>
      <c r="BA112" s="43">
        <v>32.889600000000002</v>
      </c>
      <c r="BB112" s="43">
        <v>32.9544</v>
      </c>
      <c r="BC112" s="43">
        <v>33.019199999999998</v>
      </c>
      <c r="BD112" s="43">
        <v>33.084000000000003</v>
      </c>
      <c r="BE112" s="43">
        <v>33.235199999999999</v>
      </c>
      <c r="BF112" s="43">
        <v>33.386400000000002</v>
      </c>
      <c r="BG112" s="43"/>
      <c r="BH112" s="44">
        <f t="shared" si="2"/>
        <v>17.91002962962963</v>
      </c>
      <c r="BI112" s="44">
        <f t="shared" si="3"/>
        <v>31.718191999999991</v>
      </c>
      <c r="BJ112" s="44"/>
      <c r="BK112" s="44"/>
      <c r="BL112" s="44"/>
      <c r="BM112" s="44"/>
      <c r="BN112" s="44"/>
      <c r="BO112" s="44"/>
      <c r="BP112" s="44"/>
      <c r="BQ112" s="44"/>
      <c r="BR112" s="44"/>
      <c r="BS112" s="44"/>
      <c r="BT112" s="44"/>
      <c r="BU112" s="44"/>
      <c r="BV112" s="44"/>
      <c r="BW112" s="44"/>
      <c r="BX112" s="44"/>
      <c r="BY112" s="44"/>
      <c r="BZ112" s="44"/>
      <c r="CA112" s="44"/>
      <c r="CB112" s="44"/>
      <c r="CC112" s="44"/>
      <c r="CD112" s="44"/>
      <c r="CE112" s="44"/>
      <c r="CF112" s="42"/>
      <c r="CG112" s="42"/>
      <c r="CH112" s="42"/>
      <c r="CI112" s="42"/>
      <c r="CJ112" s="42"/>
      <c r="CK112" s="42"/>
      <c r="CL112" s="42"/>
      <c r="CM112" s="42"/>
      <c r="CN112" s="42"/>
      <c r="CO112" s="42"/>
      <c r="CP112" s="42"/>
      <c r="CQ112" s="42"/>
    </row>
    <row r="113" spans="1:95">
      <c r="A113" s="41">
        <v>217</v>
      </c>
      <c r="B113" s="41" t="s">
        <v>16</v>
      </c>
      <c r="C113" s="2">
        <v>4</v>
      </c>
      <c r="D113" s="2">
        <v>943.69275849999997</v>
      </c>
      <c r="E113" s="2">
        <v>1</v>
      </c>
      <c r="F113" s="2">
        <v>21.929099999999995</v>
      </c>
      <c r="G113" s="43">
        <v>11.0684</v>
      </c>
      <c r="H113" s="43">
        <v>12.0388</v>
      </c>
      <c r="I113" s="43">
        <v>13.0092</v>
      </c>
      <c r="J113" s="43">
        <v>13.9796</v>
      </c>
      <c r="K113" s="43">
        <v>14.95</v>
      </c>
      <c r="L113" s="43">
        <v>16.216000000000001</v>
      </c>
      <c r="M113" s="43">
        <v>17.481999999999999</v>
      </c>
      <c r="N113" s="43">
        <v>18.748000000000001</v>
      </c>
      <c r="O113" s="43">
        <v>20.013999999999999</v>
      </c>
      <c r="P113" s="43">
        <v>21.28</v>
      </c>
      <c r="Q113" s="43">
        <v>21.609400000000001</v>
      </c>
      <c r="R113" s="43">
        <v>21.938800000000001</v>
      </c>
      <c r="S113" s="43">
        <v>22.2682</v>
      </c>
      <c r="T113" s="43">
        <v>22.5976</v>
      </c>
      <c r="U113" s="43">
        <v>22.927</v>
      </c>
      <c r="V113" s="43">
        <v>23.2742</v>
      </c>
      <c r="W113" s="43">
        <v>23.621400000000001</v>
      </c>
      <c r="X113" s="43">
        <v>23.968599999999999</v>
      </c>
      <c r="Y113" s="43">
        <v>24.315799999999999</v>
      </c>
      <c r="Z113" s="43">
        <v>24.663</v>
      </c>
      <c r="AA113" s="43">
        <v>25.0428</v>
      </c>
      <c r="AB113" s="43">
        <v>25.422599999999999</v>
      </c>
      <c r="AC113" s="43">
        <v>25.802399999999999</v>
      </c>
      <c r="AD113" s="43">
        <v>26.182200000000002</v>
      </c>
      <c r="AE113" s="43">
        <v>26.562000000000001</v>
      </c>
      <c r="AF113" s="43">
        <v>26.967400000000001</v>
      </c>
      <c r="AG113" s="43">
        <v>27.372800000000002</v>
      </c>
      <c r="AH113" s="43">
        <v>27.778199999999998</v>
      </c>
      <c r="AI113" s="43">
        <v>28.183599999999998</v>
      </c>
      <c r="AJ113" s="43">
        <v>28.588999999999999</v>
      </c>
      <c r="AK113" s="43">
        <v>29.0122</v>
      </c>
      <c r="AL113" s="43">
        <v>29.435400000000001</v>
      </c>
      <c r="AM113" s="43">
        <v>29.858599999999999</v>
      </c>
      <c r="AN113" s="43">
        <v>30.2818</v>
      </c>
      <c r="AO113" s="43">
        <v>30.704999999999998</v>
      </c>
      <c r="AP113" s="43">
        <v>31.145399999999999</v>
      </c>
      <c r="AQ113" s="43">
        <v>31.585799999999999</v>
      </c>
      <c r="AR113" s="43">
        <v>32.026200000000003</v>
      </c>
      <c r="AS113" s="43">
        <v>32.4666</v>
      </c>
      <c r="AT113" s="43">
        <v>32.906999999999996</v>
      </c>
      <c r="AU113" s="43">
        <v>33.3626</v>
      </c>
      <c r="AV113" s="43">
        <v>33.818199999999997</v>
      </c>
      <c r="AW113" s="43">
        <v>34.273800000000001</v>
      </c>
      <c r="AX113" s="43">
        <v>34.729399999999998</v>
      </c>
      <c r="AY113" s="43">
        <v>35.185000000000002</v>
      </c>
      <c r="AZ113" s="43">
        <v>35.654600000000002</v>
      </c>
      <c r="BA113" s="43">
        <v>36.124200000000002</v>
      </c>
      <c r="BB113" s="43">
        <v>36.593800000000002</v>
      </c>
      <c r="BC113" s="43">
        <v>37.063400000000001</v>
      </c>
      <c r="BD113" s="43">
        <v>37.533000000000001</v>
      </c>
      <c r="BE113" s="43">
        <v>38.020000000000003</v>
      </c>
      <c r="BF113" s="43">
        <v>38.506999999999998</v>
      </c>
      <c r="BG113" s="43"/>
      <c r="BH113" s="44">
        <f t="shared" si="2"/>
        <v>21.234155555555553</v>
      </c>
      <c r="BI113" s="44">
        <f t="shared" si="3"/>
        <v>32.993591999999992</v>
      </c>
      <c r="BJ113" s="44"/>
      <c r="BK113" s="44"/>
      <c r="BL113" s="44"/>
      <c r="BM113" s="44"/>
      <c r="BN113" s="44"/>
      <c r="BO113" s="44"/>
      <c r="BP113" s="44"/>
      <c r="BQ113" s="44"/>
      <c r="BR113" s="44"/>
      <c r="BS113" s="44"/>
      <c r="BT113" s="44"/>
      <c r="BU113" s="44"/>
      <c r="BV113" s="44"/>
      <c r="BW113" s="44"/>
      <c r="BX113" s="44"/>
      <c r="BY113" s="44"/>
      <c r="BZ113" s="44"/>
      <c r="CA113" s="44"/>
      <c r="CB113" s="44"/>
      <c r="CC113" s="44"/>
      <c r="CD113" s="44"/>
      <c r="CE113" s="44"/>
      <c r="CF113" s="42"/>
      <c r="CG113" s="42"/>
      <c r="CH113" s="42"/>
      <c r="CI113" s="42"/>
      <c r="CJ113" s="42"/>
      <c r="CK113" s="42"/>
      <c r="CL113" s="42"/>
      <c r="CM113" s="42"/>
      <c r="CN113" s="42"/>
      <c r="CO113" s="42"/>
      <c r="CP113" s="42"/>
      <c r="CQ113" s="42"/>
    </row>
    <row r="114" spans="1:95">
      <c r="A114" s="41">
        <v>82</v>
      </c>
      <c r="B114" s="41" t="s">
        <v>103</v>
      </c>
      <c r="C114" s="2">
        <v>4</v>
      </c>
      <c r="D114" s="2">
        <v>856.62119229999996</v>
      </c>
      <c r="E114" s="2">
        <v>1</v>
      </c>
      <c r="F114" s="2">
        <v>30.055400000000002</v>
      </c>
      <c r="G114" s="43">
        <v>23.816400000000002</v>
      </c>
      <c r="H114" s="43">
        <v>24.380800000000001</v>
      </c>
      <c r="I114" s="43">
        <v>24.9452</v>
      </c>
      <c r="J114" s="43">
        <v>25.509599999999999</v>
      </c>
      <c r="K114" s="43">
        <v>26.074000000000002</v>
      </c>
      <c r="L114" s="43">
        <v>26.653600000000001</v>
      </c>
      <c r="M114" s="43">
        <v>27.2332</v>
      </c>
      <c r="N114" s="43">
        <v>27.812799999999999</v>
      </c>
      <c r="O114" s="43">
        <v>28.392399999999999</v>
      </c>
      <c r="P114" s="43">
        <v>28.972000000000001</v>
      </c>
      <c r="Q114" s="43">
        <v>29.1892</v>
      </c>
      <c r="R114" s="43">
        <v>29.406400000000001</v>
      </c>
      <c r="S114" s="43">
        <v>29.6236</v>
      </c>
      <c r="T114" s="43">
        <v>29.840800000000002</v>
      </c>
      <c r="U114" s="43">
        <v>30.058</v>
      </c>
      <c r="V114" s="43">
        <v>30.279800000000002</v>
      </c>
      <c r="W114" s="43">
        <v>30.5016</v>
      </c>
      <c r="X114" s="43">
        <v>30.723400000000002</v>
      </c>
      <c r="Y114" s="43">
        <v>30.9452</v>
      </c>
      <c r="Z114" s="43">
        <v>31.167000000000002</v>
      </c>
      <c r="AA114" s="43">
        <v>31.512799999999999</v>
      </c>
      <c r="AB114" s="43">
        <v>31.858599999999999</v>
      </c>
      <c r="AC114" s="43">
        <v>32.2044</v>
      </c>
      <c r="AD114" s="43">
        <v>32.550199999999997</v>
      </c>
      <c r="AE114" s="43">
        <v>32.896000000000001</v>
      </c>
      <c r="AF114" s="43">
        <v>33.604999999999997</v>
      </c>
      <c r="AG114" s="43">
        <v>34.314</v>
      </c>
      <c r="AH114" s="43">
        <v>35.023000000000003</v>
      </c>
      <c r="AI114" s="43">
        <v>35.731999999999999</v>
      </c>
      <c r="AJ114" s="43">
        <v>36.441000000000003</v>
      </c>
      <c r="AK114" s="43">
        <v>37.180599999999998</v>
      </c>
      <c r="AL114" s="43">
        <v>37.920200000000001</v>
      </c>
      <c r="AM114" s="43">
        <v>38.659799999999997</v>
      </c>
      <c r="AN114" s="43">
        <v>39.3994</v>
      </c>
      <c r="AO114" s="43">
        <v>40.139000000000003</v>
      </c>
      <c r="AP114" s="43">
        <v>40.902000000000001</v>
      </c>
      <c r="AQ114" s="43">
        <v>41.664999999999999</v>
      </c>
      <c r="AR114" s="43">
        <v>42.427999999999997</v>
      </c>
      <c r="AS114" s="43">
        <v>43.191000000000003</v>
      </c>
      <c r="AT114" s="43">
        <v>43.954000000000001</v>
      </c>
      <c r="AU114" s="43">
        <v>44.701999999999998</v>
      </c>
      <c r="AV114" s="43">
        <v>45.45</v>
      </c>
      <c r="AW114" s="43">
        <v>46.198</v>
      </c>
      <c r="AX114" s="43">
        <v>46.945999999999998</v>
      </c>
      <c r="AY114" s="43">
        <v>47.694000000000003</v>
      </c>
      <c r="AZ114" s="43">
        <v>48.398200000000003</v>
      </c>
      <c r="BA114" s="43">
        <v>49.102400000000003</v>
      </c>
      <c r="BB114" s="43">
        <v>49.806600000000003</v>
      </c>
      <c r="BC114" s="43">
        <v>50.510800000000003</v>
      </c>
      <c r="BD114" s="43">
        <v>51.215000000000003</v>
      </c>
      <c r="BE114" s="43">
        <v>51.868400000000001</v>
      </c>
      <c r="BF114" s="43">
        <v>52.521799999999999</v>
      </c>
      <c r="BG114" s="43"/>
      <c r="BH114" s="44">
        <f t="shared" si="2"/>
        <v>29.424666666666667</v>
      </c>
      <c r="BI114" s="44">
        <f t="shared" si="3"/>
        <v>43.881927999999995</v>
      </c>
      <c r="BJ114" s="44"/>
      <c r="BK114" s="44"/>
      <c r="BL114" s="44"/>
      <c r="BM114" s="44"/>
      <c r="BN114" s="44"/>
      <c r="BO114" s="44"/>
      <c r="BP114" s="44"/>
      <c r="BQ114" s="44"/>
      <c r="BR114" s="44"/>
      <c r="BS114" s="44"/>
      <c r="BT114" s="44"/>
      <c r="BU114" s="44"/>
      <c r="BV114" s="44"/>
      <c r="BW114" s="44"/>
      <c r="BX114" s="44"/>
      <c r="BY114" s="44"/>
      <c r="BZ114" s="44"/>
      <c r="CA114" s="44"/>
      <c r="CB114" s="44"/>
      <c r="CC114" s="44"/>
      <c r="CD114" s="44"/>
      <c r="CE114" s="44"/>
      <c r="CF114" s="42"/>
      <c r="CG114" s="42"/>
      <c r="CH114" s="42"/>
      <c r="CI114" s="42"/>
      <c r="CJ114" s="42"/>
      <c r="CK114" s="42"/>
      <c r="CL114" s="42"/>
      <c r="CM114" s="42"/>
      <c r="CN114" s="42"/>
      <c r="CO114" s="42"/>
      <c r="CP114" s="42"/>
      <c r="CQ114" s="42"/>
    </row>
    <row r="115" spans="1:95">
      <c r="A115" s="41">
        <v>91</v>
      </c>
      <c r="B115" s="41" t="s">
        <v>100</v>
      </c>
      <c r="C115" s="2">
        <v>4</v>
      </c>
      <c r="D115" s="2">
        <v>849.10380810000004</v>
      </c>
      <c r="E115" s="2">
        <v>1</v>
      </c>
      <c r="F115" s="2">
        <v>19.952066666666664</v>
      </c>
      <c r="G115" s="43">
        <v>10.9732</v>
      </c>
      <c r="H115" s="43">
        <v>11.474399999999999</v>
      </c>
      <c r="I115" s="43">
        <v>11.9756</v>
      </c>
      <c r="J115" s="43">
        <v>12.476800000000001</v>
      </c>
      <c r="K115" s="43">
        <v>12.978</v>
      </c>
      <c r="L115" s="43">
        <v>13.5778</v>
      </c>
      <c r="M115" s="43">
        <v>14.1776</v>
      </c>
      <c r="N115" s="43">
        <v>14.7774</v>
      </c>
      <c r="O115" s="43">
        <v>15.3772</v>
      </c>
      <c r="P115" s="43">
        <v>15.977</v>
      </c>
      <c r="Q115" s="43">
        <v>16.6846</v>
      </c>
      <c r="R115" s="43">
        <v>17.392199999999999</v>
      </c>
      <c r="S115" s="43">
        <v>18.099799999999998</v>
      </c>
      <c r="T115" s="43">
        <v>18.807400000000001</v>
      </c>
      <c r="U115" s="43">
        <v>19.515000000000001</v>
      </c>
      <c r="V115" s="43">
        <v>20.3354</v>
      </c>
      <c r="W115" s="43">
        <v>21.155799999999999</v>
      </c>
      <c r="X115" s="43">
        <v>21.976199999999999</v>
      </c>
      <c r="Y115" s="43">
        <v>22.796600000000002</v>
      </c>
      <c r="Z115" s="43">
        <v>23.617000000000001</v>
      </c>
      <c r="AA115" s="43">
        <v>24.2178</v>
      </c>
      <c r="AB115" s="43">
        <v>24.8186</v>
      </c>
      <c r="AC115" s="43">
        <v>25.4194</v>
      </c>
      <c r="AD115" s="43">
        <v>26.020199999999999</v>
      </c>
      <c r="AE115" s="43">
        <v>26.620999999999999</v>
      </c>
      <c r="AF115" s="43">
        <v>26.902000000000001</v>
      </c>
      <c r="AG115" s="43">
        <v>27.183</v>
      </c>
      <c r="AH115" s="43">
        <v>27.463999999999999</v>
      </c>
      <c r="AI115" s="43">
        <v>27.745000000000001</v>
      </c>
      <c r="AJ115" s="43">
        <v>28.026</v>
      </c>
      <c r="AK115" s="43">
        <v>28.315799999999999</v>
      </c>
      <c r="AL115" s="43">
        <v>28.605599999999999</v>
      </c>
      <c r="AM115" s="43">
        <v>28.895399999999999</v>
      </c>
      <c r="AN115" s="43">
        <v>29.185199999999998</v>
      </c>
      <c r="AO115" s="43">
        <v>29.475000000000001</v>
      </c>
      <c r="AP115" s="43">
        <v>29.784600000000001</v>
      </c>
      <c r="AQ115" s="43">
        <v>30.094200000000001</v>
      </c>
      <c r="AR115" s="43">
        <v>30.4038</v>
      </c>
      <c r="AS115" s="43">
        <v>30.7134</v>
      </c>
      <c r="AT115" s="43">
        <v>31.023</v>
      </c>
      <c r="AU115" s="43">
        <v>31.3874</v>
      </c>
      <c r="AV115" s="43">
        <v>31.751799999999999</v>
      </c>
      <c r="AW115" s="43">
        <v>32.116199999999999</v>
      </c>
      <c r="AX115" s="43">
        <v>32.480600000000003</v>
      </c>
      <c r="AY115" s="43">
        <v>32.844999999999999</v>
      </c>
      <c r="AZ115" s="43">
        <v>33.269599999999997</v>
      </c>
      <c r="BA115" s="43">
        <v>33.694200000000002</v>
      </c>
      <c r="BB115" s="43">
        <v>34.1188</v>
      </c>
      <c r="BC115" s="43">
        <v>34.543399999999998</v>
      </c>
      <c r="BD115" s="43">
        <v>34.968000000000004</v>
      </c>
      <c r="BE115" s="43">
        <v>35.456000000000003</v>
      </c>
      <c r="BF115" s="43">
        <v>35.944000000000003</v>
      </c>
      <c r="BG115" s="43"/>
      <c r="BH115" s="44">
        <f t="shared" si="2"/>
        <v>19.086185185185187</v>
      </c>
      <c r="BI115" s="44">
        <f t="shared" si="3"/>
        <v>31.292239999999996</v>
      </c>
      <c r="BJ115" s="44"/>
      <c r="BK115" s="44"/>
      <c r="BL115" s="44"/>
      <c r="BM115" s="44"/>
      <c r="BN115" s="44"/>
      <c r="BO115" s="44"/>
      <c r="BP115" s="44"/>
      <c r="BQ115" s="44"/>
      <c r="BR115" s="44"/>
      <c r="BS115" s="44"/>
      <c r="BT115" s="44"/>
      <c r="BU115" s="44"/>
      <c r="BV115" s="44"/>
      <c r="BW115" s="44"/>
      <c r="BX115" s="44"/>
      <c r="BY115" s="44"/>
      <c r="BZ115" s="44"/>
      <c r="CA115" s="44"/>
      <c r="CB115" s="44"/>
      <c r="CC115" s="44"/>
      <c r="CD115" s="44"/>
      <c r="CE115" s="44"/>
      <c r="CF115" s="42"/>
      <c r="CG115" s="42"/>
      <c r="CH115" s="42"/>
      <c r="CI115" s="42"/>
      <c r="CJ115" s="42"/>
      <c r="CK115" s="42"/>
      <c r="CL115" s="42"/>
      <c r="CM115" s="42"/>
      <c r="CN115" s="42"/>
      <c r="CO115" s="42"/>
      <c r="CP115" s="42"/>
      <c r="CQ115" s="42"/>
    </row>
    <row r="116" spans="1:95">
      <c r="A116" s="41">
        <v>43</v>
      </c>
      <c r="B116" s="41" t="s">
        <v>129</v>
      </c>
      <c r="C116" s="2">
        <v>4</v>
      </c>
      <c r="D116" s="2">
        <v>783.97599490000005</v>
      </c>
      <c r="E116" s="2">
        <v>1</v>
      </c>
      <c r="F116" s="2">
        <v>14.878433333333335</v>
      </c>
      <c r="G116" s="43">
        <v>7.0372000000000003</v>
      </c>
      <c r="H116" s="43">
        <v>7.3794000000000004</v>
      </c>
      <c r="I116" s="43">
        <v>7.7215999999999996</v>
      </c>
      <c r="J116" s="43">
        <v>8.0638000000000005</v>
      </c>
      <c r="K116" s="43">
        <v>8.4060000000000006</v>
      </c>
      <c r="L116" s="43">
        <v>9.0383999999999993</v>
      </c>
      <c r="M116" s="43">
        <v>9.6707999999999998</v>
      </c>
      <c r="N116" s="43">
        <v>10.3032</v>
      </c>
      <c r="O116" s="43">
        <v>10.935600000000001</v>
      </c>
      <c r="P116" s="43">
        <v>11.568</v>
      </c>
      <c r="Q116" s="43">
        <v>12.367599999999999</v>
      </c>
      <c r="R116" s="43">
        <v>13.167199999999999</v>
      </c>
      <c r="S116" s="43">
        <v>13.966799999999999</v>
      </c>
      <c r="T116" s="43">
        <v>14.766400000000001</v>
      </c>
      <c r="U116" s="43">
        <v>15.566000000000001</v>
      </c>
      <c r="V116" s="43">
        <v>16.2102</v>
      </c>
      <c r="W116" s="43">
        <v>16.854399999999998</v>
      </c>
      <c r="X116" s="43">
        <v>17.4986</v>
      </c>
      <c r="Y116" s="43">
        <v>18.142800000000001</v>
      </c>
      <c r="Z116" s="43">
        <v>18.786999999999999</v>
      </c>
      <c r="AA116" s="43">
        <v>18.985399999999998</v>
      </c>
      <c r="AB116" s="43">
        <v>19.183800000000002</v>
      </c>
      <c r="AC116" s="43">
        <v>19.382200000000001</v>
      </c>
      <c r="AD116" s="43">
        <v>19.5806</v>
      </c>
      <c r="AE116" s="43">
        <v>19.779</v>
      </c>
      <c r="AF116" s="43">
        <v>19.985399999999998</v>
      </c>
      <c r="AG116" s="43">
        <v>20.191800000000001</v>
      </c>
      <c r="AH116" s="43">
        <v>20.398199999999999</v>
      </c>
      <c r="AI116" s="43">
        <v>20.604600000000001</v>
      </c>
      <c r="AJ116" s="43">
        <v>20.811</v>
      </c>
      <c r="AK116" s="43">
        <v>20.937000000000001</v>
      </c>
      <c r="AL116" s="43">
        <v>21.062999999999999</v>
      </c>
      <c r="AM116" s="43">
        <v>21.189</v>
      </c>
      <c r="AN116" s="43">
        <v>21.315000000000001</v>
      </c>
      <c r="AO116" s="43">
        <v>21.440999999999999</v>
      </c>
      <c r="AP116" s="43">
        <v>21.459599999999998</v>
      </c>
      <c r="AQ116" s="43">
        <v>21.478200000000001</v>
      </c>
      <c r="AR116" s="43">
        <v>21.4968</v>
      </c>
      <c r="AS116" s="43">
        <v>21.5154</v>
      </c>
      <c r="AT116" s="43">
        <v>21.533999999999999</v>
      </c>
      <c r="AU116" s="43">
        <v>21.552600000000002</v>
      </c>
      <c r="AV116" s="43">
        <v>21.571200000000001</v>
      </c>
      <c r="AW116" s="43">
        <v>21.5898</v>
      </c>
      <c r="AX116" s="43">
        <v>21.6084</v>
      </c>
      <c r="AY116" s="43">
        <v>21.626999999999999</v>
      </c>
      <c r="AZ116" s="43">
        <v>21.6494</v>
      </c>
      <c r="BA116" s="43">
        <v>21.671800000000001</v>
      </c>
      <c r="BB116" s="43">
        <v>21.694199999999999</v>
      </c>
      <c r="BC116" s="43">
        <v>21.7166</v>
      </c>
      <c r="BD116" s="43">
        <v>21.739000000000001</v>
      </c>
      <c r="BE116" s="43">
        <v>21.8294</v>
      </c>
      <c r="BF116" s="43">
        <v>21.919799999999999</v>
      </c>
      <c r="BG116" s="43"/>
      <c r="BH116" s="44">
        <f t="shared" si="2"/>
        <v>14.242192592592597</v>
      </c>
      <c r="BI116" s="44">
        <f t="shared" si="3"/>
        <v>21.41648</v>
      </c>
      <c r="BJ116" s="44"/>
      <c r="BK116" s="44"/>
      <c r="BL116" s="44"/>
      <c r="BM116" s="44"/>
      <c r="BN116" s="44"/>
      <c r="BO116" s="44"/>
      <c r="BP116" s="44"/>
      <c r="BQ116" s="44"/>
      <c r="BR116" s="44"/>
      <c r="BS116" s="44"/>
      <c r="BT116" s="44"/>
      <c r="BU116" s="44"/>
      <c r="BV116" s="44"/>
      <c r="BW116" s="44"/>
      <c r="BX116" s="44"/>
      <c r="BY116" s="44"/>
      <c r="BZ116" s="44"/>
      <c r="CA116" s="44"/>
      <c r="CB116" s="44"/>
      <c r="CC116" s="44"/>
      <c r="CD116" s="44"/>
      <c r="CE116" s="44"/>
      <c r="CF116" s="42"/>
      <c r="CG116" s="42"/>
      <c r="CH116" s="42"/>
      <c r="CI116" s="42"/>
      <c r="CJ116" s="42"/>
      <c r="CK116" s="42"/>
      <c r="CL116" s="42"/>
      <c r="CM116" s="42"/>
      <c r="CN116" s="42"/>
      <c r="CO116" s="42"/>
      <c r="CP116" s="42"/>
      <c r="CQ116" s="42"/>
    </row>
    <row r="117" spans="1:95">
      <c r="A117" s="41">
        <v>159</v>
      </c>
      <c r="B117" s="41" t="s">
        <v>53</v>
      </c>
      <c r="C117" s="2">
        <v>4</v>
      </c>
      <c r="D117" s="2">
        <v>771.11228879999999</v>
      </c>
      <c r="E117" s="2">
        <v>1</v>
      </c>
      <c r="F117" s="2">
        <v>11.089833333333333</v>
      </c>
      <c r="G117" s="43">
        <v>5.9962</v>
      </c>
      <c r="H117" s="43">
        <v>6.1993999999999998</v>
      </c>
      <c r="I117" s="43">
        <v>6.4025999999999996</v>
      </c>
      <c r="J117" s="43">
        <v>6.6058000000000003</v>
      </c>
      <c r="K117" s="43">
        <v>6.8090000000000002</v>
      </c>
      <c r="L117" s="43">
        <v>7.2060000000000004</v>
      </c>
      <c r="M117" s="43">
        <v>7.6029999999999998</v>
      </c>
      <c r="N117" s="43">
        <v>8</v>
      </c>
      <c r="O117" s="43">
        <v>8.3970000000000002</v>
      </c>
      <c r="P117" s="43">
        <v>8.7940000000000005</v>
      </c>
      <c r="Q117" s="43">
        <v>9.3190000000000008</v>
      </c>
      <c r="R117" s="43">
        <v>9.8439999999999994</v>
      </c>
      <c r="S117" s="43">
        <v>10.369</v>
      </c>
      <c r="T117" s="43">
        <v>10.894</v>
      </c>
      <c r="U117" s="43">
        <v>11.419</v>
      </c>
      <c r="V117" s="43">
        <v>11.8238</v>
      </c>
      <c r="W117" s="43">
        <v>12.2286</v>
      </c>
      <c r="X117" s="43">
        <v>12.6334</v>
      </c>
      <c r="Y117" s="43">
        <v>13.0382</v>
      </c>
      <c r="Z117" s="43">
        <v>13.443</v>
      </c>
      <c r="AA117" s="43">
        <v>13.6616</v>
      </c>
      <c r="AB117" s="43">
        <v>13.8802</v>
      </c>
      <c r="AC117" s="43">
        <v>14.098800000000001</v>
      </c>
      <c r="AD117" s="43">
        <v>14.317399999999999</v>
      </c>
      <c r="AE117" s="43">
        <v>14.536</v>
      </c>
      <c r="AF117" s="43">
        <v>14.702400000000001</v>
      </c>
      <c r="AG117" s="43">
        <v>14.8688</v>
      </c>
      <c r="AH117" s="43">
        <v>15.0352</v>
      </c>
      <c r="AI117" s="43">
        <v>15.201599999999999</v>
      </c>
      <c r="AJ117" s="43">
        <v>15.368</v>
      </c>
      <c r="AK117" s="43">
        <v>15.449</v>
      </c>
      <c r="AL117" s="43">
        <v>15.53</v>
      </c>
      <c r="AM117" s="43">
        <v>15.611000000000001</v>
      </c>
      <c r="AN117" s="43">
        <v>15.692</v>
      </c>
      <c r="AO117" s="43">
        <v>15.773</v>
      </c>
      <c r="AP117" s="43">
        <v>15.855600000000001</v>
      </c>
      <c r="AQ117" s="43">
        <v>15.9382</v>
      </c>
      <c r="AR117" s="43">
        <v>16.020800000000001</v>
      </c>
      <c r="AS117" s="43">
        <v>16.103400000000001</v>
      </c>
      <c r="AT117" s="43">
        <v>16.186</v>
      </c>
      <c r="AU117" s="43">
        <v>16.295200000000001</v>
      </c>
      <c r="AV117" s="43">
        <v>16.404399999999999</v>
      </c>
      <c r="AW117" s="43">
        <v>16.5136</v>
      </c>
      <c r="AX117" s="43">
        <v>16.622800000000002</v>
      </c>
      <c r="AY117" s="43">
        <v>16.731999999999999</v>
      </c>
      <c r="AZ117" s="43">
        <v>16.908799999999999</v>
      </c>
      <c r="BA117" s="43">
        <v>17.085599999999999</v>
      </c>
      <c r="BB117" s="43">
        <v>17.2624</v>
      </c>
      <c r="BC117" s="43">
        <v>17.4392</v>
      </c>
      <c r="BD117" s="43">
        <v>17.616</v>
      </c>
      <c r="BE117" s="43">
        <v>17.868400000000001</v>
      </c>
      <c r="BF117" s="43">
        <v>18.120799999999999</v>
      </c>
      <c r="BG117" s="43"/>
      <c r="BH117" s="44">
        <f t="shared" si="2"/>
        <v>10.632970370370371</v>
      </c>
      <c r="BI117" s="44">
        <f t="shared" si="3"/>
        <v>16.345320000000001</v>
      </c>
      <c r="BJ117" s="44"/>
      <c r="BK117" s="44"/>
      <c r="BL117" s="44"/>
      <c r="BM117" s="44"/>
      <c r="BN117" s="44"/>
      <c r="BO117" s="44"/>
      <c r="BP117" s="44"/>
      <c r="BQ117" s="44"/>
      <c r="BR117" s="44"/>
      <c r="BS117" s="44"/>
      <c r="BT117" s="44"/>
      <c r="BU117" s="44"/>
      <c r="BV117" s="44"/>
      <c r="BW117" s="44"/>
      <c r="BX117" s="44"/>
      <c r="BY117" s="44"/>
      <c r="BZ117" s="44"/>
      <c r="CA117" s="44"/>
      <c r="CB117" s="44"/>
      <c r="CC117" s="44"/>
      <c r="CD117" s="44"/>
      <c r="CE117" s="44"/>
      <c r="CF117" s="42"/>
      <c r="CG117" s="42"/>
      <c r="CH117" s="42"/>
      <c r="CI117" s="42"/>
      <c r="CJ117" s="42"/>
      <c r="CK117" s="42"/>
      <c r="CL117" s="42"/>
      <c r="CM117" s="42"/>
      <c r="CN117" s="42"/>
      <c r="CO117" s="42"/>
      <c r="CP117" s="42"/>
      <c r="CQ117" s="42"/>
    </row>
    <row r="118" spans="1:95">
      <c r="A118" s="41">
        <v>195</v>
      </c>
      <c r="B118" s="41" t="s">
        <v>33</v>
      </c>
      <c r="C118" s="2">
        <v>4</v>
      </c>
      <c r="D118" s="2">
        <v>764.07026099999996</v>
      </c>
      <c r="E118" s="2">
        <v>1</v>
      </c>
      <c r="F118" s="2">
        <v>26.303499999999996</v>
      </c>
      <c r="G118" s="43">
        <v>17.945799999999998</v>
      </c>
      <c r="H118" s="43">
        <v>18.514600000000002</v>
      </c>
      <c r="I118" s="43">
        <v>19.083400000000001</v>
      </c>
      <c r="J118" s="43">
        <v>19.652200000000001</v>
      </c>
      <c r="K118" s="43">
        <v>20.221</v>
      </c>
      <c r="L118" s="43">
        <v>20.8568</v>
      </c>
      <c r="M118" s="43">
        <v>21.492599999999999</v>
      </c>
      <c r="N118" s="43">
        <v>22.128399999999999</v>
      </c>
      <c r="O118" s="43">
        <v>22.764199999999999</v>
      </c>
      <c r="P118" s="43">
        <v>23.4</v>
      </c>
      <c r="Q118" s="43">
        <v>24.071200000000001</v>
      </c>
      <c r="R118" s="43">
        <v>24.7424</v>
      </c>
      <c r="S118" s="43">
        <v>25.413599999999999</v>
      </c>
      <c r="T118" s="43">
        <v>26.084800000000001</v>
      </c>
      <c r="U118" s="43">
        <v>26.756</v>
      </c>
      <c r="V118" s="43">
        <v>27.2258</v>
      </c>
      <c r="W118" s="43">
        <v>27.695599999999999</v>
      </c>
      <c r="X118" s="43">
        <v>28.165400000000002</v>
      </c>
      <c r="Y118" s="43">
        <v>28.635200000000001</v>
      </c>
      <c r="Z118" s="43">
        <v>29.105</v>
      </c>
      <c r="AA118" s="43">
        <v>29.597799999999999</v>
      </c>
      <c r="AB118" s="43">
        <v>30.090599999999998</v>
      </c>
      <c r="AC118" s="43">
        <v>30.583400000000001</v>
      </c>
      <c r="AD118" s="43">
        <v>31.0762</v>
      </c>
      <c r="AE118" s="43">
        <v>31.568999999999999</v>
      </c>
      <c r="AF118" s="43">
        <v>31.861599999999999</v>
      </c>
      <c r="AG118" s="43">
        <v>32.154200000000003</v>
      </c>
      <c r="AH118" s="43">
        <v>32.446800000000003</v>
      </c>
      <c r="AI118" s="43">
        <v>32.739400000000003</v>
      </c>
      <c r="AJ118" s="43">
        <v>33.031999999999996</v>
      </c>
      <c r="AK118" s="43">
        <v>33.308799999999998</v>
      </c>
      <c r="AL118" s="43">
        <v>33.585599999999999</v>
      </c>
      <c r="AM118" s="43">
        <v>33.862400000000001</v>
      </c>
      <c r="AN118" s="43">
        <v>34.139200000000002</v>
      </c>
      <c r="AO118" s="43">
        <v>34.415999999999997</v>
      </c>
      <c r="AP118" s="43">
        <v>34.6982</v>
      </c>
      <c r="AQ118" s="43">
        <v>34.980400000000003</v>
      </c>
      <c r="AR118" s="43">
        <v>35.262599999999999</v>
      </c>
      <c r="AS118" s="43">
        <v>35.544800000000002</v>
      </c>
      <c r="AT118" s="43">
        <v>35.826999999999998</v>
      </c>
      <c r="AU118" s="43">
        <v>36.114199999999997</v>
      </c>
      <c r="AV118" s="43">
        <v>36.401400000000002</v>
      </c>
      <c r="AW118" s="43">
        <v>36.688600000000001</v>
      </c>
      <c r="AX118" s="43">
        <v>36.9758</v>
      </c>
      <c r="AY118" s="43">
        <v>37.262999999999998</v>
      </c>
      <c r="AZ118" s="43">
        <v>37.585599999999999</v>
      </c>
      <c r="BA118" s="43">
        <v>37.908200000000001</v>
      </c>
      <c r="BB118" s="43">
        <v>38.230800000000002</v>
      </c>
      <c r="BC118" s="43">
        <v>38.553400000000003</v>
      </c>
      <c r="BD118" s="43">
        <v>38.875999999999998</v>
      </c>
      <c r="BE118" s="43">
        <v>39.255800000000001</v>
      </c>
      <c r="BF118" s="43">
        <v>39.635599999999997</v>
      </c>
      <c r="BG118" s="43"/>
      <c r="BH118" s="44">
        <f t="shared" si="2"/>
        <v>25.588399999999993</v>
      </c>
      <c r="BI118" s="44">
        <f t="shared" si="3"/>
        <v>35.893264000000002</v>
      </c>
      <c r="BJ118" s="44"/>
      <c r="BK118" s="44"/>
      <c r="BL118" s="44"/>
      <c r="BM118" s="44"/>
      <c r="BN118" s="44"/>
      <c r="BO118" s="44"/>
      <c r="BP118" s="44"/>
      <c r="BQ118" s="44"/>
      <c r="BR118" s="44"/>
      <c r="BS118" s="44"/>
      <c r="BT118" s="44"/>
      <c r="BU118" s="44"/>
      <c r="BV118" s="44"/>
      <c r="BW118" s="44"/>
      <c r="BX118" s="44"/>
      <c r="BY118" s="44"/>
      <c r="BZ118" s="44"/>
      <c r="CA118" s="44"/>
      <c r="CB118" s="44"/>
      <c r="CC118" s="44"/>
      <c r="CD118" s="44"/>
      <c r="CE118" s="44"/>
      <c r="CF118" s="42"/>
      <c r="CG118" s="42"/>
      <c r="CH118" s="42"/>
      <c r="CI118" s="42"/>
      <c r="CJ118" s="42"/>
      <c r="CK118" s="42"/>
      <c r="CL118" s="42"/>
      <c r="CM118" s="42"/>
      <c r="CN118" s="42"/>
      <c r="CO118" s="42"/>
      <c r="CP118" s="42"/>
      <c r="CQ118" s="42"/>
    </row>
    <row r="119" spans="1:95">
      <c r="A119" s="41">
        <v>35</v>
      </c>
      <c r="B119" s="41" t="s">
        <v>135</v>
      </c>
      <c r="C119" s="2">
        <v>4</v>
      </c>
      <c r="D119" s="2">
        <v>676.29903390000004</v>
      </c>
      <c r="E119" s="2">
        <v>1</v>
      </c>
      <c r="F119" s="2">
        <v>8.0998333333333328</v>
      </c>
      <c r="G119" s="43">
        <v>4.7995999999999999</v>
      </c>
      <c r="H119" s="43">
        <v>4.8992000000000004</v>
      </c>
      <c r="I119" s="43">
        <v>4.9988000000000001</v>
      </c>
      <c r="J119" s="43">
        <v>5.0983999999999998</v>
      </c>
      <c r="K119" s="43">
        <v>5.1980000000000004</v>
      </c>
      <c r="L119" s="43">
        <v>5.3075999999999999</v>
      </c>
      <c r="M119" s="43">
        <v>5.4172000000000002</v>
      </c>
      <c r="N119" s="43">
        <v>5.5267999999999997</v>
      </c>
      <c r="O119" s="43">
        <v>5.6364000000000001</v>
      </c>
      <c r="P119" s="43">
        <v>5.7460000000000004</v>
      </c>
      <c r="Q119" s="43">
        <v>5.8662000000000001</v>
      </c>
      <c r="R119" s="43">
        <v>5.9863999999999997</v>
      </c>
      <c r="S119" s="43">
        <v>6.1066000000000003</v>
      </c>
      <c r="T119" s="43">
        <v>6.2267999999999999</v>
      </c>
      <c r="U119" s="43">
        <v>6.3470000000000004</v>
      </c>
      <c r="V119" s="43">
        <v>6.8385999999999996</v>
      </c>
      <c r="W119" s="43">
        <v>7.3301999999999996</v>
      </c>
      <c r="X119" s="43">
        <v>7.8217999999999996</v>
      </c>
      <c r="Y119" s="43">
        <v>8.3133999999999997</v>
      </c>
      <c r="Z119" s="43">
        <v>8.8049999999999997</v>
      </c>
      <c r="AA119" s="43">
        <v>9.5107999999999997</v>
      </c>
      <c r="AB119" s="43">
        <v>10.2166</v>
      </c>
      <c r="AC119" s="43">
        <v>10.9224</v>
      </c>
      <c r="AD119" s="43">
        <v>11.6282</v>
      </c>
      <c r="AE119" s="43">
        <v>12.334</v>
      </c>
      <c r="AF119" s="43">
        <v>12.6302</v>
      </c>
      <c r="AG119" s="43">
        <v>12.926399999999999</v>
      </c>
      <c r="AH119" s="43">
        <v>13.2226</v>
      </c>
      <c r="AI119" s="43">
        <v>13.518800000000001</v>
      </c>
      <c r="AJ119" s="43">
        <v>13.815</v>
      </c>
      <c r="AK119" s="43">
        <v>14.078200000000001</v>
      </c>
      <c r="AL119" s="43">
        <v>14.3414</v>
      </c>
      <c r="AM119" s="43">
        <v>14.6046</v>
      </c>
      <c r="AN119" s="43">
        <v>14.867800000000001</v>
      </c>
      <c r="AO119" s="43">
        <v>15.131</v>
      </c>
      <c r="AP119" s="43">
        <v>15.6736</v>
      </c>
      <c r="AQ119" s="43">
        <v>16.216200000000001</v>
      </c>
      <c r="AR119" s="43">
        <v>16.758800000000001</v>
      </c>
      <c r="AS119" s="43">
        <v>17.301400000000001</v>
      </c>
      <c r="AT119" s="43">
        <v>17.844000000000001</v>
      </c>
      <c r="AU119" s="43">
        <v>18.582599999999999</v>
      </c>
      <c r="AV119" s="43">
        <v>19.321200000000001</v>
      </c>
      <c r="AW119" s="43">
        <v>20.059799999999999</v>
      </c>
      <c r="AX119" s="43">
        <v>20.798400000000001</v>
      </c>
      <c r="AY119" s="43">
        <v>21.536999999999999</v>
      </c>
      <c r="AZ119" s="43">
        <v>22.363</v>
      </c>
      <c r="BA119" s="43">
        <v>23.189</v>
      </c>
      <c r="BB119" s="43">
        <v>24.015000000000001</v>
      </c>
      <c r="BC119" s="43">
        <v>24.841000000000001</v>
      </c>
      <c r="BD119" s="43">
        <v>25.667000000000002</v>
      </c>
      <c r="BE119" s="43">
        <v>26.509</v>
      </c>
      <c r="BF119" s="43">
        <v>27.350999999999999</v>
      </c>
      <c r="BG119" s="43"/>
      <c r="BH119" s="44">
        <f t="shared" si="2"/>
        <v>7.4977259259259261</v>
      </c>
      <c r="BI119" s="44">
        <f t="shared" si="3"/>
        <v>18.864296</v>
      </c>
      <c r="BJ119" s="44"/>
      <c r="BK119" s="44"/>
      <c r="BL119" s="44"/>
      <c r="BM119" s="44"/>
      <c r="BN119" s="44"/>
      <c r="BO119" s="44"/>
      <c r="BP119" s="44"/>
      <c r="BQ119" s="44"/>
      <c r="BR119" s="44"/>
      <c r="BS119" s="44"/>
      <c r="BT119" s="44"/>
      <c r="BU119" s="44"/>
      <c r="BV119" s="44"/>
      <c r="BW119" s="44"/>
      <c r="BX119" s="44"/>
      <c r="BY119" s="44"/>
      <c r="BZ119" s="44"/>
      <c r="CA119" s="44"/>
      <c r="CB119" s="44"/>
      <c r="CC119" s="44"/>
      <c r="CD119" s="44"/>
      <c r="CE119" s="44"/>
      <c r="CF119" s="42"/>
      <c r="CG119" s="42"/>
      <c r="CH119" s="42"/>
      <c r="CI119" s="42"/>
      <c r="CJ119" s="42"/>
      <c r="CK119" s="42"/>
      <c r="CL119" s="42"/>
      <c r="CM119" s="42"/>
      <c r="CN119" s="42"/>
      <c r="CO119" s="42"/>
      <c r="CP119" s="42"/>
      <c r="CQ119" s="42"/>
    </row>
    <row r="120" spans="1:95">
      <c r="A120" s="41">
        <v>135</v>
      </c>
      <c r="B120" s="41" t="s">
        <v>67</v>
      </c>
      <c r="C120" s="2">
        <v>4</v>
      </c>
      <c r="D120" s="2">
        <v>657.04991919999998</v>
      </c>
      <c r="E120" s="2">
        <v>1</v>
      </c>
      <c r="F120" s="2">
        <v>16.849766666666667</v>
      </c>
      <c r="G120" s="43">
        <v>11.3744</v>
      </c>
      <c r="H120" s="43">
        <v>11.6828</v>
      </c>
      <c r="I120" s="43">
        <v>11.991199999999999</v>
      </c>
      <c r="J120" s="43">
        <v>12.2996</v>
      </c>
      <c r="K120" s="43">
        <v>12.608000000000001</v>
      </c>
      <c r="L120" s="43">
        <v>12.952400000000001</v>
      </c>
      <c r="M120" s="43">
        <v>13.296799999999999</v>
      </c>
      <c r="N120" s="43">
        <v>13.6412</v>
      </c>
      <c r="O120" s="43">
        <v>13.9856</v>
      </c>
      <c r="P120" s="43">
        <v>14.33</v>
      </c>
      <c r="Q120" s="43">
        <v>14.7128</v>
      </c>
      <c r="R120" s="43">
        <v>15.095599999999999</v>
      </c>
      <c r="S120" s="43">
        <v>15.478400000000001</v>
      </c>
      <c r="T120" s="43">
        <v>15.8612</v>
      </c>
      <c r="U120" s="43">
        <v>16.244</v>
      </c>
      <c r="V120" s="43">
        <v>16.692</v>
      </c>
      <c r="W120" s="43">
        <v>17.14</v>
      </c>
      <c r="X120" s="43">
        <v>17.588000000000001</v>
      </c>
      <c r="Y120" s="43">
        <v>18.036000000000001</v>
      </c>
      <c r="Z120" s="43">
        <v>18.484000000000002</v>
      </c>
      <c r="AA120" s="43">
        <v>18.989799999999999</v>
      </c>
      <c r="AB120" s="43">
        <v>19.4956</v>
      </c>
      <c r="AC120" s="43">
        <v>20.0014</v>
      </c>
      <c r="AD120" s="43">
        <v>20.507200000000001</v>
      </c>
      <c r="AE120" s="43">
        <v>21.013000000000002</v>
      </c>
      <c r="AF120" s="43">
        <v>21.474799999999998</v>
      </c>
      <c r="AG120" s="43">
        <v>21.936599999999999</v>
      </c>
      <c r="AH120" s="43">
        <v>22.398399999999999</v>
      </c>
      <c r="AI120" s="43">
        <v>22.860199999999999</v>
      </c>
      <c r="AJ120" s="43">
        <v>23.321999999999999</v>
      </c>
      <c r="AK120" s="43">
        <v>23.761399999999998</v>
      </c>
      <c r="AL120" s="43">
        <v>24.200800000000001</v>
      </c>
      <c r="AM120" s="43">
        <v>24.6402</v>
      </c>
      <c r="AN120" s="43">
        <v>25.079599999999999</v>
      </c>
      <c r="AO120" s="43">
        <v>25.518999999999998</v>
      </c>
      <c r="AP120" s="43">
        <v>26.030799999999999</v>
      </c>
      <c r="AQ120" s="43">
        <v>26.5426</v>
      </c>
      <c r="AR120" s="43">
        <v>27.054400000000001</v>
      </c>
      <c r="AS120" s="43">
        <v>27.566199999999998</v>
      </c>
      <c r="AT120" s="43">
        <v>28.077999999999999</v>
      </c>
      <c r="AU120" s="43">
        <v>28.6812</v>
      </c>
      <c r="AV120" s="43">
        <v>29.284400000000002</v>
      </c>
      <c r="AW120" s="43">
        <v>29.887599999999999</v>
      </c>
      <c r="AX120" s="43">
        <v>30.4908</v>
      </c>
      <c r="AY120" s="43">
        <v>31.094000000000001</v>
      </c>
      <c r="AZ120" s="43">
        <v>31.730599999999999</v>
      </c>
      <c r="BA120" s="43">
        <v>32.367199999999997</v>
      </c>
      <c r="BB120" s="43">
        <v>33.003799999999998</v>
      </c>
      <c r="BC120" s="43">
        <v>33.6404</v>
      </c>
      <c r="BD120" s="43">
        <v>34.277000000000001</v>
      </c>
      <c r="BE120" s="43">
        <v>34.925800000000002</v>
      </c>
      <c r="BF120" s="43">
        <v>35.574599999999997</v>
      </c>
      <c r="BG120" s="43"/>
      <c r="BH120" s="44">
        <f t="shared" si="2"/>
        <v>16.181940740740739</v>
      </c>
      <c r="BI120" s="44">
        <f t="shared" si="3"/>
        <v>28.480439999999998</v>
      </c>
      <c r="BJ120" s="44"/>
      <c r="BK120" s="44"/>
      <c r="BL120" s="44"/>
      <c r="BM120" s="44"/>
      <c r="BN120" s="44"/>
      <c r="BO120" s="44"/>
      <c r="BP120" s="44"/>
      <c r="BQ120" s="44"/>
      <c r="BR120" s="44"/>
      <c r="BS120" s="44"/>
      <c r="BT120" s="44"/>
      <c r="BU120" s="44"/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2"/>
      <c r="CG120" s="42"/>
      <c r="CH120" s="42"/>
      <c r="CI120" s="42"/>
      <c r="CJ120" s="42"/>
      <c r="CK120" s="42"/>
      <c r="CL120" s="42"/>
      <c r="CM120" s="42"/>
      <c r="CN120" s="42"/>
      <c r="CO120" s="42"/>
      <c r="CP120" s="42"/>
      <c r="CQ120" s="42"/>
    </row>
    <row r="121" spans="1:95">
      <c r="A121" s="41">
        <v>132</v>
      </c>
      <c r="B121" s="41" t="s">
        <v>69</v>
      </c>
      <c r="C121" s="2">
        <v>4</v>
      </c>
      <c r="D121" s="2">
        <v>614.35602649999998</v>
      </c>
      <c r="E121" s="2">
        <v>1</v>
      </c>
      <c r="F121" s="2">
        <v>7.7530000000000019</v>
      </c>
      <c r="G121" s="43">
        <v>4.4935999999999998</v>
      </c>
      <c r="H121" s="43">
        <v>4.5972</v>
      </c>
      <c r="I121" s="43">
        <v>4.7008000000000001</v>
      </c>
      <c r="J121" s="43">
        <v>4.8044000000000002</v>
      </c>
      <c r="K121" s="43">
        <v>4.9080000000000004</v>
      </c>
      <c r="L121" s="43">
        <v>5.1369999999999996</v>
      </c>
      <c r="M121" s="43">
        <v>5.3659999999999997</v>
      </c>
      <c r="N121" s="43">
        <v>5.5949999999999998</v>
      </c>
      <c r="O121" s="43">
        <v>5.8239999999999998</v>
      </c>
      <c r="P121" s="43">
        <v>6.0529999999999999</v>
      </c>
      <c r="Q121" s="43">
        <v>6.3727999999999998</v>
      </c>
      <c r="R121" s="43">
        <v>6.6925999999999997</v>
      </c>
      <c r="S121" s="43">
        <v>7.0124000000000004</v>
      </c>
      <c r="T121" s="43">
        <v>7.3322000000000003</v>
      </c>
      <c r="U121" s="43">
        <v>7.6520000000000001</v>
      </c>
      <c r="V121" s="43">
        <v>7.9316000000000004</v>
      </c>
      <c r="W121" s="43">
        <v>8.2111999999999998</v>
      </c>
      <c r="X121" s="43">
        <v>8.4908000000000001</v>
      </c>
      <c r="Y121" s="43">
        <v>8.7704000000000004</v>
      </c>
      <c r="Z121" s="43">
        <v>9.0500000000000007</v>
      </c>
      <c r="AA121" s="43">
        <v>9.2726000000000006</v>
      </c>
      <c r="AB121" s="43">
        <v>9.4952000000000005</v>
      </c>
      <c r="AC121" s="43">
        <v>9.7178000000000004</v>
      </c>
      <c r="AD121" s="43">
        <v>9.9404000000000003</v>
      </c>
      <c r="AE121" s="43">
        <v>10.163</v>
      </c>
      <c r="AF121" s="43">
        <v>10.442399999999999</v>
      </c>
      <c r="AG121" s="43">
        <v>10.7218</v>
      </c>
      <c r="AH121" s="43">
        <v>11.001200000000001</v>
      </c>
      <c r="AI121" s="43">
        <v>11.2806</v>
      </c>
      <c r="AJ121" s="43">
        <v>11.56</v>
      </c>
      <c r="AK121" s="43">
        <v>11.900600000000001</v>
      </c>
      <c r="AL121" s="43">
        <v>12.241199999999999</v>
      </c>
      <c r="AM121" s="43">
        <v>12.581799999999999</v>
      </c>
      <c r="AN121" s="43">
        <v>12.9224</v>
      </c>
      <c r="AO121" s="43">
        <v>13.263</v>
      </c>
      <c r="AP121" s="43">
        <v>13.532400000000001</v>
      </c>
      <c r="AQ121" s="43">
        <v>13.8018</v>
      </c>
      <c r="AR121" s="43">
        <v>14.071199999999999</v>
      </c>
      <c r="AS121" s="43">
        <v>14.3406</v>
      </c>
      <c r="AT121" s="43">
        <v>14.61</v>
      </c>
      <c r="AU121" s="43">
        <v>14.6988</v>
      </c>
      <c r="AV121" s="43">
        <v>14.787599999999999</v>
      </c>
      <c r="AW121" s="43">
        <v>14.8764</v>
      </c>
      <c r="AX121" s="43">
        <v>14.965199999999999</v>
      </c>
      <c r="AY121" s="43">
        <v>15.054</v>
      </c>
      <c r="AZ121" s="43">
        <v>15.1518</v>
      </c>
      <c r="BA121" s="43">
        <v>15.249599999999999</v>
      </c>
      <c r="BB121" s="43">
        <v>15.3474</v>
      </c>
      <c r="BC121" s="43">
        <v>15.4452</v>
      </c>
      <c r="BD121" s="43">
        <v>15.542999999999999</v>
      </c>
      <c r="BE121" s="43">
        <v>15.695600000000001</v>
      </c>
      <c r="BF121" s="43">
        <v>15.8482</v>
      </c>
      <c r="BG121" s="43"/>
      <c r="BH121" s="44">
        <f t="shared" si="2"/>
        <v>7.3610444444444463</v>
      </c>
      <c r="BI121" s="44">
        <f t="shared" si="3"/>
        <v>13.990783999999998</v>
      </c>
      <c r="BJ121" s="44"/>
      <c r="BK121" s="44"/>
      <c r="BL121" s="44"/>
      <c r="BM121" s="44"/>
      <c r="BN121" s="44"/>
      <c r="BO121" s="44"/>
      <c r="BP121" s="44"/>
      <c r="BQ121" s="44"/>
      <c r="BR121" s="44"/>
      <c r="BS121" s="44"/>
      <c r="BT121" s="44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2"/>
      <c r="CG121" s="42"/>
      <c r="CH121" s="42"/>
      <c r="CI121" s="42"/>
      <c r="CJ121" s="42"/>
      <c r="CK121" s="42"/>
      <c r="CL121" s="42"/>
      <c r="CM121" s="42"/>
      <c r="CN121" s="42"/>
      <c r="CO121" s="42"/>
      <c r="CP121" s="42"/>
      <c r="CQ121" s="42"/>
    </row>
    <row r="122" spans="1:95">
      <c r="A122" s="41">
        <v>200</v>
      </c>
      <c r="B122" s="41" t="s">
        <v>29</v>
      </c>
      <c r="C122" s="2">
        <v>4</v>
      </c>
      <c r="D122" s="2">
        <v>600</v>
      </c>
      <c r="E122" s="2">
        <v>1</v>
      </c>
      <c r="F122" s="2">
        <v>24.614933333333333</v>
      </c>
      <c r="G122" s="43">
        <v>17.842400000000001</v>
      </c>
      <c r="H122" s="43">
        <v>18.372800000000002</v>
      </c>
      <c r="I122" s="43">
        <v>18.903199999999998</v>
      </c>
      <c r="J122" s="43">
        <v>19.433599999999998</v>
      </c>
      <c r="K122" s="43">
        <v>19.963999999999999</v>
      </c>
      <c r="L122" s="43">
        <v>20.506799999999998</v>
      </c>
      <c r="M122" s="43">
        <v>21.049600000000002</v>
      </c>
      <c r="N122" s="43">
        <v>21.592400000000001</v>
      </c>
      <c r="O122" s="43">
        <v>22.135200000000001</v>
      </c>
      <c r="P122" s="43">
        <v>22.678000000000001</v>
      </c>
      <c r="Q122" s="43">
        <v>23.242000000000001</v>
      </c>
      <c r="R122" s="43">
        <v>23.806000000000001</v>
      </c>
      <c r="S122" s="43">
        <v>24.37</v>
      </c>
      <c r="T122" s="43">
        <v>24.934000000000001</v>
      </c>
      <c r="U122" s="43">
        <v>25.498000000000001</v>
      </c>
      <c r="V122" s="43">
        <v>25.751000000000001</v>
      </c>
      <c r="W122" s="43">
        <v>26.004000000000001</v>
      </c>
      <c r="X122" s="43">
        <v>26.257000000000001</v>
      </c>
      <c r="Y122" s="43">
        <v>26.51</v>
      </c>
      <c r="Z122" s="43">
        <v>26.763000000000002</v>
      </c>
      <c r="AA122" s="43">
        <v>27.023800000000001</v>
      </c>
      <c r="AB122" s="43">
        <v>27.284600000000001</v>
      </c>
      <c r="AC122" s="43">
        <v>27.545400000000001</v>
      </c>
      <c r="AD122" s="43">
        <v>27.8062</v>
      </c>
      <c r="AE122" s="43">
        <v>28.067</v>
      </c>
      <c r="AF122" s="43">
        <v>28.385200000000001</v>
      </c>
      <c r="AG122" s="43">
        <v>28.703399999999998</v>
      </c>
      <c r="AH122" s="43">
        <v>29.021599999999999</v>
      </c>
      <c r="AI122" s="43">
        <v>29.3398</v>
      </c>
      <c r="AJ122" s="43">
        <v>29.658000000000001</v>
      </c>
      <c r="AK122" s="43">
        <v>30.011399999999998</v>
      </c>
      <c r="AL122" s="43">
        <v>30.364799999999999</v>
      </c>
      <c r="AM122" s="43">
        <v>30.7182</v>
      </c>
      <c r="AN122" s="43">
        <v>31.0716</v>
      </c>
      <c r="AO122" s="43">
        <v>31.425000000000001</v>
      </c>
      <c r="AP122" s="43">
        <v>31.789400000000001</v>
      </c>
      <c r="AQ122" s="43">
        <v>32.153799999999997</v>
      </c>
      <c r="AR122" s="43">
        <v>32.5182</v>
      </c>
      <c r="AS122" s="43">
        <v>32.882599999999996</v>
      </c>
      <c r="AT122" s="43">
        <v>33.247</v>
      </c>
      <c r="AU122" s="43">
        <v>33.629600000000003</v>
      </c>
      <c r="AV122" s="43">
        <v>34.0122</v>
      </c>
      <c r="AW122" s="43">
        <v>34.394799999999996</v>
      </c>
      <c r="AX122" s="43">
        <v>34.7774</v>
      </c>
      <c r="AY122" s="43">
        <v>35.159999999999997</v>
      </c>
      <c r="AZ122" s="43">
        <v>35.585799999999999</v>
      </c>
      <c r="BA122" s="43">
        <v>36.011600000000001</v>
      </c>
      <c r="BB122" s="43">
        <v>36.437399999999997</v>
      </c>
      <c r="BC122" s="43">
        <v>36.863199999999999</v>
      </c>
      <c r="BD122" s="43">
        <v>37.289000000000001</v>
      </c>
      <c r="BE122" s="43">
        <v>37.760399999999997</v>
      </c>
      <c r="BF122" s="43">
        <v>38.2318</v>
      </c>
      <c r="BG122" s="43"/>
      <c r="BH122" s="44">
        <f t="shared" si="2"/>
        <v>24.089948148148146</v>
      </c>
      <c r="BI122" s="44">
        <f t="shared" si="3"/>
        <v>33.374184</v>
      </c>
      <c r="BJ122" s="44"/>
      <c r="BK122" s="44"/>
      <c r="BL122" s="44"/>
      <c r="BM122" s="44"/>
      <c r="BN122" s="44"/>
      <c r="BO122" s="44"/>
      <c r="BP122" s="44"/>
      <c r="BQ122" s="44"/>
      <c r="BR122" s="44"/>
      <c r="BS122" s="44"/>
      <c r="BT122" s="44"/>
      <c r="BU122" s="44"/>
      <c r="BV122" s="44"/>
      <c r="BW122" s="44"/>
      <c r="BX122" s="44"/>
      <c r="BY122" s="44"/>
      <c r="BZ122" s="44"/>
      <c r="CA122" s="44"/>
      <c r="CB122" s="44"/>
      <c r="CC122" s="44"/>
      <c r="CD122" s="44"/>
      <c r="CE122" s="44"/>
      <c r="CF122" s="42"/>
      <c r="CG122" s="42"/>
      <c r="CH122" s="42"/>
      <c r="CI122" s="42"/>
      <c r="CJ122" s="42"/>
      <c r="CK122" s="42"/>
      <c r="CL122" s="42"/>
      <c r="CM122" s="42"/>
      <c r="CN122" s="42"/>
      <c r="CO122" s="42"/>
      <c r="CP122" s="42"/>
      <c r="CQ122" s="42"/>
    </row>
    <row r="123" spans="1:95">
      <c r="A123" s="41">
        <v>226</v>
      </c>
      <c r="B123" s="41" t="s">
        <v>11</v>
      </c>
      <c r="C123" s="2">
        <v>4</v>
      </c>
      <c r="D123" s="2">
        <v>544.77022250000005</v>
      </c>
      <c r="E123" s="2">
        <v>1</v>
      </c>
      <c r="F123" s="2">
        <v>7.3852333333333329</v>
      </c>
      <c r="G123" s="43">
        <v>4.6353999999999997</v>
      </c>
      <c r="H123" s="43">
        <v>4.8537999999999997</v>
      </c>
      <c r="I123" s="43">
        <v>5.0721999999999996</v>
      </c>
      <c r="J123" s="43">
        <v>5.2906000000000004</v>
      </c>
      <c r="K123" s="43">
        <v>5.5090000000000003</v>
      </c>
      <c r="L123" s="43">
        <v>5.74</v>
      </c>
      <c r="M123" s="43">
        <v>5.9710000000000001</v>
      </c>
      <c r="N123" s="43">
        <v>6.202</v>
      </c>
      <c r="O123" s="43">
        <v>6.4329999999999998</v>
      </c>
      <c r="P123" s="43">
        <v>6.6639999999999997</v>
      </c>
      <c r="Q123" s="43">
        <v>6.7392000000000003</v>
      </c>
      <c r="R123" s="43">
        <v>6.8144</v>
      </c>
      <c r="S123" s="43">
        <v>6.8895999999999997</v>
      </c>
      <c r="T123" s="43">
        <v>6.9648000000000003</v>
      </c>
      <c r="U123" s="43">
        <v>7.04</v>
      </c>
      <c r="V123" s="43">
        <v>7.1387999999999998</v>
      </c>
      <c r="W123" s="43">
        <v>7.2375999999999996</v>
      </c>
      <c r="X123" s="43">
        <v>7.3364000000000003</v>
      </c>
      <c r="Y123" s="43">
        <v>7.4352</v>
      </c>
      <c r="Z123" s="43">
        <v>7.5339999999999998</v>
      </c>
      <c r="AA123" s="43">
        <v>7.8575999999999997</v>
      </c>
      <c r="AB123" s="43">
        <v>8.1812000000000005</v>
      </c>
      <c r="AC123" s="43">
        <v>8.5047999999999995</v>
      </c>
      <c r="AD123" s="43">
        <v>8.8284000000000002</v>
      </c>
      <c r="AE123" s="43">
        <v>9.1519999999999992</v>
      </c>
      <c r="AF123" s="43">
        <v>9.5367999999999995</v>
      </c>
      <c r="AG123" s="43">
        <v>9.9215999999999998</v>
      </c>
      <c r="AH123" s="43">
        <v>10.3064</v>
      </c>
      <c r="AI123" s="43">
        <v>10.6912</v>
      </c>
      <c r="AJ123" s="43">
        <v>11.076000000000001</v>
      </c>
      <c r="AK123" s="43">
        <v>11.1934</v>
      </c>
      <c r="AL123" s="43">
        <v>11.3108</v>
      </c>
      <c r="AM123" s="43">
        <v>11.4282</v>
      </c>
      <c r="AN123" s="43">
        <v>11.5456</v>
      </c>
      <c r="AO123" s="43">
        <v>11.663</v>
      </c>
      <c r="AP123" s="43">
        <v>11.7468</v>
      </c>
      <c r="AQ123" s="43">
        <v>11.8306</v>
      </c>
      <c r="AR123" s="43">
        <v>11.914400000000001</v>
      </c>
      <c r="AS123" s="43">
        <v>11.998200000000001</v>
      </c>
      <c r="AT123" s="43">
        <v>12.082000000000001</v>
      </c>
      <c r="AU123" s="43">
        <v>12.315200000000001</v>
      </c>
      <c r="AV123" s="43">
        <v>12.548400000000001</v>
      </c>
      <c r="AW123" s="43">
        <v>12.781599999999999</v>
      </c>
      <c r="AX123" s="43">
        <v>13.014799999999999</v>
      </c>
      <c r="AY123" s="43">
        <v>13.247999999999999</v>
      </c>
      <c r="AZ123" s="43">
        <v>13.63</v>
      </c>
      <c r="BA123" s="43">
        <v>14.012</v>
      </c>
      <c r="BB123" s="43">
        <v>14.394</v>
      </c>
      <c r="BC123" s="43">
        <v>14.776</v>
      </c>
      <c r="BD123" s="43">
        <v>15.157999999999999</v>
      </c>
      <c r="BE123" s="43">
        <v>15.579000000000001</v>
      </c>
      <c r="BF123" s="43">
        <v>16</v>
      </c>
      <c r="BG123" s="43"/>
      <c r="BH123" s="44">
        <f t="shared" si="2"/>
        <v>7.0179037037037029</v>
      </c>
      <c r="BI123" s="44">
        <f t="shared" si="3"/>
        <v>12.649744</v>
      </c>
      <c r="BJ123" s="44"/>
      <c r="BK123" s="44"/>
      <c r="BL123" s="44"/>
      <c r="BM123" s="44"/>
      <c r="BN123" s="44"/>
      <c r="BO123" s="44"/>
      <c r="BP123" s="44"/>
      <c r="BQ123" s="44"/>
      <c r="BR123" s="44"/>
      <c r="BS123" s="44"/>
      <c r="BT123" s="44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2"/>
      <c r="CG123" s="42"/>
      <c r="CH123" s="42"/>
      <c r="CI123" s="42"/>
      <c r="CJ123" s="42"/>
      <c r="CK123" s="42"/>
      <c r="CL123" s="42"/>
      <c r="CM123" s="42"/>
      <c r="CN123" s="42"/>
      <c r="CO123" s="42"/>
      <c r="CP123" s="42"/>
      <c r="CQ123" s="42"/>
    </row>
    <row r="124" spans="1:95">
      <c r="A124" s="41">
        <v>243</v>
      </c>
      <c r="B124" s="41" t="s">
        <v>0</v>
      </c>
      <c r="C124" s="2">
        <v>4</v>
      </c>
      <c r="D124" s="2">
        <v>400</v>
      </c>
      <c r="E124" s="2">
        <v>1</v>
      </c>
      <c r="F124" s="2">
        <v>20.345999999999997</v>
      </c>
      <c r="G124" s="43">
        <v>13.010400000000001</v>
      </c>
      <c r="H124" s="43">
        <v>13.412800000000001</v>
      </c>
      <c r="I124" s="43">
        <v>13.815200000000001</v>
      </c>
      <c r="J124" s="43">
        <v>14.217599999999999</v>
      </c>
      <c r="K124" s="43">
        <v>14.62</v>
      </c>
      <c r="L124" s="43">
        <v>15.1684</v>
      </c>
      <c r="M124" s="43">
        <v>15.716799999999999</v>
      </c>
      <c r="N124" s="43">
        <v>16.2652</v>
      </c>
      <c r="O124" s="43">
        <v>16.813600000000001</v>
      </c>
      <c r="P124" s="43">
        <v>17.361999999999998</v>
      </c>
      <c r="Q124" s="43">
        <v>17.8642</v>
      </c>
      <c r="R124" s="43">
        <v>18.366399999999999</v>
      </c>
      <c r="S124" s="43">
        <v>18.868600000000001</v>
      </c>
      <c r="T124" s="43">
        <v>19.370799999999999</v>
      </c>
      <c r="U124" s="43">
        <v>19.873000000000001</v>
      </c>
      <c r="V124" s="43">
        <v>20.372599999999998</v>
      </c>
      <c r="W124" s="43">
        <v>20.872199999999999</v>
      </c>
      <c r="X124" s="43">
        <v>21.3718</v>
      </c>
      <c r="Y124" s="43">
        <v>21.871400000000001</v>
      </c>
      <c r="Z124" s="43">
        <v>22.370999999999999</v>
      </c>
      <c r="AA124" s="43">
        <v>22.979600000000001</v>
      </c>
      <c r="AB124" s="43">
        <v>23.588200000000001</v>
      </c>
      <c r="AC124" s="43">
        <v>24.1968</v>
      </c>
      <c r="AD124" s="43">
        <v>24.805399999999999</v>
      </c>
      <c r="AE124" s="43">
        <v>25.414000000000001</v>
      </c>
      <c r="AF124" s="43">
        <v>26.128799999999998</v>
      </c>
      <c r="AG124" s="43">
        <v>26.843599999999999</v>
      </c>
      <c r="AH124" s="43">
        <v>27.558399999999999</v>
      </c>
      <c r="AI124" s="43">
        <v>28.273199999999999</v>
      </c>
      <c r="AJ124" s="43">
        <v>28.988</v>
      </c>
      <c r="AK124" s="43">
        <v>29.536799999999999</v>
      </c>
      <c r="AL124" s="43">
        <v>30.085599999999999</v>
      </c>
      <c r="AM124" s="43">
        <v>30.634399999999999</v>
      </c>
      <c r="AN124" s="43">
        <v>31.183199999999999</v>
      </c>
      <c r="AO124" s="43">
        <v>31.731999999999999</v>
      </c>
      <c r="AP124" s="43">
        <v>32.1372</v>
      </c>
      <c r="AQ124" s="43">
        <v>32.542400000000001</v>
      </c>
      <c r="AR124" s="43">
        <v>32.947600000000001</v>
      </c>
      <c r="AS124" s="43">
        <v>33.352800000000002</v>
      </c>
      <c r="AT124" s="43">
        <v>33.758000000000003</v>
      </c>
      <c r="AU124" s="43">
        <v>34.178400000000003</v>
      </c>
      <c r="AV124" s="43">
        <v>34.598799999999997</v>
      </c>
      <c r="AW124" s="43">
        <v>35.019199999999998</v>
      </c>
      <c r="AX124" s="43">
        <v>35.439599999999999</v>
      </c>
      <c r="AY124" s="43">
        <v>35.86</v>
      </c>
      <c r="AZ124" s="43">
        <v>36.314</v>
      </c>
      <c r="BA124" s="43">
        <v>36.768000000000001</v>
      </c>
      <c r="BB124" s="43">
        <v>37.222000000000001</v>
      </c>
      <c r="BC124" s="43">
        <v>37.676000000000002</v>
      </c>
      <c r="BD124" s="43">
        <v>38.130000000000003</v>
      </c>
      <c r="BE124" s="43">
        <v>38.620600000000003</v>
      </c>
      <c r="BF124" s="43">
        <v>39.111199999999997</v>
      </c>
      <c r="BG124" s="43"/>
      <c r="BH124" s="44">
        <f t="shared" si="2"/>
        <v>19.465199999999999</v>
      </c>
      <c r="BI124" s="44">
        <f t="shared" si="3"/>
        <v>33.666696000000002</v>
      </c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2"/>
      <c r="CG124" s="42"/>
      <c r="CH124" s="42"/>
      <c r="CI124" s="42"/>
      <c r="CJ124" s="42"/>
      <c r="CK124" s="42"/>
      <c r="CL124" s="42"/>
      <c r="CM124" s="42"/>
      <c r="CN124" s="42"/>
      <c r="CO124" s="42"/>
      <c r="CP124" s="42"/>
      <c r="CQ124" s="42"/>
    </row>
    <row r="125" spans="1:95">
      <c r="A125" s="62">
        <v>12</v>
      </c>
      <c r="B125" s="62" t="s">
        <v>149</v>
      </c>
      <c r="C125" s="13"/>
      <c r="D125" s="13"/>
      <c r="E125" s="13">
        <v>1</v>
      </c>
      <c r="F125" s="13">
        <v>62.199933333333334</v>
      </c>
      <c r="G125" s="63">
        <v>52.144399999999997</v>
      </c>
      <c r="H125" s="63">
        <v>53.013800000000003</v>
      </c>
      <c r="I125" s="63">
        <v>53.883200000000002</v>
      </c>
      <c r="J125" s="63">
        <v>54.752600000000001</v>
      </c>
      <c r="K125" s="63">
        <v>55.622</v>
      </c>
      <c r="L125" s="63">
        <v>56.470399999999998</v>
      </c>
      <c r="M125" s="63">
        <v>57.318800000000003</v>
      </c>
      <c r="N125" s="63">
        <v>58.167200000000001</v>
      </c>
      <c r="O125" s="63">
        <v>59.015599999999999</v>
      </c>
      <c r="P125" s="63">
        <v>59.863999999999997</v>
      </c>
      <c r="Q125" s="63">
        <v>60.613399999999999</v>
      </c>
      <c r="R125" s="63">
        <v>61.3628</v>
      </c>
      <c r="S125" s="63">
        <v>62.112200000000001</v>
      </c>
      <c r="T125" s="63">
        <v>62.861600000000003</v>
      </c>
      <c r="U125" s="63">
        <v>63.610999999999997</v>
      </c>
      <c r="V125" s="63">
        <v>64.098799999999997</v>
      </c>
      <c r="W125" s="63">
        <v>64.586600000000004</v>
      </c>
      <c r="X125" s="63">
        <v>65.074399999999997</v>
      </c>
      <c r="Y125" s="63">
        <v>65.562200000000004</v>
      </c>
      <c r="Z125" s="63">
        <v>66.05</v>
      </c>
      <c r="AA125" s="63">
        <v>66.257999999999996</v>
      </c>
      <c r="AB125" s="63">
        <v>66.465999999999994</v>
      </c>
      <c r="AC125" s="63">
        <v>66.674000000000007</v>
      </c>
      <c r="AD125" s="63">
        <v>66.882000000000005</v>
      </c>
      <c r="AE125" s="63">
        <v>67.09</v>
      </c>
      <c r="AF125" s="63">
        <v>67.156199999999998</v>
      </c>
      <c r="AG125" s="63">
        <v>67.222399999999993</v>
      </c>
      <c r="AH125" s="63">
        <v>67.288600000000002</v>
      </c>
      <c r="AI125" s="63">
        <v>67.354799999999997</v>
      </c>
      <c r="AJ125" s="63">
        <v>67.421000000000006</v>
      </c>
      <c r="AK125" s="63">
        <v>67.148200000000003</v>
      </c>
      <c r="AL125" s="63">
        <v>66.875399999999999</v>
      </c>
      <c r="AM125" s="63">
        <v>66.602599999999995</v>
      </c>
      <c r="AN125" s="63">
        <v>66.329800000000006</v>
      </c>
      <c r="AO125" s="63">
        <v>66.057000000000002</v>
      </c>
      <c r="AP125" s="63">
        <v>65.778800000000004</v>
      </c>
      <c r="AQ125" s="63">
        <v>65.500600000000006</v>
      </c>
      <c r="AR125" s="63">
        <v>65.222399999999993</v>
      </c>
      <c r="AS125" s="63">
        <v>64.944199999999995</v>
      </c>
      <c r="AT125" s="63">
        <v>64.665999999999997</v>
      </c>
      <c r="AU125" s="63">
        <v>64.569599999999994</v>
      </c>
      <c r="AV125" s="63">
        <v>64.473200000000006</v>
      </c>
      <c r="AW125" s="63">
        <v>64.376800000000003</v>
      </c>
      <c r="AX125" s="63">
        <v>64.2804</v>
      </c>
      <c r="AY125" s="63">
        <v>64.183999999999997</v>
      </c>
      <c r="AZ125" s="63">
        <v>64.160399999999996</v>
      </c>
      <c r="BA125" s="63">
        <v>64.136799999999994</v>
      </c>
      <c r="BB125" s="63">
        <v>64.113200000000006</v>
      </c>
      <c r="BC125" s="63">
        <v>64.089600000000004</v>
      </c>
      <c r="BD125" s="63">
        <v>64.066000000000003</v>
      </c>
      <c r="BE125" s="63">
        <v>64.114800000000002</v>
      </c>
      <c r="BF125" s="63">
        <v>64.163600000000002</v>
      </c>
      <c r="BG125" s="43"/>
      <c r="BH125" s="44">
        <f t="shared" ref="BH125:BH156" si="4">AVERAGE(G125:AG125)</f>
        <v>61.627170370370365</v>
      </c>
      <c r="BI125" s="44">
        <f t="shared" ref="BI125:BI156" si="5">AVERAGE(AH125:BF125)</f>
        <v>65.276712000000003</v>
      </c>
    </row>
    <row r="126" spans="1:95">
      <c r="A126" s="62">
        <v>16</v>
      </c>
      <c r="B126" s="62" t="s">
        <v>146</v>
      </c>
      <c r="C126" s="13"/>
      <c r="D126" s="13"/>
      <c r="E126" s="13">
        <v>1</v>
      </c>
      <c r="F126" s="13">
        <v>52.109766666666658</v>
      </c>
      <c r="G126" s="63">
        <v>52.363199999999999</v>
      </c>
      <c r="H126" s="63">
        <v>52.063400000000001</v>
      </c>
      <c r="I126" s="63">
        <v>51.763599999999997</v>
      </c>
      <c r="J126" s="63">
        <v>51.463799999999999</v>
      </c>
      <c r="K126" s="63">
        <v>51.164000000000001</v>
      </c>
      <c r="L126" s="63">
        <v>50.9328</v>
      </c>
      <c r="M126" s="63">
        <v>50.701599999999999</v>
      </c>
      <c r="N126" s="63">
        <v>50.470399999999998</v>
      </c>
      <c r="O126" s="63">
        <v>50.239199999999997</v>
      </c>
      <c r="P126" s="63">
        <v>50.008000000000003</v>
      </c>
      <c r="Q126" s="63">
        <v>50.385800000000003</v>
      </c>
      <c r="R126" s="63">
        <v>50.763599999999997</v>
      </c>
      <c r="S126" s="63">
        <v>51.141399999999997</v>
      </c>
      <c r="T126" s="63">
        <v>51.519199999999998</v>
      </c>
      <c r="U126" s="63">
        <v>51.896999999999998</v>
      </c>
      <c r="V126" s="63">
        <v>52.073</v>
      </c>
      <c r="W126" s="63">
        <v>52.249000000000002</v>
      </c>
      <c r="X126" s="63">
        <v>52.424999999999997</v>
      </c>
      <c r="Y126" s="63">
        <v>52.600999999999999</v>
      </c>
      <c r="Z126" s="63">
        <v>52.777000000000001</v>
      </c>
      <c r="AA126" s="63">
        <v>52.921199999999999</v>
      </c>
      <c r="AB126" s="63">
        <v>53.065399999999997</v>
      </c>
      <c r="AC126" s="63">
        <v>53.209600000000002</v>
      </c>
      <c r="AD126" s="63">
        <v>53.3538</v>
      </c>
      <c r="AE126" s="63">
        <v>53.497999999999998</v>
      </c>
      <c r="AF126" s="63">
        <v>53.548200000000001</v>
      </c>
      <c r="AG126" s="63">
        <v>53.598399999999998</v>
      </c>
      <c r="AH126" s="63">
        <v>53.648600000000002</v>
      </c>
      <c r="AI126" s="63">
        <v>53.698799999999999</v>
      </c>
      <c r="AJ126" s="63">
        <v>53.749000000000002</v>
      </c>
      <c r="AK126" s="63">
        <v>53.440399999999997</v>
      </c>
      <c r="AL126" s="63">
        <v>53.131799999999998</v>
      </c>
      <c r="AM126" s="63">
        <v>52.8232</v>
      </c>
      <c r="AN126" s="63">
        <v>52.514600000000002</v>
      </c>
      <c r="AO126" s="63">
        <v>52.206000000000003</v>
      </c>
      <c r="AP126" s="63">
        <v>52.042000000000002</v>
      </c>
      <c r="AQ126" s="63">
        <v>51.878</v>
      </c>
      <c r="AR126" s="63">
        <v>51.713999999999999</v>
      </c>
      <c r="AS126" s="63">
        <v>51.55</v>
      </c>
      <c r="AT126" s="63">
        <v>51.386000000000003</v>
      </c>
      <c r="AU126" s="63">
        <v>51.586599999999997</v>
      </c>
      <c r="AV126" s="63">
        <v>51.787199999999999</v>
      </c>
      <c r="AW126" s="63">
        <v>51.9878</v>
      </c>
      <c r="AX126" s="63">
        <v>52.188400000000001</v>
      </c>
      <c r="AY126" s="63">
        <v>52.389000000000003</v>
      </c>
      <c r="AZ126" s="63">
        <v>52.5914</v>
      </c>
      <c r="BA126" s="63">
        <v>52.793799999999997</v>
      </c>
      <c r="BB126" s="63">
        <v>52.996200000000002</v>
      </c>
      <c r="BC126" s="63">
        <v>53.198599999999999</v>
      </c>
      <c r="BD126" s="63">
        <v>53.401000000000003</v>
      </c>
      <c r="BE126" s="63">
        <v>53.644799999999996</v>
      </c>
      <c r="BF126" s="63">
        <v>53.888599999999997</v>
      </c>
      <c r="BG126" s="43"/>
      <c r="BH126" s="44">
        <f t="shared" si="4"/>
        <v>51.933207407407401</v>
      </c>
      <c r="BI126" s="44">
        <f t="shared" si="5"/>
        <v>52.649432000000004</v>
      </c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2"/>
      <c r="CG126" s="42"/>
      <c r="CH126" s="42"/>
      <c r="CI126" s="42"/>
      <c r="CJ126" s="42"/>
      <c r="CK126" s="42"/>
      <c r="CL126" s="42"/>
      <c r="CM126" s="42"/>
      <c r="CN126" s="42"/>
      <c r="CO126" s="42"/>
      <c r="CP126" s="42"/>
      <c r="CQ126" s="42"/>
    </row>
    <row r="127" spans="1:95">
      <c r="A127" s="62">
        <v>18</v>
      </c>
      <c r="B127" s="62" t="s">
        <v>145</v>
      </c>
      <c r="C127" s="13"/>
      <c r="D127" s="13"/>
      <c r="E127" s="13">
        <v>1</v>
      </c>
      <c r="F127" s="13">
        <v>85.052999999999983</v>
      </c>
      <c r="G127" s="63">
        <v>82.355999999999995</v>
      </c>
      <c r="H127" s="63">
        <v>82.391999999999996</v>
      </c>
      <c r="I127" s="63">
        <v>82.427999999999997</v>
      </c>
      <c r="J127" s="63">
        <v>82.463999999999999</v>
      </c>
      <c r="K127" s="63">
        <v>82.5</v>
      </c>
      <c r="L127" s="63">
        <v>82.754999999999995</v>
      </c>
      <c r="M127" s="63">
        <v>83.01</v>
      </c>
      <c r="N127" s="63">
        <v>83.265000000000001</v>
      </c>
      <c r="O127" s="63">
        <v>83.52</v>
      </c>
      <c r="P127" s="63">
        <v>83.775000000000006</v>
      </c>
      <c r="Q127" s="63">
        <v>84.015000000000001</v>
      </c>
      <c r="R127" s="63">
        <v>84.254999999999995</v>
      </c>
      <c r="S127" s="63">
        <v>84.495000000000005</v>
      </c>
      <c r="T127" s="63">
        <v>84.734999999999999</v>
      </c>
      <c r="U127" s="63">
        <v>84.974999999999994</v>
      </c>
      <c r="V127" s="63">
        <v>85.200199999999995</v>
      </c>
      <c r="W127" s="63">
        <v>85.425399999999996</v>
      </c>
      <c r="X127" s="63">
        <v>85.650599999999997</v>
      </c>
      <c r="Y127" s="63">
        <v>85.875799999999998</v>
      </c>
      <c r="Z127" s="63">
        <v>86.100999999999999</v>
      </c>
      <c r="AA127" s="63">
        <v>86.311800000000005</v>
      </c>
      <c r="AB127" s="63">
        <v>86.522599999999997</v>
      </c>
      <c r="AC127" s="63">
        <v>86.733400000000003</v>
      </c>
      <c r="AD127" s="63">
        <v>86.944199999999995</v>
      </c>
      <c r="AE127" s="63">
        <v>87.155000000000001</v>
      </c>
      <c r="AF127" s="63">
        <v>87.352000000000004</v>
      </c>
      <c r="AG127" s="63">
        <v>87.549000000000007</v>
      </c>
      <c r="AH127" s="63">
        <v>87.745999999999995</v>
      </c>
      <c r="AI127" s="63">
        <v>87.942999999999998</v>
      </c>
      <c r="AJ127" s="63">
        <v>88.14</v>
      </c>
      <c r="AK127" s="63">
        <v>88.189599999999999</v>
      </c>
      <c r="AL127" s="63">
        <v>88.239199999999997</v>
      </c>
      <c r="AM127" s="63">
        <v>88.288799999999995</v>
      </c>
      <c r="AN127" s="63">
        <v>88.338399999999993</v>
      </c>
      <c r="AO127" s="63">
        <v>88.388000000000005</v>
      </c>
      <c r="AP127" s="63">
        <v>88.384799999999998</v>
      </c>
      <c r="AQ127" s="63">
        <v>88.381600000000006</v>
      </c>
      <c r="AR127" s="63">
        <v>88.378399999999999</v>
      </c>
      <c r="AS127" s="63">
        <v>88.375200000000007</v>
      </c>
      <c r="AT127" s="63">
        <v>88.372</v>
      </c>
      <c r="AU127" s="63">
        <v>88.381399999999999</v>
      </c>
      <c r="AV127" s="63">
        <v>88.390799999999999</v>
      </c>
      <c r="AW127" s="63">
        <v>88.400199999999998</v>
      </c>
      <c r="AX127" s="63">
        <v>88.409599999999998</v>
      </c>
      <c r="AY127" s="63">
        <v>88.418999999999997</v>
      </c>
      <c r="AZ127" s="63">
        <v>88.458799999999997</v>
      </c>
      <c r="BA127" s="63">
        <v>88.498599999999996</v>
      </c>
      <c r="BB127" s="63">
        <v>88.538399999999996</v>
      </c>
      <c r="BC127" s="63">
        <v>88.578199999999995</v>
      </c>
      <c r="BD127" s="63">
        <v>88.617999999999995</v>
      </c>
      <c r="BE127" s="63">
        <v>88.687200000000004</v>
      </c>
      <c r="BF127" s="63">
        <v>88.756399999999999</v>
      </c>
      <c r="BG127" s="43"/>
      <c r="BH127" s="44">
        <f t="shared" si="4"/>
        <v>84.731888888888875</v>
      </c>
      <c r="BI127" s="44">
        <f t="shared" si="5"/>
        <v>88.372063999999995</v>
      </c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2"/>
      <c r="CG127" s="42"/>
      <c r="CH127" s="42"/>
      <c r="CI127" s="42"/>
      <c r="CJ127" s="42"/>
      <c r="CK127" s="42"/>
      <c r="CL127" s="42"/>
      <c r="CM127" s="42"/>
      <c r="CN127" s="42"/>
      <c r="CO127" s="42"/>
      <c r="CP127" s="42"/>
      <c r="CQ127" s="42"/>
    </row>
    <row r="128" spans="1:95">
      <c r="A128" s="62">
        <v>21</v>
      </c>
      <c r="B128" s="62" t="s">
        <v>143</v>
      </c>
      <c r="C128" s="13"/>
      <c r="D128" s="13"/>
      <c r="E128" s="13">
        <v>1</v>
      </c>
      <c r="F128" s="13">
        <v>50.605166666666655</v>
      </c>
      <c r="G128" s="63">
        <v>33.546199999999999</v>
      </c>
      <c r="H128" s="63">
        <v>34.691400000000002</v>
      </c>
      <c r="I128" s="63">
        <v>35.836599999999997</v>
      </c>
      <c r="J128" s="63">
        <v>36.9818</v>
      </c>
      <c r="K128" s="63">
        <v>38.127000000000002</v>
      </c>
      <c r="L128" s="63">
        <v>39.303600000000003</v>
      </c>
      <c r="M128" s="63">
        <v>40.480200000000004</v>
      </c>
      <c r="N128" s="63">
        <v>41.656799999999997</v>
      </c>
      <c r="O128" s="63">
        <v>42.833399999999997</v>
      </c>
      <c r="P128" s="63">
        <v>44.01</v>
      </c>
      <c r="Q128" s="63">
        <v>45.330800000000004</v>
      </c>
      <c r="R128" s="63">
        <v>46.651600000000002</v>
      </c>
      <c r="S128" s="63">
        <v>47.9724</v>
      </c>
      <c r="T128" s="63">
        <v>49.293199999999999</v>
      </c>
      <c r="U128" s="63">
        <v>50.613999999999997</v>
      </c>
      <c r="V128" s="63">
        <v>51.790799999999997</v>
      </c>
      <c r="W128" s="63">
        <v>52.967599999999997</v>
      </c>
      <c r="X128" s="63">
        <v>54.144399999999997</v>
      </c>
      <c r="Y128" s="63">
        <v>55.321199999999997</v>
      </c>
      <c r="Z128" s="63">
        <v>56.497999999999998</v>
      </c>
      <c r="AA128" s="63">
        <v>57.564999999999998</v>
      </c>
      <c r="AB128" s="63">
        <v>58.631999999999998</v>
      </c>
      <c r="AC128" s="63">
        <v>59.698999999999998</v>
      </c>
      <c r="AD128" s="63">
        <v>60.765999999999998</v>
      </c>
      <c r="AE128" s="63">
        <v>61.832999999999998</v>
      </c>
      <c r="AF128" s="63">
        <v>62.662599999999998</v>
      </c>
      <c r="AG128" s="63">
        <v>63.492199999999997</v>
      </c>
      <c r="AH128" s="63">
        <v>64.321799999999996</v>
      </c>
      <c r="AI128" s="63">
        <v>65.151399999999995</v>
      </c>
      <c r="AJ128" s="63">
        <v>65.980999999999995</v>
      </c>
      <c r="AK128" s="63">
        <v>66.37</v>
      </c>
      <c r="AL128" s="63">
        <v>66.759</v>
      </c>
      <c r="AM128" s="63">
        <v>67.147999999999996</v>
      </c>
      <c r="AN128" s="63">
        <v>67.537000000000006</v>
      </c>
      <c r="AO128" s="63">
        <v>67.926000000000002</v>
      </c>
      <c r="AP128" s="63">
        <v>68.335400000000007</v>
      </c>
      <c r="AQ128" s="63">
        <v>68.744799999999998</v>
      </c>
      <c r="AR128" s="63">
        <v>69.154200000000003</v>
      </c>
      <c r="AS128" s="63">
        <v>69.563599999999994</v>
      </c>
      <c r="AT128" s="63">
        <v>69.972999999999999</v>
      </c>
      <c r="AU128" s="63">
        <v>70.449200000000005</v>
      </c>
      <c r="AV128" s="63">
        <v>70.925399999999996</v>
      </c>
      <c r="AW128" s="63">
        <v>71.401600000000002</v>
      </c>
      <c r="AX128" s="63">
        <v>71.877799999999993</v>
      </c>
      <c r="AY128" s="63">
        <v>72.353999999999999</v>
      </c>
      <c r="AZ128" s="63">
        <v>72.806200000000004</v>
      </c>
      <c r="BA128" s="63">
        <v>73.258399999999995</v>
      </c>
      <c r="BB128" s="63">
        <v>73.710599999999999</v>
      </c>
      <c r="BC128" s="63">
        <v>74.162800000000004</v>
      </c>
      <c r="BD128" s="63">
        <v>74.614999999999995</v>
      </c>
      <c r="BE128" s="63">
        <v>75.021600000000007</v>
      </c>
      <c r="BF128" s="63">
        <v>75.428200000000004</v>
      </c>
      <c r="BG128" s="43"/>
      <c r="BH128" s="44">
        <f t="shared" si="4"/>
        <v>48.98891851851851</v>
      </c>
      <c r="BI128" s="44">
        <f t="shared" si="5"/>
        <v>70.119039999999998</v>
      </c>
      <c r="BJ128" s="42"/>
      <c r="BK128" s="42"/>
      <c r="BL128" s="42"/>
      <c r="BM128" s="42"/>
      <c r="BN128" s="42"/>
      <c r="BO128" s="42"/>
      <c r="BP128" s="42"/>
      <c r="BQ128" s="42"/>
      <c r="BR128" s="42"/>
      <c r="BS128" s="42"/>
      <c r="BT128" s="42"/>
      <c r="BU128" s="42"/>
      <c r="BV128" s="42"/>
      <c r="BW128" s="42"/>
      <c r="BX128" s="42"/>
      <c r="BY128" s="42"/>
      <c r="BZ128" s="42"/>
      <c r="CA128" s="42"/>
      <c r="CB128" s="42"/>
      <c r="CC128" s="42"/>
      <c r="CD128" s="42"/>
      <c r="CE128" s="42"/>
      <c r="CF128" s="42"/>
      <c r="CG128" s="42"/>
      <c r="CH128" s="42"/>
      <c r="CI128" s="42"/>
      <c r="CJ128" s="42"/>
      <c r="CK128" s="42"/>
      <c r="CL128" s="42"/>
      <c r="CM128" s="42"/>
      <c r="CN128" s="42"/>
      <c r="CO128" s="42"/>
      <c r="CP128" s="42"/>
      <c r="CQ128" s="42"/>
    </row>
    <row r="129" spans="1:95">
      <c r="A129" s="62">
        <v>28</v>
      </c>
      <c r="B129" s="62" t="s">
        <v>139</v>
      </c>
      <c r="C129" s="13"/>
      <c r="D129" s="13"/>
      <c r="E129" s="13">
        <v>1</v>
      </c>
      <c r="F129" s="13">
        <v>30.933900000000008</v>
      </c>
      <c r="G129" s="63">
        <v>19.795400000000001</v>
      </c>
      <c r="H129" s="63">
        <v>20.550799999999999</v>
      </c>
      <c r="I129" s="63">
        <v>21.3062</v>
      </c>
      <c r="J129" s="63">
        <v>22.061599999999999</v>
      </c>
      <c r="K129" s="63">
        <v>22.817</v>
      </c>
      <c r="L129" s="63">
        <v>23.6938</v>
      </c>
      <c r="M129" s="63">
        <v>24.570599999999999</v>
      </c>
      <c r="N129" s="63">
        <v>25.447399999999998</v>
      </c>
      <c r="O129" s="63">
        <v>26.324200000000001</v>
      </c>
      <c r="P129" s="63">
        <v>27.201000000000001</v>
      </c>
      <c r="Q129" s="63">
        <v>28.0184</v>
      </c>
      <c r="R129" s="63">
        <v>28.835799999999999</v>
      </c>
      <c r="S129" s="63">
        <v>29.653199999999998</v>
      </c>
      <c r="T129" s="63">
        <v>30.470600000000001</v>
      </c>
      <c r="U129" s="63">
        <v>31.288</v>
      </c>
      <c r="V129" s="63">
        <v>32.139000000000003</v>
      </c>
      <c r="W129" s="63">
        <v>32.99</v>
      </c>
      <c r="X129" s="63">
        <v>33.841000000000001</v>
      </c>
      <c r="Y129" s="63">
        <v>34.692</v>
      </c>
      <c r="Z129" s="63">
        <v>35.542999999999999</v>
      </c>
      <c r="AA129" s="63">
        <v>35.952199999999998</v>
      </c>
      <c r="AB129" s="63">
        <v>36.361400000000003</v>
      </c>
      <c r="AC129" s="63">
        <v>36.770600000000002</v>
      </c>
      <c r="AD129" s="63">
        <v>37.1798</v>
      </c>
      <c r="AE129" s="63">
        <v>37.588999999999999</v>
      </c>
      <c r="AF129" s="63">
        <v>37.920999999999999</v>
      </c>
      <c r="AG129" s="63">
        <v>38.253</v>
      </c>
      <c r="AH129" s="63">
        <v>38.585000000000001</v>
      </c>
      <c r="AI129" s="63">
        <v>38.917000000000002</v>
      </c>
      <c r="AJ129" s="63">
        <v>39.249000000000002</v>
      </c>
      <c r="AK129" s="63">
        <v>39.602800000000002</v>
      </c>
      <c r="AL129" s="63">
        <v>39.956600000000002</v>
      </c>
      <c r="AM129" s="63">
        <v>40.310400000000001</v>
      </c>
      <c r="AN129" s="63">
        <v>40.664200000000001</v>
      </c>
      <c r="AO129" s="63">
        <v>41.018000000000001</v>
      </c>
      <c r="AP129" s="63">
        <v>41.418599999999998</v>
      </c>
      <c r="AQ129" s="63">
        <v>41.819200000000002</v>
      </c>
      <c r="AR129" s="63">
        <v>42.219799999999999</v>
      </c>
      <c r="AS129" s="63">
        <v>42.620399999999997</v>
      </c>
      <c r="AT129" s="63">
        <v>43.021000000000001</v>
      </c>
      <c r="AU129" s="63">
        <v>43.468800000000002</v>
      </c>
      <c r="AV129" s="63">
        <v>43.916600000000003</v>
      </c>
      <c r="AW129" s="63">
        <v>44.364400000000003</v>
      </c>
      <c r="AX129" s="63">
        <v>44.812199999999997</v>
      </c>
      <c r="AY129" s="63">
        <v>45.26</v>
      </c>
      <c r="AZ129" s="63">
        <v>45.754600000000003</v>
      </c>
      <c r="BA129" s="63">
        <v>46.249200000000002</v>
      </c>
      <c r="BB129" s="63">
        <v>46.7438</v>
      </c>
      <c r="BC129" s="63">
        <v>47.238399999999999</v>
      </c>
      <c r="BD129" s="63">
        <v>47.732999999999997</v>
      </c>
      <c r="BE129" s="63">
        <v>48.273000000000003</v>
      </c>
      <c r="BF129" s="63">
        <v>48.813000000000002</v>
      </c>
      <c r="BG129" s="43"/>
      <c r="BH129" s="44">
        <f t="shared" si="4"/>
        <v>30.046888888888898</v>
      </c>
      <c r="BI129" s="44">
        <f t="shared" si="5"/>
        <v>43.28116</v>
      </c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2"/>
      <c r="CG129" s="42"/>
      <c r="CH129" s="42"/>
      <c r="CI129" s="42"/>
      <c r="CJ129" s="42"/>
      <c r="CK129" s="42"/>
      <c r="CL129" s="42"/>
      <c r="CM129" s="42"/>
      <c r="CN129" s="42"/>
      <c r="CO129" s="42"/>
      <c r="CP129" s="42"/>
      <c r="CQ129" s="42"/>
    </row>
    <row r="130" spans="1:95">
      <c r="A130" s="62">
        <v>51</v>
      </c>
      <c r="B130" s="62" t="s">
        <v>124</v>
      </c>
      <c r="C130" s="13"/>
      <c r="D130" s="13"/>
      <c r="E130" s="13">
        <v>1</v>
      </c>
      <c r="F130" s="13">
        <v>28.027300000000018</v>
      </c>
      <c r="G130" s="63">
        <v>23.060400000000001</v>
      </c>
      <c r="H130" s="63">
        <v>23.820799999999998</v>
      </c>
      <c r="I130" s="63">
        <v>24.581199999999999</v>
      </c>
      <c r="J130" s="63">
        <v>25.3416</v>
      </c>
      <c r="K130" s="63">
        <v>26.102</v>
      </c>
      <c r="L130" s="63">
        <v>26.941600000000001</v>
      </c>
      <c r="M130" s="63">
        <v>27.781199999999998</v>
      </c>
      <c r="N130" s="63">
        <v>28.620799999999999</v>
      </c>
      <c r="O130" s="63">
        <v>29.4604</v>
      </c>
      <c r="P130" s="63">
        <v>30.3</v>
      </c>
      <c r="Q130" s="63">
        <v>30.140599999999999</v>
      </c>
      <c r="R130" s="63">
        <v>29.981200000000001</v>
      </c>
      <c r="S130" s="63">
        <v>29.8218</v>
      </c>
      <c r="T130" s="63">
        <v>29.662400000000002</v>
      </c>
      <c r="U130" s="63">
        <v>29.503</v>
      </c>
      <c r="V130" s="63">
        <v>29.3462</v>
      </c>
      <c r="W130" s="63">
        <v>29.189399999999999</v>
      </c>
      <c r="X130" s="63">
        <v>29.032599999999999</v>
      </c>
      <c r="Y130" s="63">
        <v>28.875800000000002</v>
      </c>
      <c r="Z130" s="63">
        <v>28.719000000000001</v>
      </c>
      <c r="AA130" s="63">
        <v>28.57</v>
      </c>
      <c r="AB130" s="63">
        <v>28.420999999999999</v>
      </c>
      <c r="AC130" s="63">
        <v>28.271999999999998</v>
      </c>
      <c r="AD130" s="63">
        <v>28.123000000000001</v>
      </c>
      <c r="AE130" s="63">
        <v>27.974</v>
      </c>
      <c r="AF130" s="63">
        <v>27.927800000000001</v>
      </c>
      <c r="AG130" s="63">
        <v>27.881599999999999</v>
      </c>
      <c r="AH130" s="63">
        <v>27.8354</v>
      </c>
      <c r="AI130" s="63">
        <v>27.789200000000001</v>
      </c>
      <c r="AJ130" s="63">
        <v>27.742999999999999</v>
      </c>
      <c r="AK130" s="63">
        <v>27.830400000000001</v>
      </c>
      <c r="AL130" s="63">
        <v>27.9178</v>
      </c>
      <c r="AM130" s="63">
        <v>28.005199999999999</v>
      </c>
      <c r="AN130" s="63">
        <v>28.092600000000001</v>
      </c>
      <c r="AO130" s="63">
        <v>28.18</v>
      </c>
      <c r="AP130" s="63">
        <v>28.404599999999999</v>
      </c>
      <c r="AQ130" s="63">
        <v>28.629200000000001</v>
      </c>
      <c r="AR130" s="63">
        <v>28.8538</v>
      </c>
      <c r="AS130" s="63">
        <v>29.078399999999998</v>
      </c>
      <c r="AT130" s="63">
        <v>29.303000000000001</v>
      </c>
      <c r="AU130" s="63">
        <v>29.674199999999999</v>
      </c>
      <c r="AV130" s="63">
        <v>30.045400000000001</v>
      </c>
      <c r="AW130" s="63">
        <v>30.416599999999999</v>
      </c>
      <c r="AX130" s="63">
        <v>30.787800000000001</v>
      </c>
      <c r="AY130" s="63">
        <v>31.158999999999999</v>
      </c>
      <c r="AZ130" s="63">
        <v>31.672599999999999</v>
      </c>
      <c r="BA130" s="63">
        <v>32.186199999999999</v>
      </c>
      <c r="BB130" s="63">
        <v>32.699800000000003</v>
      </c>
      <c r="BC130" s="63">
        <v>33.2134</v>
      </c>
      <c r="BD130" s="63">
        <v>33.726999999999997</v>
      </c>
      <c r="BE130" s="63">
        <v>34.279000000000003</v>
      </c>
      <c r="BF130" s="63">
        <v>34.831000000000003</v>
      </c>
      <c r="BH130" s="44">
        <f t="shared" si="4"/>
        <v>28.053755555555568</v>
      </c>
      <c r="BI130" s="44">
        <f t="shared" si="5"/>
        <v>30.094183999999995</v>
      </c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2"/>
      <c r="CG130" s="42"/>
      <c r="CH130" s="42"/>
      <c r="CI130" s="42"/>
      <c r="CJ130" s="42"/>
      <c r="CK130" s="42"/>
      <c r="CL130" s="42"/>
      <c r="CM130" s="42"/>
      <c r="CN130" s="42"/>
      <c r="CO130" s="42"/>
      <c r="CP130" s="42"/>
      <c r="CQ130" s="42"/>
    </row>
    <row r="131" spans="1:95">
      <c r="A131" s="62">
        <v>54</v>
      </c>
      <c r="B131" s="62" t="s">
        <v>122</v>
      </c>
      <c r="C131" s="13"/>
      <c r="D131" s="13"/>
      <c r="E131" s="13">
        <v>1</v>
      </c>
      <c r="F131" s="13">
        <v>31.718266666666668</v>
      </c>
      <c r="G131" s="63">
        <v>19.043199999999999</v>
      </c>
      <c r="H131" s="63">
        <v>20.407399999999999</v>
      </c>
      <c r="I131" s="63">
        <v>21.771599999999999</v>
      </c>
      <c r="J131" s="63">
        <v>23.1358</v>
      </c>
      <c r="K131" s="63">
        <v>24.5</v>
      </c>
      <c r="L131" s="63">
        <v>25.232600000000001</v>
      </c>
      <c r="M131" s="63">
        <v>25.965199999999999</v>
      </c>
      <c r="N131" s="63">
        <v>26.697800000000001</v>
      </c>
      <c r="O131" s="63">
        <v>27.430399999999999</v>
      </c>
      <c r="P131" s="63">
        <v>28.163</v>
      </c>
      <c r="Q131" s="63">
        <v>28.976199999999999</v>
      </c>
      <c r="R131" s="63">
        <v>29.789400000000001</v>
      </c>
      <c r="S131" s="63">
        <v>30.602599999999999</v>
      </c>
      <c r="T131" s="63">
        <v>31.415800000000001</v>
      </c>
      <c r="U131" s="63">
        <v>32.228999999999999</v>
      </c>
      <c r="V131" s="63">
        <v>33.149000000000001</v>
      </c>
      <c r="W131" s="63">
        <v>34.069000000000003</v>
      </c>
      <c r="X131" s="63">
        <v>34.988999999999997</v>
      </c>
      <c r="Y131" s="63">
        <v>35.908999999999999</v>
      </c>
      <c r="Z131" s="63">
        <v>36.829000000000001</v>
      </c>
      <c r="AA131" s="63">
        <v>37.045200000000001</v>
      </c>
      <c r="AB131" s="63">
        <v>37.261400000000002</v>
      </c>
      <c r="AC131" s="63">
        <v>37.477600000000002</v>
      </c>
      <c r="AD131" s="63">
        <v>37.693800000000003</v>
      </c>
      <c r="AE131" s="63">
        <v>37.909999999999997</v>
      </c>
      <c r="AF131" s="63">
        <v>38.197000000000003</v>
      </c>
      <c r="AG131" s="63">
        <v>38.484000000000002</v>
      </c>
      <c r="AH131" s="63">
        <v>38.771000000000001</v>
      </c>
      <c r="AI131" s="63">
        <v>39.058</v>
      </c>
      <c r="AJ131" s="63">
        <v>39.344999999999999</v>
      </c>
      <c r="AK131" s="63">
        <v>39.718000000000004</v>
      </c>
      <c r="AL131" s="63">
        <v>40.091000000000001</v>
      </c>
      <c r="AM131" s="63">
        <v>40.463999999999999</v>
      </c>
      <c r="AN131" s="63">
        <v>40.837000000000003</v>
      </c>
      <c r="AO131" s="63">
        <v>41.21</v>
      </c>
      <c r="AP131" s="63">
        <v>41.676200000000001</v>
      </c>
      <c r="AQ131" s="63">
        <v>42.142400000000002</v>
      </c>
      <c r="AR131" s="63">
        <v>42.608600000000003</v>
      </c>
      <c r="AS131" s="63">
        <v>43.074800000000003</v>
      </c>
      <c r="AT131" s="63">
        <v>43.540999999999997</v>
      </c>
      <c r="AU131" s="63">
        <v>44.2</v>
      </c>
      <c r="AV131" s="63">
        <v>44.859000000000002</v>
      </c>
      <c r="AW131" s="63">
        <v>45.518000000000001</v>
      </c>
      <c r="AX131" s="63">
        <v>46.177</v>
      </c>
      <c r="AY131" s="63">
        <v>46.835999999999999</v>
      </c>
      <c r="AZ131" s="63">
        <v>47.580199999999998</v>
      </c>
      <c r="BA131" s="63">
        <v>48.324399999999997</v>
      </c>
      <c r="BB131" s="63">
        <v>49.068600000000004</v>
      </c>
      <c r="BC131" s="63">
        <v>49.812800000000003</v>
      </c>
      <c r="BD131" s="63">
        <v>50.557000000000002</v>
      </c>
      <c r="BE131" s="63">
        <v>51.279800000000002</v>
      </c>
      <c r="BF131" s="63">
        <v>52.002600000000001</v>
      </c>
      <c r="BG131" s="43"/>
      <c r="BH131" s="44">
        <f t="shared" si="4"/>
        <v>30.902740740740743</v>
      </c>
      <c r="BI131" s="44">
        <f t="shared" si="5"/>
        <v>44.350096000000001</v>
      </c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2"/>
      <c r="CG131" s="42"/>
      <c r="CH131" s="42"/>
      <c r="CI131" s="42"/>
      <c r="CJ131" s="42"/>
      <c r="CK131" s="42"/>
      <c r="CL131" s="42"/>
      <c r="CM131" s="42"/>
      <c r="CN131" s="42"/>
      <c r="CO131" s="42"/>
      <c r="CP131" s="42"/>
      <c r="CQ131" s="42"/>
    </row>
    <row r="132" spans="1:95">
      <c r="A132" s="62">
        <v>55</v>
      </c>
      <c r="B132" s="62" t="s">
        <v>121</v>
      </c>
      <c r="C132" s="13"/>
      <c r="D132" s="13"/>
      <c r="E132" s="13">
        <v>1</v>
      </c>
      <c r="F132" s="13">
        <v>44.522666666666659</v>
      </c>
      <c r="G132" s="63">
        <v>31.118600000000001</v>
      </c>
      <c r="H132" s="63">
        <v>32.083199999999998</v>
      </c>
      <c r="I132" s="63">
        <v>33.047800000000002</v>
      </c>
      <c r="J132" s="63">
        <v>34.0124</v>
      </c>
      <c r="K132" s="63">
        <v>34.976999999999997</v>
      </c>
      <c r="L132" s="63">
        <v>36.020800000000001</v>
      </c>
      <c r="M132" s="63">
        <v>37.064599999999999</v>
      </c>
      <c r="N132" s="63">
        <v>38.108400000000003</v>
      </c>
      <c r="O132" s="63">
        <v>39.152200000000001</v>
      </c>
      <c r="P132" s="63">
        <v>40.195999999999998</v>
      </c>
      <c r="Q132" s="63">
        <v>41.182000000000002</v>
      </c>
      <c r="R132" s="63">
        <v>42.167999999999999</v>
      </c>
      <c r="S132" s="63">
        <v>43.154000000000003</v>
      </c>
      <c r="T132" s="63">
        <v>44.14</v>
      </c>
      <c r="U132" s="63">
        <v>45.125999999999998</v>
      </c>
      <c r="V132" s="63">
        <v>46.113</v>
      </c>
      <c r="W132" s="63">
        <v>47.1</v>
      </c>
      <c r="X132" s="63">
        <v>48.087000000000003</v>
      </c>
      <c r="Y132" s="63">
        <v>49.073999999999998</v>
      </c>
      <c r="Z132" s="63">
        <v>50.061</v>
      </c>
      <c r="AA132" s="63">
        <v>50.506999999999998</v>
      </c>
      <c r="AB132" s="63">
        <v>50.953000000000003</v>
      </c>
      <c r="AC132" s="63">
        <v>51.399000000000001</v>
      </c>
      <c r="AD132" s="63">
        <v>51.844999999999999</v>
      </c>
      <c r="AE132" s="63">
        <v>52.290999999999997</v>
      </c>
      <c r="AF132" s="63">
        <v>52.640599999999999</v>
      </c>
      <c r="AG132" s="63">
        <v>52.990200000000002</v>
      </c>
      <c r="AH132" s="63">
        <v>53.339799999999997</v>
      </c>
      <c r="AI132" s="63">
        <v>53.689399999999999</v>
      </c>
      <c r="AJ132" s="63">
        <v>54.039000000000001</v>
      </c>
      <c r="AK132" s="63">
        <v>54.209600000000002</v>
      </c>
      <c r="AL132" s="63">
        <v>54.380200000000002</v>
      </c>
      <c r="AM132" s="63">
        <v>54.550800000000002</v>
      </c>
      <c r="AN132" s="63">
        <v>54.721400000000003</v>
      </c>
      <c r="AO132" s="63">
        <v>54.892000000000003</v>
      </c>
      <c r="AP132" s="63">
        <v>55.030999999999999</v>
      </c>
      <c r="AQ132" s="63">
        <v>55.17</v>
      </c>
      <c r="AR132" s="63">
        <v>55.308999999999997</v>
      </c>
      <c r="AS132" s="63">
        <v>55.448</v>
      </c>
      <c r="AT132" s="63">
        <v>55.587000000000003</v>
      </c>
      <c r="AU132" s="63">
        <v>55.750799999999998</v>
      </c>
      <c r="AV132" s="63">
        <v>55.9146</v>
      </c>
      <c r="AW132" s="63">
        <v>56.078400000000002</v>
      </c>
      <c r="AX132" s="63">
        <v>56.242199999999997</v>
      </c>
      <c r="AY132" s="63">
        <v>56.405999999999999</v>
      </c>
      <c r="AZ132" s="63">
        <v>56.632199999999997</v>
      </c>
      <c r="BA132" s="63">
        <v>56.858400000000003</v>
      </c>
      <c r="BB132" s="63">
        <v>57.084600000000002</v>
      </c>
      <c r="BC132" s="63">
        <v>57.3108</v>
      </c>
      <c r="BD132" s="63">
        <v>57.536999999999999</v>
      </c>
      <c r="BE132" s="63">
        <v>57.824199999999998</v>
      </c>
      <c r="BF132" s="63">
        <v>58.111400000000003</v>
      </c>
      <c r="BG132" s="43"/>
      <c r="BH132" s="44">
        <f t="shared" si="4"/>
        <v>43.504140740740738</v>
      </c>
      <c r="BI132" s="44">
        <f t="shared" si="5"/>
        <v>55.68471199999999</v>
      </c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2"/>
      <c r="CG132" s="42"/>
      <c r="CH132" s="42"/>
      <c r="CI132" s="42"/>
      <c r="CJ132" s="42"/>
      <c r="CK132" s="42"/>
      <c r="CL132" s="42"/>
      <c r="CM132" s="42"/>
      <c r="CN132" s="42"/>
      <c r="CO132" s="42"/>
      <c r="CP132" s="42"/>
      <c r="CQ132" s="42"/>
    </row>
    <row r="133" spans="1:95">
      <c r="A133" s="62">
        <v>57</v>
      </c>
      <c r="B133" s="62" t="s">
        <v>119</v>
      </c>
      <c r="C133" s="13"/>
      <c r="D133" s="13"/>
      <c r="E133" s="13">
        <v>1</v>
      </c>
      <c r="F133" s="13">
        <v>50.639133333333341</v>
      </c>
      <c r="G133" s="63">
        <v>36.14</v>
      </c>
      <c r="H133" s="63">
        <v>36.652000000000001</v>
      </c>
      <c r="I133" s="63">
        <v>37.164000000000001</v>
      </c>
      <c r="J133" s="63">
        <v>37.676000000000002</v>
      </c>
      <c r="K133" s="63">
        <v>38.188000000000002</v>
      </c>
      <c r="L133" s="63">
        <v>38.702599999999997</v>
      </c>
      <c r="M133" s="63">
        <v>39.217199999999998</v>
      </c>
      <c r="N133" s="63">
        <v>39.7318</v>
      </c>
      <c r="O133" s="63">
        <v>40.246400000000001</v>
      </c>
      <c r="P133" s="63">
        <v>40.761000000000003</v>
      </c>
      <c r="Q133" s="63">
        <v>42.0642</v>
      </c>
      <c r="R133" s="63">
        <v>43.367400000000004</v>
      </c>
      <c r="S133" s="63">
        <v>44.6706</v>
      </c>
      <c r="T133" s="63">
        <v>45.973799999999997</v>
      </c>
      <c r="U133" s="63">
        <v>47.277000000000001</v>
      </c>
      <c r="V133" s="63">
        <v>49.544400000000003</v>
      </c>
      <c r="W133" s="63">
        <v>51.811799999999998</v>
      </c>
      <c r="X133" s="63">
        <v>54.0792</v>
      </c>
      <c r="Y133" s="63">
        <v>56.346600000000002</v>
      </c>
      <c r="Z133" s="63">
        <v>58.613999999999997</v>
      </c>
      <c r="AA133" s="63">
        <v>59.826799999999999</v>
      </c>
      <c r="AB133" s="63">
        <v>61.0396</v>
      </c>
      <c r="AC133" s="63">
        <v>62.252400000000002</v>
      </c>
      <c r="AD133" s="63">
        <v>63.465200000000003</v>
      </c>
      <c r="AE133" s="63">
        <v>64.677999999999997</v>
      </c>
      <c r="AF133" s="63">
        <v>65.0976</v>
      </c>
      <c r="AG133" s="63">
        <v>65.517200000000003</v>
      </c>
      <c r="AH133" s="63">
        <v>65.936800000000005</v>
      </c>
      <c r="AI133" s="63">
        <v>66.356399999999994</v>
      </c>
      <c r="AJ133" s="63">
        <v>66.775999999999996</v>
      </c>
      <c r="AK133" s="63">
        <v>67.028400000000005</v>
      </c>
      <c r="AL133" s="63">
        <v>67.280799999999999</v>
      </c>
      <c r="AM133" s="63">
        <v>67.533199999999994</v>
      </c>
      <c r="AN133" s="63">
        <v>67.785600000000002</v>
      </c>
      <c r="AO133" s="63">
        <v>68.037999999999997</v>
      </c>
      <c r="AP133" s="63">
        <v>68.16</v>
      </c>
      <c r="AQ133" s="63">
        <v>68.281999999999996</v>
      </c>
      <c r="AR133" s="63">
        <v>68.403999999999996</v>
      </c>
      <c r="AS133" s="63">
        <v>68.525999999999996</v>
      </c>
      <c r="AT133" s="63">
        <v>68.647999999999996</v>
      </c>
      <c r="AU133" s="63">
        <v>68.807199999999995</v>
      </c>
      <c r="AV133" s="63">
        <v>68.966399999999993</v>
      </c>
      <c r="AW133" s="63">
        <v>69.125600000000006</v>
      </c>
      <c r="AX133" s="63">
        <v>69.284800000000004</v>
      </c>
      <c r="AY133" s="63">
        <v>69.444000000000003</v>
      </c>
      <c r="AZ133" s="63">
        <v>69.617400000000004</v>
      </c>
      <c r="BA133" s="63">
        <v>69.790800000000004</v>
      </c>
      <c r="BB133" s="63">
        <v>69.964200000000005</v>
      </c>
      <c r="BC133" s="63">
        <v>70.137600000000006</v>
      </c>
      <c r="BD133" s="63">
        <v>70.311000000000007</v>
      </c>
      <c r="BE133" s="63">
        <v>70.508600000000001</v>
      </c>
      <c r="BF133" s="63">
        <v>70.706199999999995</v>
      </c>
      <c r="BG133" s="43"/>
      <c r="BH133" s="44">
        <f t="shared" si="4"/>
        <v>48.892770370370378</v>
      </c>
      <c r="BI133" s="44">
        <f t="shared" si="5"/>
        <v>68.616759999999999</v>
      </c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2"/>
      <c r="CG133" s="42"/>
      <c r="CH133" s="42"/>
      <c r="CI133" s="42"/>
      <c r="CJ133" s="42"/>
      <c r="CK133" s="42"/>
      <c r="CL133" s="42"/>
      <c r="CM133" s="42"/>
      <c r="CN133" s="42"/>
      <c r="CO133" s="42"/>
      <c r="CP133" s="42"/>
      <c r="CQ133" s="42"/>
    </row>
    <row r="134" spans="1:95">
      <c r="A134" s="62">
        <v>67</v>
      </c>
      <c r="B134" s="62" t="s">
        <v>112</v>
      </c>
      <c r="C134" s="13"/>
      <c r="D134" s="13"/>
      <c r="E134" s="13">
        <v>1</v>
      </c>
      <c r="F134" s="13">
        <v>13.400400000000001</v>
      </c>
      <c r="G134" s="63">
        <v>10.077400000000001</v>
      </c>
      <c r="H134" s="63">
        <v>10.4038</v>
      </c>
      <c r="I134" s="63">
        <v>10.7302</v>
      </c>
      <c r="J134" s="63">
        <v>11.0566</v>
      </c>
      <c r="K134" s="63">
        <v>11.382999999999999</v>
      </c>
      <c r="L134" s="63">
        <v>11.625</v>
      </c>
      <c r="M134" s="63">
        <v>11.867000000000001</v>
      </c>
      <c r="N134" s="63">
        <v>12.109</v>
      </c>
      <c r="O134" s="63">
        <v>12.351000000000001</v>
      </c>
      <c r="P134" s="63">
        <v>12.593</v>
      </c>
      <c r="Q134" s="63">
        <v>12.7652</v>
      </c>
      <c r="R134" s="63">
        <v>12.9374</v>
      </c>
      <c r="S134" s="63">
        <v>13.1096</v>
      </c>
      <c r="T134" s="63">
        <v>13.2818</v>
      </c>
      <c r="U134" s="63">
        <v>13.454000000000001</v>
      </c>
      <c r="V134" s="63">
        <v>13.635999999999999</v>
      </c>
      <c r="W134" s="63">
        <v>13.818</v>
      </c>
      <c r="X134" s="63">
        <v>14</v>
      </c>
      <c r="Y134" s="63">
        <v>14.182</v>
      </c>
      <c r="Z134" s="63">
        <v>14.364000000000001</v>
      </c>
      <c r="AA134" s="63">
        <v>14.536799999999999</v>
      </c>
      <c r="AB134" s="63">
        <v>14.7096</v>
      </c>
      <c r="AC134" s="63">
        <v>14.882400000000001</v>
      </c>
      <c r="AD134" s="63">
        <v>15.055199999999999</v>
      </c>
      <c r="AE134" s="63">
        <v>15.228</v>
      </c>
      <c r="AF134" s="63">
        <v>15.3424</v>
      </c>
      <c r="AG134" s="63">
        <v>15.456799999999999</v>
      </c>
      <c r="AH134" s="63">
        <v>15.571199999999999</v>
      </c>
      <c r="AI134" s="63">
        <v>15.685600000000001</v>
      </c>
      <c r="AJ134" s="63">
        <v>15.8</v>
      </c>
      <c r="AK134" s="63">
        <v>15.950799999999999</v>
      </c>
      <c r="AL134" s="63">
        <v>16.101600000000001</v>
      </c>
      <c r="AM134" s="63">
        <v>16.252400000000002</v>
      </c>
      <c r="AN134" s="63">
        <v>16.403199999999998</v>
      </c>
      <c r="AO134" s="63">
        <v>16.553999999999998</v>
      </c>
      <c r="AP134" s="63">
        <v>16.768000000000001</v>
      </c>
      <c r="AQ134" s="63">
        <v>16.981999999999999</v>
      </c>
      <c r="AR134" s="63">
        <v>17.196000000000002</v>
      </c>
      <c r="AS134" s="63">
        <v>17.41</v>
      </c>
      <c r="AT134" s="63">
        <v>17.623999999999999</v>
      </c>
      <c r="AU134" s="63">
        <v>17.9102</v>
      </c>
      <c r="AV134" s="63">
        <v>18.196400000000001</v>
      </c>
      <c r="AW134" s="63">
        <v>18.482600000000001</v>
      </c>
      <c r="AX134" s="63">
        <v>18.768799999999999</v>
      </c>
      <c r="AY134" s="63">
        <v>19.055</v>
      </c>
      <c r="AZ134" s="63">
        <v>19.423999999999999</v>
      </c>
      <c r="BA134" s="63">
        <v>19.792999999999999</v>
      </c>
      <c r="BB134" s="63">
        <v>20.161999999999999</v>
      </c>
      <c r="BC134" s="63">
        <v>20.530999999999999</v>
      </c>
      <c r="BD134" s="63">
        <v>20.9</v>
      </c>
      <c r="BE134" s="63">
        <v>21.363</v>
      </c>
      <c r="BF134" s="63">
        <v>21.826000000000001</v>
      </c>
      <c r="BG134" s="43"/>
      <c r="BH134" s="44">
        <f t="shared" si="4"/>
        <v>13.146488888888891</v>
      </c>
      <c r="BI134" s="44">
        <f t="shared" si="5"/>
        <v>18.028431999999999</v>
      </c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2"/>
      <c r="CG134" s="42"/>
      <c r="CH134" s="42"/>
      <c r="CI134" s="42"/>
      <c r="CJ134" s="42"/>
      <c r="CK134" s="42"/>
      <c r="CL134" s="42"/>
      <c r="CM134" s="42"/>
      <c r="CN134" s="42"/>
      <c r="CO134" s="42"/>
      <c r="CP134" s="42"/>
      <c r="CQ134" s="42"/>
    </row>
    <row r="135" spans="1:95">
      <c r="A135" s="62">
        <v>68</v>
      </c>
      <c r="B135" s="62" t="s">
        <v>111</v>
      </c>
      <c r="C135" s="13"/>
      <c r="D135" s="13"/>
      <c r="E135" s="13">
        <v>1</v>
      </c>
      <c r="F135" s="13">
        <v>66.675333333333327</v>
      </c>
      <c r="G135" s="63">
        <v>58.295999999999999</v>
      </c>
      <c r="H135" s="63">
        <v>59.058999999999997</v>
      </c>
      <c r="I135" s="63">
        <v>59.822000000000003</v>
      </c>
      <c r="J135" s="63">
        <v>60.585000000000001</v>
      </c>
      <c r="K135" s="63">
        <v>61.347999999999999</v>
      </c>
      <c r="L135" s="63">
        <v>62.067799999999998</v>
      </c>
      <c r="M135" s="63">
        <v>62.787599999999998</v>
      </c>
      <c r="N135" s="63">
        <v>63.507399999999997</v>
      </c>
      <c r="O135" s="63">
        <v>64.227199999999996</v>
      </c>
      <c r="P135" s="63">
        <v>64.947000000000003</v>
      </c>
      <c r="Q135" s="63">
        <v>65.475399999999993</v>
      </c>
      <c r="R135" s="63">
        <v>66.003799999999998</v>
      </c>
      <c r="S135" s="63">
        <v>66.532200000000003</v>
      </c>
      <c r="T135" s="63">
        <v>67.060599999999994</v>
      </c>
      <c r="U135" s="63">
        <v>67.588999999999999</v>
      </c>
      <c r="V135" s="63">
        <v>68.013400000000004</v>
      </c>
      <c r="W135" s="63">
        <v>68.437799999999996</v>
      </c>
      <c r="X135" s="63">
        <v>68.862200000000001</v>
      </c>
      <c r="Y135" s="63">
        <v>69.286600000000007</v>
      </c>
      <c r="Z135" s="63">
        <v>69.710999999999999</v>
      </c>
      <c r="AA135" s="63">
        <v>69.922200000000004</v>
      </c>
      <c r="AB135" s="63">
        <v>70.133399999999995</v>
      </c>
      <c r="AC135" s="63">
        <v>70.3446</v>
      </c>
      <c r="AD135" s="63">
        <v>70.555800000000005</v>
      </c>
      <c r="AE135" s="63">
        <v>70.766999999999996</v>
      </c>
      <c r="AF135" s="63">
        <v>70.839200000000005</v>
      </c>
      <c r="AG135" s="63">
        <v>70.9114</v>
      </c>
      <c r="AH135" s="63">
        <v>70.983599999999996</v>
      </c>
      <c r="AI135" s="63">
        <v>71.055800000000005</v>
      </c>
      <c r="AJ135" s="63">
        <v>71.128</v>
      </c>
      <c r="AK135" s="63">
        <v>70.898200000000003</v>
      </c>
      <c r="AL135" s="63">
        <v>70.668400000000005</v>
      </c>
      <c r="AM135" s="63">
        <v>70.438599999999994</v>
      </c>
      <c r="AN135" s="63">
        <v>70.208799999999997</v>
      </c>
      <c r="AO135" s="63">
        <v>69.978999999999999</v>
      </c>
      <c r="AP135" s="63">
        <v>69.863399999999999</v>
      </c>
      <c r="AQ135" s="63">
        <v>69.747799999999998</v>
      </c>
      <c r="AR135" s="63">
        <v>69.632199999999997</v>
      </c>
      <c r="AS135" s="63">
        <v>69.516599999999997</v>
      </c>
      <c r="AT135" s="63">
        <v>69.400999999999996</v>
      </c>
      <c r="AU135" s="63">
        <v>69.405799999999999</v>
      </c>
      <c r="AV135" s="63">
        <v>69.410600000000002</v>
      </c>
      <c r="AW135" s="63">
        <v>69.415400000000005</v>
      </c>
      <c r="AX135" s="63">
        <v>69.420199999999994</v>
      </c>
      <c r="AY135" s="63">
        <v>69.424999999999997</v>
      </c>
      <c r="AZ135" s="63">
        <v>69.432199999999995</v>
      </c>
      <c r="BA135" s="63">
        <v>69.439400000000006</v>
      </c>
      <c r="BB135" s="63">
        <v>69.446600000000004</v>
      </c>
      <c r="BC135" s="63">
        <v>69.453800000000001</v>
      </c>
      <c r="BD135" s="63">
        <v>69.460999999999999</v>
      </c>
      <c r="BE135" s="63">
        <v>69.517799999999994</v>
      </c>
      <c r="BF135" s="63">
        <v>69.574600000000004</v>
      </c>
      <c r="BG135" s="43"/>
      <c r="BH135" s="44">
        <f t="shared" si="4"/>
        <v>66.188614814814812</v>
      </c>
      <c r="BI135" s="44">
        <f t="shared" si="5"/>
        <v>69.876952000000003</v>
      </c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2"/>
      <c r="CG135" s="42"/>
      <c r="CH135" s="42"/>
      <c r="CI135" s="42"/>
      <c r="CJ135" s="42"/>
      <c r="CK135" s="42"/>
      <c r="CL135" s="42"/>
      <c r="CM135" s="42"/>
      <c r="CN135" s="42"/>
      <c r="CO135" s="42"/>
      <c r="CP135" s="42"/>
      <c r="CQ135" s="42"/>
    </row>
    <row r="136" spans="1:95">
      <c r="A136" s="62">
        <v>80</v>
      </c>
      <c r="B136" s="62" t="s">
        <v>105</v>
      </c>
      <c r="C136" s="13"/>
      <c r="D136" s="13"/>
      <c r="E136" s="13">
        <v>1</v>
      </c>
      <c r="F136" s="13">
        <v>50.137566666666672</v>
      </c>
      <c r="G136" s="63">
        <v>43.561999999999998</v>
      </c>
      <c r="H136" s="63">
        <v>44.055</v>
      </c>
      <c r="I136" s="63">
        <v>44.548000000000002</v>
      </c>
      <c r="J136" s="63">
        <v>45.040999999999997</v>
      </c>
      <c r="K136" s="63">
        <v>45.533999999999999</v>
      </c>
      <c r="L136" s="63">
        <v>46.028399999999998</v>
      </c>
      <c r="M136" s="63">
        <v>46.522799999999997</v>
      </c>
      <c r="N136" s="63">
        <v>47.017200000000003</v>
      </c>
      <c r="O136" s="63">
        <v>47.511600000000001</v>
      </c>
      <c r="P136" s="63">
        <v>48.006</v>
      </c>
      <c r="Q136" s="63">
        <v>48.473599999999998</v>
      </c>
      <c r="R136" s="63">
        <v>48.941200000000002</v>
      </c>
      <c r="S136" s="63">
        <v>49.408799999999999</v>
      </c>
      <c r="T136" s="63">
        <v>49.876399999999997</v>
      </c>
      <c r="U136" s="63">
        <v>50.344000000000001</v>
      </c>
      <c r="V136" s="63">
        <v>50.7746</v>
      </c>
      <c r="W136" s="63">
        <v>51.205199999999998</v>
      </c>
      <c r="X136" s="63">
        <v>51.635800000000003</v>
      </c>
      <c r="Y136" s="63">
        <v>52.066400000000002</v>
      </c>
      <c r="Z136" s="63">
        <v>52.497</v>
      </c>
      <c r="AA136" s="63">
        <v>52.836399999999998</v>
      </c>
      <c r="AB136" s="63">
        <v>53.175800000000002</v>
      </c>
      <c r="AC136" s="63">
        <v>53.5152</v>
      </c>
      <c r="AD136" s="63">
        <v>53.854599999999998</v>
      </c>
      <c r="AE136" s="63">
        <v>54.194000000000003</v>
      </c>
      <c r="AF136" s="63">
        <v>54.3628</v>
      </c>
      <c r="AG136" s="63">
        <v>54.531599999999997</v>
      </c>
      <c r="AH136" s="63">
        <v>54.700400000000002</v>
      </c>
      <c r="AI136" s="63">
        <v>54.869199999999999</v>
      </c>
      <c r="AJ136" s="63">
        <v>55.037999999999997</v>
      </c>
      <c r="AK136" s="63">
        <v>54.7986</v>
      </c>
      <c r="AL136" s="63">
        <v>54.559199999999997</v>
      </c>
      <c r="AM136" s="63">
        <v>54.319800000000001</v>
      </c>
      <c r="AN136" s="63">
        <v>54.080399999999997</v>
      </c>
      <c r="AO136" s="63">
        <v>53.841000000000001</v>
      </c>
      <c r="AP136" s="63">
        <v>53.6004</v>
      </c>
      <c r="AQ136" s="63">
        <v>53.3598</v>
      </c>
      <c r="AR136" s="63">
        <v>53.119199999999999</v>
      </c>
      <c r="AS136" s="63">
        <v>52.878599999999999</v>
      </c>
      <c r="AT136" s="63">
        <v>52.637999999999998</v>
      </c>
      <c r="AU136" s="63">
        <v>52.604399999999998</v>
      </c>
      <c r="AV136" s="63">
        <v>52.570799999999998</v>
      </c>
      <c r="AW136" s="63">
        <v>52.537199999999999</v>
      </c>
      <c r="AX136" s="63">
        <v>52.503599999999999</v>
      </c>
      <c r="AY136" s="63">
        <v>52.47</v>
      </c>
      <c r="AZ136" s="63">
        <v>52.5244</v>
      </c>
      <c r="BA136" s="63">
        <v>52.578800000000001</v>
      </c>
      <c r="BB136" s="63">
        <v>52.633200000000002</v>
      </c>
      <c r="BC136" s="63">
        <v>52.687600000000003</v>
      </c>
      <c r="BD136" s="63">
        <v>52.741999999999997</v>
      </c>
      <c r="BE136" s="63">
        <v>52.860799999999998</v>
      </c>
      <c r="BF136" s="63">
        <v>52.979599999999998</v>
      </c>
      <c r="BG136" s="43"/>
      <c r="BH136" s="44">
        <f t="shared" si="4"/>
        <v>49.611829629629632</v>
      </c>
      <c r="BI136" s="44">
        <f t="shared" si="5"/>
        <v>53.33979999999999</v>
      </c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2"/>
      <c r="CG136" s="42"/>
      <c r="CH136" s="42"/>
      <c r="CI136" s="42"/>
      <c r="CJ136" s="42"/>
      <c r="CK136" s="42"/>
      <c r="CL136" s="42"/>
      <c r="CM136" s="42"/>
      <c r="CN136" s="42"/>
      <c r="CO136" s="42"/>
      <c r="CP136" s="42"/>
      <c r="CQ136" s="42"/>
    </row>
    <row r="137" spans="1:95">
      <c r="A137" s="62">
        <v>98</v>
      </c>
      <c r="B137" s="62" t="s">
        <v>96</v>
      </c>
      <c r="C137" s="13"/>
      <c r="D137" s="13"/>
      <c r="E137" s="13">
        <v>1</v>
      </c>
      <c r="F137" s="13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H137" s="44" t="e">
        <f t="shared" si="4"/>
        <v>#DIV/0!</v>
      </c>
      <c r="BI137" s="44" t="e">
        <f t="shared" si="5"/>
        <v>#DIV/0!</v>
      </c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2"/>
      <c r="CG137" s="42"/>
      <c r="CH137" s="42"/>
      <c r="CI137" s="42"/>
      <c r="CJ137" s="42"/>
      <c r="CK137" s="42"/>
      <c r="CL137" s="42"/>
      <c r="CM137" s="42"/>
      <c r="CN137" s="42"/>
      <c r="CO137" s="42"/>
      <c r="CP137" s="42"/>
      <c r="CQ137" s="42"/>
    </row>
    <row r="138" spans="1:95">
      <c r="A138" s="62">
        <v>113</v>
      </c>
      <c r="B138" s="62" t="s">
        <v>84</v>
      </c>
      <c r="C138" s="13"/>
      <c r="D138" s="13"/>
      <c r="E138" s="13">
        <v>1</v>
      </c>
      <c r="F138" s="13">
        <v>51.906300000000009</v>
      </c>
      <c r="G138" s="63">
        <v>44.767800000000001</v>
      </c>
      <c r="H138" s="63">
        <v>45.337600000000002</v>
      </c>
      <c r="I138" s="63">
        <v>45.907400000000003</v>
      </c>
      <c r="J138" s="63">
        <v>46.477200000000003</v>
      </c>
      <c r="K138" s="63">
        <v>47.046999999999997</v>
      </c>
      <c r="L138" s="63">
        <v>47.684800000000003</v>
      </c>
      <c r="M138" s="63">
        <v>48.322600000000001</v>
      </c>
      <c r="N138" s="63">
        <v>48.9604</v>
      </c>
      <c r="O138" s="63">
        <v>49.598199999999999</v>
      </c>
      <c r="P138" s="63">
        <v>50.235999999999997</v>
      </c>
      <c r="Q138" s="63">
        <v>50.701599999999999</v>
      </c>
      <c r="R138" s="63">
        <v>51.167200000000001</v>
      </c>
      <c r="S138" s="63">
        <v>51.632800000000003</v>
      </c>
      <c r="T138" s="63">
        <v>52.098399999999998</v>
      </c>
      <c r="U138" s="63">
        <v>52.564</v>
      </c>
      <c r="V138" s="63">
        <v>52.879600000000003</v>
      </c>
      <c r="W138" s="63">
        <v>53.1952</v>
      </c>
      <c r="X138" s="63">
        <v>53.510800000000003</v>
      </c>
      <c r="Y138" s="63">
        <v>53.8264</v>
      </c>
      <c r="Z138" s="63">
        <v>54.142000000000003</v>
      </c>
      <c r="AA138" s="63">
        <v>54.515599999999999</v>
      </c>
      <c r="AB138" s="63">
        <v>54.889200000000002</v>
      </c>
      <c r="AC138" s="63">
        <v>55.262799999999999</v>
      </c>
      <c r="AD138" s="63">
        <v>55.636400000000002</v>
      </c>
      <c r="AE138" s="63">
        <v>56.01</v>
      </c>
      <c r="AF138" s="63">
        <v>56.061199999999999</v>
      </c>
      <c r="AG138" s="63">
        <v>56.112400000000001</v>
      </c>
      <c r="AH138" s="63">
        <v>56.163600000000002</v>
      </c>
      <c r="AI138" s="63">
        <v>56.214799999999997</v>
      </c>
      <c r="AJ138" s="63">
        <v>56.265999999999998</v>
      </c>
      <c r="AK138" s="63">
        <v>56.197000000000003</v>
      </c>
      <c r="AL138" s="63">
        <v>56.128</v>
      </c>
      <c r="AM138" s="63">
        <v>56.058999999999997</v>
      </c>
      <c r="AN138" s="63">
        <v>55.99</v>
      </c>
      <c r="AO138" s="63">
        <v>55.920999999999999</v>
      </c>
      <c r="AP138" s="63">
        <v>55.882599999999996</v>
      </c>
      <c r="AQ138" s="63">
        <v>55.844200000000001</v>
      </c>
      <c r="AR138" s="63">
        <v>55.805799999999998</v>
      </c>
      <c r="AS138" s="63">
        <v>55.767400000000002</v>
      </c>
      <c r="AT138" s="63">
        <v>55.728999999999999</v>
      </c>
      <c r="AU138" s="63">
        <v>55.527000000000001</v>
      </c>
      <c r="AV138" s="63">
        <v>55.325000000000003</v>
      </c>
      <c r="AW138" s="63">
        <v>55.122999999999998</v>
      </c>
      <c r="AX138" s="63">
        <v>54.920999999999999</v>
      </c>
      <c r="AY138" s="63">
        <v>54.719000000000001</v>
      </c>
      <c r="AZ138" s="63">
        <v>54.521599999999999</v>
      </c>
      <c r="BA138" s="63">
        <v>54.324199999999998</v>
      </c>
      <c r="BB138" s="63">
        <v>54.126800000000003</v>
      </c>
      <c r="BC138" s="63">
        <v>53.929400000000001</v>
      </c>
      <c r="BD138" s="63">
        <v>53.731999999999999</v>
      </c>
      <c r="BE138" s="63">
        <v>53.636800000000001</v>
      </c>
      <c r="BF138" s="63">
        <v>53.541600000000003</v>
      </c>
      <c r="BG138" s="43"/>
      <c r="BH138" s="44">
        <f t="shared" si="4"/>
        <v>51.427577777777785</v>
      </c>
      <c r="BI138" s="44">
        <f t="shared" si="5"/>
        <v>55.255832000000012</v>
      </c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2"/>
      <c r="CG138" s="42"/>
      <c r="CH138" s="42"/>
      <c r="CI138" s="42"/>
      <c r="CJ138" s="42"/>
      <c r="CK138" s="42"/>
      <c r="CL138" s="42"/>
      <c r="CM138" s="42"/>
      <c r="CN138" s="42"/>
      <c r="CO138" s="42"/>
      <c r="CP138" s="42"/>
      <c r="CQ138" s="42"/>
    </row>
    <row r="139" spans="1:95">
      <c r="A139" s="62">
        <v>119</v>
      </c>
      <c r="B139" s="62" t="s">
        <v>79</v>
      </c>
      <c r="C139" s="13"/>
      <c r="D139" s="13"/>
      <c r="E139" s="13">
        <v>1</v>
      </c>
      <c r="F139" s="13">
        <v>37.474266666666672</v>
      </c>
      <c r="G139" s="63">
        <v>34.515000000000001</v>
      </c>
      <c r="H139" s="63">
        <v>34.848999999999997</v>
      </c>
      <c r="I139" s="63">
        <v>35.183</v>
      </c>
      <c r="J139" s="63">
        <v>35.517000000000003</v>
      </c>
      <c r="K139" s="63">
        <v>35.850999999999999</v>
      </c>
      <c r="L139" s="63">
        <v>36.173999999999999</v>
      </c>
      <c r="M139" s="63">
        <v>36.497</v>
      </c>
      <c r="N139" s="63">
        <v>36.82</v>
      </c>
      <c r="O139" s="63">
        <v>37.143000000000001</v>
      </c>
      <c r="P139" s="63">
        <v>37.466000000000001</v>
      </c>
      <c r="Q139" s="63">
        <v>37.61</v>
      </c>
      <c r="R139" s="63">
        <v>37.753999999999998</v>
      </c>
      <c r="S139" s="63">
        <v>37.898000000000003</v>
      </c>
      <c r="T139" s="63">
        <v>38.042000000000002</v>
      </c>
      <c r="U139" s="63">
        <v>38.186</v>
      </c>
      <c r="V139" s="63">
        <v>38.2742</v>
      </c>
      <c r="W139" s="63">
        <v>38.362400000000001</v>
      </c>
      <c r="X139" s="63">
        <v>38.450600000000001</v>
      </c>
      <c r="Y139" s="63">
        <v>38.538800000000002</v>
      </c>
      <c r="Z139" s="63">
        <v>38.627000000000002</v>
      </c>
      <c r="AA139" s="63">
        <v>38.576999999999998</v>
      </c>
      <c r="AB139" s="63">
        <v>38.527000000000001</v>
      </c>
      <c r="AC139" s="63">
        <v>38.476999999999997</v>
      </c>
      <c r="AD139" s="63">
        <v>38.427</v>
      </c>
      <c r="AE139" s="63">
        <v>38.377000000000002</v>
      </c>
      <c r="AF139" s="63">
        <v>38.256999999999998</v>
      </c>
      <c r="AG139" s="63">
        <v>38.137</v>
      </c>
      <c r="AH139" s="63">
        <v>38.017000000000003</v>
      </c>
      <c r="AI139" s="63">
        <v>37.896999999999998</v>
      </c>
      <c r="AJ139" s="63">
        <v>37.777000000000001</v>
      </c>
      <c r="AK139" s="63">
        <v>37.491399999999999</v>
      </c>
      <c r="AL139" s="63">
        <v>37.205800000000004</v>
      </c>
      <c r="AM139" s="63">
        <v>36.920200000000001</v>
      </c>
      <c r="AN139" s="63">
        <v>36.634599999999999</v>
      </c>
      <c r="AO139" s="63">
        <v>36.348999999999997</v>
      </c>
      <c r="AP139" s="63">
        <v>36.138800000000003</v>
      </c>
      <c r="AQ139" s="63">
        <v>35.928600000000003</v>
      </c>
      <c r="AR139" s="63">
        <v>35.718400000000003</v>
      </c>
      <c r="AS139" s="63">
        <v>35.508200000000002</v>
      </c>
      <c r="AT139" s="63">
        <v>35.298000000000002</v>
      </c>
      <c r="AU139" s="63">
        <v>35.296399999999998</v>
      </c>
      <c r="AV139" s="63">
        <v>35.294800000000002</v>
      </c>
      <c r="AW139" s="63">
        <v>35.293199999999999</v>
      </c>
      <c r="AX139" s="63">
        <v>35.291600000000003</v>
      </c>
      <c r="AY139" s="63">
        <v>35.29</v>
      </c>
      <c r="AZ139" s="63">
        <v>35.2928</v>
      </c>
      <c r="BA139" s="63">
        <v>35.2956</v>
      </c>
      <c r="BB139" s="63">
        <v>35.298400000000001</v>
      </c>
      <c r="BC139" s="63">
        <v>35.301200000000001</v>
      </c>
      <c r="BD139" s="63">
        <v>35.304000000000002</v>
      </c>
      <c r="BE139" s="63">
        <v>35.389600000000002</v>
      </c>
      <c r="BF139" s="63">
        <v>35.475200000000001</v>
      </c>
      <c r="BG139" s="43"/>
      <c r="BH139" s="44">
        <f t="shared" si="4"/>
        <v>37.427296296296298</v>
      </c>
      <c r="BI139" s="44">
        <f t="shared" si="5"/>
        <v>36.028271999999994</v>
      </c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2"/>
      <c r="CG139" s="42"/>
      <c r="CH139" s="42"/>
      <c r="CI139" s="42"/>
      <c r="CJ139" s="42"/>
      <c r="CK139" s="42"/>
      <c r="CL139" s="42"/>
      <c r="CM139" s="42"/>
      <c r="CN139" s="42"/>
      <c r="CO139" s="42"/>
      <c r="CP139" s="42"/>
      <c r="CQ139" s="42"/>
    </row>
    <row r="140" spans="1:95">
      <c r="A140" s="62">
        <v>120</v>
      </c>
      <c r="B140" s="62" t="s">
        <v>78</v>
      </c>
      <c r="C140" s="13"/>
      <c r="D140" s="13"/>
      <c r="E140" s="13">
        <v>1</v>
      </c>
      <c r="F140" s="13">
        <v>11.275100000000002</v>
      </c>
      <c r="G140" s="63">
        <v>8.0213999999999999</v>
      </c>
      <c r="H140" s="63">
        <v>8.0968</v>
      </c>
      <c r="I140" s="63">
        <v>8.1722000000000001</v>
      </c>
      <c r="J140" s="63">
        <v>8.2476000000000003</v>
      </c>
      <c r="K140" s="63">
        <v>8.3230000000000004</v>
      </c>
      <c r="L140" s="63">
        <v>8.5833999999999993</v>
      </c>
      <c r="M140" s="63">
        <v>8.8437999999999999</v>
      </c>
      <c r="N140" s="63">
        <v>9.1042000000000005</v>
      </c>
      <c r="O140" s="63">
        <v>9.3645999999999994</v>
      </c>
      <c r="P140" s="63">
        <v>9.625</v>
      </c>
      <c r="Q140" s="63">
        <v>9.9161999999999999</v>
      </c>
      <c r="R140" s="63">
        <v>10.2074</v>
      </c>
      <c r="S140" s="63">
        <v>10.4986</v>
      </c>
      <c r="T140" s="63">
        <v>10.7898</v>
      </c>
      <c r="U140" s="63">
        <v>11.081</v>
      </c>
      <c r="V140" s="63">
        <v>11.340199999999999</v>
      </c>
      <c r="W140" s="63">
        <v>11.599399999999999</v>
      </c>
      <c r="X140" s="63">
        <v>11.858599999999999</v>
      </c>
      <c r="Y140" s="63">
        <v>12.117800000000001</v>
      </c>
      <c r="Z140" s="63">
        <v>12.377000000000001</v>
      </c>
      <c r="AA140" s="63">
        <v>12.6624</v>
      </c>
      <c r="AB140" s="63">
        <v>12.947800000000001</v>
      </c>
      <c r="AC140" s="63">
        <v>13.2332</v>
      </c>
      <c r="AD140" s="63">
        <v>13.518599999999999</v>
      </c>
      <c r="AE140" s="63">
        <v>13.804</v>
      </c>
      <c r="AF140" s="63">
        <v>14.130599999999999</v>
      </c>
      <c r="AG140" s="63">
        <v>14.4572</v>
      </c>
      <c r="AH140" s="63">
        <v>14.783799999999999</v>
      </c>
      <c r="AI140" s="63">
        <v>15.1104</v>
      </c>
      <c r="AJ140" s="63">
        <v>15.436999999999999</v>
      </c>
      <c r="AK140" s="63">
        <v>15.825200000000001</v>
      </c>
      <c r="AL140" s="63">
        <v>16.2134</v>
      </c>
      <c r="AM140" s="63">
        <v>16.601600000000001</v>
      </c>
      <c r="AN140" s="63">
        <v>16.989799999999999</v>
      </c>
      <c r="AO140" s="63">
        <v>17.378</v>
      </c>
      <c r="AP140" s="63">
        <v>18.297799999999999</v>
      </c>
      <c r="AQ140" s="63">
        <v>19.217600000000001</v>
      </c>
      <c r="AR140" s="63">
        <v>20.1374</v>
      </c>
      <c r="AS140" s="63">
        <v>21.057200000000002</v>
      </c>
      <c r="AT140" s="63">
        <v>21.977</v>
      </c>
      <c r="AU140" s="63">
        <v>23.058800000000002</v>
      </c>
      <c r="AV140" s="63">
        <v>24.140599999999999</v>
      </c>
      <c r="AW140" s="63">
        <v>25.2224</v>
      </c>
      <c r="AX140" s="63">
        <v>26.304200000000002</v>
      </c>
      <c r="AY140" s="63">
        <v>27.385999999999999</v>
      </c>
      <c r="AZ140" s="63">
        <v>28.533000000000001</v>
      </c>
      <c r="BA140" s="63">
        <v>29.68</v>
      </c>
      <c r="BB140" s="63">
        <v>30.827000000000002</v>
      </c>
      <c r="BC140" s="63">
        <v>31.974</v>
      </c>
      <c r="BD140" s="63">
        <v>33.121000000000002</v>
      </c>
      <c r="BE140" s="63">
        <v>34.2224</v>
      </c>
      <c r="BF140" s="63">
        <v>35.323799999999999</v>
      </c>
      <c r="BH140" s="44">
        <f t="shared" si="4"/>
        <v>10.848955555555555</v>
      </c>
      <c r="BI140" s="44">
        <f t="shared" si="5"/>
        <v>23.152775999999999</v>
      </c>
      <c r="BJ140" s="44"/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  <c r="CB140" s="44"/>
      <c r="CC140" s="44"/>
      <c r="CD140" s="44"/>
      <c r="CE140" s="44"/>
      <c r="CF140" s="42"/>
      <c r="CG140" s="42"/>
      <c r="CH140" s="42"/>
      <c r="CI140" s="42"/>
      <c r="CJ140" s="42"/>
      <c r="CK140" s="42"/>
      <c r="CL140" s="42"/>
      <c r="CM140" s="42"/>
      <c r="CN140" s="42"/>
      <c r="CO140" s="42"/>
      <c r="CP140" s="42"/>
      <c r="CQ140" s="42"/>
    </row>
    <row r="141" spans="1:95">
      <c r="A141" s="62">
        <v>121</v>
      </c>
      <c r="B141" s="62" t="s">
        <v>77</v>
      </c>
      <c r="C141" s="13"/>
      <c r="D141" s="13"/>
      <c r="E141" s="13">
        <v>1</v>
      </c>
      <c r="F141" s="13">
        <v>63.342300000000002</v>
      </c>
      <c r="G141" s="63">
        <v>53.66</v>
      </c>
      <c r="H141" s="63">
        <v>54.453000000000003</v>
      </c>
      <c r="I141" s="63">
        <v>55.246000000000002</v>
      </c>
      <c r="J141" s="63">
        <v>56.039000000000001</v>
      </c>
      <c r="K141" s="63">
        <v>56.832000000000001</v>
      </c>
      <c r="L141" s="63">
        <v>57.608199999999997</v>
      </c>
      <c r="M141" s="63">
        <v>58.384399999999999</v>
      </c>
      <c r="N141" s="63">
        <v>59.160600000000002</v>
      </c>
      <c r="O141" s="63">
        <v>59.936799999999998</v>
      </c>
      <c r="P141" s="63">
        <v>60.713000000000001</v>
      </c>
      <c r="Q141" s="63">
        <v>61.401800000000001</v>
      </c>
      <c r="R141" s="63">
        <v>62.090600000000002</v>
      </c>
      <c r="S141" s="63">
        <v>62.779400000000003</v>
      </c>
      <c r="T141" s="63">
        <v>63.468200000000003</v>
      </c>
      <c r="U141" s="63">
        <v>64.156999999999996</v>
      </c>
      <c r="V141" s="63">
        <v>64.744600000000005</v>
      </c>
      <c r="W141" s="63">
        <v>65.3322</v>
      </c>
      <c r="X141" s="63">
        <v>65.919799999999995</v>
      </c>
      <c r="Y141" s="63">
        <v>66.507400000000004</v>
      </c>
      <c r="Z141" s="63">
        <v>67.094999999999999</v>
      </c>
      <c r="AA141" s="63">
        <v>67.388000000000005</v>
      </c>
      <c r="AB141" s="63">
        <v>67.680999999999997</v>
      </c>
      <c r="AC141" s="63">
        <v>67.974000000000004</v>
      </c>
      <c r="AD141" s="63">
        <v>68.266999999999996</v>
      </c>
      <c r="AE141" s="63">
        <v>68.56</v>
      </c>
      <c r="AF141" s="63">
        <v>68.697999999999993</v>
      </c>
      <c r="AG141" s="63">
        <v>68.835999999999999</v>
      </c>
      <c r="AH141" s="63">
        <v>68.974000000000004</v>
      </c>
      <c r="AI141" s="63">
        <v>69.111999999999995</v>
      </c>
      <c r="AJ141" s="63">
        <v>69.25</v>
      </c>
      <c r="AK141" s="63">
        <v>69.150000000000006</v>
      </c>
      <c r="AL141" s="63">
        <v>69.05</v>
      </c>
      <c r="AM141" s="63">
        <v>68.95</v>
      </c>
      <c r="AN141" s="63">
        <v>68.849999999999994</v>
      </c>
      <c r="AO141" s="63">
        <v>68.75</v>
      </c>
      <c r="AP141" s="63">
        <v>68.613399999999999</v>
      </c>
      <c r="AQ141" s="63">
        <v>68.476799999999997</v>
      </c>
      <c r="AR141" s="63">
        <v>68.340199999999996</v>
      </c>
      <c r="AS141" s="63">
        <v>68.203599999999994</v>
      </c>
      <c r="AT141" s="63">
        <v>68.066999999999993</v>
      </c>
      <c r="AU141" s="63">
        <v>68.053600000000003</v>
      </c>
      <c r="AV141" s="63">
        <v>68.040199999999999</v>
      </c>
      <c r="AW141" s="63">
        <v>68.026799999999994</v>
      </c>
      <c r="AX141" s="63">
        <v>68.013400000000004</v>
      </c>
      <c r="AY141" s="63">
        <v>68</v>
      </c>
      <c r="AZ141" s="63">
        <v>67.943200000000004</v>
      </c>
      <c r="BA141" s="63">
        <v>67.886399999999995</v>
      </c>
      <c r="BB141" s="63">
        <v>67.829599999999999</v>
      </c>
      <c r="BC141" s="63">
        <v>67.772800000000004</v>
      </c>
      <c r="BD141" s="63">
        <v>67.715999999999994</v>
      </c>
      <c r="BE141" s="63">
        <v>67.713999999999999</v>
      </c>
      <c r="BF141" s="63">
        <v>67.712000000000003</v>
      </c>
      <c r="BG141" s="43"/>
      <c r="BH141" s="44">
        <f t="shared" si="4"/>
        <v>62.701222222222221</v>
      </c>
      <c r="BI141" s="44">
        <f t="shared" si="5"/>
        <v>68.339799999999997</v>
      </c>
      <c r="BJ141" s="44"/>
      <c r="BK141" s="44"/>
      <c r="BL141" s="44"/>
      <c r="BM141" s="44"/>
      <c r="BN141" s="44"/>
      <c r="BO141" s="44"/>
      <c r="BP141" s="44"/>
      <c r="BQ141" s="44"/>
      <c r="BR141" s="44"/>
      <c r="BS141" s="44"/>
      <c r="BT141" s="44"/>
      <c r="BU141" s="44"/>
      <c r="BV141" s="44"/>
      <c r="BW141" s="44"/>
      <c r="BX141" s="44"/>
      <c r="BY141" s="44"/>
      <c r="BZ141" s="44"/>
      <c r="CA141" s="44"/>
      <c r="CB141" s="44"/>
      <c r="CC141" s="44"/>
      <c r="CD141" s="44"/>
      <c r="CE141" s="44"/>
      <c r="CF141" s="42"/>
      <c r="CG141" s="42"/>
      <c r="CH141" s="42"/>
      <c r="CI141" s="42"/>
      <c r="CJ141" s="42"/>
      <c r="CK141" s="42"/>
      <c r="CL141" s="42"/>
      <c r="CM141" s="42"/>
      <c r="CN141" s="42"/>
      <c r="CO141" s="42"/>
      <c r="CP141" s="42"/>
      <c r="CQ141" s="42"/>
    </row>
    <row r="142" spans="1:95">
      <c r="A142" s="62">
        <v>127</v>
      </c>
      <c r="B142" s="62" t="s">
        <v>72</v>
      </c>
      <c r="C142" s="13"/>
      <c r="D142" s="13"/>
      <c r="E142" s="13">
        <v>1</v>
      </c>
      <c r="F142" s="13">
        <v>55.36996666666667</v>
      </c>
      <c r="G142" s="63">
        <v>40.457999999999998</v>
      </c>
      <c r="H142" s="63">
        <v>41.456000000000003</v>
      </c>
      <c r="I142" s="63">
        <v>42.454000000000001</v>
      </c>
      <c r="J142" s="63">
        <v>43.451999999999998</v>
      </c>
      <c r="K142" s="63">
        <v>44.45</v>
      </c>
      <c r="L142" s="63">
        <v>45.470999999999997</v>
      </c>
      <c r="M142" s="63">
        <v>46.491999999999997</v>
      </c>
      <c r="N142" s="63">
        <v>47.512999999999998</v>
      </c>
      <c r="O142" s="63">
        <v>48.533999999999999</v>
      </c>
      <c r="P142" s="63">
        <v>49.555</v>
      </c>
      <c r="Q142" s="63">
        <v>50.780999999999999</v>
      </c>
      <c r="R142" s="63">
        <v>52.006999999999998</v>
      </c>
      <c r="S142" s="63">
        <v>53.232999999999997</v>
      </c>
      <c r="T142" s="63">
        <v>54.459000000000003</v>
      </c>
      <c r="U142" s="63">
        <v>55.685000000000002</v>
      </c>
      <c r="V142" s="63">
        <v>56.779600000000002</v>
      </c>
      <c r="W142" s="63">
        <v>57.874200000000002</v>
      </c>
      <c r="X142" s="63">
        <v>58.968800000000002</v>
      </c>
      <c r="Y142" s="63">
        <v>60.063400000000001</v>
      </c>
      <c r="Z142" s="63">
        <v>61.158000000000001</v>
      </c>
      <c r="AA142" s="63">
        <v>61.933999999999997</v>
      </c>
      <c r="AB142" s="63">
        <v>62.71</v>
      </c>
      <c r="AC142" s="63">
        <v>63.485999999999997</v>
      </c>
      <c r="AD142" s="63">
        <v>64.262</v>
      </c>
      <c r="AE142" s="63">
        <v>65.037999999999997</v>
      </c>
      <c r="AF142" s="63">
        <v>65.546999999999997</v>
      </c>
      <c r="AG142" s="63">
        <v>66.055999999999997</v>
      </c>
      <c r="AH142" s="63">
        <v>66.564999999999998</v>
      </c>
      <c r="AI142" s="63">
        <v>67.073999999999998</v>
      </c>
      <c r="AJ142" s="63">
        <v>67.582999999999998</v>
      </c>
      <c r="AK142" s="63">
        <v>67.523399999999995</v>
      </c>
      <c r="AL142" s="63">
        <v>67.463800000000006</v>
      </c>
      <c r="AM142" s="63">
        <v>67.404200000000003</v>
      </c>
      <c r="AN142" s="63">
        <v>67.3446</v>
      </c>
      <c r="AO142" s="63">
        <v>67.284999999999997</v>
      </c>
      <c r="AP142" s="63">
        <v>67.225200000000001</v>
      </c>
      <c r="AQ142" s="63">
        <v>67.165400000000005</v>
      </c>
      <c r="AR142" s="63">
        <v>67.105599999999995</v>
      </c>
      <c r="AS142" s="63">
        <v>67.0458</v>
      </c>
      <c r="AT142" s="63">
        <v>66.986000000000004</v>
      </c>
      <c r="AU142" s="63">
        <v>66.915800000000004</v>
      </c>
      <c r="AV142" s="63">
        <v>66.845600000000005</v>
      </c>
      <c r="AW142" s="63">
        <v>66.775400000000005</v>
      </c>
      <c r="AX142" s="63">
        <v>66.705200000000005</v>
      </c>
      <c r="AY142" s="63">
        <v>66.635000000000005</v>
      </c>
      <c r="AZ142" s="63">
        <v>66.708200000000005</v>
      </c>
      <c r="BA142" s="63">
        <v>66.781400000000005</v>
      </c>
      <c r="BB142" s="63">
        <v>66.854600000000005</v>
      </c>
      <c r="BC142" s="63">
        <v>66.927800000000005</v>
      </c>
      <c r="BD142" s="63">
        <v>67.001000000000005</v>
      </c>
      <c r="BE142" s="63">
        <v>67.115200000000002</v>
      </c>
      <c r="BF142" s="63">
        <v>67.229399999999998</v>
      </c>
      <c r="BG142" s="43"/>
      <c r="BH142" s="44">
        <f t="shared" si="4"/>
        <v>54.069518518518514</v>
      </c>
      <c r="BI142" s="44">
        <f t="shared" si="5"/>
        <v>67.050623999999999</v>
      </c>
      <c r="BJ142" s="44"/>
      <c r="BK142" s="44"/>
      <c r="BL142" s="44"/>
      <c r="BM142" s="44"/>
      <c r="BN142" s="44"/>
      <c r="BO142" s="44"/>
      <c r="BP142" s="44"/>
      <c r="BQ142" s="44"/>
      <c r="BR142" s="44"/>
      <c r="BS142" s="44"/>
      <c r="BT142" s="44"/>
      <c r="BU142" s="44"/>
      <c r="BV142" s="44"/>
      <c r="BW142" s="44"/>
      <c r="BX142" s="44"/>
      <c r="BY142" s="44"/>
      <c r="BZ142" s="44"/>
      <c r="CA142" s="44"/>
      <c r="CB142" s="44"/>
      <c r="CC142" s="44"/>
      <c r="CD142" s="44"/>
      <c r="CE142" s="44"/>
      <c r="CF142" s="42"/>
      <c r="CG142" s="42"/>
      <c r="CH142" s="42"/>
      <c r="CI142" s="42"/>
      <c r="CJ142" s="42"/>
      <c r="CK142" s="42"/>
      <c r="CL142" s="42"/>
      <c r="CM142" s="42"/>
      <c r="CN142" s="42"/>
      <c r="CO142" s="42"/>
      <c r="CP142" s="42"/>
      <c r="CQ142" s="42"/>
    </row>
    <row r="143" spans="1:95">
      <c r="A143" s="62">
        <v>130</v>
      </c>
      <c r="B143" s="62" t="s">
        <v>71</v>
      </c>
      <c r="C143" s="13"/>
      <c r="D143" s="13"/>
      <c r="E143" s="13">
        <v>1</v>
      </c>
      <c r="F143" s="13">
        <v>49.241566666666678</v>
      </c>
      <c r="G143" s="63">
        <v>35.286999999999999</v>
      </c>
      <c r="H143" s="63">
        <v>36.554000000000002</v>
      </c>
      <c r="I143" s="63">
        <v>37.820999999999998</v>
      </c>
      <c r="J143" s="63">
        <v>39.088000000000001</v>
      </c>
      <c r="K143" s="63">
        <v>40.354999999999997</v>
      </c>
      <c r="L143" s="63">
        <v>41.699800000000003</v>
      </c>
      <c r="M143" s="63">
        <v>43.044600000000003</v>
      </c>
      <c r="N143" s="63">
        <v>44.389400000000002</v>
      </c>
      <c r="O143" s="63">
        <v>45.734200000000001</v>
      </c>
      <c r="P143" s="63">
        <v>47.079000000000001</v>
      </c>
      <c r="Q143" s="63">
        <v>47.777000000000001</v>
      </c>
      <c r="R143" s="63">
        <v>48.475000000000001</v>
      </c>
      <c r="S143" s="63">
        <v>49.173000000000002</v>
      </c>
      <c r="T143" s="63">
        <v>49.871000000000002</v>
      </c>
      <c r="U143" s="63">
        <v>50.569000000000003</v>
      </c>
      <c r="V143" s="63">
        <v>51.149000000000001</v>
      </c>
      <c r="W143" s="63">
        <v>51.728999999999999</v>
      </c>
      <c r="X143" s="63">
        <v>52.308999999999997</v>
      </c>
      <c r="Y143" s="63">
        <v>52.889000000000003</v>
      </c>
      <c r="Z143" s="63">
        <v>53.469000000000001</v>
      </c>
      <c r="AA143" s="63">
        <v>53.914400000000001</v>
      </c>
      <c r="AB143" s="63">
        <v>54.3598</v>
      </c>
      <c r="AC143" s="63">
        <v>54.805199999999999</v>
      </c>
      <c r="AD143" s="63">
        <v>55.250599999999999</v>
      </c>
      <c r="AE143" s="63">
        <v>55.695999999999998</v>
      </c>
      <c r="AF143" s="63">
        <v>56.114600000000003</v>
      </c>
      <c r="AG143" s="63">
        <v>56.533200000000001</v>
      </c>
      <c r="AH143" s="63">
        <v>56.951799999999999</v>
      </c>
      <c r="AI143" s="63">
        <v>57.370399999999997</v>
      </c>
      <c r="AJ143" s="63">
        <v>57.789000000000001</v>
      </c>
      <c r="AK143" s="63">
        <v>58.176200000000001</v>
      </c>
      <c r="AL143" s="63">
        <v>58.563400000000001</v>
      </c>
      <c r="AM143" s="63">
        <v>58.950600000000001</v>
      </c>
      <c r="AN143" s="63">
        <v>59.337800000000001</v>
      </c>
      <c r="AO143" s="63">
        <v>59.725000000000001</v>
      </c>
      <c r="AP143" s="63">
        <v>59.652200000000001</v>
      </c>
      <c r="AQ143" s="63">
        <v>59.5794</v>
      </c>
      <c r="AR143" s="63">
        <v>59.506599999999999</v>
      </c>
      <c r="AS143" s="63">
        <v>59.433799999999998</v>
      </c>
      <c r="AT143" s="63">
        <v>59.360999999999997</v>
      </c>
      <c r="AU143" s="63">
        <v>59.299799999999998</v>
      </c>
      <c r="AV143" s="63">
        <v>59.238599999999998</v>
      </c>
      <c r="AW143" s="63">
        <v>59.177399999999999</v>
      </c>
      <c r="AX143" s="63">
        <v>59.116199999999999</v>
      </c>
      <c r="AY143" s="63">
        <v>59.055</v>
      </c>
      <c r="AZ143" s="63">
        <v>59.081800000000001</v>
      </c>
      <c r="BA143" s="63">
        <v>59.108600000000003</v>
      </c>
      <c r="BB143" s="63">
        <v>59.135399999999997</v>
      </c>
      <c r="BC143" s="63">
        <v>59.162199999999999</v>
      </c>
      <c r="BD143" s="63">
        <v>59.189</v>
      </c>
      <c r="BE143" s="63">
        <v>59.315600000000003</v>
      </c>
      <c r="BF143" s="63">
        <v>59.4422</v>
      </c>
      <c r="BH143" s="44">
        <f t="shared" si="4"/>
        <v>48.338362962962975</v>
      </c>
      <c r="BI143" s="44">
        <f t="shared" si="5"/>
        <v>58.988759999999999</v>
      </c>
      <c r="BJ143" s="44"/>
      <c r="BK143" s="44"/>
      <c r="BL143" s="44"/>
      <c r="BM143" s="44"/>
      <c r="BN143" s="44"/>
      <c r="BO143" s="44"/>
      <c r="BP143" s="44"/>
      <c r="BQ143" s="44"/>
      <c r="BR143" s="44"/>
      <c r="BS143" s="44"/>
      <c r="BT143" s="44"/>
      <c r="BU143" s="44"/>
      <c r="BV143" s="44"/>
      <c r="BW143" s="44"/>
      <c r="BX143" s="44"/>
      <c r="BY143" s="44"/>
      <c r="BZ143" s="44"/>
      <c r="CA143" s="44"/>
      <c r="CB143" s="44"/>
      <c r="CC143" s="44"/>
      <c r="CD143" s="44"/>
      <c r="CE143" s="44"/>
      <c r="CF143" s="42"/>
      <c r="CG143" s="42"/>
      <c r="CH143" s="42"/>
      <c r="CI143" s="42"/>
      <c r="CJ143" s="42"/>
      <c r="CK143" s="42"/>
      <c r="CL143" s="42"/>
      <c r="CM143" s="42"/>
      <c r="CN143" s="42"/>
      <c r="CO143" s="42"/>
      <c r="CP143" s="42"/>
      <c r="CQ143" s="42"/>
    </row>
    <row r="144" spans="1:95">
      <c r="A144" s="62">
        <v>140</v>
      </c>
      <c r="B144" s="62" t="s">
        <v>65</v>
      </c>
      <c r="C144" s="13"/>
      <c r="D144" s="13"/>
      <c r="E144" s="13">
        <v>1</v>
      </c>
      <c r="F144" s="13">
        <v>41.126800000000003</v>
      </c>
      <c r="G144" s="63">
        <v>33.941400000000002</v>
      </c>
      <c r="H144" s="63">
        <v>34.705800000000004</v>
      </c>
      <c r="I144" s="63">
        <v>35.470199999999998</v>
      </c>
      <c r="J144" s="63">
        <v>36.2346</v>
      </c>
      <c r="K144" s="63">
        <v>36.999000000000002</v>
      </c>
      <c r="L144" s="63">
        <v>38.005600000000001</v>
      </c>
      <c r="M144" s="63">
        <v>39.0122</v>
      </c>
      <c r="N144" s="63">
        <v>40.018799999999999</v>
      </c>
      <c r="O144" s="63">
        <v>41.025399999999998</v>
      </c>
      <c r="P144" s="63">
        <v>42.031999999999996</v>
      </c>
      <c r="Q144" s="63">
        <v>42.3142</v>
      </c>
      <c r="R144" s="63">
        <v>42.596400000000003</v>
      </c>
      <c r="S144" s="63">
        <v>42.878599999999999</v>
      </c>
      <c r="T144" s="63">
        <v>43.160800000000002</v>
      </c>
      <c r="U144" s="63">
        <v>43.442999999999998</v>
      </c>
      <c r="V144" s="63">
        <v>43.224600000000002</v>
      </c>
      <c r="W144" s="63">
        <v>43.0062</v>
      </c>
      <c r="X144" s="63">
        <v>42.787799999999997</v>
      </c>
      <c r="Y144" s="63">
        <v>42.569400000000002</v>
      </c>
      <c r="Z144" s="63">
        <v>42.350999999999999</v>
      </c>
      <c r="AA144" s="63">
        <v>42.345799999999997</v>
      </c>
      <c r="AB144" s="63">
        <v>42.340600000000002</v>
      </c>
      <c r="AC144" s="63">
        <v>42.3354</v>
      </c>
      <c r="AD144" s="63">
        <v>42.330199999999998</v>
      </c>
      <c r="AE144" s="63">
        <v>42.325000000000003</v>
      </c>
      <c r="AF144" s="63">
        <v>42.64</v>
      </c>
      <c r="AG144" s="63">
        <v>42.954999999999998</v>
      </c>
      <c r="AH144" s="63">
        <v>43.27</v>
      </c>
      <c r="AI144" s="63">
        <v>43.585000000000001</v>
      </c>
      <c r="AJ144" s="63">
        <v>43.9</v>
      </c>
      <c r="AK144" s="63">
        <v>43.776800000000001</v>
      </c>
      <c r="AL144" s="63">
        <v>43.653599999999997</v>
      </c>
      <c r="AM144" s="63">
        <v>43.5304</v>
      </c>
      <c r="AN144" s="63">
        <v>43.407200000000003</v>
      </c>
      <c r="AO144" s="63">
        <v>43.283999999999999</v>
      </c>
      <c r="AP144" s="63">
        <v>43.161200000000001</v>
      </c>
      <c r="AQ144" s="63">
        <v>43.038400000000003</v>
      </c>
      <c r="AR144" s="63">
        <v>42.915599999999998</v>
      </c>
      <c r="AS144" s="63">
        <v>42.7928</v>
      </c>
      <c r="AT144" s="63">
        <v>42.67</v>
      </c>
      <c r="AU144" s="63">
        <v>42.572000000000003</v>
      </c>
      <c r="AV144" s="63">
        <v>42.473999999999997</v>
      </c>
      <c r="AW144" s="63">
        <v>42.375999999999998</v>
      </c>
      <c r="AX144" s="63">
        <v>42.277999999999999</v>
      </c>
      <c r="AY144" s="63">
        <v>42.18</v>
      </c>
      <c r="AZ144" s="63">
        <v>42.099800000000002</v>
      </c>
      <c r="BA144" s="63">
        <v>42.019599999999997</v>
      </c>
      <c r="BB144" s="63">
        <v>41.939399999999999</v>
      </c>
      <c r="BC144" s="63">
        <v>41.859200000000001</v>
      </c>
      <c r="BD144" s="63">
        <v>41.779000000000003</v>
      </c>
      <c r="BE144" s="63">
        <v>41.797400000000003</v>
      </c>
      <c r="BF144" s="63">
        <v>41.815800000000003</v>
      </c>
      <c r="BG144" s="43"/>
      <c r="BH144" s="44">
        <f t="shared" si="4"/>
        <v>40.853666666666669</v>
      </c>
      <c r="BI144" s="44">
        <f t="shared" si="5"/>
        <v>42.727007999999998</v>
      </c>
      <c r="BJ144" s="44"/>
      <c r="BK144" s="44"/>
      <c r="BL144" s="44"/>
      <c r="BM144" s="44"/>
      <c r="BN144" s="44"/>
      <c r="BO144" s="44"/>
      <c r="BP144" s="44"/>
      <c r="BQ144" s="44"/>
      <c r="BR144" s="44"/>
      <c r="BS144" s="44"/>
      <c r="BT144" s="44"/>
      <c r="BU144" s="44"/>
      <c r="BV144" s="44"/>
      <c r="BW144" s="44"/>
      <c r="BX144" s="44"/>
      <c r="BY144" s="44"/>
      <c r="BZ144" s="44"/>
      <c r="CA144" s="44"/>
      <c r="CB144" s="44"/>
      <c r="CC144" s="44"/>
      <c r="CD144" s="44"/>
      <c r="CE144" s="44"/>
      <c r="CF144" s="42"/>
      <c r="CG144" s="42"/>
      <c r="CH144" s="42"/>
      <c r="CI144" s="42"/>
      <c r="CJ144" s="42"/>
      <c r="CK144" s="42"/>
      <c r="CL144" s="42"/>
      <c r="CM144" s="42"/>
      <c r="CN144" s="42"/>
      <c r="CO144" s="42"/>
      <c r="CP144" s="42"/>
      <c r="CQ144" s="42"/>
    </row>
    <row r="145" spans="1:95">
      <c r="A145" s="62">
        <v>144</v>
      </c>
      <c r="B145" s="62" t="s">
        <v>63</v>
      </c>
      <c r="C145" s="13"/>
      <c r="D145" s="13"/>
      <c r="E145" s="13">
        <v>1</v>
      </c>
      <c r="F145" s="13">
        <v>36.307633333333335</v>
      </c>
      <c r="G145" s="63">
        <v>24.252400000000002</v>
      </c>
      <c r="H145" s="63">
        <v>25.0808</v>
      </c>
      <c r="I145" s="63">
        <v>25.909199999999998</v>
      </c>
      <c r="J145" s="63">
        <v>26.7376</v>
      </c>
      <c r="K145" s="63">
        <v>27.565999999999999</v>
      </c>
      <c r="L145" s="63">
        <v>28.4664</v>
      </c>
      <c r="M145" s="63">
        <v>29.366800000000001</v>
      </c>
      <c r="N145" s="63">
        <v>30.267199999999999</v>
      </c>
      <c r="O145" s="63">
        <v>31.1676</v>
      </c>
      <c r="P145" s="63">
        <v>32.067999999999998</v>
      </c>
      <c r="Q145" s="63">
        <v>32.898800000000001</v>
      </c>
      <c r="R145" s="63">
        <v>33.729599999999998</v>
      </c>
      <c r="S145" s="63">
        <v>34.560400000000001</v>
      </c>
      <c r="T145" s="63">
        <v>35.391199999999998</v>
      </c>
      <c r="U145" s="63">
        <v>36.222000000000001</v>
      </c>
      <c r="V145" s="63">
        <v>37.055</v>
      </c>
      <c r="W145" s="63">
        <v>37.887999999999998</v>
      </c>
      <c r="X145" s="63">
        <v>38.720999999999997</v>
      </c>
      <c r="Y145" s="63">
        <v>39.554000000000002</v>
      </c>
      <c r="Z145" s="63">
        <v>40.387</v>
      </c>
      <c r="AA145" s="63">
        <v>41.144799999999996</v>
      </c>
      <c r="AB145" s="63">
        <v>41.9026</v>
      </c>
      <c r="AC145" s="63">
        <v>42.660400000000003</v>
      </c>
      <c r="AD145" s="63">
        <v>43.418199999999999</v>
      </c>
      <c r="AE145" s="63">
        <v>44.176000000000002</v>
      </c>
      <c r="AF145" s="63">
        <v>44.693199999999997</v>
      </c>
      <c r="AG145" s="63">
        <v>45.2104</v>
      </c>
      <c r="AH145" s="63">
        <v>45.727600000000002</v>
      </c>
      <c r="AI145" s="63">
        <v>46.244799999999998</v>
      </c>
      <c r="AJ145" s="63">
        <v>46.762</v>
      </c>
      <c r="AK145" s="63">
        <v>46.668399999999998</v>
      </c>
      <c r="AL145" s="63">
        <v>46.574800000000003</v>
      </c>
      <c r="AM145" s="63">
        <v>46.481200000000001</v>
      </c>
      <c r="AN145" s="63">
        <v>46.387599999999999</v>
      </c>
      <c r="AO145" s="63">
        <v>46.293999999999997</v>
      </c>
      <c r="AP145" s="63">
        <v>45.953000000000003</v>
      </c>
      <c r="AQ145" s="63">
        <v>45.612000000000002</v>
      </c>
      <c r="AR145" s="63">
        <v>45.271000000000001</v>
      </c>
      <c r="AS145" s="63">
        <v>44.93</v>
      </c>
      <c r="AT145" s="63">
        <v>44.588999999999999</v>
      </c>
      <c r="AU145" s="63">
        <v>44.303800000000003</v>
      </c>
      <c r="AV145" s="63">
        <v>44.018599999999999</v>
      </c>
      <c r="AW145" s="63">
        <v>43.733400000000003</v>
      </c>
      <c r="AX145" s="63">
        <v>43.4482</v>
      </c>
      <c r="AY145" s="63">
        <v>43.162999999999997</v>
      </c>
      <c r="AZ145" s="63">
        <v>43.9176</v>
      </c>
      <c r="BA145" s="63">
        <v>44.672199999999997</v>
      </c>
      <c r="BB145" s="63">
        <v>45.4268</v>
      </c>
      <c r="BC145" s="63">
        <v>46.181399999999996</v>
      </c>
      <c r="BD145" s="63">
        <v>46.936</v>
      </c>
      <c r="BE145" s="63">
        <v>47.6556</v>
      </c>
      <c r="BF145" s="63">
        <v>48.3752</v>
      </c>
      <c r="BG145" s="43"/>
      <c r="BH145" s="44">
        <f t="shared" si="4"/>
        <v>35.20350370370371</v>
      </c>
      <c r="BI145" s="44">
        <f t="shared" si="5"/>
        <v>45.573087999999998</v>
      </c>
      <c r="BJ145" s="42"/>
      <c r="BK145" s="42"/>
      <c r="BL145" s="42"/>
      <c r="BM145" s="42"/>
      <c r="BN145" s="42"/>
      <c r="BO145" s="42"/>
      <c r="BP145" s="42"/>
      <c r="BQ145" s="42"/>
      <c r="BR145" s="42"/>
      <c r="BS145" s="42"/>
      <c r="BT145" s="42"/>
      <c r="BU145" s="42"/>
      <c r="BV145" s="42"/>
      <c r="BW145" s="42"/>
      <c r="BX145" s="42"/>
      <c r="BY145" s="42"/>
      <c r="BZ145" s="42"/>
      <c r="CA145" s="42"/>
      <c r="CB145" s="42"/>
      <c r="CC145" s="42"/>
      <c r="CD145" s="42"/>
      <c r="CE145" s="42"/>
      <c r="CF145" s="42"/>
      <c r="CG145" s="42"/>
      <c r="CH145" s="42"/>
      <c r="CI145" s="42"/>
      <c r="CJ145" s="42"/>
      <c r="CK145" s="42"/>
      <c r="CL145" s="42"/>
      <c r="CM145" s="42"/>
      <c r="CN145" s="42"/>
      <c r="CO145" s="42"/>
      <c r="CP145" s="42"/>
      <c r="CQ145" s="42"/>
    </row>
    <row r="146" spans="1:95">
      <c r="A146" s="62">
        <v>165</v>
      </c>
      <c r="B146" s="62" t="s">
        <v>50</v>
      </c>
      <c r="C146" s="13"/>
      <c r="D146" s="13"/>
      <c r="E146" s="13">
        <v>1</v>
      </c>
      <c r="F146" s="13">
        <v>40.179700000000004</v>
      </c>
      <c r="G146" s="63">
        <v>17.587599999999998</v>
      </c>
      <c r="H146" s="63">
        <v>18.775200000000002</v>
      </c>
      <c r="I146" s="63">
        <v>19.962800000000001</v>
      </c>
      <c r="J146" s="63">
        <v>21.150400000000001</v>
      </c>
      <c r="K146" s="63">
        <v>22.338000000000001</v>
      </c>
      <c r="L146" s="63">
        <v>23.8034</v>
      </c>
      <c r="M146" s="63">
        <v>25.268799999999999</v>
      </c>
      <c r="N146" s="63">
        <v>26.734200000000001</v>
      </c>
      <c r="O146" s="63">
        <v>28.1996</v>
      </c>
      <c r="P146" s="63">
        <v>29.664999999999999</v>
      </c>
      <c r="Q146" s="63">
        <v>31.374600000000001</v>
      </c>
      <c r="R146" s="63">
        <v>33.084200000000003</v>
      </c>
      <c r="S146" s="63">
        <v>34.793799999999997</v>
      </c>
      <c r="T146" s="63">
        <v>36.503399999999999</v>
      </c>
      <c r="U146" s="63">
        <v>38.213000000000001</v>
      </c>
      <c r="V146" s="63">
        <v>40.082799999999999</v>
      </c>
      <c r="W146" s="63">
        <v>41.952599999999997</v>
      </c>
      <c r="X146" s="63">
        <v>43.822400000000002</v>
      </c>
      <c r="Y146" s="63">
        <v>45.6922</v>
      </c>
      <c r="Z146" s="63">
        <v>47.561999999999998</v>
      </c>
      <c r="AA146" s="63">
        <v>49.465400000000002</v>
      </c>
      <c r="AB146" s="63">
        <v>51.3688</v>
      </c>
      <c r="AC146" s="63">
        <v>53.272199999999998</v>
      </c>
      <c r="AD146" s="63">
        <v>55.175600000000003</v>
      </c>
      <c r="AE146" s="63">
        <v>57.079000000000001</v>
      </c>
      <c r="AF146" s="63">
        <v>58.883600000000001</v>
      </c>
      <c r="AG146" s="63">
        <v>60.688200000000002</v>
      </c>
      <c r="AH146" s="63">
        <v>62.492800000000003</v>
      </c>
      <c r="AI146" s="63">
        <v>64.297399999999996</v>
      </c>
      <c r="AJ146" s="63">
        <v>66.102000000000004</v>
      </c>
      <c r="AK146" s="63">
        <v>67.215400000000002</v>
      </c>
      <c r="AL146" s="63">
        <v>68.328800000000001</v>
      </c>
      <c r="AM146" s="63">
        <v>69.4422</v>
      </c>
      <c r="AN146" s="63">
        <v>70.555599999999998</v>
      </c>
      <c r="AO146" s="63">
        <v>71.668999999999997</v>
      </c>
      <c r="AP146" s="63">
        <v>71.649000000000001</v>
      </c>
      <c r="AQ146" s="63">
        <v>71.629000000000005</v>
      </c>
      <c r="AR146" s="63">
        <v>71.608999999999995</v>
      </c>
      <c r="AS146" s="63">
        <v>71.588999999999999</v>
      </c>
      <c r="AT146" s="63">
        <v>71.569000000000003</v>
      </c>
      <c r="AU146" s="63">
        <v>71.636600000000001</v>
      </c>
      <c r="AV146" s="63">
        <v>71.7042</v>
      </c>
      <c r="AW146" s="63">
        <v>71.771799999999999</v>
      </c>
      <c r="AX146" s="63">
        <v>71.839399999999998</v>
      </c>
      <c r="AY146" s="63">
        <v>71.906999999999996</v>
      </c>
      <c r="AZ146" s="63">
        <v>72.163200000000003</v>
      </c>
      <c r="BA146" s="63">
        <v>72.419399999999996</v>
      </c>
      <c r="BB146" s="63">
        <v>72.675600000000003</v>
      </c>
      <c r="BC146" s="63">
        <v>72.931799999999996</v>
      </c>
      <c r="BD146" s="63">
        <v>73.188000000000002</v>
      </c>
      <c r="BE146" s="63">
        <v>73.440399999999997</v>
      </c>
      <c r="BF146" s="63">
        <v>73.692800000000005</v>
      </c>
      <c r="BG146" s="43"/>
      <c r="BH146" s="44">
        <f t="shared" si="4"/>
        <v>37.499955555555552</v>
      </c>
      <c r="BI146" s="44">
        <f t="shared" si="5"/>
        <v>70.700736000000006</v>
      </c>
      <c r="BJ146" s="42"/>
      <c r="BK146" s="42"/>
      <c r="BL146" s="42"/>
      <c r="BM146" s="42"/>
      <c r="BN146" s="42"/>
      <c r="BO146" s="42"/>
      <c r="BP146" s="42"/>
      <c r="BQ146" s="42"/>
      <c r="BR146" s="42"/>
      <c r="BS146" s="42"/>
      <c r="BT146" s="42"/>
      <c r="BU146" s="42"/>
      <c r="BV146" s="42"/>
      <c r="BW146" s="42"/>
      <c r="BX146" s="42"/>
      <c r="BY146" s="42"/>
      <c r="BZ146" s="42"/>
      <c r="CA146" s="42"/>
      <c r="CB146" s="42"/>
      <c r="CC146" s="42"/>
      <c r="CD146" s="42"/>
      <c r="CE146" s="42"/>
      <c r="CF146" s="42"/>
      <c r="CG146" s="42"/>
      <c r="CH146" s="42"/>
      <c r="CI146" s="42"/>
      <c r="CJ146" s="42"/>
      <c r="CK146" s="42"/>
      <c r="CL146" s="42"/>
      <c r="CM146" s="42"/>
      <c r="CN146" s="42"/>
      <c r="CO146" s="42"/>
      <c r="CP146" s="42"/>
      <c r="CQ146" s="42"/>
    </row>
    <row r="147" spans="1:95">
      <c r="A147" s="62">
        <v>168</v>
      </c>
      <c r="B147" s="62" t="s">
        <v>48</v>
      </c>
      <c r="C147" s="13"/>
      <c r="D147" s="13"/>
      <c r="E147" s="13">
        <v>1</v>
      </c>
      <c r="F147" s="13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H147" s="44" t="e">
        <f t="shared" si="4"/>
        <v>#DIV/0!</v>
      </c>
      <c r="BI147" s="44" t="e">
        <f t="shared" si="5"/>
        <v>#DIV/0!</v>
      </c>
      <c r="BJ147" s="44"/>
      <c r="BK147" s="44"/>
      <c r="BL147" s="44"/>
      <c r="BM147" s="44"/>
      <c r="BN147" s="44"/>
      <c r="BO147" s="44"/>
      <c r="BP147" s="44"/>
      <c r="BQ147" s="44"/>
      <c r="BR147" s="44"/>
      <c r="BS147" s="44"/>
      <c r="BT147" s="44"/>
      <c r="BU147" s="44"/>
      <c r="BV147" s="44"/>
      <c r="BW147" s="44"/>
      <c r="BX147" s="44"/>
      <c r="BY147" s="44"/>
      <c r="BZ147" s="44"/>
      <c r="CA147" s="44"/>
      <c r="CB147" s="44"/>
      <c r="CC147" s="44"/>
      <c r="CD147" s="44"/>
      <c r="CE147" s="44"/>
      <c r="CF147" s="42"/>
      <c r="CG147" s="42"/>
      <c r="CH147" s="42"/>
      <c r="CI147" s="42"/>
      <c r="CJ147" s="42"/>
      <c r="CK147" s="42"/>
      <c r="CL147" s="42"/>
      <c r="CM147" s="42"/>
      <c r="CN147" s="42"/>
      <c r="CO147" s="42"/>
      <c r="CP147" s="42"/>
      <c r="CQ147" s="42"/>
    </row>
    <row r="148" spans="1:95">
      <c r="A148" s="62">
        <v>178</v>
      </c>
      <c r="B148" s="62" t="s">
        <v>39</v>
      </c>
      <c r="C148" s="13"/>
      <c r="D148" s="13"/>
      <c r="E148" s="13">
        <v>1</v>
      </c>
      <c r="F148" s="13">
        <v>88.959233333333316</v>
      </c>
      <c r="G148" s="63">
        <v>85.636600000000001</v>
      </c>
      <c r="H148" s="63">
        <v>86.036199999999994</v>
      </c>
      <c r="I148" s="63">
        <v>86.4358</v>
      </c>
      <c r="J148" s="63">
        <v>86.835400000000007</v>
      </c>
      <c r="K148" s="63">
        <v>87.234999999999999</v>
      </c>
      <c r="L148" s="63">
        <v>87.464399999999998</v>
      </c>
      <c r="M148" s="63">
        <v>87.693799999999996</v>
      </c>
      <c r="N148" s="63">
        <v>87.923199999999994</v>
      </c>
      <c r="O148" s="63">
        <v>88.152600000000007</v>
      </c>
      <c r="P148" s="63">
        <v>88.382000000000005</v>
      </c>
      <c r="Q148" s="63">
        <v>88.487399999999994</v>
      </c>
      <c r="R148" s="63">
        <v>88.592799999999997</v>
      </c>
      <c r="S148" s="63">
        <v>88.6982</v>
      </c>
      <c r="T148" s="63">
        <v>88.803600000000003</v>
      </c>
      <c r="U148" s="63">
        <v>88.909000000000006</v>
      </c>
      <c r="V148" s="63">
        <v>88.999799999999993</v>
      </c>
      <c r="W148" s="63">
        <v>89.090599999999995</v>
      </c>
      <c r="X148" s="63">
        <v>89.181399999999996</v>
      </c>
      <c r="Y148" s="63">
        <v>89.272199999999998</v>
      </c>
      <c r="Z148" s="63">
        <v>89.363</v>
      </c>
      <c r="AA148" s="63">
        <v>89.510400000000004</v>
      </c>
      <c r="AB148" s="63">
        <v>89.657799999999995</v>
      </c>
      <c r="AC148" s="63">
        <v>89.805199999999999</v>
      </c>
      <c r="AD148" s="63">
        <v>89.952600000000004</v>
      </c>
      <c r="AE148" s="63">
        <v>90.1</v>
      </c>
      <c r="AF148" s="63">
        <v>90.637200000000007</v>
      </c>
      <c r="AG148" s="63">
        <v>91.174400000000006</v>
      </c>
      <c r="AH148" s="63">
        <v>91.711600000000004</v>
      </c>
      <c r="AI148" s="63">
        <v>92.248800000000003</v>
      </c>
      <c r="AJ148" s="63">
        <v>92.786000000000001</v>
      </c>
      <c r="AK148" s="63">
        <v>93.228399999999993</v>
      </c>
      <c r="AL148" s="63">
        <v>93.6708</v>
      </c>
      <c r="AM148" s="63">
        <v>94.113200000000006</v>
      </c>
      <c r="AN148" s="63">
        <v>94.555599999999998</v>
      </c>
      <c r="AO148" s="63">
        <v>94.998000000000005</v>
      </c>
      <c r="AP148" s="63">
        <v>95.260599999999997</v>
      </c>
      <c r="AQ148" s="63">
        <v>95.523200000000003</v>
      </c>
      <c r="AR148" s="63">
        <v>95.785799999999995</v>
      </c>
      <c r="AS148" s="63">
        <v>96.048400000000001</v>
      </c>
      <c r="AT148" s="63">
        <v>96.311000000000007</v>
      </c>
      <c r="AU148" s="63">
        <v>96.538600000000002</v>
      </c>
      <c r="AV148" s="63">
        <v>96.766199999999998</v>
      </c>
      <c r="AW148" s="63">
        <v>96.993799999999993</v>
      </c>
      <c r="AX148" s="63">
        <v>97.221400000000003</v>
      </c>
      <c r="AY148" s="63">
        <v>97.448999999999998</v>
      </c>
      <c r="AZ148" s="63">
        <v>97.690200000000004</v>
      </c>
      <c r="BA148" s="63">
        <v>97.931399999999996</v>
      </c>
      <c r="BB148" s="63">
        <v>98.172600000000003</v>
      </c>
      <c r="BC148" s="63">
        <v>98.413799999999995</v>
      </c>
      <c r="BD148" s="63">
        <v>98.655000000000001</v>
      </c>
      <c r="BE148" s="63">
        <v>98.772800000000004</v>
      </c>
      <c r="BF148" s="63">
        <v>98.890600000000006</v>
      </c>
      <c r="BG148" s="43"/>
      <c r="BH148" s="44">
        <f t="shared" si="4"/>
        <v>88.593725925925909</v>
      </c>
      <c r="BI148" s="44">
        <f t="shared" si="5"/>
        <v>95.989472000000021</v>
      </c>
      <c r="BJ148" s="44"/>
      <c r="BK148" s="44"/>
      <c r="BL148" s="44"/>
      <c r="BM148" s="44"/>
      <c r="BN148" s="44"/>
      <c r="BO148" s="44"/>
      <c r="BP148" s="44"/>
      <c r="BQ148" s="44"/>
      <c r="BR148" s="44"/>
      <c r="BS148" s="44"/>
      <c r="BT148" s="44"/>
      <c r="BU148" s="44"/>
      <c r="BV148" s="44"/>
      <c r="BW148" s="44"/>
      <c r="BX148" s="44"/>
      <c r="BY148" s="44"/>
      <c r="BZ148" s="44"/>
      <c r="CA148" s="44"/>
      <c r="CB148" s="44"/>
      <c r="CC148" s="44"/>
      <c r="CD148" s="44"/>
      <c r="CE148" s="44"/>
      <c r="CF148" s="42"/>
      <c r="CG148" s="42"/>
      <c r="CH148" s="42"/>
      <c r="CI148" s="42"/>
      <c r="CJ148" s="42"/>
      <c r="CK148" s="42"/>
      <c r="CL148" s="42"/>
      <c r="CM148" s="42"/>
      <c r="CN148" s="42"/>
      <c r="CO148" s="42"/>
      <c r="CP148" s="42"/>
      <c r="CQ148" s="42"/>
    </row>
    <row r="149" spans="1:95">
      <c r="A149" s="62">
        <v>196</v>
      </c>
      <c r="B149" s="62" t="s">
        <v>32</v>
      </c>
      <c r="C149" s="13"/>
      <c r="D149" s="13"/>
      <c r="E149" s="13">
        <v>1</v>
      </c>
      <c r="F149" s="13">
        <v>100</v>
      </c>
      <c r="G149" s="63">
        <v>100</v>
      </c>
      <c r="H149" s="63">
        <v>100</v>
      </c>
      <c r="I149" s="63">
        <v>100</v>
      </c>
      <c r="J149" s="63">
        <v>100</v>
      </c>
      <c r="K149" s="63">
        <v>100</v>
      </c>
      <c r="L149" s="63">
        <v>100</v>
      </c>
      <c r="M149" s="63">
        <v>100</v>
      </c>
      <c r="N149" s="63">
        <v>100</v>
      </c>
      <c r="O149" s="63">
        <v>100</v>
      </c>
      <c r="P149" s="63">
        <v>100</v>
      </c>
      <c r="Q149" s="63">
        <v>100</v>
      </c>
      <c r="R149" s="63">
        <v>100</v>
      </c>
      <c r="S149" s="63">
        <v>100</v>
      </c>
      <c r="T149" s="63">
        <v>100</v>
      </c>
      <c r="U149" s="63">
        <v>100</v>
      </c>
      <c r="V149" s="63">
        <v>100</v>
      </c>
      <c r="W149" s="63">
        <v>100</v>
      </c>
      <c r="X149" s="63">
        <v>100</v>
      </c>
      <c r="Y149" s="63">
        <v>100</v>
      </c>
      <c r="Z149" s="63">
        <v>100</v>
      </c>
      <c r="AA149" s="63">
        <v>100</v>
      </c>
      <c r="AB149" s="63">
        <v>100</v>
      </c>
      <c r="AC149" s="63">
        <v>100</v>
      </c>
      <c r="AD149" s="63">
        <v>100</v>
      </c>
      <c r="AE149" s="63">
        <v>100</v>
      </c>
      <c r="AF149" s="63">
        <v>100</v>
      </c>
      <c r="AG149" s="63">
        <v>100</v>
      </c>
      <c r="AH149" s="63">
        <v>100</v>
      </c>
      <c r="AI149" s="63">
        <v>100</v>
      </c>
      <c r="AJ149" s="63">
        <v>100</v>
      </c>
      <c r="AK149" s="63">
        <v>100</v>
      </c>
      <c r="AL149" s="63">
        <v>100</v>
      </c>
      <c r="AM149" s="63">
        <v>100</v>
      </c>
      <c r="AN149" s="63">
        <v>100</v>
      </c>
      <c r="AO149" s="63">
        <v>100</v>
      </c>
      <c r="AP149" s="63">
        <v>100</v>
      </c>
      <c r="AQ149" s="63">
        <v>100</v>
      </c>
      <c r="AR149" s="63">
        <v>100</v>
      </c>
      <c r="AS149" s="63">
        <v>100</v>
      </c>
      <c r="AT149" s="63">
        <v>100</v>
      </c>
      <c r="AU149" s="63">
        <v>100</v>
      </c>
      <c r="AV149" s="63">
        <v>100</v>
      </c>
      <c r="AW149" s="63">
        <v>100</v>
      </c>
      <c r="AX149" s="63">
        <v>100</v>
      </c>
      <c r="AY149" s="63">
        <v>100</v>
      </c>
      <c r="AZ149" s="63">
        <v>100</v>
      </c>
      <c r="BA149" s="63">
        <v>100</v>
      </c>
      <c r="BB149" s="63">
        <v>100</v>
      </c>
      <c r="BC149" s="63">
        <v>100</v>
      </c>
      <c r="BD149" s="63">
        <v>100</v>
      </c>
      <c r="BE149" s="63">
        <v>100</v>
      </c>
      <c r="BF149" s="63">
        <v>100</v>
      </c>
      <c r="BG149" s="43"/>
      <c r="BH149" s="44">
        <f t="shared" si="4"/>
        <v>100</v>
      </c>
      <c r="BI149" s="44">
        <f t="shared" si="5"/>
        <v>100</v>
      </c>
      <c r="BJ149" s="42"/>
      <c r="BK149" s="42"/>
      <c r="BL149" s="42"/>
      <c r="BM149" s="42"/>
      <c r="BN149" s="42"/>
      <c r="BO149" s="42"/>
      <c r="BP149" s="42"/>
      <c r="BQ149" s="42"/>
      <c r="BR149" s="42"/>
      <c r="BS149" s="42"/>
      <c r="BT149" s="42"/>
      <c r="BU149" s="42"/>
      <c r="BV149" s="42"/>
      <c r="BW149" s="42"/>
      <c r="BX149" s="42"/>
      <c r="BY149" s="42"/>
      <c r="BZ149" s="42"/>
      <c r="CA149" s="42"/>
      <c r="CB149" s="42"/>
      <c r="CC149" s="42"/>
      <c r="CD149" s="42"/>
      <c r="CE149" s="42"/>
      <c r="CF149" s="42"/>
      <c r="CG149" s="42"/>
      <c r="CH149" s="42"/>
      <c r="CI149" s="42"/>
      <c r="CJ149" s="42"/>
      <c r="CK149" s="42"/>
      <c r="CL149" s="42"/>
      <c r="CM149" s="42"/>
      <c r="CN149" s="42"/>
      <c r="CO149" s="42"/>
      <c r="CP149" s="42"/>
      <c r="CQ149" s="42"/>
    </row>
    <row r="150" spans="1:95">
      <c r="A150" s="62">
        <v>197</v>
      </c>
      <c r="B150" s="62" t="s">
        <v>31</v>
      </c>
      <c r="C150" s="13"/>
      <c r="D150" s="13"/>
      <c r="E150" s="13">
        <v>1</v>
      </c>
      <c r="F150" s="13">
        <v>46.24186666666666</v>
      </c>
      <c r="G150" s="63">
        <v>34.1798</v>
      </c>
      <c r="H150" s="63">
        <v>34.895600000000002</v>
      </c>
      <c r="I150" s="63">
        <v>35.611400000000003</v>
      </c>
      <c r="J150" s="63">
        <v>36.327199999999998</v>
      </c>
      <c r="K150" s="63">
        <v>37.042999999999999</v>
      </c>
      <c r="L150" s="63">
        <v>37.845799999999997</v>
      </c>
      <c r="M150" s="63">
        <v>38.648600000000002</v>
      </c>
      <c r="N150" s="63">
        <v>39.4514</v>
      </c>
      <c r="O150" s="63">
        <v>40.254199999999997</v>
      </c>
      <c r="P150" s="63">
        <v>41.057000000000002</v>
      </c>
      <c r="Q150" s="63">
        <v>42.097000000000001</v>
      </c>
      <c r="R150" s="63">
        <v>43.137</v>
      </c>
      <c r="S150" s="63">
        <v>44.177</v>
      </c>
      <c r="T150" s="63">
        <v>45.216999999999999</v>
      </c>
      <c r="U150" s="63">
        <v>46.256999999999998</v>
      </c>
      <c r="V150" s="63">
        <v>47.333199999999998</v>
      </c>
      <c r="W150" s="63">
        <v>48.409399999999998</v>
      </c>
      <c r="X150" s="63">
        <v>49.485599999999998</v>
      </c>
      <c r="Y150" s="63">
        <v>50.561799999999998</v>
      </c>
      <c r="Z150" s="63">
        <v>51.637999999999998</v>
      </c>
      <c r="AA150" s="63">
        <v>52.145600000000002</v>
      </c>
      <c r="AB150" s="63">
        <v>52.653199999999998</v>
      </c>
      <c r="AC150" s="63">
        <v>53.160800000000002</v>
      </c>
      <c r="AD150" s="63">
        <v>53.668399999999998</v>
      </c>
      <c r="AE150" s="63">
        <v>54.176000000000002</v>
      </c>
      <c r="AF150" s="63">
        <v>54.639000000000003</v>
      </c>
      <c r="AG150" s="63">
        <v>55.101999999999997</v>
      </c>
      <c r="AH150" s="63">
        <v>55.564999999999998</v>
      </c>
      <c r="AI150" s="63">
        <v>56.027999999999999</v>
      </c>
      <c r="AJ150" s="63">
        <v>56.491</v>
      </c>
      <c r="AK150" s="63">
        <v>56.5002</v>
      </c>
      <c r="AL150" s="63">
        <v>56.509399999999999</v>
      </c>
      <c r="AM150" s="63">
        <v>56.518599999999999</v>
      </c>
      <c r="AN150" s="63">
        <v>56.527799999999999</v>
      </c>
      <c r="AO150" s="63">
        <v>56.536999999999999</v>
      </c>
      <c r="AP150" s="63">
        <v>56.476199999999999</v>
      </c>
      <c r="AQ150" s="63">
        <v>56.415399999999998</v>
      </c>
      <c r="AR150" s="63">
        <v>56.354599999999998</v>
      </c>
      <c r="AS150" s="63">
        <v>56.293799999999997</v>
      </c>
      <c r="AT150" s="63">
        <v>56.232999999999997</v>
      </c>
      <c r="AU150" s="63">
        <v>56.098999999999997</v>
      </c>
      <c r="AV150" s="63">
        <v>55.965000000000003</v>
      </c>
      <c r="AW150" s="63">
        <v>55.831000000000003</v>
      </c>
      <c r="AX150" s="63">
        <v>55.697000000000003</v>
      </c>
      <c r="AY150" s="63">
        <v>55.563000000000002</v>
      </c>
      <c r="AZ150" s="63">
        <v>55.417200000000001</v>
      </c>
      <c r="BA150" s="63">
        <v>55.2714</v>
      </c>
      <c r="BB150" s="63">
        <v>55.125599999999999</v>
      </c>
      <c r="BC150" s="63">
        <v>54.979799999999997</v>
      </c>
      <c r="BD150" s="63">
        <v>54.834000000000003</v>
      </c>
      <c r="BE150" s="63">
        <v>54.781399999999998</v>
      </c>
      <c r="BF150" s="63">
        <v>54.7288</v>
      </c>
      <c r="BH150" s="44">
        <f t="shared" si="4"/>
        <v>45.154518518518508</v>
      </c>
      <c r="BI150" s="44">
        <f t="shared" si="5"/>
        <v>55.869728000000023</v>
      </c>
      <c r="BJ150" s="42"/>
      <c r="BK150" s="42"/>
      <c r="BL150" s="42"/>
      <c r="BM150" s="42"/>
      <c r="BN150" s="42"/>
      <c r="BO150" s="42"/>
      <c r="BP150" s="42"/>
      <c r="BQ150" s="42"/>
      <c r="BR150" s="42"/>
      <c r="BS150" s="42"/>
      <c r="BT150" s="42"/>
      <c r="BU150" s="42"/>
      <c r="BV150" s="42"/>
      <c r="BW150" s="42"/>
      <c r="BX150" s="42"/>
      <c r="BY150" s="42"/>
      <c r="BZ150" s="42"/>
      <c r="CA150" s="42"/>
      <c r="CB150" s="42"/>
      <c r="CC150" s="42"/>
      <c r="CD150" s="42"/>
      <c r="CE150" s="42"/>
      <c r="CF150" s="42"/>
      <c r="CG150" s="42"/>
      <c r="CH150" s="42"/>
      <c r="CI150" s="42"/>
      <c r="CJ150" s="42"/>
      <c r="CK150" s="42"/>
      <c r="CL150" s="42"/>
      <c r="CM150" s="42"/>
      <c r="CN150" s="42"/>
      <c r="CO150" s="42"/>
      <c r="CP150" s="42"/>
      <c r="CQ150" s="42"/>
    </row>
    <row r="151" spans="1:95">
      <c r="A151" s="62">
        <v>198</v>
      </c>
      <c r="B151" s="62" t="s">
        <v>30</v>
      </c>
      <c r="C151" s="13"/>
      <c r="D151" s="13"/>
      <c r="E151" s="13">
        <v>1</v>
      </c>
      <c r="F151" s="13">
        <v>41.834933333333339</v>
      </c>
      <c r="G151" s="63">
        <v>29.0626</v>
      </c>
      <c r="H151" s="63">
        <v>29.921199999999999</v>
      </c>
      <c r="I151" s="63">
        <v>30.779800000000002</v>
      </c>
      <c r="J151" s="63">
        <v>31.638400000000001</v>
      </c>
      <c r="K151" s="63">
        <v>32.497</v>
      </c>
      <c r="L151" s="63">
        <v>33.398400000000002</v>
      </c>
      <c r="M151" s="63">
        <v>34.299799999999998</v>
      </c>
      <c r="N151" s="63">
        <v>35.2012</v>
      </c>
      <c r="O151" s="63">
        <v>36.102600000000002</v>
      </c>
      <c r="P151" s="63">
        <v>37.003999999999998</v>
      </c>
      <c r="Q151" s="63">
        <v>38.078000000000003</v>
      </c>
      <c r="R151" s="63">
        <v>39.152000000000001</v>
      </c>
      <c r="S151" s="63">
        <v>40.225999999999999</v>
      </c>
      <c r="T151" s="63">
        <v>41.3</v>
      </c>
      <c r="U151" s="63">
        <v>42.374000000000002</v>
      </c>
      <c r="V151" s="63">
        <v>43.508200000000002</v>
      </c>
      <c r="W151" s="63">
        <v>44.642400000000002</v>
      </c>
      <c r="X151" s="63">
        <v>45.776600000000002</v>
      </c>
      <c r="Y151" s="63">
        <v>46.910800000000002</v>
      </c>
      <c r="Z151" s="63">
        <v>48.045000000000002</v>
      </c>
      <c r="AA151" s="63">
        <v>48.351999999999997</v>
      </c>
      <c r="AB151" s="63">
        <v>48.658999999999999</v>
      </c>
      <c r="AC151" s="63">
        <v>48.966000000000001</v>
      </c>
      <c r="AD151" s="63">
        <v>49.273000000000003</v>
      </c>
      <c r="AE151" s="63">
        <v>49.58</v>
      </c>
      <c r="AF151" s="63">
        <v>49.74</v>
      </c>
      <c r="AG151" s="63">
        <v>49.9</v>
      </c>
      <c r="AH151" s="63">
        <v>50.06</v>
      </c>
      <c r="AI151" s="63">
        <v>50.22</v>
      </c>
      <c r="AJ151" s="63">
        <v>50.38</v>
      </c>
      <c r="AK151" s="63">
        <v>50.427199999999999</v>
      </c>
      <c r="AL151" s="63">
        <v>50.474400000000003</v>
      </c>
      <c r="AM151" s="63">
        <v>50.521599999999999</v>
      </c>
      <c r="AN151" s="63">
        <v>50.568800000000003</v>
      </c>
      <c r="AO151" s="63">
        <v>50.616</v>
      </c>
      <c r="AP151" s="63">
        <v>50.6432</v>
      </c>
      <c r="AQ151" s="63">
        <v>50.670400000000001</v>
      </c>
      <c r="AR151" s="63">
        <v>50.697600000000001</v>
      </c>
      <c r="AS151" s="63">
        <v>50.724800000000002</v>
      </c>
      <c r="AT151" s="63">
        <v>50.752000000000002</v>
      </c>
      <c r="AU151" s="63">
        <v>50.695399999999999</v>
      </c>
      <c r="AV151" s="63">
        <v>50.638800000000003</v>
      </c>
      <c r="AW151" s="63">
        <v>50.5822</v>
      </c>
      <c r="AX151" s="63">
        <v>50.525599999999997</v>
      </c>
      <c r="AY151" s="63">
        <v>50.469000000000001</v>
      </c>
      <c r="AZ151" s="63">
        <v>50.366999999999997</v>
      </c>
      <c r="BA151" s="63">
        <v>50.265000000000001</v>
      </c>
      <c r="BB151" s="63">
        <v>50.162999999999997</v>
      </c>
      <c r="BC151" s="63">
        <v>50.061</v>
      </c>
      <c r="BD151" s="63">
        <v>49.959000000000003</v>
      </c>
      <c r="BE151" s="63">
        <v>49.929400000000001</v>
      </c>
      <c r="BF151" s="63">
        <v>49.899799999999999</v>
      </c>
      <c r="BG151" s="43"/>
      <c r="BH151" s="44">
        <f t="shared" si="4"/>
        <v>40.903259259259265</v>
      </c>
      <c r="BI151" s="44">
        <f t="shared" si="5"/>
        <v>50.412447999999983</v>
      </c>
      <c r="BJ151" s="42"/>
      <c r="BK151" s="42"/>
      <c r="BL151" s="42"/>
      <c r="BM151" s="42"/>
      <c r="BN151" s="42"/>
      <c r="BO151" s="42"/>
      <c r="BP151" s="42"/>
      <c r="BQ151" s="42"/>
      <c r="BR151" s="42"/>
      <c r="BS151" s="42"/>
      <c r="BT151" s="42"/>
      <c r="BU151" s="42"/>
      <c r="BV151" s="42"/>
      <c r="BW151" s="42"/>
      <c r="BX151" s="42"/>
      <c r="BY151" s="42"/>
      <c r="BZ151" s="42"/>
      <c r="CA151" s="42"/>
      <c r="CB151" s="42"/>
      <c r="CC151" s="42"/>
      <c r="CD151" s="42"/>
      <c r="CE151" s="42"/>
      <c r="CF151" s="42"/>
      <c r="CG151" s="42"/>
      <c r="CH151" s="42"/>
      <c r="CI151" s="42"/>
      <c r="CJ151" s="42"/>
      <c r="CK151" s="42"/>
      <c r="CL151" s="42"/>
      <c r="CM151" s="42"/>
      <c r="CN151" s="42"/>
      <c r="CO151" s="42"/>
      <c r="CP151" s="42"/>
      <c r="CQ151" s="42"/>
    </row>
    <row r="152" spans="1:95">
      <c r="A152" s="62">
        <v>213</v>
      </c>
      <c r="B152" s="62" t="s">
        <v>20</v>
      </c>
      <c r="C152" s="13"/>
      <c r="D152" s="13"/>
      <c r="E152" s="13">
        <v>1</v>
      </c>
      <c r="F152" s="13">
        <v>34.55833333333333</v>
      </c>
      <c r="G152" s="63">
        <v>33.564799999999998</v>
      </c>
      <c r="H152" s="63">
        <v>33.961599999999997</v>
      </c>
      <c r="I152" s="63">
        <v>34.358400000000003</v>
      </c>
      <c r="J152" s="63">
        <v>34.755200000000002</v>
      </c>
      <c r="K152" s="63">
        <v>35.152000000000001</v>
      </c>
      <c r="L152" s="63">
        <v>35.4968</v>
      </c>
      <c r="M152" s="63">
        <v>35.8416</v>
      </c>
      <c r="N152" s="63">
        <v>36.186399999999999</v>
      </c>
      <c r="O152" s="63">
        <v>36.531199999999998</v>
      </c>
      <c r="P152" s="63">
        <v>36.875999999999998</v>
      </c>
      <c r="Q152" s="63">
        <v>36.607999999999997</v>
      </c>
      <c r="R152" s="63">
        <v>36.340000000000003</v>
      </c>
      <c r="S152" s="63">
        <v>36.072000000000003</v>
      </c>
      <c r="T152" s="63">
        <v>35.804000000000002</v>
      </c>
      <c r="U152" s="63">
        <v>35.536000000000001</v>
      </c>
      <c r="V152" s="63">
        <v>35.2866</v>
      </c>
      <c r="W152" s="63">
        <v>35.037199999999999</v>
      </c>
      <c r="X152" s="63">
        <v>34.787799999999997</v>
      </c>
      <c r="Y152" s="63">
        <v>34.538400000000003</v>
      </c>
      <c r="Z152" s="63">
        <v>34.289000000000001</v>
      </c>
      <c r="AA152" s="63">
        <v>34.078200000000002</v>
      </c>
      <c r="AB152" s="63">
        <v>33.867400000000004</v>
      </c>
      <c r="AC152" s="63">
        <v>33.656599999999997</v>
      </c>
      <c r="AD152" s="63">
        <v>33.445799999999998</v>
      </c>
      <c r="AE152" s="63">
        <v>33.234999999999999</v>
      </c>
      <c r="AF152" s="63">
        <v>32.919600000000003</v>
      </c>
      <c r="AG152" s="63">
        <v>32.604199999999999</v>
      </c>
      <c r="AH152" s="63">
        <v>32.288800000000002</v>
      </c>
      <c r="AI152" s="63">
        <v>31.973400000000002</v>
      </c>
      <c r="AJ152" s="63">
        <v>31.658000000000001</v>
      </c>
      <c r="AK152" s="63">
        <v>31.101800000000001</v>
      </c>
      <c r="AL152" s="63">
        <v>30.5456</v>
      </c>
      <c r="AM152" s="63">
        <v>29.9894</v>
      </c>
      <c r="AN152" s="63">
        <v>29.433199999999999</v>
      </c>
      <c r="AO152" s="63">
        <v>28.876999999999999</v>
      </c>
      <c r="AP152" s="63">
        <v>28.399000000000001</v>
      </c>
      <c r="AQ152" s="63">
        <v>27.920999999999999</v>
      </c>
      <c r="AR152" s="63">
        <v>27.443000000000001</v>
      </c>
      <c r="AS152" s="63">
        <v>26.965</v>
      </c>
      <c r="AT152" s="63">
        <v>26.486999999999998</v>
      </c>
      <c r="AU152" s="63">
        <v>26.4754</v>
      </c>
      <c r="AV152" s="63">
        <v>26.463799999999999</v>
      </c>
      <c r="AW152" s="63">
        <v>26.452200000000001</v>
      </c>
      <c r="AX152" s="63">
        <v>26.4406</v>
      </c>
      <c r="AY152" s="63">
        <v>26.428999999999998</v>
      </c>
      <c r="AZ152" s="63">
        <v>26.443200000000001</v>
      </c>
      <c r="BA152" s="63">
        <v>26.4574</v>
      </c>
      <c r="BB152" s="63">
        <v>26.471599999999999</v>
      </c>
      <c r="BC152" s="63">
        <v>26.485800000000001</v>
      </c>
      <c r="BD152" s="63">
        <v>26.5</v>
      </c>
      <c r="BE152" s="63">
        <v>26.553999999999998</v>
      </c>
      <c r="BF152" s="63">
        <v>26.608000000000001</v>
      </c>
      <c r="BG152" s="43"/>
      <c r="BH152" s="44">
        <f t="shared" si="4"/>
        <v>34.845548148148147</v>
      </c>
      <c r="BI152" s="44">
        <f t="shared" si="5"/>
        <v>28.034528000000002</v>
      </c>
    </row>
    <row r="153" spans="1:95">
      <c r="A153" s="62">
        <v>216</v>
      </c>
      <c r="B153" s="62" t="s">
        <v>17</v>
      </c>
      <c r="C153" s="13"/>
      <c r="D153" s="13"/>
      <c r="E153" s="13">
        <v>1</v>
      </c>
      <c r="F153" s="13">
        <v>15.06993333333333</v>
      </c>
      <c r="G153" s="63">
        <v>10.343400000000001</v>
      </c>
      <c r="H153" s="63">
        <v>10.595800000000001</v>
      </c>
      <c r="I153" s="63">
        <v>10.8482</v>
      </c>
      <c r="J153" s="63">
        <v>11.1006</v>
      </c>
      <c r="K153" s="63">
        <v>11.353</v>
      </c>
      <c r="L153" s="63">
        <v>11.659599999999999</v>
      </c>
      <c r="M153" s="63">
        <v>11.966200000000001</v>
      </c>
      <c r="N153" s="63">
        <v>12.2728</v>
      </c>
      <c r="O153" s="63">
        <v>12.5794</v>
      </c>
      <c r="P153" s="63">
        <v>12.885999999999999</v>
      </c>
      <c r="Q153" s="63">
        <v>13.227399999999999</v>
      </c>
      <c r="R153" s="63">
        <v>13.5688</v>
      </c>
      <c r="S153" s="63">
        <v>13.9102</v>
      </c>
      <c r="T153" s="63">
        <v>14.2516</v>
      </c>
      <c r="U153" s="63">
        <v>14.593</v>
      </c>
      <c r="V153" s="63">
        <v>14.971</v>
      </c>
      <c r="W153" s="63">
        <v>15.349</v>
      </c>
      <c r="X153" s="63">
        <v>15.727</v>
      </c>
      <c r="Y153" s="63">
        <v>16.105</v>
      </c>
      <c r="Z153" s="63">
        <v>16.483000000000001</v>
      </c>
      <c r="AA153" s="63">
        <v>16.899000000000001</v>
      </c>
      <c r="AB153" s="63">
        <v>17.315000000000001</v>
      </c>
      <c r="AC153" s="63">
        <v>17.731000000000002</v>
      </c>
      <c r="AD153" s="63">
        <v>18.146999999999998</v>
      </c>
      <c r="AE153" s="63">
        <v>18.562999999999999</v>
      </c>
      <c r="AF153" s="63">
        <v>19.018799999999999</v>
      </c>
      <c r="AG153" s="63">
        <v>19.474599999999999</v>
      </c>
      <c r="AH153" s="63">
        <v>19.930399999999999</v>
      </c>
      <c r="AI153" s="63">
        <v>20.386199999999999</v>
      </c>
      <c r="AJ153" s="63">
        <v>20.841999999999999</v>
      </c>
      <c r="AK153" s="63">
        <v>21.180399999999999</v>
      </c>
      <c r="AL153" s="63">
        <v>21.518799999999999</v>
      </c>
      <c r="AM153" s="63">
        <v>21.857199999999999</v>
      </c>
      <c r="AN153" s="63">
        <v>22.195599999999999</v>
      </c>
      <c r="AO153" s="63">
        <v>22.533999999999999</v>
      </c>
      <c r="AP153" s="63">
        <v>22.879799999999999</v>
      </c>
      <c r="AQ153" s="63">
        <v>23.2256</v>
      </c>
      <c r="AR153" s="63">
        <v>23.571400000000001</v>
      </c>
      <c r="AS153" s="63">
        <v>23.917200000000001</v>
      </c>
      <c r="AT153" s="63">
        <v>24.263000000000002</v>
      </c>
      <c r="AU153" s="63">
        <v>24.6264</v>
      </c>
      <c r="AV153" s="63">
        <v>24.989799999999999</v>
      </c>
      <c r="AW153" s="63">
        <v>25.353200000000001</v>
      </c>
      <c r="AX153" s="63">
        <v>25.7166</v>
      </c>
      <c r="AY153" s="63">
        <v>26.08</v>
      </c>
      <c r="AZ153" s="63">
        <v>26.456</v>
      </c>
      <c r="BA153" s="63">
        <v>26.832000000000001</v>
      </c>
      <c r="BB153" s="63">
        <v>27.207999999999998</v>
      </c>
      <c r="BC153" s="63">
        <v>27.584</v>
      </c>
      <c r="BD153" s="63">
        <v>27.96</v>
      </c>
      <c r="BE153" s="63">
        <v>28.3446</v>
      </c>
      <c r="BF153" s="63">
        <v>28.729199999999999</v>
      </c>
      <c r="BG153" s="43"/>
      <c r="BH153" s="44">
        <f t="shared" si="4"/>
        <v>14.479237037037034</v>
      </c>
      <c r="BI153" s="44">
        <f t="shared" si="5"/>
        <v>24.327255999999998</v>
      </c>
      <c r="BJ153" s="42"/>
      <c r="BK153" s="42"/>
      <c r="BL153" s="42"/>
      <c r="BM153" s="42"/>
      <c r="BN153" s="42"/>
      <c r="BO153" s="42"/>
      <c r="BP153" s="42"/>
      <c r="BQ153" s="42"/>
      <c r="BR153" s="42"/>
      <c r="BS153" s="42"/>
      <c r="BT153" s="42"/>
      <c r="BU153" s="42"/>
      <c r="BV153" s="42"/>
      <c r="BW153" s="42"/>
      <c r="BX153" s="42"/>
      <c r="BY153" s="42"/>
      <c r="BZ153" s="42"/>
      <c r="CA153" s="42"/>
      <c r="CB153" s="42"/>
      <c r="CC153" s="42"/>
      <c r="CD153" s="42"/>
      <c r="CE153" s="42"/>
      <c r="CF153" s="42"/>
      <c r="CG153" s="42"/>
      <c r="CH153" s="42"/>
      <c r="CI153" s="42"/>
      <c r="CJ153" s="42"/>
      <c r="CK153" s="42"/>
      <c r="CL153" s="42"/>
      <c r="CM153" s="42"/>
      <c r="CN153" s="42"/>
      <c r="CO153" s="42"/>
      <c r="CP153" s="42"/>
      <c r="CQ153" s="42"/>
    </row>
    <row r="154" spans="1:95">
      <c r="A154" s="62">
        <v>223</v>
      </c>
      <c r="B154" s="62" t="s">
        <v>12</v>
      </c>
      <c r="C154" s="13"/>
      <c r="D154" s="13"/>
      <c r="E154" s="13">
        <v>1</v>
      </c>
      <c r="F154" s="13">
        <v>46.856633333333342</v>
      </c>
      <c r="G154" s="63">
        <v>46.557400000000001</v>
      </c>
      <c r="H154" s="63">
        <v>46.702800000000003</v>
      </c>
      <c r="I154" s="63">
        <v>46.848199999999999</v>
      </c>
      <c r="J154" s="63">
        <v>46.993600000000001</v>
      </c>
      <c r="K154" s="63">
        <v>47.139000000000003</v>
      </c>
      <c r="L154" s="63">
        <v>47.267200000000003</v>
      </c>
      <c r="M154" s="63">
        <v>47.395400000000002</v>
      </c>
      <c r="N154" s="63">
        <v>47.523600000000002</v>
      </c>
      <c r="O154" s="63">
        <v>47.651800000000001</v>
      </c>
      <c r="P154" s="63">
        <v>47.78</v>
      </c>
      <c r="Q154" s="63">
        <v>47.735399999999998</v>
      </c>
      <c r="R154" s="63">
        <v>47.690800000000003</v>
      </c>
      <c r="S154" s="63">
        <v>47.6462</v>
      </c>
      <c r="T154" s="63">
        <v>47.601599999999998</v>
      </c>
      <c r="U154" s="63">
        <v>47.557000000000002</v>
      </c>
      <c r="V154" s="63">
        <v>47.461199999999998</v>
      </c>
      <c r="W154" s="63">
        <v>47.365400000000001</v>
      </c>
      <c r="X154" s="63">
        <v>47.269599999999997</v>
      </c>
      <c r="Y154" s="63">
        <v>47.1738</v>
      </c>
      <c r="Z154" s="63">
        <v>47.078000000000003</v>
      </c>
      <c r="AA154" s="63">
        <v>46.857599999999998</v>
      </c>
      <c r="AB154" s="63">
        <v>46.6372</v>
      </c>
      <c r="AC154" s="63">
        <v>46.416800000000002</v>
      </c>
      <c r="AD154" s="63">
        <v>46.196399999999997</v>
      </c>
      <c r="AE154" s="63">
        <v>45.975999999999999</v>
      </c>
      <c r="AF154" s="63">
        <v>45.7958</v>
      </c>
      <c r="AG154" s="63">
        <v>45.615600000000001</v>
      </c>
      <c r="AH154" s="63">
        <v>45.435400000000001</v>
      </c>
      <c r="AI154" s="63">
        <v>45.255200000000002</v>
      </c>
      <c r="AJ154" s="63">
        <v>45.075000000000003</v>
      </c>
      <c r="AK154" s="63">
        <v>45.018799999999999</v>
      </c>
      <c r="AL154" s="63">
        <v>44.962600000000002</v>
      </c>
      <c r="AM154" s="63">
        <v>44.906399999999998</v>
      </c>
      <c r="AN154" s="63">
        <v>44.850200000000001</v>
      </c>
      <c r="AO154" s="63">
        <v>44.793999999999997</v>
      </c>
      <c r="AP154" s="63">
        <v>45.017800000000001</v>
      </c>
      <c r="AQ154" s="63">
        <v>45.241599999999998</v>
      </c>
      <c r="AR154" s="63">
        <v>45.465400000000002</v>
      </c>
      <c r="AS154" s="63">
        <v>45.6892</v>
      </c>
      <c r="AT154" s="63">
        <v>45.912999999999997</v>
      </c>
      <c r="AU154" s="63">
        <v>46.14</v>
      </c>
      <c r="AV154" s="63">
        <v>46.366999999999997</v>
      </c>
      <c r="AW154" s="63">
        <v>46.594000000000001</v>
      </c>
      <c r="AX154" s="63">
        <v>46.820999999999998</v>
      </c>
      <c r="AY154" s="63">
        <v>47.048000000000002</v>
      </c>
      <c r="AZ154" s="63">
        <v>47.320399999999999</v>
      </c>
      <c r="BA154" s="63">
        <v>47.592799999999997</v>
      </c>
      <c r="BB154" s="63">
        <v>47.865200000000002</v>
      </c>
      <c r="BC154" s="63">
        <v>48.137599999999999</v>
      </c>
      <c r="BD154" s="63">
        <v>48.41</v>
      </c>
      <c r="BE154" s="63">
        <v>48.741599999999998</v>
      </c>
      <c r="BF154" s="63">
        <v>49.0732</v>
      </c>
      <c r="BG154" s="43"/>
      <c r="BH154" s="44">
        <f t="shared" si="4"/>
        <v>47.034570370370375</v>
      </c>
      <c r="BI154" s="44">
        <f t="shared" si="5"/>
        <v>46.309415999999999</v>
      </c>
    </row>
    <row r="155" spans="1:95">
      <c r="A155" s="62">
        <v>227</v>
      </c>
      <c r="B155" s="62" t="s">
        <v>10</v>
      </c>
      <c r="C155" s="13"/>
      <c r="D155" s="13"/>
      <c r="E155" s="13">
        <v>1</v>
      </c>
      <c r="F155" s="13">
        <v>58.169000000000004</v>
      </c>
      <c r="G155" s="63">
        <v>47.563400000000001</v>
      </c>
      <c r="H155" s="63">
        <v>48.334800000000001</v>
      </c>
      <c r="I155" s="63">
        <v>49.106200000000001</v>
      </c>
      <c r="J155" s="63">
        <v>49.877600000000001</v>
      </c>
      <c r="K155" s="63">
        <v>50.649000000000001</v>
      </c>
      <c r="L155" s="63">
        <v>51.485399999999998</v>
      </c>
      <c r="M155" s="63">
        <v>52.321800000000003</v>
      </c>
      <c r="N155" s="63">
        <v>53.158200000000001</v>
      </c>
      <c r="O155" s="63">
        <v>53.994599999999998</v>
      </c>
      <c r="P155" s="63">
        <v>54.831000000000003</v>
      </c>
      <c r="Q155" s="63">
        <v>55.5426</v>
      </c>
      <c r="R155" s="63">
        <v>56.254199999999997</v>
      </c>
      <c r="S155" s="63">
        <v>56.965800000000002</v>
      </c>
      <c r="T155" s="63">
        <v>57.677399999999999</v>
      </c>
      <c r="U155" s="63">
        <v>58.389000000000003</v>
      </c>
      <c r="V155" s="63">
        <v>59.049799999999998</v>
      </c>
      <c r="W155" s="63">
        <v>59.710599999999999</v>
      </c>
      <c r="X155" s="63">
        <v>60.371400000000001</v>
      </c>
      <c r="Y155" s="63">
        <v>61.032200000000003</v>
      </c>
      <c r="Z155" s="63">
        <v>61.692999999999998</v>
      </c>
      <c r="AA155" s="63">
        <v>62.290599999999998</v>
      </c>
      <c r="AB155" s="63">
        <v>62.888199999999998</v>
      </c>
      <c r="AC155" s="63">
        <v>63.485799999999998</v>
      </c>
      <c r="AD155" s="63">
        <v>64.083399999999997</v>
      </c>
      <c r="AE155" s="63">
        <v>64.680999999999997</v>
      </c>
      <c r="AF155" s="63">
        <v>65.096199999999996</v>
      </c>
      <c r="AG155" s="63">
        <v>65.511399999999995</v>
      </c>
      <c r="AH155" s="63">
        <v>65.926599999999993</v>
      </c>
      <c r="AI155" s="63">
        <v>66.341800000000006</v>
      </c>
      <c r="AJ155" s="63">
        <v>66.757000000000005</v>
      </c>
      <c r="AK155" s="63">
        <v>66.7958</v>
      </c>
      <c r="AL155" s="63">
        <v>66.834599999999995</v>
      </c>
      <c r="AM155" s="63">
        <v>66.873400000000004</v>
      </c>
      <c r="AN155" s="63">
        <v>66.912199999999999</v>
      </c>
      <c r="AO155" s="63">
        <v>66.950999999999993</v>
      </c>
      <c r="AP155" s="63">
        <v>66.989800000000002</v>
      </c>
      <c r="AQ155" s="63">
        <v>67.028599999999997</v>
      </c>
      <c r="AR155" s="63">
        <v>67.067400000000006</v>
      </c>
      <c r="AS155" s="63">
        <v>67.106200000000001</v>
      </c>
      <c r="AT155" s="63">
        <v>67.144999999999996</v>
      </c>
      <c r="AU155" s="63">
        <v>67.274000000000001</v>
      </c>
      <c r="AV155" s="63">
        <v>67.403000000000006</v>
      </c>
      <c r="AW155" s="63">
        <v>67.531999999999996</v>
      </c>
      <c r="AX155" s="63">
        <v>67.661000000000001</v>
      </c>
      <c r="AY155" s="63">
        <v>67.790000000000006</v>
      </c>
      <c r="AZ155" s="63">
        <v>67.968999999999994</v>
      </c>
      <c r="BA155" s="63">
        <v>68.147999999999996</v>
      </c>
      <c r="BB155" s="63">
        <v>68.326999999999998</v>
      </c>
      <c r="BC155" s="63">
        <v>68.506</v>
      </c>
      <c r="BD155" s="63">
        <v>68.685000000000002</v>
      </c>
      <c r="BE155" s="63">
        <v>68.884</v>
      </c>
      <c r="BF155" s="63">
        <v>69.082999999999998</v>
      </c>
      <c r="BG155" s="43"/>
      <c r="BH155" s="44">
        <f t="shared" si="4"/>
        <v>57.26091111111112</v>
      </c>
      <c r="BI155" s="44">
        <f t="shared" si="5"/>
        <v>67.439655999999999</v>
      </c>
      <c r="BJ155" s="42"/>
      <c r="BK155" s="42"/>
      <c r="BL155" s="42"/>
      <c r="BM155" s="42"/>
      <c r="BN155" s="42"/>
      <c r="BO155" s="42"/>
      <c r="BP155" s="42"/>
      <c r="BQ155" s="42"/>
      <c r="BR155" s="42"/>
      <c r="BS155" s="42"/>
      <c r="BT155" s="42"/>
      <c r="BU155" s="42"/>
      <c r="BV155" s="42"/>
      <c r="BW155" s="42"/>
      <c r="BX155" s="42"/>
      <c r="BY155" s="42"/>
      <c r="BZ155" s="42"/>
      <c r="CA155" s="42"/>
      <c r="CB155" s="42"/>
      <c r="CC155" s="42"/>
      <c r="CD155" s="42"/>
      <c r="CE155" s="42"/>
      <c r="CF155" s="42"/>
      <c r="CG155" s="42"/>
      <c r="CH155" s="42"/>
      <c r="CI155" s="42"/>
      <c r="CJ155" s="42"/>
      <c r="CK155" s="42"/>
      <c r="CL155" s="42"/>
      <c r="CM155" s="42"/>
      <c r="CN155" s="42"/>
      <c r="CO155" s="42"/>
      <c r="CP155" s="42"/>
      <c r="CQ155" s="42"/>
    </row>
    <row r="156" spans="1:95">
      <c r="A156" s="62">
        <v>233</v>
      </c>
      <c r="B156" s="62" t="s">
        <v>5</v>
      </c>
      <c r="C156" s="13"/>
      <c r="D156" s="13"/>
      <c r="E156" s="13">
        <v>1</v>
      </c>
      <c r="F156" s="13">
        <v>38.381400000000006</v>
      </c>
      <c r="G156" s="63">
        <v>34.240200000000002</v>
      </c>
      <c r="H156" s="63">
        <v>34.502400000000002</v>
      </c>
      <c r="I156" s="63">
        <v>34.764600000000002</v>
      </c>
      <c r="J156" s="63">
        <v>35.026800000000001</v>
      </c>
      <c r="K156" s="63">
        <v>35.289000000000001</v>
      </c>
      <c r="L156" s="63">
        <v>35.573999999999998</v>
      </c>
      <c r="M156" s="63">
        <v>35.859000000000002</v>
      </c>
      <c r="N156" s="63">
        <v>36.143999999999998</v>
      </c>
      <c r="O156" s="63">
        <v>36.429000000000002</v>
      </c>
      <c r="P156" s="63">
        <v>36.713999999999999</v>
      </c>
      <c r="Q156" s="63">
        <v>37.188600000000001</v>
      </c>
      <c r="R156" s="63">
        <v>37.663200000000003</v>
      </c>
      <c r="S156" s="63">
        <v>38.137799999999999</v>
      </c>
      <c r="T156" s="63">
        <v>38.612400000000001</v>
      </c>
      <c r="U156" s="63">
        <v>39.087000000000003</v>
      </c>
      <c r="V156" s="63">
        <v>39.426000000000002</v>
      </c>
      <c r="W156" s="63">
        <v>39.765000000000001</v>
      </c>
      <c r="X156" s="63">
        <v>40.103999999999999</v>
      </c>
      <c r="Y156" s="63">
        <v>40.442999999999998</v>
      </c>
      <c r="Z156" s="63">
        <v>40.781999999999996</v>
      </c>
      <c r="AA156" s="63">
        <v>40.770000000000003</v>
      </c>
      <c r="AB156" s="63">
        <v>40.758000000000003</v>
      </c>
      <c r="AC156" s="63">
        <v>40.746000000000002</v>
      </c>
      <c r="AD156" s="63">
        <v>40.734000000000002</v>
      </c>
      <c r="AE156" s="63">
        <v>40.722000000000001</v>
      </c>
      <c r="AF156" s="63">
        <v>40.612000000000002</v>
      </c>
      <c r="AG156" s="63">
        <v>40.502000000000002</v>
      </c>
      <c r="AH156" s="63">
        <v>40.392000000000003</v>
      </c>
      <c r="AI156" s="63">
        <v>40.281999999999996</v>
      </c>
      <c r="AJ156" s="63">
        <v>40.171999999999997</v>
      </c>
      <c r="AK156" s="63">
        <v>39.825600000000001</v>
      </c>
      <c r="AL156" s="63">
        <v>39.479199999999999</v>
      </c>
      <c r="AM156" s="63">
        <v>39.132800000000003</v>
      </c>
      <c r="AN156" s="63">
        <v>38.7864</v>
      </c>
      <c r="AO156" s="63">
        <v>38.44</v>
      </c>
      <c r="AP156" s="63">
        <v>38.2378</v>
      </c>
      <c r="AQ156" s="63">
        <v>38.035600000000002</v>
      </c>
      <c r="AR156" s="63">
        <v>37.833399999999997</v>
      </c>
      <c r="AS156" s="63">
        <v>37.6312</v>
      </c>
      <c r="AT156" s="63">
        <v>37.429000000000002</v>
      </c>
      <c r="AU156" s="63">
        <v>37.278399999999998</v>
      </c>
      <c r="AV156" s="63">
        <v>37.127800000000001</v>
      </c>
      <c r="AW156" s="63">
        <v>36.977200000000003</v>
      </c>
      <c r="AX156" s="63">
        <v>36.826599999999999</v>
      </c>
      <c r="AY156" s="63">
        <v>36.676000000000002</v>
      </c>
      <c r="AZ156" s="63">
        <v>36.581600000000002</v>
      </c>
      <c r="BA156" s="63">
        <v>36.487200000000001</v>
      </c>
      <c r="BB156" s="63">
        <v>36.392800000000001</v>
      </c>
      <c r="BC156" s="63">
        <v>36.298400000000001</v>
      </c>
      <c r="BD156" s="63">
        <v>36.204000000000001</v>
      </c>
      <c r="BE156" s="63">
        <v>36.247999999999998</v>
      </c>
      <c r="BF156" s="63">
        <v>36.292000000000002</v>
      </c>
      <c r="BG156" s="43"/>
      <c r="BH156" s="44">
        <f t="shared" si="4"/>
        <v>38.170222222222229</v>
      </c>
      <c r="BI156" s="44">
        <f t="shared" si="5"/>
        <v>37.802680000000002</v>
      </c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42"/>
      <c r="BV156" s="42"/>
      <c r="BW156" s="42"/>
      <c r="BX156" s="42"/>
      <c r="BY156" s="42"/>
      <c r="BZ156" s="42"/>
      <c r="CA156" s="42"/>
      <c r="CB156" s="42"/>
      <c r="CC156" s="42"/>
      <c r="CD156" s="42"/>
      <c r="CE156" s="42"/>
      <c r="CF156" s="42"/>
      <c r="CG156" s="42"/>
      <c r="CH156" s="42"/>
      <c r="CI156" s="42"/>
      <c r="CJ156" s="42"/>
      <c r="CK156" s="42"/>
      <c r="CL156" s="42"/>
      <c r="CM156" s="42"/>
      <c r="CN156" s="42"/>
      <c r="CO156" s="42"/>
      <c r="CP156" s="42"/>
      <c r="CQ156" s="42"/>
    </row>
    <row r="157" spans="1:95">
      <c r="BH157" s="40">
        <f>AVERAGE(G2:AG156)</f>
        <v>42.233125199709576</v>
      </c>
      <c r="BI157" s="40">
        <f>AVERAGE(AH2:BF156)</f>
        <v>53.27728188235298</v>
      </c>
    </row>
  </sheetData>
  <sortState ref="A2:BG157">
    <sortCondition ref="C2:C157"/>
    <sortCondition descending="1" ref="D2:D157"/>
  </sortState>
  <phoneticPr fontId="4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"/>
  <dimension ref="A1:F156"/>
  <sheetViews>
    <sheetView workbookViewId="0">
      <selection activeCell="F1" sqref="C1:F1048576"/>
    </sheetView>
  </sheetViews>
  <sheetFormatPr baseColWidth="10" defaultColWidth="8.83203125" defaultRowHeight="14"/>
  <cols>
    <col min="1" max="2" width="9.1640625" style="1"/>
    <col min="3" max="6" width="9.1640625" style="2"/>
  </cols>
  <sheetData>
    <row r="1" spans="1:6">
      <c r="A1" s="1" t="s">
        <v>159</v>
      </c>
      <c r="B1" s="1" t="s">
        <v>158</v>
      </c>
      <c r="C1" s="2" t="s">
        <v>157</v>
      </c>
      <c r="D1" s="2" t="s">
        <v>156</v>
      </c>
      <c r="E1" s="2" t="s">
        <v>161</v>
      </c>
      <c r="F1" s="2" t="s">
        <v>160</v>
      </c>
    </row>
    <row r="2" spans="1:6">
      <c r="A2" s="3">
        <v>1</v>
      </c>
      <c r="B2" s="3" t="s">
        <v>154</v>
      </c>
      <c r="C2" s="2">
        <v>2</v>
      </c>
      <c r="D2" s="2">
        <v>1000</v>
      </c>
      <c r="E2" s="2">
        <v>0</v>
      </c>
      <c r="F2" s="2">
        <v>13.3909</v>
      </c>
    </row>
    <row r="3" spans="1:6">
      <c r="A3" s="3">
        <v>3</v>
      </c>
      <c r="B3" s="3" t="s">
        <v>153</v>
      </c>
      <c r="C3" s="2">
        <v>2</v>
      </c>
      <c r="D3" s="2">
        <v>4269.6167070000001</v>
      </c>
      <c r="E3" s="2">
        <v>0</v>
      </c>
      <c r="F3" s="2">
        <v>33.110966666666663</v>
      </c>
    </row>
    <row r="4" spans="1:6">
      <c r="A4" s="3">
        <v>4</v>
      </c>
      <c r="B4" s="1" t="s">
        <v>152</v>
      </c>
      <c r="C4" s="2">
        <v>2</v>
      </c>
      <c r="D4" s="2">
        <v>6503.1951250000002</v>
      </c>
      <c r="E4" s="2">
        <v>0</v>
      </c>
      <c r="F4" s="2">
        <v>42.073000000000008</v>
      </c>
    </row>
    <row r="5" spans="1:6">
      <c r="A5" s="3">
        <v>7</v>
      </c>
      <c r="B5" s="3" t="s">
        <v>151</v>
      </c>
      <c r="C5" s="2">
        <v>2</v>
      </c>
      <c r="D5" s="2">
        <v>3319.1010179999998</v>
      </c>
      <c r="E5" s="2">
        <v>0</v>
      </c>
      <c r="F5" s="2">
        <v>21.280899999999999</v>
      </c>
    </row>
    <row r="6" spans="1:6">
      <c r="A6" s="3">
        <v>11</v>
      </c>
      <c r="B6" s="3" t="s">
        <v>150</v>
      </c>
      <c r="C6" s="2">
        <v>2</v>
      </c>
      <c r="D6" s="2">
        <v>8559.8257470000008</v>
      </c>
      <c r="E6" s="2">
        <v>0</v>
      </c>
      <c r="F6" s="2">
        <v>80.962966666666659</v>
      </c>
    </row>
    <row r="7" spans="1:6">
      <c r="A7" s="12">
        <v>12</v>
      </c>
      <c r="B7" s="12" t="s">
        <v>149</v>
      </c>
      <c r="C7" s="13"/>
      <c r="D7" s="13"/>
      <c r="E7" s="13">
        <v>1</v>
      </c>
      <c r="F7" s="13">
        <v>62.199933333333334</v>
      </c>
    </row>
    <row r="8" spans="1:6">
      <c r="A8" s="3">
        <v>14</v>
      </c>
      <c r="B8" s="3" t="s">
        <v>148</v>
      </c>
      <c r="C8" s="2">
        <v>3</v>
      </c>
      <c r="D8" s="2">
        <v>21811.427919999998</v>
      </c>
      <c r="E8" s="2">
        <v>1</v>
      </c>
      <c r="F8" s="2">
        <v>84.957100000000011</v>
      </c>
    </row>
    <row r="9" spans="1:6">
      <c r="A9" s="3">
        <v>15</v>
      </c>
      <c r="B9" s="3" t="s">
        <v>147</v>
      </c>
      <c r="C9" s="2">
        <v>1</v>
      </c>
      <c r="D9" s="2">
        <v>22919.096699999998</v>
      </c>
      <c r="E9" s="2">
        <v>0</v>
      </c>
      <c r="F9" s="2">
        <v>65.319000000000031</v>
      </c>
    </row>
    <row r="10" spans="1:6">
      <c r="A10" s="12">
        <v>16</v>
      </c>
      <c r="B10" s="12" t="s">
        <v>146</v>
      </c>
      <c r="C10" s="13"/>
      <c r="D10" s="13"/>
      <c r="E10" s="13">
        <v>1</v>
      </c>
      <c r="F10" s="13">
        <v>52.109766666666658</v>
      </c>
    </row>
    <row r="11" spans="1:6">
      <c r="A11" s="12">
        <v>18</v>
      </c>
      <c r="B11" s="12" t="s">
        <v>145</v>
      </c>
      <c r="C11" s="13"/>
      <c r="D11" s="13"/>
      <c r="E11" s="13">
        <v>1</v>
      </c>
      <c r="F11" s="13">
        <v>85.052999999999983</v>
      </c>
    </row>
    <row r="12" spans="1:6">
      <c r="A12" s="3">
        <v>19</v>
      </c>
      <c r="B12" s="3" t="s">
        <v>144</v>
      </c>
      <c r="C12" s="2">
        <v>2</v>
      </c>
      <c r="D12" s="2">
        <v>710.9835468</v>
      </c>
      <c r="E12" s="2">
        <v>0</v>
      </c>
      <c r="F12" s="2">
        <v>11.654599999999999</v>
      </c>
    </row>
    <row r="13" spans="1:6">
      <c r="A13" s="12">
        <v>21</v>
      </c>
      <c r="B13" s="12" t="s">
        <v>143</v>
      </c>
      <c r="C13" s="13"/>
      <c r="D13" s="13"/>
      <c r="E13" s="13">
        <v>1</v>
      </c>
      <c r="F13" s="13">
        <v>50.605166666666655</v>
      </c>
    </row>
    <row r="14" spans="1:6">
      <c r="A14" s="3">
        <v>22</v>
      </c>
      <c r="B14" s="3" t="s">
        <v>142</v>
      </c>
      <c r="C14" s="2">
        <v>3</v>
      </c>
      <c r="D14" s="2">
        <v>22382.896489999999</v>
      </c>
      <c r="E14" s="2">
        <v>1</v>
      </c>
      <c r="F14" s="2">
        <v>94.596866666666685</v>
      </c>
    </row>
    <row r="15" spans="1:6">
      <c r="A15" s="3">
        <v>24</v>
      </c>
      <c r="B15" s="3" t="s">
        <v>141</v>
      </c>
      <c r="C15" s="2">
        <v>4</v>
      </c>
      <c r="D15" s="2">
        <v>1177.932652</v>
      </c>
      <c r="E15" s="2">
        <v>1</v>
      </c>
      <c r="F15" s="2">
        <v>22.275000000000002</v>
      </c>
    </row>
    <row r="16" spans="1:6">
      <c r="A16" s="3">
        <v>27</v>
      </c>
      <c r="B16" s="3" t="s">
        <v>140</v>
      </c>
      <c r="C16" s="2">
        <v>2</v>
      </c>
      <c r="D16" s="2">
        <v>3166.911008</v>
      </c>
      <c r="E16" s="2">
        <v>0</v>
      </c>
      <c r="F16" s="2">
        <v>43.894666666666666</v>
      </c>
    </row>
    <row r="17" spans="1:6">
      <c r="A17" s="12">
        <v>28</v>
      </c>
      <c r="B17" s="12" t="s">
        <v>139</v>
      </c>
      <c r="C17" s="13"/>
      <c r="D17" s="13"/>
      <c r="E17" s="13">
        <v>1</v>
      </c>
      <c r="F17" s="13">
        <v>30.933900000000008</v>
      </c>
    </row>
    <row r="18" spans="1:6">
      <c r="A18" s="3">
        <v>29</v>
      </c>
      <c r="B18" s="3" t="s">
        <v>138</v>
      </c>
      <c r="C18" s="2">
        <v>4</v>
      </c>
      <c r="D18" s="2">
        <v>5086.3358040000003</v>
      </c>
      <c r="E18" s="2">
        <v>1</v>
      </c>
      <c r="F18" s="2">
        <v>15.523966666666665</v>
      </c>
    </row>
    <row r="19" spans="1:6">
      <c r="A19" s="3">
        <v>31</v>
      </c>
      <c r="B19" s="3" t="s">
        <v>137</v>
      </c>
      <c r="C19" s="2">
        <v>2</v>
      </c>
      <c r="D19" s="2">
        <v>7199.390187</v>
      </c>
      <c r="E19" s="2">
        <v>0</v>
      </c>
      <c r="F19" s="2">
        <v>60.978966666666665</v>
      </c>
    </row>
    <row r="20" spans="1:6">
      <c r="A20" s="3">
        <v>34</v>
      </c>
      <c r="B20" s="3" t="s">
        <v>136</v>
      </c>
      <c r="C20" s="2">
        <v>2</v>
      </c>
      <c r="D20" s="2">
        <v>7087.3317299999999</v>
      </c>
      <c r="E20" s="2">
        <v>0</v>
      </c>
      <c r="F20" s="2">
        <v>56.162200000000006</v>
      </c>
    </row>
    <row r="21" spans="1:6">
      <c r="A21" s="3">
        <v>35</v>
      </c>
      <c r="B21" s="3" t="s">
        <v>135</v>
      </c>
      <c r="C21" s="2">
        <v>4</v>
      </c>
      <c r="D21" s="2">
        <v>676.29903390000004</v>
      </c>
      <c r="E21" s="2">
        <v>1</v>
      </c>
      <c r="F21" s="2">
        <v>8.0998333333333328</v>
      </c>
    </row>
    <row r="22" spans="1:6">
      <c r="A22" s="3">
        <v>36</v>
      </c>
      <c r="B22" s="3" t="s">
        <v>134</v>
      </c>
      <c r="C22" s="2">
        <v>2</v>
      </c>
      <c r="D22" s="2">
        <v>470.15290929999998</v>
      </c>
      <c r="E22" s="2">
        <v>0</v>
      </c>
      <c r="F22" s="2">
        <v>3.6581333333333337</v>
      </c>
    </row>
    <row r="23" spans="1:6">
      <c r="A23" s="3">
        <v>37</v>
      </c>
      <c r="B23" s="3" t="s">
        <v>133</v>
      </c>
      <c r="C23" s="2">
        <v>2</v>
      </c>
      <c r="D23" s="2">
        <v>2000</v>
      </c>
      <c r="E23" s="2">
        <v>0</v>
      </c>
      <c r="F23" s="2">
        <v>11.259099999999998</v>
      </c>
    </row>
    <row r="24" spans="1:6">
      <c r="A24" s="3">
        <v>38</v>
      </c>
      <c r="B24" s="3" t="s">
        <v>132</v>
      </c>
      <c r="C24" s="2">
        <v>2</v>
      </c>
      <c r="D24" s="2">
        <v>2469.1150080000002</v>
      </c>
      <c r="E24" s="2">
        <v>0</v>
      </c>
      <c r="F24" s="2">
        <v>26.999000000000006</v>
      </c>
    </row>
    <row r="25" spans="1:6">
      <c r="A25" s="3">
        <v>39</v>
      </c>
      <c r="B25" s="3" t="s">
        <v>131</v>
      </c>
      <c r="C25" s="2">
        <v>3</v>
      </c>
      <c r="D25" s="2">
        <v>25123.678609999999</v>
      </c>
      <c r="E25" s="2">
        <v>1</v>
      </c>
      <c r="F25" s="2">
        <v>74.95793333333333</v>
      </c>
    </row>
    <row r="26" spans="1:6">
      <c r="A26" s="3">
        <v>42</v>
      </c>
      <c r="B26" s="3" t="s">
        <v>130</v>
      </c>
      <c r="C26" s="2">
        <v>2</v>
      </c>
      <c r="D26" s="2">
        <v>887.01545329999999</v>
      </c>
      <c r="E26" s="2">
        <v>0</v>
      </c>
      <c r="F26" s="2">
        <v>30.390666666666679</v>
      </c>
    </row>
    <row r="27" spans="1:6">
      <c r="A27" s="3">
        <v>43</v>
      </c>
      <c r="B27" s="3" t="s">
        <v>129</v>
      </c>
      <c r="C27" s="2">
        <v>4</v>
      </c>
      <c r="D27" s="2">
        <v>783.97599490000005</v>
      </c>
      <c r="E27" s="2">
        <v>1</v>
      </c>
      <c r="F27" s="2">
        <v>14.878433333333335</v>
      </c>
    </row>
    <row r="28" spans="1:6">
      <c r="A28" s="3">
        <v>44</v>
      </c>
      <c r="B28" s="3" t="s">
        <v>128</v>
      </c>
      <c r="C28" s="2">
        <v>2</v>
      </c>
      <c r="D28" s="2">
        <v>5516.1124319999999</v>
      </c>
      <c r="E28" s="2">
        <v>0</v>
      </c>
      <c r="F28" s="2">
        <v>77.712166666666675</v>
      </c>
    </row>
    <row r="29" spans="1:6">
      <c r="A29" s="3">
        <v>45</v>
      </c>
      <c r="B29" s="3" t="s">
        <v>127</v>
      </c>
      <c r="C29" s="2">
        <v>2</v>
      </c>
      <c r="D29" s="2">
        <v>836.71728459999997</v>
      </c>
      <c r="E29" s="2">
        <v>0</v>
      </c>
      <c r="F29" s="2">
        <v>19.577400000000001</v>
      </c>
    </row>
    <row r="30" spans="1:6">
      <c r="A30" s="3">
        <v>48</v>
      </c>
      <c r="B30" s="3" t="s">
        <v>126</v>
      </c>
      <c r="C30" s="2">
        <v>2</v>
      </c>
      <c r="D30" s="2">
        <v>5519.2294819999997</v>
      </c>
      <c r="E30" s="2">
        <v>0</v>
      </c>
      <c r="F30" s="2">
        <v>58.509133333333338</v>
      </c>
    </row>
    <row r="31" spans="1:6">
      <c r="A31" s="3">
        <v>50</v>
      </c>
      <c r="B31" s="3" t="s">
        <v>125</v>
      </c>
      <c r="C31" s="2">
        <v>4</v>
      </c>
      <c r="D31" s="2">
        <v>3854.8369659999998</v>
      </c>
      <c r="E31" s="2">
        <v>1</v>
      </c>
      <c r="F31" s="2">
        <v>43.829799999999999</v>
      </c>
    </row>
    <row r="32" spans="1:6">
      <c r="A32" s="12">
        <v>51</v>
      </c>
      <c r="B32" s="12" t="s">
        <v>124</v>
      </c>
      <c r="C32" s="13"/>
      <c r="D32" s="13"/>
      <c r="E32" s="13">
        <v>1</v>
      </c>
      <c r="F32" s="13">
        <v>28.027300000000018</v>
      </c>
    </row>
    <row r="33" spans="1:6">
      <c r="A33" s="3">
        <v>53</v>
      </c>
      <c r="B33" s="3" t="s">
        <v>123</v>
      </c>
      <c r="C33" s="2">
        <v>2</v>
      </c>
      <c r="D33" s="2">
        <v>5828.1124289999998</v>
      </c>
      <c r="E33" s="2">
        <v>0</v>
      </c>
      <c r="F33" s="2">
        <v>41.456733333333339</v>
      </c>
    </row>
    <row r="34" spans="1:6">
      <c r="A34" s="12">
        <v>54</v>
      </c>
      <c r="B34" s="12" t="s">
        <v>122</v>
      </c>
      <c r="C34" s="13"/>
      <c r="D34" s="13"/>
      <c r="E34" s="13">
        <v>1</v>
      </c>
      <c r="F34" s="13">
        <v>31.718266666666668</v>
      </c>
    </row>
    <row r="35" spans="1:6">
      <c r="A35" s="12">
        <v>55</v>
      </c>
      <c r="B35" s="12" t="s">
        <v>121</v>
      </c>
      <c r="C35" s="13"/>
      <c r="D35" s="13"/>
      <c r="E35" s="13">
        <v>1</v>
      </c>
      <c r="F35" s="13">
        <v>44.522666666666659</v>
      </c>
    </row>
    <row r="36" spans="1:6">
      <c r="A36" s="3">
        <v>56</v>
      </c>
      <c r="B36" s="3" t="s">
        <v>120</v>
      </c>
      <c r="C36" s="2">
        <v>2</v>
      </c>
      <c r="D36" s="2">
        <v>9900</v>
      </c>
      <c r="E36" s="2">
        <v>0</v>
      </c>
      <c r="F36" s="2">
        <v>65.040800000000004</v>
      </c>
    </row>
    <row r="37" spans="1:6">
      <c r="A37" s="12">
        <v>57</v>
      </c>
      <c r="B37" s="12" t="s">
        <v>119</v>
      </c>
      <c r="C37" s="13"/>
      <c r="D37" s="13"/>
      <c r="E37" s="13">
        <v>1</v>
      </c>
      <c r="F37" s="13">
        <v>50.639133333333341</v>
      </c>
    </row>
    <row r="38" spans="1:6">
      <c r="A38" s="3">
        <v>58</v>
      </c>
      <c r="B38" s="3" t="s">
        <v>118</v>
      </c>
      <c r="C38" s="2">
        <v>1</v>
      </c>
      <c r="D38" s="2">
        <v>25000</v>
      </c>
      <c r="E38" s="2">
        <v>0</v>
      </c>
      <c r="F38" s="2">
        <v>69.303033333333332</v>
      </c>
    </row>
    <row r="39" spans="1:6">
      <c r="A39" s="3">
        <v>59</v>
      </c>
      <c r="B39" s="3" t="s">
        <v>117</v>
      </c>
      <c r="C39" s="2">
        <v>3</v>
      </c>
      <c r="D39" s="2">
        <v>23612.410929999998</v>
      </c>
      <c r="E39" s="2">
        <v>1</v>
      </c>
      <c r="F39" s="2">
        <v>81.230933333333311</v>
      </c>
    </row>
    <row r="40" spans="1:6">
      <c r="A40" s="3">
        <v>62</v>
      </c>
      <c r="B40" s="3" t="s">
        <v>116</v>
      </c>
      <c r="C40" s="2">
        <v>2</v>
      </c>
      <c r="D40" s="2">
        <v>3893.3536509999999</v>
      </c>
      <c r="E40" s="2">
        <v>0</v>
      </c>
      <c r="F40" s="2">
        <v>45.219200000000001</v>
      </c>
    </row>
    <row r="41" spans="1:6">
      <c r="A41" s="3">
        <v>63</v>
      </c>
      <c r="B41" s="3" t="s">
        <v>115</v>
      </c>
      <c r="C41" s="2">
        <v>2</v>
      </c>
      <c r="D41" s="2">
        <v>5407.7671609999998</v>
      </c>
      <c r="E41" s="2">
        <v>0</v>
      </c>
      <c r="F41" s="2">
        <v>43.843699999999998</v>
      </c>
    </row>
    <row r="42" spans="1:6">
      <c r="A42" s="3">
        <v>64</v>
      </c>
      <c r="B42" s="3" t="s">
        <v>114</v>
      </c>
      <c r="C42" s="2">
        <v>2</v>
      </c>
      <c r="D42" s="2">
        <v>2853.4748909999998</v>
      </c>
      <c r="E42" s="2">
        <v>0</v>
      </c>
      <c r="F42" s="2">
        <v>42.561733333333329</v>
      </c>
    </row>
    <row r="43" spans="1:6">
      <c r="A43" s="3">
        <v>65</v>
      </c>
      <c r="B43" s="3" t="s">
        <v>113</v>
      </c>
      <c r="C43" s="2">
        <v>4</v>
      </c>
      <c r="D43" s="2">
        <v>3591.4353550000001</v>
      </c>
      <c r="E43" s="2">
        <v>1</v>
      </c>
      <c r="F43" s="2">
        <v>42.565466666666666</v>
      </c>
    </row>
    <row r="44" spans="1:6">
      <c r="A44" s="12">
        <v>67</v>
      </c>
      <c r="B44" s="12" t="s">
        <v>112</v>
      </c>
      <c r="C44" s="13"/>
      <c r="D44" s="13"/>
      <c r="E44" s="13">
        <v>1</v>
      </c>
      <c r="F44" s="13">
        <v>13.400400000000001</v>
      </c>
    </row>
    <row r="45" spans="1:6">
      <c r="A45" s="12">
        <v>68</v>
      </c>
      <c r="B45" s="12" t="s">
        <v>111</v>
      </c>
      <c r="C45" s="13"/>
      <c r="D45" s="13"/>
      <c r="E45" s="13">
        <v>1</v>
      </c>
      <c r="F45" s="13">
        <v>66.675333333333327</v>
      </c>
    </row>
    <row r="46" spans="1:6">
      <c r="A46" s="3">
        <v>69</v>
      </c>
      <c r="B46" s="3" t="s">
        <v>110</v>
      </c>
      <c r="C46" s="2">
        <v>2</v>
      </c>
      <c r="D46" s="2">
        <v>566.39685069999996</v>
      </c>
      <c r="E46" s="2">
        <v>0</v>
      </c>
      <c r="F46" s="2">
        <v>9.6073000000000004</v>
      </c>
    </row>
    <row r="47" spans="1:6">
      <c r="A47" s="3">
        <v>73</v>
      </c>
      <c r="B47" s="3" t="s">
        <v>109</v>
      </c>
      <c r="C47" s="2">
        <v>1</v>
      </c>
      <c r="D47" s="2">
        <v>20449.50517</v>
      </c>
      <c r="E47" s="2">
        <v>0</v>
      </c>
      <c r="F47" s="2">
        <v>68.077366666666663</v>
      </c>
    </row>
    <row r="48" spans="1:6">
      <c r="A48" s="3">
        <v>74</v>
      </c>
      <c r="B48" s="3" t="s">
        <v>108</v>
      </c>
      <c r="C48" s="2">
        <v>1</v>
      </c>
      <c r="D48" s="2">
        <v>21928.429629999999</v>
      </c>
      <c r="E48" s="2">
        <v>0</v>
      </c>
      <c r="F48" s="2">
        <v>71.194933333333353</v>
      </c>
    </row>
    <row r="49" spans="1:6">
      <c r="A49" s="3">
        <v>78</v>
      </c>
      <c r="B49" s="3" t="s">
        <v>107</v>
      </c>
      <c r="C49" s="2">
        <v>1</v>
      </c>
      <c r="D49" s="2">
        <v>15656.95959</v>
      </c>
      <c r="E49" s="2">
        <v>0</v>
      </c>
      <c r="F49" s="2">
        <v>44.045833333333334</v>
      </c>
    </row>
    <row r="50" spans="1:6">
      <c r="A50" s="3">
        <v>79</v>
      </c>
      <c r="B50" s="3" t="s">
        <v>106</v>
      </c>
      <c r="C50" s="2">
        <v>2</v>
      </c>
      <c r="D50" s="2">
        <v>1164.1215010000001</v>
      </c>
      <c r="E50" s="2">
        <v>0</v>
      </c>
      <c r="F50" s="2">
        <v>24.621133333333329</v>
      </c>
    </row>
    <row r="51" spans="1:6">
      <c r="A51" s="12">
        <v>80</v>
      </c>
      <c r="B51" s="12" t="s">
        <v>105</v>
      </c>
      <c r="C51" s="13"/>
      <c r="D51" s="13"/>
      <c r="E51" s="13">
        <v>1</v>
      </c>
      <c r="F51" s="13">
        <v>50.137566666666672</v>
      </c>
    </row>
    <row r="52" spans="1:6">
      <c r="A52" s="3">
        <v>81</v>
      </c>
      <c r="B52" s="3" t="s">
        <v>104</v>
      </c>
      <c r="C52" s="2">
        <v>1</v>
      </c>
      <c r="D52" s="2">
        <v>22853.3475</v>
      </c>
      <c r="E52" s="2">
        <v>0</v>
      </c>
      <c r="F52" s="2">
        <v>72.461399999999998</v>
      </c>
    </row>
    <row r="53" spans="1:6">
      <c r="A53" s="3">
        <v>82</v>
      </c>
      <c r="B53" s="3" t="s">
        <v>103</v>
      </c>
      <c r="C53" s="2">
        <v>4</v>
      </c>
      <c r="D53" s="2">
        <v>856.62119229999996</v>
      </c>
      <c r="E53" s="2">
        <v>1</v>
      </c>
      <c r="F53" s="2">
        <v>30.055400000000002</v>
      </c>
    </row>
    <row r="54" spans="1:6">
      <c r="A54" s="3">
        <v>84</v>
      </c>
      <c r="B54" s="3" t="s">
        <v>102</v>
      </c>
      <c r="C54" s="2">
        <v>1</v>
      </c>
      <c r="D54" s="2">
        <v>16659.471799999999</v>
      </c>
      <c r="E54" s="2">
        <v>0</v>
      </c>
      <c r="F54" s="2">
        <v>53.996200000000009</v>
      </c>
    </row>
    <row r="55" spans="1:6">
      <c r="A55" s="3">
        <v>89</v>
      </c>
      <c r="B55" s="3" t="s">
        <v>101</v>
      </c>
      <c r="C55" s="2">
        <v>2</v>
      </c>
      <c r="D55" s="2">
        <v>3361.8779070000001</v>
      </c>
      <c r="E55" s="2">
        <v>0</v>
      </c>
      <c r="F55" s="2">
        <v>36.653933333333342</v>
      </c>
    </row>
    <row r="56" spans="1:6">
      <c r="A56" s="3">
        <v>91</v>
      </c>
      <c r="B56" s="3" t="s">
        <v>100</v>
      </c>
      <c r="C56" s="2">
        <v>4</v>
      </c>
      <c r="D56" s="2">
        <v>849.10380810000004</v>
      </c>
      <c r="E56" s="2">
        <v>1</v>
      </c>
      <c r="F56" s="2">
        <v>19.952066666666664</v>
      </c>
    </row>
    <row r="57" spans="1:6">
      <c r="A57" s="3">
        <v>92</v>
      </c>
      <c r="B57" s="3" t="s">
        <v>99</v>
      </c>
      <c r="C57" s="2">
        <v>2</v>
      </c>
      <c r="D57" s="2">
        <v>1096.2152530000001</v>
      </c>
      <c r="E57" s="2">
        <v>0</v>
      </c>
      <c r="F57" s="2">
        <v>17.964266666666671</v>
      </c>
    </row>
    <row r="58" spans="1:6">
      <c r="A58" s="3">
        <v>94</v>
      </c>
      <c r="B58" s="3" t="s">
        <v>98</v>
      </c>
      <c r="C58" s="2">
        <v>2</v>
      </c>
      <c r="D58" s="2">
        <v>1100</v>
      </c>
      <c r="E58" s="2">
        <v>0</v>
      </c>
      <c r="F58" s="2">
        <v>20.815199999999997</v>
      </c>
    </row>
    <row r="59" spans="1:6">
      <c r="A59" s="3">
        <v>97</v>
      </c>
      <c r="B59" s="3" t="s">
        <v>97</v>
      </c>
      <c r="C59" s="2">
        <v>2</v>
      </c>
      <c r="D59" s="2">
        <v>2661.6271980000001</v>
      </c>
      <c r="E59" s="2">
        <v>0</v>
      </c>
      <c r="F59" s="2">
        <v>32.115966666666665</v>
      </c>
    </row>
    <row r="60" spans="1:6">
      <c r="A60" s="12">
        <v>98</v>
      </c>
      <c r="B60" s="12" t="s">
        <v>96</v>
      </c>
      <c r="C60" s="13"/>
      <c r="D60" s="13"/>
      <c r="E60" s="13">
        <v>1</v>
      </c>
      <c r="F60" s="13"/>
    </row>
    <row r="61" spans="1:6">
      <c r="A61" s="3">
        <v>99</v>
      </c>
      <c r="B61" s="3" t="s">
        <v>95</v>
      </c>
      <c r="C61" s="2">
        <v>3</v>
      </c>
      <c r="D61" s="2">
        <v>12715.60824</v>
      </c>
      <c r="E61" s="2">
        <v>1</v>
      </c>
      <c r="F61" s="2">
        <v>61.919699999999999</v>
      </c>
    </row>
    <row r="62" spans="1:6">
      <c r="A62" s="3">
        <v>101</v>
      </c>
      <c r="B62" s="3" t="s">
        <v>94</v>
      </c>
      <c r="C62" s="2">
        <v>4</v>
      </c>
      <c r="D62" s="2">
        <v>1063.579706</v>
      </c>
      <c r="E62" s="2">
        <v>1</v>
      </c>
      <c r="F62" s="2">
        <v>21.636800000000001</v>
      </c>
    </row>
    <row r="63" spans="1:6">
      <c r="A63" s="3">
        <v>102</v>
      </c>
      <c r="B63" s="3" t="s">
        <v>93</v>
      </c>
      <c r="C63" s="2">
        <v>4</v>
      </c>
      <c r="D63" s="2">
        <v>1627.763111</v>
      </c>
      <c r="E63" s="2">
        <v>1</v>
      </c>
      <c r="F63" s="2">
        <v>20.759133333333335</v>
      </c>
    </row>
    <row r="64" spans="1:6">
      <c r="A64" s="3">
        <v>103</v>
      </c>
      <c r="B64" s="3" t="s">
        <v>92</v>
      </c>
      <c r="C64" s="2">
        <v>2</v>
      </c>
      <c r="D64" s="2">
        <v>6601.6238540000004</v>
      </c>
      <c r="E64" s="2">
        <v>0</v>
      </c>
      <c r="F64" s="2">
        <v>45.73449999999999</v>
      </c>
    </row>
    <row r="65" spans="1:6">
      <c r="A65" s="3">
        <v>104</v>
      </c>
      <c r="B65" s="3" t="s">
        <v>91</v>
      </c>
      <c r="C65" s="2">
        <v>2</v>
      </c>
      <c r="D65" s="2">
        <v>3500</v>
      </c>
      <c r="E65" s="2">
        <v>0</v>
      </c>
      <c r="F65" s="2">
        <v>60.242533333333327</v>
      </c>
    </row>
    <row r="66" spans="1:6">
      <c r="A66" s="3">
        <v>105</v>
      </c>
      <c r="B66" s="3" t="s">
        <v>90</v>
      </c>
      <c r="C66" s="2">
        <v>1</v>
      </c>
      <c r="D66" s="2">
        <v>14370.90199</v>
      </c>
      <c r="E66" s="2">
        <v>0</v>
      </c>
      <c r="F66" s="2">
        <v>53.024233333333349</v>
      </c>
    </row>
    <row r="67" spans="1:6">
      <c r="A67" s="3">
        <v>107</v>
      </c>
      <c r="B67" s="3" t="s">
        <v>89</v>
      </c>
      <c r="C67" s="2">
        <v>1</v>
      </c>
      <c r="D67" s="2">
        <v>16454.964189999999</v>
      </c>
      <c r="E67" s="2">
        <v>0</v>
      </c>
      <c r="F67" s="2">
        <v>85.857266666666661</v>
      </c>
    </row>
    <row r="68" spans="1:6">
      <c r="A68" s="3">
        <v>108</v>
      </c>
      <c r="B68" s="3" t="s">
        <v>88</v>
      </c>
      <c r="C68" s="2">
        <v>3</v>
      </c>
      <c r="D68" s="2">
        <v>20988.681850000001</v>
      </c>
      <c r="E68" s="2">
        <v>1</v>
      </c>
      <c r="F68" s="2">
        <v>64.834000000000017</v>
      </c>
    </row>
    <row r="69" spans="1:6">
      <c r="A69" s="3">
        <v>109</v>
      </c>
      <c r="B69" s="3" t="s">
        <v>87</v>
      </c>
      <c r="C69" s="2">
        <v>4</v>
      </c>
      <c r="D69" s="2">
        <v>5247.4458119999999</v>
      </c>
      <c r="E69" s="2">
        <v>1</v>
      </c>
      <c r="F69" s="2">
        <v>43.528833333333338</v>
      </c>
    </row>
    <row r="70" spans="1:6">
      <c r="A70" s="3">
        <v>110</v>
      </c>
      <c r="B70" s="3" t="s">
        <v>86</v>
      </c>
      <c r="C70" s="2">
        <v>1</v>
      </c>
      <c r="D70" s="2">
        <v>21875.399990000002</v>
      </c>
      <c r="E70" s="2">
        <v>0</v>
      </c>
      <c r="F70" s="2">
        <v>73.343033333333324</v>
      </c>
    </row>
    <row r="71" spans="1:6">
      <c r="A71" s="3">
        <v>112</v>
      </c>
      <c r="B71" s="3" t="s">
        <v>85</v>
      </c>
      <c r="C71" s="2">
        <v>4</v>
      </c>
      <c r="D71" s="2">
        <v>3972.8567200000002</v>
      </c>
      <c r="E71" s="2">
        <v>1</v>
      </c>
      <c r="F71" s="2">
        <v>59.62833333333333</v>
      </c>
    </row>
    <row r="72" spans="1:6">
      <c r="A72" s="12">
        <v>113</v>
      </c>
      <c r="B72" s="12" t="s">
        <v>84</v>
      </c>
      <c r="C72" s="13"/>
      <c r="D72" s="13"/>
      <c r="E72" s="13">
        <v>1</v>
      </c>
      <c r="F72" s="13">
        <v>51.906300000000009</v>
      </c>
    </row>
    <row r="73" spans="1:6">
      <c r="A73" s="3">
        <v>114</v>
      </c>
      <c r="B73" s="3" t="s">
        <v>83</v>
      </c>
      <c r="C73" s="2">
        <v>4</v>
      </c>
      <c r="D73" s="2">
        <v>1351.5256260000001</v>
      </c>
      <c r="E73" s="2">
        <v>1</v>
      </c>
      <c r="F73" s="2">
        <v>12.744933333333334</v>
      </c>
    </row>
    <row r="74" spans="1:6">
      <c r="A74" s="3">
        <v>116</v>
      </c>
      <c r="B74" s="3" t="s">
        <v>82</v>
      </c>
      <c r="C74" s="2">
        <v>2</v>
      </c>
      <c r="D74" s="2">
        <v>1800</v>
      </c>
      <c r="E74" s="2">
        <v>0</v>
      </c>
      <c r="F74" s="2">
        <v>53.607233333333348</v>
      </c>
    </row>
    <row r="75" spans="1:6">
      <c r="A75" s="3">
        <v>117</v>
      </c>
      <c r="B75" s="3" t="s">
        <v>81</v>
      </c>
      <c r="C75" s="2">
        <v>2</v>
      </c>
      <c r="D75" s="2">
        <v>7909.6841000000004</v>
      </c>
      <c r="E75" s="2">
        <v>0</v>
      </c>
      <c r="F75" s="2">
        <v>49.679066666666664</v>
      </c>
    </row>
    <row r="76" spans="1:6">
      <c r="A76" s="3">
        <v>118</v>
      </c>
      <c r="B76" s="3" t="s">
        <v>80</v>
      </c>
      <c r="C76" s="2">
        <v>1</v>
      </c>
      <c r="D76" s="2">
        <v>26520.201880000001</v>
      </c>
      <c r="E76" s="2">
        <v>0</v>
      </c>
      <c r="F76" s="2">
        <v>89.290600000000012</v>
      </c>
    </row>
    <row r="77" spans="1:6">
      <c r="A77" s="12">
        <v>119</v>
      </c>
      <c r="B77" s="12" t="s">
        <v>79</v>
      </c>
      <c r="C77" s="13"/>
      <c r="D77" s="13"/>
      <c r="E77" s="13">
        <v>1</v>
      </c>
      <c r="F77" s="13">
        <v>37.474266666666672</v>
      </c>
    </row>
    <row r="78" spans="1:6">
      <c r="A78" s="12">
        <v>120</v>
      </c>
      <c r="B78" s="12" t="s">
        <v>78</v>
      </c>
      <c r="C78" s="13"/>
      <c r="D78" s="13"/>
      <c r="E78" s="13">
        <v>1</v>
      </c>
      <c r="F78" s="13">
        <v>11.275100000000002</v>
      </c>
    </row>
    <row r="79" spans="1:6">
      <c r="A79" s="12">
        <v>121</v>
      </c>
      <c r="B79" s="12" t="s">
        <v>77</v>
      </c>
      <c r="C79" s="13"/>
      <c r="D79" s="13"/>
      <c r="E79" s="13">
        <v>1</v>
      </c>
      <c r="F79" s="13">
        <v>63.342300000000002</v>
      </c>
    </row>
    <row r="80" spans="1:6">
      <c r="A80" s="3">
        <v>122</v>
      </c>
      <c r="B80" s="3" t="s">
        <v>76</v>
      </c>
      <c r="C80" s="2">
        <v>2</v>
      </c>
      <c r="D80" s="2">
        <v>6131.089422</v>
      </c>
      <c r="E80" s="2">
        <v>0</v>
      </c>
      <c r="F80" s="2">
        <v>66.215199999999996</v>
      </c>
    </row>
    <row r="81" spans="1:6">
      <c r="A81" s="3">
        <v>123</v>
      </c>
      <c r="B81" s="3" t="s">
        <v>75</v>
      </c>
      <c r="C81" s="2">
        <v>2</v>
      </c>
      <c r="D81" s="2">
        <v>412.09228869999998</v>
      </c>
      <c r="E81" s="2">
        <v>0</v>
      </c>
      <c r="F81" s="2">
        <v>9.7866999999999997</v>
      </c>
    </row>
    <row r="82" spans="1:6">
      <c r="A82" s="3">
        <v>124</v>
      </c>
      <c r="B82" s="3" t="s">
        <v>74</v>
      </c>
      <c r="C82" s="2">
        <v>2</v>
      </c>
      <c r="D82" s="2">
        <v>1303.3341129999999</v>
      </c>
      <c r="E82" s="2">
        <v>0</v>
      </c>
      <c r="F82" s="2">
        <v>30.827133333333336</v>
      </c>
    </row>
    <row r="83" spans="1:6">
      <c r="A83" s="3">
        <v>125</v>
      </c>
      <c r="B83" s="3" t="s">
        <v>73</v>
      </c>
      <c r="C83" s="2">
        <v>1</v>
      </c>
      <c r="D83" s="2">
        <v>13000</v>
      </c>
      <c r="E83" s="2">
        <v>0</v>
      </c>
      <c r="F83" s="2">
        <v>58.00483333333333</v>
      </c>
    </row>
    <row r="84" spans="1:6">
      <c r="A84" s="12">
        <v>127</v>
      </c>
      <c r="B84" s="12" t="s">
        <v>72</v>
      </c>
      <c r="C84" s="13"/>
      <c r="D84" s="13"/>
      <c r="E84" s="13">
        <v>1</v>
      </c>
      <c r="F84" s="13">
        <v>55.36996666666667</v>
      </c>
    </row>
    <row r="85" spans="1:6">
      <c r="A85" s="12">
        <v>130</v>
      </c>
      <c r="B85" s="12" t="s">
        <v>71</v>
      </c>
      <c r="C85" s="13"/>
      <c r="D85" s="13"/>
      <c r="E85" s="13">
        <v>1</v>
      </c>
      <c r="F85" s="13">
        <v>49.241566666666678</v>
      </c>
    </row>
    <row r="86" spans="1:6">
      <c r="A86" s="3">
        <v>131</v>
      </c>
      <c r="B86" s="3" t="s">
        <v>70</v>
      </c>
      <c r="C86" s="2">
        <v>2</v>
      </c>
      <c r="D86" s="2">
        <v>1054.1358190000001</v>
      </c>
      <c r="E86" s="2">
        <v>0</v>
      </c>
      <c r="F86" s="2">
        <v>16.777733333333334</v>
      </c>
    </row>
    <row r="87" spans="1:6">
      <c r="A87" s="3">
        <v>132</v>
      </c>
      <c r="B87" s="3" t="s">
        <v>69</v>
      </c>
      <c r="C87" s="2">
        <v>4</v>
      </c>
      <c r="D87" s="2">
        <v>614.35602649999998</v>
      </c>
      <c r="E87" s="2">
        <v>1</v>
      </c>
      <c r="F87" s="2">
        <v>7.7530000000000019</v>
      </c>
    </row>
    <row r="88" spans="1:6">
      <c r="A88" s="3">
        <v>133</v>
      </c>
      <c r="B88" s="3" t="s">
        <v>68</v>
      </c>
      <c r="C88" s="2">
        <v>2</v>
      </c>
      <c r="D88" s="2">
        <v>5654.7528469999997</v>
      </c>
      <c r="E88" s="2">
        <v>0</v>
      </c>
      <c r="F88" s="2">
        <v>38.245266666666673</v>
      </c>
    </row>
    <row r="89" spans="1:6">
      <c r="A89" s="3">
        <v>135</v>
      </c>
      <c r="B89" s="3" t="s">
        <v>67</v>
      </c>
      <c r="C89" s="2">
        <v>4</v>
      </c>
      <c r="D89" s="2">
        <v>657.04991919999998</v>
      </c>
      <c r="E89" s="2">
        <v>1</v>
      </c>
      <c r="F89" s="2">
        <v>16.849766666666667</v>
      </c>
    </row>
    <row r="90" spans="1:6">
      <c r="A90" s="3">
        <v>139</v>
      </c>
      <c r="B90" s="3" t="s">
        <v>66</v>
      </c>
      <c r="C90" s="2">
        <v>4</v>
      </c>
      <c r="D90" s="2">
        <v>1615.7270779999999</v>
      </c>
      <c r="E90" s="2">
        <v>1</v>
      </c>
      <c r="F90" s="2">
        <v>22.357100000000003</v>
      </c>
    </row>
    <row r="91" spans="1:6">
      <c r="A91" s="12">
        <v>140</v>
      </c>
      <c r="B91" s="12" t="s">
        <v>65</v>
      </c>
      <c r="C91" s="13"/>
      <c r="D91" s="13"/>
      <c r="E91" s="13">
        <v>1</v>
      </c>
      <c r="F91" s="13">
        <v>41.126800000000003</v>
      </c>
    </row>
    <row r="92" spans="1:6">
      <c r="A92" s="3">
        <v>142</v>
      </c>
      <c r="B92" s="3" t="s">
        <v>64</v>
      </c>
      <c r="C92" s="2">
        <v>1</v>
      </c>
      <c r="D92" s="2">
        <v>10010.12811</v>
      </c>
      <c r="E92" s="2">
        <v>0</v>
      </c>
      <c r="F92" s="2">
        <v>62.525433333333332</v>
      </c>
    </row>
    <row r="93" spans="1:6">
      <c r="A93" s="12">
        <v>144</v>
      </c>
      <c r="B93" s="12" t="s">
        <v>63</v>
      </c>
      <c r="C93" s="13"/>
      <c r="D93" s="13"/>
      <c r="E93" s="13">
        <v>1</v>
      </c>
      <c r="F93" s="13">
        <v>36.307633333333335</v>
      </c>
    </row>
    <row r="94" spans="1:6">
      <c r="A94" s="3">
        <v>146</v>
      </c>
      <c r="B94" s="3" t="s">
        <v>62</v>
      </c>
      <c r="C94" s="2">
        <v>4</v>
      </c>
      <c r="D94" s="2">
        <v>2328.6066890000002</v>
      </c>
      <c r="E94" s="2">
        <v>1</v>
      </c>
      <c r="F94" s="2">
        <v>48.572733333333318</v>
      </c>
    </row>
    <row r="95" spans="1:6">
      <c r="A95" s="3">
        <v>148</v>
      </c>
      <c r="B95" s="3" t="s">
        <v>61</v>
      </c>
      <c r="C95" s="2">
        <v>4</v>
      </c>
      <c r="D95" s="2">
        <v>2450.349968</v>
      </c>
      <c r="E95" s="2">
        <v>1</v>
      </c>
      <c r="F95" s="2">
        <v>38.469900000000003</v>
      </c>
    </row>
    <row r="96" spans="1:6">
      <c r="A96" s="3">
        <v>149</v>
      </c>
      <c r="B96" s="3" t="s">
        <v>60</v>
      </c>
      <c r="C96" s="2">
        <v>2</v>
      </c>
      <c r="D96" s="2">
        <v>365.23229900000001</v>
      </c>
      <c r="E96" s="2">
        <v>0</v>
      </c>
      <c r="F96" s="2">
        <v>10.510733333333331</v>
      </c>
    </row>
    <row r="97" spans="1:6">
      <c r="A97" s="3">
        <v>150</v>
      </c>
      <c r="B97" s="3" t="s">
        <v>59</v>
      </c>
      <c r="C97" s="2">
        <v>2</v>
      </c>
      <c r="D97" s="2">
        <v>378.93861290000001</v>
      </c>
      <c r="E97" s="2">
        <v>0</v>
      </c>
      <c r="F97" s="2">
        <v>23.038733333333344</v>
      </c>
    </row>
    <row r="98" spans="1:6">
      <c r="A98" s="3">
        <v>151</v>
      </c>
      <c r="B98" s="3" t="s">
        <v>58</v>
      </c>
      <c r="C98" s="2">
        <v>2</v>
      </c>
      <c r="D98" s="2">
        <v>4368.6515630000004</v>
      </c>
      <c r="E98" s="2">
        <v>0</v>
      </c>
      <c r="F98" s="2">
        <v>23.527866666666664</v>
      </c>
    </row>
    <row r="99" spans="1:6">
      <c r="A99" s="3">
        <v>153</v>
      </c>
      <c r="B99" s="3" t="s">
        <v>57</v>
      </c>
      <c r="C99" s="2">
        <v>2</v>
      </c>
      <c r="D99" s="2">
        <v>642.49515789999998</v>
      </c>
      <c r="E99" s="2">
        <v>0</v>
      </c>
      <c r="F99" s="2">
        <v>5.4507333333333312</v>
      </c>
    </row>
    <row r="100" spans="1:6">
      <c r="A100" s="3">
        <v>154</v>
      </c>
      <c r="B100" s="3" t="s">
        <v>56</v>
      </c>
      <c r="C100" s="2">
        <v>3</v>
      </c>
      <c r="D100" s="2">
        <v>23441.659670000001</v>
      </c>
      <c r="E100" s="2">
        <v>1</v>
      </c>
      <c r="F100" s="2">
        <v>63.695700000000009</v>
      </c>
    </row>
    <row r="101" spans="1:6">
      <c r="A101" s="3">
        <v>157</v>
      </c>
      <c r="B101" s="3" t="s">
        <v>55</v>
      </c>
      <c r="C101" s="2">
        <v>1</v>
      </c>
      <c r="D101" s="2">
        <v>18754.85917</v>
      </c>
      <c r="E101" s="2">
        <v>0</v>
      </c>
      <c r="F101" s="2">
        <v>81.852733333333362</v>
      </c>
    </row>
    <row r="102" spans="1:6">
      <c r="A102" s="3">
        <v>158</v>
      </c>
      <c r="B102" s="3" t="s">
        <v>54</v>
      </c>
      <c r="C102" s="2">
        <v>2</v>
      </c>
      <c r="D102" s="2">
        <v>2401.642875</v>
      </c>
      <c r="E102" s="2">
        <v>0</v>
      </c>
      <c r="F102" s="2">
        <v>47.797433333333323</v>
      </c>
    </row>
    <row r="103" spans="1:6">
      <c r="A103" s="3">
        <v>159</v>
      </c>
      <c r="B103" s="3" t="s">
        <v>53</v>
      </c>
      <c r="C103" s="2">
        <v>4</v>
      </c>
      <c r="D103" s="2">
        <v>771.11228879999999</v>
      </c>
      <c r="E103" s="2">
        <v>1</v>
      </c>
      <c r="F103" s="2">
        <v>11.089833333333333</v>
      </c>
    </row>
    <row r="104" spans="1:6">
      <c r="A104" s="3">
        <v>160</v>
      </c>
      <c r="B104" s="3" t="s">
        <v>52</v>
      </c>
      <c r="C104" s="2">
        <v>2</v>
      </c>
      <c r="D104" s="2">
        <v>1288.1260709999999</v>
      </c>
      <c r="E104" s="2">
        <v>0</v>
      </c>
      <c r="F104" s="2">
        <v>26.066600000000001</v>
      </c>
    </row>
    <row r="105" spans="1:6">
      <c r="A105" s="3">
        <v>164</v>
      </c>
      <c r="B105" s="3" t="s">
        <v>51</v>
      </c>
      <c r="C105" s="2">
        <v>1</v>
      </c>
      <c r="D105" s="2">
        <v>29664.009900000001</v>
      </c>
      <c r="E105" s="2">
        <v>0</v>
      </c>
      <c r="F105" s="2">
        <v>66.024599999999992</v>
      </c>
    </row>
    <row r="106" spans="1:6">
      <c r="A106" s="12">
        <v>165</v>
      </c>
      <c r="B106" s="12" t="s">
        <v>50</v>
      </c>
      <c r="C106" s="13"/>
      <c r="D106" s="13"/>
      <c r="E106" s="13">
        <v>1</v>
      </c>
      <c r="F106" s="13">
        <v>40.179700000000004</v>
      </c>
    </row>
    <row r="107" spans="1:6">
      <c r="A107" s="3">
        <v>166</v>
      </c>
      <c r="B107" s="3" t="s">
        <v>49</v>
      </c>
      <c r="C107" s="2">
        <v>2</v>
      </c>
      <c r="D107" s="2">
        <v>1450.905573</v>
      </c>
      <c r="E107" s="2">
        <v>0</v>
      </c>
      <c r="F107" s="2">
        <v>26.544366666666672</v>
      </c>
    </row>
    <row r="108" spans="1:6">
      <c r="A108" s="12">
        <v>168</v>
      </c>
      <c r="B108" s="12" t="s">
        <v>48</v>
      </c>
      <c r="C108" s="13"/>
      <c r="D108" s="13"/>
      <c r="E108" s="13">
        <v>1</v>
      </c>
      <c r="F108" s="13"/>
    </row>
    <row r="109" spans="1:6">
      <c r="A109" s="3">
        <v>169</v>
      </c>
      <c r="B109" s="3" t="s">
        <v>47</v>
      </c>
      <c r="C109" s="2">
        <v>2</v>
      </c>
      <c r="D109" s="2">
        <v>6610.2076010000001</v>
      </c>
      <c r="E109" s="2">
        <v>0</v>
      </c>
      <c r="F109" s="2">
        <v>48.745199999999997</v>
      </c>
    </row>
    <row r="110" spans="1:6">
      <c r="A110" s="3">
        <v>170</v>
      </c>
      <c r="B110" s="3" t="s">
        <v>46</v>
      </c>
      <c r="C110" s="2">
        <v>2</v>
      </c>
      <c r="D110" s="2">
        <v>1812.9961800000001</v>
      </c>
      <c r="E110" s="2">
        <v>0</v>
      </c>
      <c r="F110" s="2">
        <v>10.787900000000002</v>
      </c>
    </row>
    <row r="111" spans="1:6">
      <c r="A111" s="3">
        <v>171</v>
      </c>
      <c r="B111" s="3" t="s">
        <v>45</v>
      </c>
      <c r="C111" s="2">
        <v>2</v>
      </c>
      <c r="D111" s="2">
        <v>3886.6983019999998</v>
      </c>
      <c r="E111" s="2">
        <v>0</v>
      </c>
      <c r="F111" s="2">
        <v>40.400666666666652</v>
      </c>
    </row>
    <row r="112" spans="1:6">
      <c r="A112" s="3">
        <v>172</v>
      </c>
      <c r="B112" s="3" t="s">
        <v>44</v>
      </c>
      <c r="C112" s="2">
        <v>2</v>
      </c>
      <c r="D112" s="2">
        <v>5581.829694</v>
      </c>
      <c r="E112" s="2">
        <v>0</v>
      </c>
      <c r="F112" s="2">
        <v>60.373000000000005</v>
      </c>
    </row>
    <row r="113" spans="1:6">
      <c r="A113" s="3">
        <v>173</v>
      </c>
      <c r="B113" s="3" t="s">
        <v>43</v>
      </c>
      <c r="C113" s="2">
        <v>2</v>
      </c>
      <c r="D113" s="2">
        <v>2564.2383220000002</v>
      </c>
      <c r="E113" s="2">
        <v>0</v>
      </c>
      <c r="F113" s="2">
        <v>36.990466666666663</v>
      </c>
    </row>
    <row r="114" spans="1:6">
      <c r="A114" s="3">
        <v>175</v>
      </c>
      <c r="B114" s="3" t="s">
        <v>42</v>
      </c>
      <c r="C114" s="2">
        <v>2</v>
      </c>
      <c r="D114" s="2">
        <v>8180.373071</v>
      </c>
      <c r="E114" s="2">
        <v>0</v>
      </c>
      <c r="F114" s="2">
        <v>55.246299999999998</v>
      </c>
    </row>
    <row r="115" spans="1:6">
      <c r="A115" s="3">
        <v>176</v>
      </c>
      <c r="B115" s="3" t="s">
        <v>41</v>
      </c>
      <c r="C115" s="2">
        <v>1</v>
      </c>
      <c r="D115" s="2">
        <v>13353.04428</v>
      </c>
      <c r="E115" s="2">
        <v>0</v>
      </c>
      <c r="F115" s="2">
        <v>41.210500000000003</v>
      </c>
    </row>
    <row r="116" spans="1:6">
      <c r="A116" s="3">
        <v>177</v>
      </c>
      <c r="B116" s="3" t="s">
        <v>40</v>
      </c>
      <c r="C116" s="2">
        <v>3</v>
      </c>
      <c r="D116" s="2">
        <v>16000</v>
      </c>
      <c r="E116" s="2">
        <v>1</v>
      </c>
      <c r="F116" s="2">
        <v>61.633200000000002</v>
      </c>
    </row>
    <row r="117" spans="1:6">
      <c r="A117" s="12">
        <v>178</v>
      </c>
      <c r="B117" s="12" t="s">
        <v>39</v>
      </c>
      <c r="C117" s="13"/>
      <c r="D117" s="13"/>
      <c r="E117" s="13">
        <v>1</v>
      </c>
      <c r="F117" s="13">
        <v>88.959233333333316</v>
      </c>
    </row>
    <row r="118" spans="1:6">
      <c r="A118" s="3">
        <v>180</v>
      </c>
      <c r="B118" s="3" t="s">
        <v>38</v>
      </c>
      <c r="C118" s="2">
        <v>2</v>
      </c>
      <c r="D118" s="2">
        <v>8459.8775929999993</v>
      </c>
      <c r="E118" s="2">
        <v>0</v>
      </c>
      <c r="F118" s="2">
        <v>43.695299999999996</v>
      </c>
    </row>
    <row r="119" spans="1:6">
      <c r="A119" s="3">
        <v>181</v>
      </c>
      <c r="B119" s="3" t="s">
        <v>37</v>
      </c>
      <c r="C119" s="2">
        <v>3</v>
      </c>
      <c r="D119" s="2">
        <v>12846.01706</v>
      </c>
      <c r="E119" s="2">
        <v>1</v>
      </c>
      <c r="F119" s="2">
        <v>65.712299999999999</v>
      </c>
    </row>
    <row r="120" spans="1:6">
      <c r="A120" s="3">
        <v>182</v>
      </c>
      <c r="B120" s="3" t="s">
        <v>36</v>
      </c>
      <c r="C120" s="2">
        <v>2</v>
      </c>
      <c r="D120" s="2">
        <v>786.26164070000004</v>
      </c>
      <c r="E120" s="2">
        <v>0</v>
      </c>
      <c r="F120" s="2">
        <v>3.9911000000000008</v>
      </c>
    </row>
    <row r="121" spans="1:6">
      <c r="A121" s="3">
        <v>191</v>
      </c>
      <c r="B121" s="3" t="s">
        <v>35</v>
      </c>
      <c r="C121" s="2">
        <v>1</v>
      </c>
      <c r="D121" s="2">
        <v>22209.258890000001</v>
      </c>
      <c r="E121" s="2">
        <v>0</v>
      </c>
      <c r="F121" s="2">
        <v>57.123966666666661</v>
      </c>
    </row>
    <row r="122" spans="1:6">
      <c r="A122" s="3">
        <v>192</v>
      </c>
      <c r="B122" s="3" t="s">
        <v>34</v>
      </c>
      <c r="C122" s="2">
        <v>4</v>
      </c>
      <c r="D122" s="2">
        <v>1541.2844270000001</v>
      </c>
      <c r="E122" s="2">
        <v>1</v>
      </c>
      <c r="F122" s="2">
        <v>32.650333333333329</v>
      </c>
    </row>
    <row r="123" spans="1:6">
      <c r="A123" s="3">
        <v>195</v>
      </c>
      <c r="B123" s="3" t="s">
        <v>33</v>
      </c>
      <c r="C123" s="2">
        <v>4</v>
      </c>
      <c r="D123" s="2">
        <v>764.07026099999996</v>
      </c>
      <c r="E123" s="2">
        <v>1</v>
      </c>
      <c r="F123" s="2">
        <v>26.303499999999996</v>
      </c>
    </row>
    <row r="124" spans="1:6">
      <c r="A124" s="12">
        <v>196</v>
      </c>
      <c r="B124" s="12" t="s">
        <v>32</v>
      </c>
      <c r="C124" s="13"/>
      <c r="D124" s="13"/>
      <c r="E124" s="13">
        <v>1</v>
      </c>
      <c r="F124" s="13">
        <v>100</v>
      </c>
    </row>
    <row r="125" spans="1:6">
      <c r="A125" s="12">
        <v>197</v>
      </c>
      <c r="B125" s="12" t="s">
        <v>31</v>
      </c>
      <c r="C125" s="13"/>
      <c r="D125" s="13"/>
      <c r="E125" s="13">
        <v>1</v>
      </c>
      <c r="F125" s="13">
        <v>46.24186666666666</v>
      </c>
    </row>
    <row r="126" spans="1:6">
      <c r="A126" s="12">
        <v>198</v>
      </c>
      <c r="B126" s="12" t="s">
        <v>30</v>
      </c>
      <c r="C126" s="13"/>
      <c r="D126" s="13"/>
      <c r="E126" s="13">
        <v>1</v>
      </c>
      <c r="F126" s="13">
        <v>41.834933333333339</v>
      </c>
    </row>
    <row r="127" spans="1:6">
      <c r="A127" s="3">
        <v>200</v>
      </c>
      <c r="B127" s="3" t="s">
        <v>29</v>
      </c>
      <c r="C127" s="2">
        <v>4</v>
      </c>
      <c r="D127" s="2">
        <v>600</v>
      </c>
      <c r="E127" s="2">
        <v>1</v>
      </c>
      <c r="F127" s="2">
        <v>24.614933333333333</v>
      </c>
    </row>
    <row r="128" spans="1:6">
      <c r="A128" s="3">
        <v>201</v>
      </c>
      <c r="B128" s="3" t="s">
        <v>28</v>
      </c>
      <c r="C128" s="2">
        <v>2</v>
      </c>
      <c r="D128" s="2">
        <v>8332.619616</v>
      </c>
      <c r="E128" s="2">
        <v>0</v>
      </c>
      <c r="F128" s="2">
        <v>48.472133333333332</v>
      </c>
    </row>
    <row r="129" spans="1:6">
      <c r="A129" s="3">
        <v>203</v>
      </c>
      <c r="B129" s="3" t="s">
        <v>27</v>
      </c>
      <c r="C129" s="2">
        <v>1</v>
      </c>
      <c r="D129" s="2">
        <v>16883.63193</v>
      </c>
      <c r="E129" s="2">
        <v>0</v>
      </c>
      <c r="F129" s="2">
        <v>68.620899999999992</v>
      </c>
    </row>
    <row r="130" spans="1:6">
      <c r="A130" s="3">
        <v>204</v>
      </c>
      <c r="B130" s="3" t="s">
        <v>26</v>
      </c>
      <c r="C130" s="2">
        <v>2</v>
      </c>
      <c r="D130" s="2">
        <v>1788.6289670000001</v>
      </c>
      <c r="E130" s="2">
        <v>0</v>
      </c>
      <c r="F130" s="2">
        <v>18.379633333333334</v>
      </c>
    </row>
    <row r="131" spans="1:6">
      <c r="A131" s="3">
        <v>205</v>
      </c>
      <c r="B131" s="3" t="s">
        <v>25</v>
      </c>
      <c r="C131" s="2">
        <v>4</v>
      </c>
      <c r="D131" s="2">
        <v>1054.9745210000001</v>
      </c>
      <c r="E131" s="2">
        <v>1</v>
      </c>
      <c r="F131" s="2">
        <v>18.866566666666667</v>
      </c>
    </row>
    <row r="132" spans="1:6">
      <c r="A132" s="3">
        <v>208</v>
      </c>
      <c r="B132" s="3" t="s">
        <v>24</v>
      </c>
      <c r="C132" s="2">
        <v>4</v>
      </c>
      <c r="D132" s="2">
        <v>2866.6203620000001</v>
      </c>
      <c r="E132" s="2">
        <v>1</v>
      </c>
      <c r="F132" s="2">
        <v>14.193833333333336</v>
      </c>
    </row>
    <row r="133" spans="1:6">
      <c r="A133" s="3">
        <v>209</v>
      </c>
      <c r="B133" s="3" t="s">
        <v>23</v>
      </c>
      <c r="C133" s="2">
        <v>1</v>
      </c>
      <c r="D133" s="2">
        <v>22502.77347</v>
      </c>
      <c r="E133" s="2">
        <v>0</v>
      </c>
      <c r="F133" s="2">
        <v>80.977166666666648</v>
      </c>
    </row>
    <row r="134" spans="1:6">
      <c r="A134" s="3">
        <v>210</v>
      </c>
      <c r="B134" s="3" t="s">
        <v>22</v>
      </c>
      <c r="C134" s="2">
        <v>1</v>
      </c>
      <c r="D134" s="2">
        <v>30299.480240000001</v>
      </c>
      <c r="E134" s="2">
        <v>0</v>
      </c>
      <c r="F134" s="2">
        <v>59.261000000000003</v>
      </c>
    </row>
    <row r="135" spans="1:6">
      <c r="A135" s="3">
        <v>211</v>
      </c>
      <c r="B135" s="3" t="s">
        <v>21</v>
      </c>
      <c r="C135" s="2">
        <v>4</v>
      </c>
      <c r="D135" s="2">
        <v>3158.4667899999999</v>
      </c>
      <c r="E135" s="2">
        <v>1</v>
      </c>
      <c r="F135" s="2">
        <v>44.512133333333331</v>
      </c>
    </row>
    <row r="136" spans="1:6">
      <c r="A136" s="12">
        <v>213</v>
      </c>
      <c r="B136" s="12" t="s">
        <v>20</v>
      </c>
      <c r="C136" s="13"/>
      <c r="D136" s="13"/>
      <c r="E136" s="13">
        <v>1</v>
      </c>
      <c r="F136" s="13">
        <v>34.55833333333333</v>
      </c>
    </row>
    <row r="137" spans="1:6">
      <c r="A137" s="3">
        <v>214</v>
      </c>
      <c r="B137" s="3" t="s">
        <v>19</v>
      </c>
      <c r="C137" s="2">
        <v>2</v>
      </c>
      <c r="D137" s="2">
        <v>837.53527570000006</v>
      </c>
      <c r="E137" s="2">
        <v>0</v>
      </c>
      <c r="F137" s="2">
        <v>11.629800000000001</v>
      </c>
    </row>
    <row r="138" spans="1:6">
      <c r="A138" s="3">
        <v>215</v>
      </c>
      <c r="B138" s="3" t="s">
        <v>18</v>
      </c>
      <c r="C138" s="2">
        <v>2</v>
      </c>
      <c r="D138" s="2">
        <v>2874.940552</v>
      </c>
      <c r="E138" s="2">
        <v>0</v>
      </c>
      <c r="F138" s="2">
        <v>24.21286666666667</v>
      </c>
    </row>
    <row r="139" spans="1:6">
      <c r="A139" s="12">
        <v>216</v>
      </c>
      <c r="B139" s="12" t="s">
        <v>17</v>
      </c>
      <c r="C139" s="13"/>
      <c r="D139" s="13"/>
      <c r="E139" s="13">
        <v>1</v>
      </c>
      <c r="F139" s="13">
        <v>15.06993333333333</v>
      </c>
    </row>
    <row r="140" spans="1:6">
      <c r="A140" s="3">
        <v>217</v>
      </c>
      <c r="B140" s="3" t="s">
        <v>16</v>
      </c>
      <c r="C140" s="2">
        <v>4</v>
      </c>
      <c r="D140" s="2">
        <v>943.69275849999997</v>
      </c>
      <c r="E140" s="2">
        <v>1</v>
      </c>
      <c r="F140" s="2">
        <v>21.929099999999995</v>
      </c>
    </row>
    <row r="141" spans="1:6">
      <c r="A141" s="3">
        <v>220</v>
      </c>
      <c r="B141" s="3" t="s">
        <v>15</v>
      </c>
      <c r="C141" s="2">
        <v>1</v>
      </c>
      <c r="D141" s="2">
        <v>12779.409589999999</v>
      </c>
      <c r="E141" s="2">
        <v>0</v>
      </c>
      <c r="F141" s="2">
        <v>11.685833333333335</v>
      </c>
    </row>
    <row r="142" spans="1:6">
      <c r="A142" s="3">
        <v>221</v>
      </c>
      <c r="B142" s="3" t="s">
        <v>14</v>
      </c>
      <c r="C142" s="2">
        <v>2</v>
      </c>
      <c r="D142" s="2">
        <v>4246.0986000000003</v>
      </c>
      <c r="E142" s="2">
        <v>0</v>
      </c>
      <c r="F142" s="2">
        <v>47.495666666666665</v>
      </c>
    </row>
    <row r="143" spans="1:6">
      <c r="A143" s="3">
        <v>222</v>
      </c>
      <c r="B143" s="3" t="s">
        <v>13</v>
      </c>
      <c r="C143" s="2">
        <v>4</v>
      </c>
      <c r="D143" s="2">
        <v>6992.1891889999997</v>
      </c>
      <c r="E143" s="2">
        <v>1</v>
      </c>
      <c r="F143" s="2">
        <v>43.067133333333338</v>
      </c>
    </row>
    <row r="144" spans="1:6">
      <c r="A144" s="12">
        <v>223</v>
      </c>
      <c r="B144" s="12" t="s">
        <v>12</v>
      </c>
      <c r="C144" s="13"/>
      <c r="D144" s="13"/>
      <c r="E144" s="13">
        <v>1</v>
      </c>
      <c r="F144" s="13">
        <v>46.856633333333342</v>
      </c>
    </row>
    <row r="145" spans="1:6">
      <c r="A145" s="3">
        <v>226</v>
      </c>
      <c r="B145" s="3" t="s">
        <v>11</v>
      </c>
      <c r="C145" s="2">
        <v>4</v>
      </c>
      <c r="D145" s="2">
        <v>544.77022250000005</v>
      </c>
      <c r="E145" s="2">
        <v>1</v>
      </c>
      <c r="F145" s="2">
        <v>7.3852333333333329</v>
      </c>
    </row>
    <row r="146" spans="1:6">
      <c r="A146" s="12">
        <v>227</v>
      </c>
      <c r="B146" s="12" t="s">
        <v>10</v>
      </c>
      <c r="C146" s="13"/>
      <c r="D146" s="13"/>
      <c r="E146" s="13">
        <v>1</v>
      </c>
      <c r="F146" s="13">
        <v>58.169000000000004</v>
      </c>
    </row>
    <row r="147" spans="1:6">
      <c r="A147" s="3">
        <v>228</v>
      </c>
      <c r="B147" s="3" t="s">
        <v>9</v>
      </c>
      <c r="C147" s="2">
        <v>1</v>
      </c>
      <c r="D147" s="2">
        <v>84127.607050000006</v>
      </c>
      <c r="E147" s="2">
        <v>0</v>
      </c>
      <c r="F147" s="2">
        <v>78.386933333333317</v>
      </c>
    </row>
    <row r="148" spans="1:6">
      <c r="A148" s="3">
        <v>229</v>
      </c>
      <c r="B148" s="3" t="s">
        <v>8</v>
      </c>
      <c r="C148" s="2">
        <v>3</v>
      </c>
      <c r="D148" s="2">
        <v>20957.243709999999</v>
      </c>
      <c r="E148" s="2">
        <v>1</v>
      </c>
      <c r="F148" s="2">
        <v>77.958933333333334</v>
      </c>
    </row>
    <row r="149" spans="1:6">
      <c r="A149" s="3">
        <v>230</v>
      </c>
      <c r="B149" s="3" t="s">
        <v>7</v>
      </c>
      <c r="C149" s="2">
        <v>3</v>
      </c>
      <c r="D149" s="2">
        <v>28697.708030000002</v>
      </c>
      <c r="E149" s="2">
        <v>1</v>
      </c>
      <c r="F149" s="2">
        <v>73.424066666666675</v>
      </c>
    </row>
    <row r="150" spans="1:6">
      <c r="A150" s="3">
        <v>232</v>
      </c>
      <c r="B150" s="3" t="s">
        <v>6</v>
      </c>
      <c r="C150" s="2">
        <v>2</v>
      </c>
      <c r="D150" s="2">
        <v>6956.3323010000004</v>
      </c>
      <c r="E150" s="2">
        <v>0</v>
      </c>
      <c r="F150" s="2">
        <v>84.191866666666641</v>
      </c>
    </row>
    <row r="151" spans="1:6">
      <c r="A151" s="12">
        <v>233</v>
      </c>
      <c r="B151" s="12" t="s">
        <v>5</v>
      </c>
      <c r="C151" s="13"/>
      <c r="D151" s="13"/>
      <c r="E151" s="13">
        <v>1</v>
      </c>
      <c r="F151" s="13">
        <v>38.381400000000006</v>
      </c>
    </row>
    <row r="152" spans="1:6">
      <c r="A152" s="3">
        <v>235</v>
      </c>
      <c r="B152" s="3" t="s">
        <v>4</v>
      </c>
      <c r="C152" s="2">
        <v>3</v>
      </c>
      <c r="D152" s="2">
        <v>10039.25078</v>
      </c>
      <c r="E152" s="2">
        <v>1</v>
      </c>
      <c r="F152" s="2">
        <v>75.164266666666649</v>
      </c>
    </row>
    <row r="153" spans="1:6">
      <c r="A153" s="3">
        <v>236</v>
      </c>
      <c r="B153" s="3" t="s">
        <v>3</v>
      </c>
      <c r="C153" s="2">
        <v>2</v>
      </c>
      <c r="D153" s="2">
        <v>833.4864129</v>
      </c>
      <c r="E153" s="2">
        <v>0</v>
      </c>
      <c r="F153" s="2">
        <v>18.390666666666664</v>
      </c>
    </row>
    <row r="154" spans="1:6">
      <c r="A154" s="3">
        <v>241</v>
      </c>
      <c r="B154" s="3" t="s">
        <v>2</v>
      </c>
      <c r="C154" s="2">
        <v>2</v>
      </c>
      <c r="D154" s="2">
        <v>2600</v>
      </c>
      <c r="E154" s="2">
        <v>0</v>
      </c>
      <c r="F154" s="2">
        <v>15.045933333333334</v>
      </c>
    </row>
    <row r="155" spans="1:6">
      <c r="A155" s="3">
        <v>242</v>
      </c>
      <c r="B155" s="3" t="s">
        <v>1</v>
      </c>
      <c r="C155" s="2">
        <v>4</v>
      </c>
      <c r="D155" s="2">
        <v>1363.586</v>
      </c>
      <c r="E155" s="2">
        <v>1</v>
      </c>
      <c r="F155" s="2">
        <v>33.171533333333336</v>
      </c>
    </row>
    <row r="156" spans="1:6">
      <c r="A156" s="3">
        <v>243</v>
      </c>
      <c r="B156" s="3" t="s">
        <v>0</v>
      </c>
      <c r="C156" s="2">
        <v>4</v>
      </c>
      <c r="D156" s="2">
        <v>400</v>
      </c>
      <c r="E156" s="2">
        <v>1</v>
      </c>
      <c r="F156" s="2">
        <v>20.345999999999997</v>
      </c>
    </row>
  </sheetData>
  <sortState ref="A2:F156">
    <sortCondition ref="A2:A156"/>
  </sortState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Model_all_famine</vt:lpstr>
      <vt:lpstr>Model_drought_induced_famine</vt:lpstr>
      <vt:lpstr>Model_drought_induced_famine_ch</vt:lpstr>
      <vt:lpstr>1961-2012_Famine</vt:lpstr>
      <vt:lpstr>all_1961-1990</vt:lpstr>
      <vt:lpstr>Correlation</vt:lpstr>
      <vt:lpstr>GDP_per_cap</vt:lpstr>
      <vt:lpstr>UrbanPopRate</vt:lpstr>
      <vt:lpstr>GDP_per_cap (2)</vt:lpstr>
      <vt:lpstr>UrbanPopRate (2)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misato</dc:creator>
  <cp:lastModifiedBy>舟橋壮真</cp:lastModifiedBy>
  <dcterms:created xsi:type="dcterms:W3CDTF">2014-01-29T13:28:13Z</dcterms:created>
  <dcterms:modified xsi:type="dcterms:W3CDTF">2019-09-02T14:55:44Z</dcterms:modified>
</cp:coreProperties>
</file>